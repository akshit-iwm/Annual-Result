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BC770812-F9F9-423B-9E19-0D016F8E6DDA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4" i="1" l="1"/>
  <c r="CL18" i="1"/>
  <c r="CL19" i="1"/>
  <c r="CL254" i="1"/>
  <c r="CK14" i="1"/>
  <c r="Z12" i="1"/>
  <c r="CO13" i="1"/>
  <c r="CS13" i="1" s="1"/>
  <c r="CN13" i="1"/>
  <c r="CR13" i="1" s="1"/>
  <c r="CV13" i="1" s="1"/>
  <c r="CZ13" i="1" s="1"/>
  <c r="CM13" i="1"/>
  <c r="CQ13" i="1" s="1"/>
  <c r="CU13" i="1" s="1"/>
  <c r="CY13" i="1" s="1"/>
  <c r="CP13" i="1"/>
  <c r="CT13" i="1" s="1"/>
  <c r="CX13" i="1" s="1"/>
  <c r="DB13" i="1" s="1"/>
  <c r="CO12" i="1"/>
  <c r="CN12" i="1"/>
  <c r="CR12" i="1" s="1"/>
  <c r="CV12" i="1" s="1"/>
  <c r="CZ12" i="1" s="1"/>
  <c r="CM12" i="1"/>
  <c r="CQ12" i="1" s="1"/>
  <c r="CZ14" i="1" l="1"/>
  <c r="CZ23" i="1" s="1"/>
  <c r="CS12" i="1"/>
  <c r="CW12" i="1" s="1"/>
  <c r="DA12" i="1" s="1"/>
  <c r="CO14" i="1"/>
  <c r="CO23" i="1" s="1"/>
  <c r="CU12" i="1"/>
  <c r="CY12" i="1" s="1"/>
  <c r="CY14" i="1" s="1"/>
  <c r="CY23" i="1" s="1"/>
  <c r="CQ14" i="1"/>
  <c r="CQ23" i="1" s="1"/>
  <c r="CL14" i="1"/>
  <c r="AA12" i="1"/>
  <c r="AA18" i="1" s="1"/>
  <c r="CP12" i="1"/>
  <c r="AB12" i="1" s="1"/>
  <c r="CW13" i="1"/>
  <c r="CW14" i="1" s="1"/>
  <c r="CW23" i="1" s="1"/>
  <c r="AC13" i="1"/>
  <c r="CV14" i="1"/>
  <c r="CV23" i="1" s="1"/>
  <c r="AA13" i="1"/>
  <c r="CR14" i="1"/>
  <c r="CR23" i="1" s="1"/>
  <c r="CM14" i="1"/>
  <c r="CM23" i="1" s="1"/>
  <c r="CS14" i="1"/>
  <c r="CS23" i="1" s="1"/>
  <c r="CN14" i="1"/>
  <c r="CN23" i="1" s="1"/>
  <c r="AB13" i="1"/>
  <c r="CI5" i="1"/>
  <c r="BW5" i="1"/>
  <c r="CA5" i="1"/>
  <c r="Z13" i="1"/>
  <c r="Y13" i="1"/>
  <c r="Y12" i="1"/>
  <c r="Z18" i="1" s="1"/>
  <c r="X13" i="1"/>
  <c r="X12" i="1"/>
  <c r="W12" i="1"/>
  <c r="X18" i="1" s="1"/>
  <c r="W13" i="1"/>
  <c r="CC19" i="1"/>
  <c r="CA19" i="1"/>
  <c r="BW19" i="1"/>
  <c r="CK19" i="1"/>
  <c r="CJ19" i="1"/>
  <c r="CI19" i="1"/>
  <c r="CH19" i="1"/>
  <c r="CG19" i="1"/>
  <c r="CF19" i="1"/>
  <c r="CE19" i="1"/>
  <c r="CD19" i="1"/>
  <c r="CB19" i="1"/>
  <c r="BZ19" i="1"/>
  <c r="BY19" i="1"/>
  <c r="BX19" i="1"/>
  <c r="CK18" i="1"/>
  <c r="CJ18" i="1"/>
  <c r="CI18" i="1"/>
  <c r="CH18" i="1"/>
  <c r="CG18" i="1"/>
  <c r="CF18" i="1"/>
  <c r="CE18" i="1"/>
  <c r="CD18" i="1"/>
  <c r="CC18" i="1"/>
  <c r="CB18" i="1"/>
  <c r="CA18" i="1"/>
  <c r="BZ18" i="1"/>
  <c r="BY18" i="1"/>
  <c r="BX18" i="1"/>
  <c r="BW18" i="1"/>
  <c r="CJ14" i="1"/>
  <c r="CI14" i="1"/>
  <c r="CH14" i="1"/>
  <c r="CG14" i="1"/>
  <c r="CF14" i="1"/>
  <c r="CE14" i="1"/>
  <c r="CD14" i="1"/>
  <c r="CC14" i="1"/>
  <c r="CB14" i="1"/>
  <c r="CA14" i="1"/>
  <c r="BZ14" i="1"/>
  <c r="BY14" i="1"/>
  <c r="BX14" i="1"/>
  <c r="BV14" i="1"/>
  <c r="BU14" i="1"/>
  <c r="BT14" i="1"/>
  <c r="BS14" i="1"/>
  <c r="BW14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51" i="1"/>
  <c r="AB24" i="1"/>
  <c r="AC24" i="1"/>
  <c r="AD24" i="1"/>
  <c r="AE24" i="1"/>
  <c r="AB37" i="1"/>
  <c r="AC37" i="1"/>
  <c r="AD37" i="1"/>
  <c r="AE37" i="1"/>
  <c r="AE36" i="1"/>
  <c r="AD36" i="1"/>
  <c r="AC36" i="1"/>
  <c r="AB36" i="1"/>
  <c r="AJ224" i="1"/>
  <c r="AD10" i="2"/>
  <c r="AD18" i="2"/>
  <c r="AD26" i="2"/>
  <c r="AD34" i="2"/>
  <c r="AD45" i="2"/>
  <c r="AD53" i="2"/>
  <c r="AE8" i="2"/>
  <c r="AE20" i="2"/>
  <c r="AE32" i="2"/>
  <c r="AE47" i="2"/>
  <c r="AD5" i="2"/>
  <c r="AD21" i="2"/>
  <c r="AD40" i="2"/>
  <c r="AD56" i="2"/>
  <c r="AF65" i="2"/>
  <c r="AF73" i="2"/>
  <c r="AF81" i="2"/>
  <c r="AF89" i="2"/>
  <c r="AF97" i="2"/>
  <c r="AF109" i="2"/>
  <c r="AF6" i="2"/>
  <c r="AB36" i="2"/>
  <c r="AB64" i="2"/>
  <c r="AA148" i="1" s="1"/>
  <c r="AC26" i="2"/>
  <c r="AC53" i="2"/>
  <c r="AE68" i="2"/>
  <c r="AE80" i="2"/>
  <c r="AE92" i="2"/>
  <c r="AD19" i="2"/>
  <c r="AD54" i="2"/>
  <c r="AE50" i="2"/>
  <c r="AF78" i="2"/>
  <c r="AF94" i="2"/>
  <c r="AE19" i="2"/>
  <c r="AE79" i="2"/>
  <c r="AE107" i="2"/>
  <c r="AF68" i="2"/>
  <c r="AF84" i="2"/>
  <c r="AF104" i="2"/>
  <c r="AC62" i="2"/>
  <c r="AC86" i="2"/>
  <c r="AD74" i="2"/>
  <c r="AD98" i="2"/>
  <c r="AD110" i="2"/>
  <c r="AD7" i="2"/>
  <c r="AE5" i="2"/>
  <c r="AE56" i="2"/>
  <c r="AF22" i="2"/>
  <c r="AE59" i="2"/>
  <c r="AB11" i="2"/>
  <c r="AA28" i="1" s="1"/>
  <c r="AB19" i="2"/>
  <c r="AB27" i="2"/>
  <c r="AA47" i="1" s="1"/>
  <c r="AB35" i="2"/>
  <c r="AA66" i="1" s="1"/>
  <c r="AB46" i="2"/>
  <c r="AB54" i="2"/>
  <c r="AA168" i="1" s="1"/>
  <c r="AC9" i="2"/>
  <c r="AC21" i="2"/>
  <c r="AC33" i="2"/>
  <c r="AC48" i="2"/>
  <c r="AB6" i="2"/>
  <c r="AA23" i="1" s="1"/>
  <c r="AB22" i="2"/>
  <c r="AB41" i="2"/>
  <c r="AA132" i="1" s="1"/>
  <c r="AB57" i="2"/>
  <c r="AA170" i="1" s="1"/>
  <c r="AD66" i="2"/>
  <c r="AD82" i="2"/>
  <c r="AD90" i="2"/>
  <c r="AD42" i="2"/>
  <c r="AE29" i="2"/>
  <c r="AC69" i="2"/>
  <c r="AC81" i="2"/>
  <c r="AE94" i="2"/>
  <c r="AF57" i="2"/>
  <c r="AD79" i="2"/>
  <c r="AD95" i="2"/>
  <c r="AC32" i="2"/>
  <c r="AC80" i="2"/>
  <c r="AC108" i="2"/>
  <c r="AD69" i="2"/>
  <c r="AD85" i="2"/>
  <c r="AD105" i="2"/>
  <c r="AE65" i="2"/>
  <c r="AE89" i="2"/>
  <c r="AC95" i="2"/>
  <c r="AB24" i="2"/>
  <c r="AF60" i="2"/>
  <c r="AC64" i="2"/>
  <c r="AB80" i="2"/>
  <c r="AA162" i="1" s="1"/>
  <c r="AB96" i="2"/>
  <c r="AE7" i="2"/>
  <c r="AB70" i="2"/>
  <c r="AB86" i="2"/>
  <c r="AA150" i="1" s="1"/>
  <c r="AC66" i="2"/>
  <c r="AB49" i="2"/>
  <c r="AA178" i="1" s="1"/>
  <c r="AD23" i="2"/>
  <c r="AE44" i="2"/>
  <c r="AC75" i="2"/>
  <c r="AC87" i="2"/>
  <c r="AF41" i="2"/>
  <c r="AC12" i="2"/>
  <c r="AD107" i="2"/>
  <c r="AC55" i="2"/>
  <c r="AE105" i="2"/>
  <c r="AF23" i="2"/>
  <c r="AF50" i="2"/>
  <c r="AE55" i="2"/>
  <c r="AB63" i="2"/>
  <c r="AA147" i="1" s="1"/>
  <c r="AB87" i="2"/>
  <c r="AC105" i="2"/>
  <c r="AE88" i="2"/>
  <c r="AF11" i="2"/>
  <c r="AF19" i="2"/>
  <c r="AF27" i="2"/>
  <c r="AF35" i="2"/>
  <c r="AF46" i="2"/>
  <c r="AF54" i="2"/>
  <c r="AE10" i="2"/>
  <c r="AE22" i="2"/>
  <c r="AE34" i="2"/>
  <c r="AE49" i="2"/>
  <c r="AF8" i="2"/>
  <c r="AF24" i="2"/>
  <c r="AF43" i="2"/>
  <c r="AB59" i="2"/>
  <c r="AB67" i="2"/>
  <c r="AB75" i="2"/>
  <c r="AA174" i="1" s="1"/>
  <c r="AB83" i="2"/>
  <c r="AA179" i="1" s="1"/>
  <c r="AB91" i="2"/>
  <c r="AB99" i="2"/>
  <c r="AF10" i="2"/>
  <c r="AF45" i="2"/>
  <c r="AC6" i="2"/>
  <c r="AC30" i="2"/>
  <c r="AC57" i="2"/>
  <c r="AE70" i="2"/>
  <c r="AE82" i="2"/>
  <c r="AE35" i="2"/>
  <c r="AE83" i="2"/>
  <c r="AB106" i="2"/>
  <c r="AA92" i="1" s="1"/>
  <c r="AC90" i="2"/>
  <c r="AD62" i="2"/>
  <c r="AD86" i="2"/>
  <c r="AD58" i="2"/>
  <c r="AE110" i="2"/>
  <c r="AD71" i="2"/>
  <c r="AD87" i="2"/>
  <c r="AC68" i="2"/>
  <c r="AD77" i="2"/>
  <c r="AE11" i="2"/>
  <c r="AE28" i="2"/>
  <c r="AF32" i="2"/>
  <c r="AF51" i="2"/>
  <c r="AB107" i="2"/>
  <c r="AA93" i="1" s="1"/>
  <c r="AE76" i="2"/>
  <c r="AB43" i="2"/>
  <c r="AA134" i="1" s="1"/>
  <c r="AB78" i="2"/>
  <c r="AA175" i="1" s="1"/>
  <c r="AC106" i="2"/>
  <c r="AD12" i="2"/>
  <c r="AD20" i="2"/>
  <c r="AD28" i="2"/>
  <c r="AD36" i="2"/>
  <c r="AD47" i="2"/>
  <c r="AD55" i="2"/>
  <c r="AC11" i="2"/>
  <c r="AC23" i="2"/>
  <c r="AC35" i="2"/>
  <c r="AC50" i="2"/>
  <c r="AD9" i="2"/>
  <c r="AD25" i="2"/>
  <c r="AD44" i="2"/>
  <c r="AF59" i="2"/>
  <c r="AF67" i="2"/>
  <c r="AF75" i="2"/>
  <c r="AF83" i="2"/>
  <c r="AF91" i="2"/>
  <c r="AF99" i="2"/>
  <c r="AB12" i="2"/>
  <c r="AA30" i="1" s="1"/>
  <c r="AB47" i="2"/>
  <c r="AA139" i="1" s="1"/>
  <c r="AA143" i="1" s="1"/>
  <c r="AE9" i="2"/>
  <c r="AE33" i="2"/>
  <c r="AC59" i="2"/>
  <c r="AC71" i="2"/>
  <c r="AC83" i="2"/>
  <c r="AE98" i="2"/>
  <c r="AD27" i="2"/>
  <c r="AD61" i="2"/>
  <c r="AF66" i="2"/>
  <c r="AF82" i="2"/>
  <c r="AF98" i="2"/>
  <c r="AC51" i="2"/>
  <c r="AC84" i="2"/>
  <c r="AC20" i="2"/>
  <c r="AF72" i="2"/>
  <c r="AF88" i="2"/>
  <c r="AF108" i="2"/>
  <c r="AE69" i="2"/>
  <c r="AE93" i="2"/>
  <c r="AD67" i="2"/>
  <c r="AD83" i="2"/>
  <c r="AE54" i="2"/>
  <c r="AE23" i="2"/>
  <c r="AD73" i="2"/>
  <c r="AD89" i="2"/>
  <c r="AD109" i="2"/>
  <c r="AC70" i="2"/>
  <c r="AC94" i="2"/>
  <c r="AB90" i="2"/>
  <c r="AB110" i="2"/>
  <c r="AA82" i="1" s="1"/>
  <c r="AB5" i="2"/>
  <c r="AB13" i="2"/>
  <c r="AA39" i="1" s="1"/>
  <c r="AB21" i="2"/>
  <c r="AB29" i="2"/>
  <c r="AB40" i="2"/>
  <c r="AB48" i="2"/>
  <c r="AA140" i="1" s="1"/>
  <c r="AB56" i="2"/>
  <c r="AA142" i="1" s="1"/>
  <c r="AE12" i="2"/>
  <c r="AE24" i="2"/>
  <c r="AE36" i="2"/>
  <c r="AE51" i="2"/>
  <c r="AB10" i="2"/>
  <c r="AB26" i="2"/>
  <c r="AB45" i="2"/>
  <c r="AA137" i="1" s="1"/>
  <c r="AD60" i="2"/>
  <c r="AD68" i="2"/>
  <c r="AD76" i="2"/>
  <c r="AD84" i="2"/>
  <c r="AD92" i="2"/>
  <c r="AD104" i="2"/>
  <c r="AC93" i="2"/>
  <c r="AD15" i="2"/>
  <c r="AD50" i="2"/>
  <c r="AC10" i="2"/>
  <c r="AC34" i="2"/>
  <c r="AE60" i="2"/>
  <c r="AE72" i="2"/>
  <c r="AE84" i="2"/>
  <c r="AC99" i="2"/>
  <c r="AF30" i="2"/>
  <c r="AB62" i="2"/>
  <c r="AA146" i="1" s="1"/>
  <c r="AA149" i="1" s="1"/>
  <c r="AD99" i="2"/>
  <c r="AE87" i="2"/>
  <c r="AE97" i="2"/>
  <c r="AE74" i="2"/>
  <c r="AC107" i="2"/>
  <c r="AF106" i="2"/>
  <c r="AE91" i="2"/>
  <c r="AF76" i="2"/>
  <c r="AB31" i="2"/>
  <c r="AB50" i="2"/>
  <c r="AA164" i="1" s="1"/>
  <c r="AB58" i="2"/>
  <c r="AC27" i="2"/>
  <c r="AC42" i="2"/>
  <c r="AD106" i="2"/>
  <c r="AE104" i="2"/>
  <c r="AE17" i="2"/>
  <c r="AC63" i="2"/>
  <c r="AC45" i="2"/>
  <c r="AE15" i="2"/>
  <c r="AE95" i="2"/>
  <c r="AB94" i="2"/>
  <c r="AF5" i="2"/>
  <c r="AF13" i="2"/>
  <c r="AF21" i="2"/>
  <c r="AF29" i="2"/>
  <c r="AF40" i="2"/>
  <c r="AF48" i="2"/>
  <c r="AF56" i="2"/>
  <c r="AC13" i="2"/>
  <c r="AC25" i="2"/>
  <c r="AC40" i="2"/>
  <c r="AC52" i="2"/>
  <c r="AF12" i="2"/>
  <c r="AF28" i="2"/>
  <c r="AF47" i="2"/>
  <c r="AB61" i="2"/>
  <c r="AB69" i="2"/>
  <c r="AB77" i="2"/>
  <c r="AA160" i="1" s="1"/>
  <c r="AA195" i="1" s="1"/>
  <c r="AB85" i="2"/>
  <c r="AA185" i="1" s="1"/>
  <c r="AB93" i="2"/>
  <c r="AA187" i="1" s="1"/>
  <c r="AB105" i="2"/>
  <c r="AE96" i="2"/>
  <c r="AF18" i="2"/>
  <c r="AF53" i="2"/>
  <c r="AE13" i="2"/>
  <c r="AE40" i="2"/>
  <c r="AC61" i="2"/>
  <c r="AC73" i="2"/>
  <c r="AC85" i="2"/>
  <c r="AE106" i="2"/>
  <c r="AB32" i="2"/>
  <c r="AA60" i="1" s="1"/>
  <c r="AF64" i="2"/>
  <c r="AB68" i="2"/>
  <c r="AA151" i="1" s="1"/>
  <c r="AB84" i="2"/>
  <c r="AB104" i="2"/>
  <c r="AE61" i="2"/>
  <c r="AC88" i="2"/>
  <c r="AC36" i="2"/>
  <c r="AB74" i="2"/>
  <c r="AE73" i="2"/>
  <c r="AE62" i="2"/>
  <c r="AC74" i="2"/>
  <c r="AB7" i="2"/>
  <c r="AA24" i="1" s="1"/>
  <c r="AC15" i="2"/>
  <c r="AC54" i="2"/>
  <c r="AB14" i="2"/>
  <c r="AA35" i="1" s="1"/>
  <c r="AA41" i="1" s="1"/>
  <c r="AB30" i="2"/>
  <c r="AA54" i="1" s="1"/>
  <c r="AD70" i="2"/>
  <c r="AD93" i="2"/>
  <c r="AE77" i="2"/>
  <c r="AF15" i="2"/>
  <c r="AF31" i="2"/>
  <c r="AF58" i="2"/>
  <c r="AE16" i="2"/>
  <c r="AF16" i="2"/>
  <c r="AB95" i="2"/>
  <c r="AA186" i="1" s="1"/>
  <c r="AD59" i="2"/>
  <c r="AE64" i="2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F105" i="2"/>
  <c r="AC97" i="2"/>
  <c r="AB20" i="2"/>
  <c r="AB55" i="2"/>
  <c r="AC14" i="2"/>
  <c r="AC41" i="2"/>
  <c r="AE86" i="2"/>
  <c r="AD35" i="2"/>
  <c r="AD65" i="2"/>
  <c r="AF70" i="2"/>
  <c r="AF86" i="2"/>
  <c r="AE67" i="2"/>
  <c r="AE42" i="2"/>
  <c r="AF92" i="2"/>
  <c r="AC8" i="2"/>
  <c r="AC98" i="2"/>
  <c r="AB15" i="2"/>
  <c r="AA38" i="1" s="1"/>
  <c r="AB23" i="2"/>
  <c r="AA50" i="1" s="1"/>
  <c r="AB42" i="2"/>
  <c r="AA133" i="1" s="1"/>
  <c r="AD78" i="2"/>
  <c r="AD94" i="2"/>
  <c r="AC92" i="2"/>
  <c r="AF7" i="2"/>
  <c r="AF42" i="2"/>
  <c r="AE43" i="2"/>
  <c r="AF26" i="2"/>
  <c r="AD8" i="2"/>
  <c r="AD16" i="2"/>
  <c r="AD24" i="2"/>
  <c r="AD32" i="2"/>
  <c r="AD43" i="2"/>
  <c r="AD51" i="2"/>
  <c r="AC5" i="2"/>
  <c r="AC113" i="2" s="1"/>
  <c r="AC17" i="2"/>
  <c r="AC29" i="2"/>
  <c r="AC44" i="2"/>
  <c r="AC56" i="2"/>
  <c r="AD17" i="2"/>
  <c r="AD33" i="2"/>
  <c r="AD52" i="2"/>
  <c r="AF63" i="2"/>
  <c r="AF71" i="2"/>
  <c r="AF79" i="2"/>
  <c r="AF87" i="2"/>
  <c r="AF95" i="2"/>
  <c r="AF107" i="2"/>
  <c r="AE108" i="2"/>
  <c r="AB28" i="2"/>
  <c r="AB60" i="2"/>
  <c r="AE21" i="2"/>
  <c r="AE48" i="2"/>
  <c r="AC65" i="2"/>
  <c r="AC77" i="2"/>
  <c r="AC89" i="2"/>
  <c r="AD11" i="2"/>
  <c r="AD46" i="2"/>
  <c r="AC28" i="2"/>
  <c r="AF74" i="2"/>
  <c r="AF90" i="2"/>
  <c r="AF110" i="2"/>
  <c r="AC72" i="2"/>
  <c r="AC96" i="2"/>
  <c r="AC60" i="2"/>
  <c r="AF80" i="2"/>
  <c r="AF96" i="2"/>
  <c r="AE27" i="2"/>
  <c r="AE81" i="2"/>
  <c r="AE109" i="2"/>
  <c r="AE99" i="2"/>
  <c r="AD81" i="2"/>
  <c r="AC82" i="2"/>
  <c r="AD63" i="2"/>
  <c r="AC67" i="2"/>
  <c r="AC79" i="2"/>
  <c r="AB16" i="2"/>
  <c r="AB92" i="2"/>
  <c r="AC16" i="2"/>
  <c r="AC104" i="2"/>
  <c r="AB66" i="2"/>
  <c r="AB98" i="2"/>
  <c r="AE85" i="2"/>
  <c r="AB71" i="2"/>
  <c r="AA155" i="1" s="1"/>
  <c r="AC18" i="2"/>
  <c r="AB8" i="2"/>
  <c r="AB108" i="2"/>
  <c r="AA94" i="1" s="1"/>
  <c r="AC24" i="2"/>
  <c r="AB9" i="2"/>
  <c r="AB17" i="2"/>
  <c r="AA36" i="1" s="1"/>
  <c r="AB25" i="2"/>
  <c r="AA51" i="1" s="1"/>
  <c r="AB33" i="2"/>
  <c r="AB44" i="2"/>
  <c r="AB52" i="2"/>
  <c r="AA166" i="1" s="1"/>
  <c r="AE6" i="2"/>
  <c r="AE18" i="2"/>
  <c r="AE30" i="2"/>
  <c r="AE45" i="2"/>
  <c r="AE57" i="2"/>
  <c r="AB18" i="2"/>
  <c r="AA40" i="1" s="1"/>
  <c r="AB34" i="2"/>
  <c r="AB53" i="2"/>
  <c r="AD64" i="2"/>
  <c r="AD72" i="2"/>
  <c r="AD80" i="2"/>
  <c r="AD88" i="2"/>
  <c r="AD96" i="2"/>
  <c r="AD108" i="2"/>
  <c r="AC109" i="2"/>
  <c r="AD31" i="2"/>
  <c r="AF62" i="2"/>
  <c r="AC22" i="2"/>
  <c r="AC49" i="2"/>
  <c r="AE66" i="2"/>
  <c r="AE78" i="2"/>
  <c r="AE90" i="2"/>
  <c r="AF14" i="2"/>
  <c r="AF49" i="2"/>
  <c r="AE31" i="2"/>
  <c r="AD75" i="2"/>
  <c r="AD91" i="2"/>
  <c r="AE75" i="2"/>
  <c r="AE63" i="2"/>
  <c r="AD97" i="2"/>
  <c r="AC43" i="2"/>
  <c r="AC110" i="2"/>
  <c r="AF34" i="2"/>
  <c r="AE25" i="2"/>
  <c r="AE52" i="2"/>
  <c r="AC91" i="2"/>
  <c r="AB51" i="2"/>
  <c r="AA165" i="1" s="1"/>
  <c r="AC47" i="2"/>
  <c r="AB76" i="2"/>
  <c r="AA159" i="1" s="1"/>
  <c r="AA194" i="1" s="1"/>
  <c r="AC76" i="2"/>
  <c r="AB82" i="2"/>
  <c r="AE46" i="2"/>
  <c r="AB79" i="2"/>
  <c r="AA161" i="1" s="1"/>
  <c r="AB72" i="2"/>
  <c r="AB88" i="2"/>
  <c r="AE71" i="2"/>
  <c r="AE58" i="2"/>
  <c r="AC78" i="2"/>
  <c r="AF9" i="2"/>
  <c r="AF17" i="2"/>
  <c r="AF25" i="2"/>
  <c r="AF33" i="2"/>
  <c r="AF44" i="2"/>
  <c r="AF52" i="2"/>
  <c r="AC7" i="2"/>
  <c r="AC19" i="2"/>
  <c r="AC31" i="2"/>
  <c r="AC46" i="2"/>
  <c r="AC58" i="2"/>
  <c r="AF20" i="2"/>
  <c r="AF36" i="2"/>
  <c r="AF55" i="2"/>
  <c r="AB65" i="2"/>
  <c r="AB73" i="2"/>
  <c r="AB81" i="2"/>
  <c r="AB89" i="2"/>
  <c r="AB97" i="2"/>
  <c r="AB109" i="2"/>
  <c r="AB113" i="2"/>
  <c r="AA89" i="1" s="1"/>
  <c r="AA37" i="1" l="1"/>
  <c r="AA141" i="1"/>
  <c r="AA152" i="1"/>
  <c r="AA61" i="1"/>
  <c r="AA157" i="1"/>
  <c r="AA163" i="1" s="1"/>
  <c r="AA197" i="1" s="1"/>
  <c r="AA158" i="1"/>
  <c r="AA62" i="1"/>
  <c r="AA169" i="1"/>
  <c r="AA171" i="1" s="1"/>
  <c r="AA48" i="1"/>
  <c r="AA209" i="1"/>
  <c r="AA268" i="1"/>
  <c r="AA25" i="1"/>
  <c r="AA42" i="1" s="1"/>
  <c r="AA246" i="1"/>
  <c r="AA52" i="1"/>
  <c r="AA267" i="1"/>
  <c r="AA198" i="1"/>
  <c r="AA135" i="1"/>
  <c r="AA176" i="1"/>
  <c r="AA153" i="1"/>
  <c r="AA188" i="1"/>
  <c r="AA196" i="1"/>
  <c r="AA261" i="1"/>
  <c r="AA263" i="1"/>
  <c r="AA183" i="1"/>
  <c r="AA124" i="1" s="1"/>
  <c r="AA190" i="1"/>
  <c r="AA144" i="1"/>
  <c r="W14" i="1"/>
  <c r="CU14" i="1"/>
  <c r="CU23" i="1" s="1"/>
  <c r="AB18" i="1"/>
  <c r="AB14" i="1"/>
  <c r="AB112" i="2"/>
  <c r="AA88" i="1" s="1"/>
  <c r="AB111" i="2"/>
  <c r="CP14" i="1"/>
  <c r="CP23" i="1" s="1"/>
  <c r="CT12" i="1"/>
  <c r="Y19" i="1"/>
  <c r="Y18" i="1"/>
  <c r="X14" i="1"/>
  <c r="Z14" i="1"/>
  <c r="Z19" i="1"/>
  <c r="X19" i="1"/>
  <c r="AA19" i="1"/>
  <c r="AB19" i="1"/>
  <c r="AA14" i="1"/>
  <c r="AC19" i="1"/>
  <c r="Y14" i="1"/>
  <c r="DA13" i="1"/>
  <c r="AD13" i="1"/>
  <c r="B1" i="9"/>
  <c r="AE111" i="2"/>
  <c r="AD113" i="2"/>
  <c r="A1" i="9"/>
  <c r="AD111" i="2"/>
  <c r="AC112" i="2"/>
  <c r="L1" i="9"/>
  <c r="AC111" i="2"/>
  <c r="AF112" i="2"/>
  <c r="AE112" i="2"/>
  <c r="AE113" i="2"/>
  <c r="AF111" i="2"/>
  <c r="AF113" i="2"/>
  <c r="AD112" i="2"/>
  <c r="AA31" i="1" l="1"/>
  <c r="AA259" i="1"/>
  <c r="AA113" i="1"/>
  <c r="AA172" i="1"/>
  <c r="AA200" i="1"/>
  <c r="AA199" i="1" s="1"/>
  <c r="AA32" i="1"/>
  <c r="AC12" i="1"/>
  <c r="CT14" i="1"/>
  <c r="CT23" i="1" s="1"/>
  <c r="CX12" i="1"/>
  <c r="AD19" i="1"/>
  <c r="DA14" i="1"/>
  <c r="DA23" i="1" s="1"/>
  <c r="AE13" i="1"/>
  <c r="AE19" i="1" s="1"/>
  <c r="DB254" i="1"/>
  <c r="DA254" i="1"/>
  <c r="CZ254" i="1"/>
  <c r="CY254" i="1"/>
  <c r="CX254" i="1"/>
  <c r="CW254" i="1"/>
  <c r="CV254" i="1"/>
  <c r="CU254" i="1"/>
  <c r="CT254" i="1"/>
  <c r="CS254" i="1"/>
  <c r="CR254" i="1"/>
  <c r="CQ254" i="1"/>
  <c r="CP254" i="1"/>
  <c r="CO254" i="1"/>
  <c r="CN254" i="1"/>
  <c r="CM254" i="1"/>
  <c r="CK254" i="1"/>
  <c r="CK151" i="1"/>
  <c r="CM151" i="1" s="1"/>
  <c r="CN151" i="1" s="1"/>
  <c r="CO151" i="1" s="1"/>
  <c r="CP151" i="1" s="1"/>
  <c r="CQ151" i="1" s="1"/>
  <c r="CR151" i="1" s="1"/>
  <c r="CS151" i="1" s="1"/>
  <c r="CT151" i="1" s="1"/>
  <c r="CU151" i="1" s="1"/>
  <c r="CV151" i="1" s="1"/>
  <c r="CW151" i="1" s="1"/>
  <c r="CX151" i="1" s="1"/>
  <c r="CY151" i="1" s="1"/>
  <c r="CZ151" i="1" s="1"/>
  <c r="DA151" i="1" s="1"/>
  <c r="DB151" i="1" s="1"/>
  <c r="CH167" i="1"/>
  <c r="CJ254" i="1"/>
  <c r="Z254" i="1"/>
  <c r="AA43" i="1" l="1"/>
  <c r="AA201" i="1"/>
  <c r="AA180" i="1"/>
  <c r="AA181" i="1" s="1"/>
  <c r="AA44" i="1"/>
  <c r="AA127" i="1"/>
  <c r="AA247" i="1"/>
  <c r="AA248" i="1" s="1"/>
  <c r="AA49" i="1"/>
  <c r="AC14" i="1"/>
  <c r="AC18" i="1"/>
  <c r="CX14" i="1"/>
  <c r="CX23" i="1" s="1"/>
  <c r="DB12" i="1"/>
  <c r="AD12" i="1"/>
  <c r="CI254" i="1"/>
  <c r="CG151" i="1"/>
  <c r="CG254" i="1"/>
  <c r="CH254" i="1"/>
  <c r="AB28" i="1"/>
  <c r="AC28" i="1"/>
  <c r="AD28" i="1"/>
  <c r="AE28" i="1"/>
  <c r="AB29" i="1"/>
  <c r="AC29" i="1"/>
  <c r="AD29" i="1"/>
  <c r="AE29" i="1"/>
  <c r="AB39" i="1"/>
  <c r="AC39" i="1"/>
  <c r="AD39" i="1"/>
  <c r="AE39" i="1"/>
  <c r="AB40" i="1"/>
  <c r="AC40" i="1"/>
  <c r="AD40" i="1"/>
  <c r="AE40" i="1"/>
  <c r="AB62" i="1"/>
  <c r="AC62" i="1"/>
  <c r="AD62" i="1"/>
  <c r="AE62" i="1"/>
  <c r="AB174" i="1"/>
  <c r="AC174" i="1"/>
  <c r="AD174" i="1"/>
  <c r="AE174" i="1"/>
  <c r="AB188" i="1"/>
  <c r="AC188" i="1"/>
  <c r="AD188" i="1"/>
  <c r="AE188" i="1"/>
  <c r="CE151" i="1"/>
  <c r="CE254" i="1"/>
  <c r="CF254" i="1"/>
  <c r="AI212" i="1"/>
  <c r="AI217" i="1"/>
  <c r="AI221" i="1"/>
  <c r="AI224" i="1"/>
  <c r="AI254" i="1"/>
  <c r="Y254" i="1"/>
  <c r="AM151" i="1"/>
  <c r="AO151" i="1"/>
  <c r="AQ151" i="1"/>
  <c r="AS151" i="1"/>
  <c r="AU151" i="1"/>
  <c r="AW151" i="1"/>
  <c r="AY151" i="1"/>
  <c r="BA151" i="1"/>
  <c r="BC151" i="1"/>
  <c r="BE151" i="1"/>
  <c r="BG151" i="1"/>
  <c r="BI151" i="1"/>
  <c r="BK151" i="1"/>
  <c r="BM151" i="1"/>
  <c r="BO151" i="1"/>
  <c r="BQ151" i="1"/>
  <c r="BS151" i="1"/>
  <c r="BU151" i="1"/>
  <c r="BW151" i="1"/>
  <c r="BY151" i="1"/>
  <c r="CA151" i="1"/>
  <c r="CC151" i="1"/>
  <c r="CD254" i="1"/>
  <c r="CC254" i="1"/>
  <c r="AJ254" i="1"/>
  <c r="AK254" i="1"/>
  <c r="AL254" i="1"/>
  <c r="CB254" i="1"/>
  <c r="CA254" i="1"/>
  <c r="BZ254" i="1"/>
  <c r="BY254" i="1"/>
  <c r="BX254" i="1"/>
  <c r="BW254" i="1"/>
  <c r="BV254" i="1"/>
  <c r="BU254" i="1"/>
  <c r="BT254" i="1"/>
  <c r="BS254" i="1"/>
  <c r="BR254" i="1"/>
  <c r="BQ254" i="1"/>
  <c r="BP254" i="1"/>
  <c r="BO254" i="1"/>
  <c r="BN254" i="1"/>
  <c r="BM254" i="1"/>
  <c r="BL254" i="1"/>
  <c r="BK254" i="1"/>
  <c r="BJ254" i="1"/>
  <c r="BI254" i="1"/>
  <c r="BH254" i="1"/>
  <c r="BG254" i="1"/>
  <c r="BF254" i="1"/>
  <c r="BE254" i="1"/>
  <c r="BD254" i="1"/>
  <c r="BC254" i="1"/>
  <c r="BB254" i="1"/>
  <c r="BA254" i="1"/>
  <c r="AZ254" i="1"/>
  <c r="AY254" i="1"/>
  <c r="AX254" i="1"/>
  <c r="AW254" i="1"/>
  <c r="AV254" i="1"/>
  <c r="AU254" i="1"/>
  <c r="AT254" i="1"/>
  <c r="AS254" i="1"/>
  <c r="AR254" i="1"/>
  <c r="AQ254" i="1"/>
  <c r="AP254" i="1"/>
  <c r="AO254" i="1"/>
  <c r="AN254" i="1"/>
  <c r="AM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I254" i="1"/>
  <c r="H254" i="1"/>
  <c r="G254" i="1"/>
  <c r="F254" i="1"/>
  <c r="E254" i="1"/>
  <c r="D254" i="1"/>
  <c r="C254" i="1"/>
  <c r="B254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53" i="1" l="1"/>
  <c r="AA70" i="1"/>
  <c r="AE12" i="1"/>
  <c r="DB14" i="1"/>
  <c r="DB23" i="1" s="1"/>
  <c r="AD14" i="1"/>
  <c r="AD18" i="1"/>
  <c r="Y1" i="1"/>
  <c r="Z1" i="1" s="1"/>
  <c r="AA55" i="1" l="1"/>
  <c r="AA56" i="1"/>
  <c r="AE14" i="1"/>
  <c r="AE18" i="1"/>
  <c r="AA1" i="1"/>
  <c r="AB1" i="1" s="1"/>
  <c r="AC1" i="1" s="1"/>
  <c r="AD1" i="1" s="1"/>
  <c r="AE1" i="1" s="1"/>
  <c r="AA57" i="1" l="1"/>
  <c r="AA260" i="1" s="1"/>
  <c r="AA249" i="1"/>
  <c r="AA63" i="1"/>
  <c r="A1" i="3"/>
  <c r="AA67" i="1" l="1"/>
  <c r="AA69" i="1"/>
  <c r="AA208" i="1"/>
  <c r="AA210" i="1" s="1"/>
  <c r="A1" i="6"/>
  <c r="A1" i="4"/>
  <c r="BQ5" i="3"/>
  <c r="BQ11" i="3"/>
  <c r="BQ17" i="3"/>
  <c r="BQ23" i="3"/>
  <c r="BQ29" i="3"/>
  <c r="BQ35" i="3"/>
  <c r="BQ41" i="3"/>
  <c r="BR6" i="3"/>
  <c r="BR12" i="3"/>
  <c r="BO45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29" i="3"/>
  <c r="BF11" i="3"/>
  <c r="CL30" i="1" s="1"/>
  <c r="BL34" i="3"/>
  <c r="BE14" i="3"/>
  <c r="BM34" i="3"/>
  <c r="BL5" i="3"/>
  <c r="BT24" i="3"/>
  <c r="BP37" i="3"/>
  <c r="BP23" i="3"/>
  <c r="BI9" i="3"/>
  <c r="BG14" i="3"/>
  <c r="BE19" i="3"/>
  <c r="BM23" i="3"/>
  <c r="BK40" i="3"/>
  <c r="BH20" i="3"/>
  <c r="BJ39" i="3"/>
  <c r="BE20" i="3"/>
  <c r="BI40" i="3"/>
  <c r="BF36" i="3"/>
  <c r="BN18" i="3"/>
  <c r="BF38" i="3"/>
  <c r="BJ38" i="3"/>
  <c r="BL9" i="3"/>
  <c r="BT19" i="3"/>
  <c r="BP26" i="3"/>
  <c r="BM35" i="3"/>
  <c r="BF13" i="3"/>
  <c r="BL28" i="3"/>
  <c r="BI6" i="3"/>
  <c r="BE22" i="3"/>
  <c r="BI38" i="3"/>
  <c r="BH7" i="3"/>
  <c r="Z66" i="2"/>
  <c r="Z76" i="2"/>
  <c r="Y104" i="2"/>
  <c r="Y64" i="2"/>
  <c r="AA51" i="2"/>
  <c r="Y99" i="2"/>
  <c r="Y35" i="2"/>
  <c r="BB45" i="3"/>
  <c r="BD21" i="3"/>
  <c r="BA16" i="3"/>
  <c r="BD29" i="3"/>
  <c r="Y43" i="2"/>
  <c r="W6" i="2"/>
  <c r="Y80" i="2"/>
  <c r="AA81" i="2"/>
  <c r="AA26" i="2"/>
  <c r="Z12" i="2"/>
  <c r="BB16" i="3"/>
  <c r="BD8" i="3"/>
  <c r="BA28" i="3"/>
  <c r="Z6" i="2"/>
  <c r="AA42" i="2"/>
  <c r="Z92" i="2"/>
  <c r="Y5" i="2"/>
  <c r="AA99" i="2"/>
  <c r="AA89" i="2"/>
  <c r="X6" i="2"/>
  <c r="BD9" i="3"/>
  <c r="BB7" i="3"/>
  <c r="Y67" i="2"/>
  <c r="BC34" i="3"/>
  <c r="BU5" i="3"/>
  <c r="BU11" i="3"/>
  <c r="BU17" i="3"/>
  <c r="BU23" i="3"/>
  <c r="BU29" i="3"/>
  <c r="BU35" i="3"/>
  <c r="BU41" i="3"/>
  <c r="BV6" i="3"/>
  <c r="BV12" i="3"/>
  <c r="BO46" i="3"/>
  <c r="BT34" i="3"/>
  <c r="BM33" i="3"/>
  <c r="BL14" i="3"/>
  <c r="BJ33" i="3"/>
  <c r="BG15" i="3"/>
  <c r="BI36" i="3"/>
  <c r="BF20" i="3"/>
  <c r="BR18" i="3"/>
  <c r="BR24" i="3"/>
  <c r="BR30" i="3"/>
  <c r="BR36" i="3"/>
  <c r="BR42" i="3"/>
  <c r="BO8" i="3"/>
  <c r="BO14" i="3"/>
  <c r="BO20" i="3"/>
  <c r="BO26" i="3"/>
  <c r="BO32" i="3"/>
  <c r="BO41" i="3"/>
  <c r="BT22" i="3"/>
  <c r="BI31" i="3"/>
  <c r="BL12" i="3"/>
  <c r="BL36" i="3"/>
  <c r="BE16" i="3"/>
  <c r="BE36" i="3"/>
  <c r="BF12" i="3"/>
  <c r="CL29" i="1" s="1"/>
  <c r="BT28" i="3"/>
  <c r="BP15" i="3"/>
  <c r="BE5" i="3"/>
  <c r="BM9" i="3"/>
  <c r="BK14" i="3"/>
  <c r="BI19" i="3"/>
  <c r="BG24" i="3"/>
  <c r="BI45" i="3"/>
  <c r="BN21" i="3"/>
  <c r="BF41" i="3"/>
  <c r="BK21" i="3"/>
  <c r="BE42" i="3"/>
  <c r="BJ42" i="3"/>
  <c r="BJ20" i="3"/>
  <c r="BL39" i="3"/>
  <c r="BE46" i="3"/>
  <c r="BF16" i="3"/>
  <c r="CL35" i="1" s="1"/>
  <c r="BT25" i="3"/>
  <c r="BP28" i="3"/>
  <c r="BE37" i="3"/>
  <c r="BN13" i="3"/>
  <c r="BL30" i="3"/>
  <c r="BK7" i="3"/>
  <c r="BK23" i="3"/>
  <c r="BE40" i="3"/>
  <c r="BL13" i="3"/>
  <c r="AA109" i="2"/>
  <c r="Y22" i="2"/>
  <c r="Y51" i="2"/>
  <c r="AA80" i="2"/>
  <c r="AA7" i="2"/>
  <c r="Z50" i="2"/>
  <c r="Z72" i="2"/>
  <c r="BA17" i="3"/>
  <c r="BC41" i="3"/>
  <c r="BA29" i="3"/>
  <c r="BB38" i="3"/>
  <c r="Y17" i="2"/>
  <c r="Y108" i="2"/>
  <c r="Y33" i="2"/>
  <c r="AA35" i="2"/>
  <c r="AA76" i="2"/>
  <c r="Z21" i="2"/>
  <c r="BC17" i="3"/>
  <c r="BB19" i="3"/>
  <c r="BA5" i="3"/>
  <c r="AA28" i="2"/>
  <c r="Z59" i="2"/>
  <c r="AA85" i="2"/>
  <c r="Y31" i="2"/>
  <c r="AA65" i="2"/>
  <c r="AA92" i="2"/>
  <c r="AA33" i="2"/>
  <c r="BD46" i="3"/>
  <c r="BA24" i="3"/>
  <c r="Z88" i="2"/>
  <c r="BD25" i="3"/>
  <c r="BA23" i="3"/>
  <c r="BD17" i="3"/>
  <c r="AA49" i="2"/>
  <c r="BB23" i="3"/>
  <c r="Y18" i="2"/>
  <c r="Z82" i="2"/>
  <c r="Z42" i="2"/>
  <c r="AA45" i="2"/>
  <c r="EY11" i="4" a="1"/>
  <c r="FF15" i="4" a="1"/>
  <c r="EY13" i="4" a="1"/>
  <c r="FB13" i="4" a="1"/>
  <c r="EY12" i="4" a="1"/>
  <c r="EX6" i="4" a="1"/>
  <c r="FE11" i="4" a="1"/>
  <c r="FD5" i="4" a="1"/>
  <c r="FD7" i="4" a="1"/>
  <c r="EX16" i="4" a="1"/>
  <c r="FF9" i="4" a="1"/>
  <c r="FF12" i="4" a="1"/>
  <c r="FD16" i="4" a="1"/>
  <c r="FC6" i="4" a="1"/>
  <c r="FE15" i="4" a="1"/>
  <c r="Y9" i="2"/>
  <c r="BB21" i="3"/>
  <c r="Z31" i="2"/>
  <c r="Y92" i="2"/>
  <c r="BB13" i="3"/>
  <c r="BB27" i="3"/>
  <c r="Y48" i="2"/>
  <c r="Z16" i="2"/>
  <c r="BB31" i="3"/>
  <c r="BD12" i="3"/>
  <c r="BA18" i="3"/>
  <c r="Y95" i="2"/>
  <c r="BQ6" i="3"/>
  <c r="BQ12" i="3"/>
  <c r="BQ18" i="3"/>
  <c r="BQ24" i="3"/>
  <c r="BQ30" i="3"/>
  <c r="BQ36" i="3"/>
  <c r="BQ42" i="3"/>
  <c r="BR7" i="3"/>
  <c r="BR13" i="3"/>
  <c r="BT5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E33" i="3"/>
  <c r="BH14" i="3"/>
  <c r="BL38" i="3"/>
  <c r="BK17" i="3"/>
  <c r="BK37" i="3"/>
  <c r="BJ18" i="3"/>
  <c r="BT32" i="3"/>
  <c r="BP31" i="3"/>
  <c r="BI5" i="3"/>
  <c r="BG10" i="3"/>
  <c r="BE15" i="3"/>
  <c r="BM19" i="3"/>
  <c r="BK24" i="3"/>
  <c r="BK46" i="3"/>
  <c r="BJ23" i="3"/>
  <c r="BL42" i="3"/>
  <c r="BG23" i="3"/>
  <c r="BN6" i="3"/>
  <c r="BF22" i="3"/>
  <c r="BH41" i="3"/>
  <c r="BF8" i="3"/>
  <c r="BJ22" i="3"/>
  <c r="BT31" i="3"/>
  <c r="BP34" i="3"/>
  <c r="BK38" i="3"/>
  <c r="BJ15" i="3"/>
  <c r="BH32" i="3"/>
  <c r="BG9" i="3"/>
  <c r="BG25" i="3"/>
  <c r="BM40" i="3"/>
  <c r="BN16" i="3"/>
  <c r="Y85" i="2"/>
  <c r="Z67" i="2"/>
  <c r="Y36" i="2"/>
  <c r="Z36" i="2"/>
  <c r="Z22" i="2"/>
  <c r="Y12" i="2"/>
  <c r="BC38" i="3"/>
  <c r="BA20" i="3"/>
  <c r="BC16" i="3"/>
  <c r="BD37" i="3"/>
  <c r="BC15" i="3"/>
  <c r="Y20" i="2"/>
  <c r="Y58" i="2"/>
  <c r="Z49" i="2"/>
  <c r="Z77" i="2"/>
  <c r="Z95" i="2"/>
  <c r="Z29" i="2"/>
  <c r="BA6" i="3"/>
  <c r="BC39" i="3"/>
  <c r="BD35" i="3"/>
  <c r="Z73" i="2"/>
  <c r="Y109" i="2"/>
  <c r="Z85" i="2"/>
  <c r="AA12" i="2"/>
  <c r="Y57" i="2"/>
  <c r="Y34" i="2"/>
  <c r="Y74" i="2"/>
  <c r="BA7" i="3"/>
  <c r="BC23" i="3"/>
  <c r="Z58" i="2"/>
  <c r="BA11" i="3"/>
  <c r="BA34" i="3"/>
  <c r="BD24" i="3"/>
  <c r="Z33" i="2"/>
  <c r="BD15" i="3"/>
  <c r="AA75" i="2"/>
  <c r="Y54" i="2"/>
  <c r="Z69" i="2"/>
  <c r="Y87" i="2"/>
  <c r="FF14" i="4" a="1"/>
  <c r="AA48" i="2"/>
  <c r="Z11" i="2"/>
  <c r="Y91" i="2"/>
  <c r="Z80" i="2"/>
  <c r="Z86" i="2"/>
  <c r="BD10" i="3"/>
  <c r="BB5" i="3"/>
  <c r="AA56" i="2"/>
  <c r="Y55" i="2"/>
  <c r="Z45" i="2"/>
  <c r="Y30" i="2"/>
  <c r="BC26" i="3"/>
  <c r="BU6" i="3"/>
  <c r="BU12" i="3"/>
  <c r="BU18" i="3"/>
  <c r="BU24" i="3"/>
  <c r="BU30" i="3"/>
  <c r="BU36" i="3"/>
  <c r="BU42" i="3"/>
  <c r="BV7" i="3"/>
  <c r="BV13" i="3"/>
  <c r="BT7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4" i="3"/>
  <c r="BN15" i="3"/>
  <c r="BH40" i="3"/>
  <c r="BM18" i="3"/>
  <c r="BG39" i="3"/>
  <c r="BJ26" i="3"/>
  <c r="BT36" i="3"/>
  <c r="BP39" i="3"/>
  <c r="BM5" i="3"/>
  <c r="BK10" i="3"/>
  <c r="BI15" i="3"/>
  <c r="BG20" i="3"/>
  <c r="BE25" i="3"/>
  <c r="BF5" i="3"/>
  <c r="BL24" i="3"/>
  <c r="BH46" i="3"/>
  <c r="BM24" i="3"/>
  <c r="BN14" i="3"/>
  <c r="BJ29" i="3"/>
  <c r="BL23" i="3"/>
  <c r="BN42" i="3"/>
  <c r="BJ14" i="3"/>
  <c r="BN28" i="3"/>
  <c r="BT37" i="3"/>
  <c r="BP40" i="3"/>
  <c r="BG40" i="3"/>
  <c r="BF17" i="3"/>
  <c r="CL36" i="1" s="1"/>
  <c r="BN33" i="3"/>
  <c r="BM10" i="3"/>
  <c r="BI26" i="3"/>
  <c r="BI42" i="3"/>
  <c r="BH23" i="3"/>
  <c r="Y73" i="2"/>
  <c r="Y76" i="2"/>
  <c r="Y75" i="2"/>
  <c r="Z104" i="2"/>
  <c r="Z30" i="2"/>
  <c r="AA94" i="2"/>
  <c r="BB24" i="3"/>
  <c r="BD26" i="3"/>
  <c r="BC32" i="3"/>
  <c r="BB41" i="3"/>
  <c r="BD13" i="3"/>
  <c r="BQ7" i="3"/>
  <c r="BQ13" i="3"/>
  <c r="BQ19" i="3"/>
  <c r="BQ25" i="3"/>
  <c r="BQ31" i="3"/>
  <c r="BQ37" i="3"/>
  <c r="BQ45" i="3"/>
  <c r="BR8" i="3"/>
  <c r="BS35" i="3"/>
  <c r="BT15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G36" i="3"/>
  <c r="BJ17" i="3"/>
  <c r="BJ41" i="3"/>
  <c r="BI20" i="3"/>
  <c r="BK41" i="3"/>
  <c r="BH31" i="3"/>
  <c r="BT40" i="3"/>
  <c r="BP11" i="3"/>
  <c r="BG6" i="3"/>
  <c r="BE11" i="3"/>
  <c r="BM15" i="3"/>
  <c r="BK20" i="3"/>
  <c r="BI25" i="3"/>
  <c r="BL6" i="3"/>
  <c r="BN25" i="3"/>
  <c r="BE6" i="3"/>
  <c r="BM26" i="3"/>
  <c r="BH21" i="3"/>
  <c r="BF6" i="3"/>
  <c r="BH25" i="3"/>
  <c r="BL45" i="3"/>
  <c r="BN20" i="3"/>
  <c r="BH35" i="3"/>
  <c r="BT45" i="3"/>
  <c r="BM25" i="3"/>
  <c r="BI41" i="3"/>
  <c r="BL18" i="3"/>
  <c r="BF35" i="3"/>
  <c r="CL61" i="1" s="1"/>
  <c r="BG11" i="3"/>
  <c r="BE28" i="3"/>
  <c r="BJ8" i="3"/>
  <c r="BF28" i="3"/>
  <c r="CL47" i="1" s="1"/>
  <c r="AA54" i="2"/>
  <c r="AA18" i="2"/>
  <c r="V6" i="2"/>
  <c r="Y21" i="2"/>
  <c r="Z54" i="2"/>
  <c r="Z62" i="2"/>
  <c r="BC20" i="3"/>
  <c r="BA26" i="3"/>
  <c r="BC8" i="3"/>
  <c r="BC10" i="3"/>
  <c r="BD36" i="3"/>
  <c r="AA106" i="2"/>
  <c r="AA10" i="2"/>
  <c r="Y65" i="2"/>
  <c r="Z81" i="2"/>
  <c r="Y106" i="2"/>
  <c r="Y25" i="2"/>
  <c r="BA39" i="3"/>
  <c r="BD30" i="3"/>
  <c r="BB18" i="3"/>
  <c r="AA73" i="2"/>
  <c r="AA74" i="2"/>
  <c r="Z106" i="2"/>
  <c r="Z74" i="2"/>
  <c r="AA70" i="2"/>
  <c r="Y82" i="2"/>
  <c r="BD41" i="3"/>
  <c r="BB26" i="3"/>
  <c r="Y56" i="2"/>
  <c r="Z32" i="2"/>
  <c r="BB42" i="3"/>
  <c r="BC30" i="3"/>
  <c r="BB10" i="3"/>
  <c r="Z34" i="2"/>
  <c r="BB39" i="3"/>
  <c r="Y89" i="2"/>
  <c r="Z51" i="2"/>
  <c r="Y110" i="2"/>
  <c r="BB11" i="3"/>
  <c r="FA6" i="4" a="1"/>
  <c r="FE12" i="4" a="1"/>
  <c r="FC5" i="4" a="1"/>
  <c r="EY5" i="4" a="1"/>
  <c r="FD11" i="4" a="1"/>
  <c r="FB5" i="4" a="1"/>
  <c r="EX8" i="4" a="1"/>
  <c r="EZ6" i="4" a="1"/>
  <c r="BL11" i="3"/>
  <c r="BE7" i="3"/>
  <c r="BM11" i="3"/>
  <c r="BK16" i="3"/>
  <c r="BU7" i="3"/>
  <c r="BU13" i="3"/>
  <c r="BU19" i="3"/>
  <c r="BU25" i="3"/>
  <c r="BU31" i="3"/>
  <c r="BU37" i="3"/>
  <c r="BU45" i="3"/>
  <c r="BV8" i="3"/>
  <c r="BS36" i="3"/>
  <c r="BT23" i="3"/>
  <c r="BP30" i="3"/>
  <c r="BM41" i="3"/>
  <c r="BF21" i="3"/>
  <c r="CL37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22" i="3"/>
  <c r="BM37" i="3"/>
  <c r="BN19" i="3"/>
  <c r="BN45" i="3"/>
  <c r="BM22" i="3"/>
  <c r="BH5" i="3"/>
  <c r="BL37" i="3"/>
  <c r="BT46" i="3"/>
  <c r="BP19" i="3"/>
  <c r="BK6" i="3"/>
  <c r="BI11" i="3"/>
  <c r="BG16" i="3"/>
  <c r="BE21" i="3"/>
  <c r="BE27" i="3"/>
  <c r="BH8" i="3"/>
  <c r="BN27" i="3"/>
  <c r="BE8" i="3"/>
  <c r="BI28" i="3"/>
  <c r="BL27" i="3"/>
  <c r="BL7" i="3"/>
  <c r="BN26" i="3"/>
  <c r="BJ46" i="3"/>
  <c r="BH27" i="3"/>
  <c r="BL41" i="3"/>
  <c r="BT8" i="3"/>
  <c r="BI27" i="3"/>
  <c r="BG42" i="3"/>
  <c r="BJ19" i="3"/>
  <c r="BH36" i="3"/>
  <c r="BM12" i="3"/>
  <c r="BM28" i="3"/>
  <c r="BH13" i="3"/>
  <c r="BJ34" i="3"/>
  <c r="Y60" i="2"/>
  <c r="AA110" i="2"/>
  <c r="Z89" i="2"/>
  <c r="Y26" i="2"/>
  <c r="AA90" i="2"/>
  <c r="Z9" i="2"/>
  <c r="BB20" i="3"/>
  <c r="BB9" i="3"/>
  <c r="BB22" i="3"/>
  <c r="BA19" i="3"/>
  <c r="Y6" i="2"/>
  <c r="Z110" i="2"/>
  <c r="Y49" i="2"/>
  <c r="Z53" i="2"/>
  <c r="AA6" i="2"/>
  <c r="Y50" i="2"/>
  <c r="AA41" i="2"/>
  <c r="BD11" i="3"/>
  <c r="BA37" i="3"/>
  <c r="BD19" i="3"/>
  <c r="AA16" i="2"/>
  <c r="AA5" i="2"/>
  <c r="Z10" i="2"/>
  <c r="AA71" i="2"/>
  <c r="Z98" i="2"/>
  <c r="Z99" i="2"/>
  <c r="BA12" i="3"/>
  <c r="BC21" i="3"/>
  <c r="AA27" i="2"/>
  <c r="AA23" i="2"/>
  <c r="BA13" i="3"/>
  <c r="Y59" i="2"/>
  <c r="AA67" i="2"/>
  <c r="AA83" i="2"/>
  <c r="BA46" i="3"/>
  <c r="Z60" i="2"/>
  <c r="AA107" i="2"/>
  <c r="BD20" i="3"/>
  <c r="BB34" i="3"/>
  <c r="FC9" i="4" a="1"/>
  <c r="EZ14" i="4" a="1"/>
  <c r="FD12" i="4" a="1"/>
  <c r="FB9" i="4" a="1"/>
  <c r="EZ15" i="4" a="1"/>
  <c r="FD13" i="4" a="1"/>
  <c r="FC11" i="4" a="1"/>
  <c r="FD9" i="4" a="1"/>
  <c r="BQ8" i="3"/>
  <c r="BQ14" i="3"/>
  <c r="BQ20" i="3"/>
  <c r="BQ32" i="3"/>
  <c r="BR9" i="3"/>
  <c r="BS37" i="3"/>
  <c r="BT29" i="3"/>
  <c r="BP38" i="3"/>
  <c r="BK42" i="3"/>
  <c r="BQ26" i="3"/>
  <c r="BQ38" i="3"/>
  <c r="BQ46" i="3"/>
  <c r="BL22" i="3"/>
  <c r="BN41" i="3"/>
  <c r="BI24" i="3"/>
  <c r="BF10" i="3"/>
  <c r="CL28" i="1" s="1"/>
  <c r="BV14" i="3"/>
  <c r="BV20" i="3"/>
  <c r="BV26" i="3"/>
  <c r="BV32" i="3"/>
  <c r="BV38" i="3"/>
  <c r="BV46" i="3"/>
  <c r="BS10" i="3"/>
  <c r="BS16" i="3"/>
  <c r="BS22" i="3"/>
  <c r="BS28" i="3"/>
  <c r="BS34" i="3"/>
  <c r="BT11" i="3"/>
  <c r="BP32" i="3"/>
  <c r="BI39" i="3"/>
  <c r="BJ21" i="3"/>
  <c r="BL46" i="3"/>
  <c r="BE24" i="3"/>
  <c r="BI46" i="3"/>
  <c r="BP9" i="3"/>
  <c r="BP27" i="3"/>
  <c r="BU8" i="3"/>
  <c r="BU14" i="3"/>
  <c r="BU20" i="3"/>
  <c r="BU26" i="3"/>
  <c r="BU32" i="3"/>
  <c r="BU38" i="3"/>
  <c r="BU46" i="3"/>
  <c r="BV9" i="3"/>
  <c r="BO38" i="3"/>
  <c r="BT35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1" i="3"/>
  <c r="BF23" i="3"/>
  <c r="CL50" i="1" s="1"/>
  <c r="BG5" i="3"/>
  <c r="BG66" i="3" s="1"/>
  <c r="BK25" i="3"/>
  <c r="BF18" i="3"/>
  <c r="CL40" i="1" s="1"/>
  <c r="BH59" i="3"/>
  <c r="BP17" i="3"/>
  <c r="BP35" i="3"/>
  <c r="BI7" i="3"/>
  <c r="BG12" i="3"/>
  <c r="BE17" i="3"/>
  <c r="BM21" i="3"/>
  <c r="BK30" i="3"/>
  <c r="BN11" i="3"/>
  <c r="BJ31" i="3"/>
  <c r="BK11" i="3"/>
  <c r="BE32" i="3"/>
  <c r="BF42" i="3"/>
  <c r="CL66" i="1" s="1"/>
  <c r="BN10" i="3"/>
  <c r="BF30" i="3"/>
  <c r="BJ6" i="3"/>
  <c r="BF40" i="3"/>
  <c r="BJ30" i="3"/>
  <c r="BT30" i="3"/>
  <c r="BQ9" i="3"/>
  <c r="BQ15" i="3"/>
  <c r="BQ21" i="3"/>
  <c r="BQ27" i="3"/>
  <c r="BQ33" i="3"/>
  <c r="BQ39" i="3"/>
  <c r="BQ56" i="3"/>
  <c r="BR10" i="3"/>
  <c r="BO39" i="3"/>
  <c r="BT41" i="3"/>
  <c r="BK26" i="3"/>
  <c r="BN5" i="3"/>
  <c r="BJ25" i="3"/>
  <c r="BG7" i="3"/>
  <c r="BG27" i="3"/>
  <c r="BJ24" i="3"/>
  <c r="BV15" i="3"/>
  <c r="BV21" i="3"/>
  <c r="BV27" i="3"/>
  <c r="BV33" i="3"/>
  <c r="BV39" i="3"/>
  <c r="BS5" i="3"/>
  <c r="BS11" i="3"/>
  <c r="BS17" i="3"/>
  <c r="BS23" i="3"/>
  <c r="BS29" i="3"/>
  <c r="BO36" i="3"/>
  <c r="BT21" i="3"/>
  <c r="BP42" i="3"/>
  <c r="BE45" i="3"/>
  <c r="BF27" i="3"/>
  <c r="BM6" i="3"/>
  <c r="BK27" i="3"/>
  <c r="BF26" i="3"/>
  <c r="BP92" i="3"/>
  <c r="BP25" i="3"/>
  <c r="BP45" i="3"/>
  <c r="BM7" i="3"/>
  <c r="BK12" i="3"/>
  <c r="BI17" i="3"/>
  <c r="BG22" i="3"/>
  <c r="BE35" i="3"/>
  <c r="BJ13" i="3"/>
  <c r="BL32" i="3"/>
  <c r="BG13" i="3"/>
  <c r="BK33" i="3"/>
  <c r="BN8" i="3"/>
  <c r="BJ12" i="3"/>
  <c r="BL31" i="3"/>
  <c r="BN12" i="3"/>
  <c r="BM46" i="3"/>
  <c r="BG45" i="3"/>
  <c r="BT42" i="3"/>
  <c r="BE31" i="3"/>
  <c r="BF7" i="3"/>
  <c r="BN23" i="3"/>
  <c r="BL40" i="3"/>
  <c r="BM16" i="3"/>
  <c r="BG33" i="3"/>
  <c r="BH29" i="3"/>
  <c r="Y13" i="2"/>
  <c r="AA19" i="2"/>
  <c r="AA77" i="2"/>
  <c r="Y10" i="2"/>
  <c r="Y72" i="2"/>
  <c r="Y32" i="2"/>
  <c r="BD33" i="3"/>
  <c r="BB17" i="3"/>
  <c r="BB25" i="3"/>
  <c r="BD23" i="3"/>
  <c r="Z25" i="2"/>
  <c r="Y44" i="2"/>
  <c r="AA8" i="2"/>
  <c r="Z44" i="2"/>
  <c r="Z79" i="2"/>
  <c r="Z19" i="2"/>
  <c r="Y78" i="2"/>
  <c r="BD6" i="3"/>
  <c r="BA42" i="3"/>
  <c r="BA35" i="3"/>
  <c r="Z57" i="2"/>
  <c r="BU9" i="3"/>
  <c r="BU15" i="3"/>
  <c r="BU21" i="3"/>
  <c r="BU27" i="3"/>
  <c r="BU33" i="3"/>
  <c r="BU39" i="3"/>
  <c r="BQ62" i="3"/>
  <c r="BV10" i="3"/>
  <c r="BS40" i="3"/>
  <c r="BU66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O18" i="3"/>
  <c r="BO24" i="3"/>
  <c r="BO30" i="3"/>
  <c r="BO37" i="3"/>
  <c r="BT27" i="3"/>
  <c r="BP57" i="3"/>
  <c r="BH6" i="3"/>
  <c r="BF29" i="3"/>
  <c r="CL54" i="1" s="1"/>
  <c r="BI8" i="3"/>
  <c r="BG29" i="3"/>
  <c r="BN30" i="3"/>
  <c r="BT12" i="3"/>
  <c r="BP33" i="3"/>
  <c r="BP13" i="3"/>
  <c r="BG8" i="3"/>
  <c r="BE13" i="3"/>
  <c r="BM17" i="3"/>
  <c r="BK22" i="3"/>
  <c r="BK36" i="3"/>
  <c r="BF15" i="3"/>
  <c r="CL39" i="1" s="1"/>
  <c r="BH34" i="3"/>
  <c r="BM14" i="3"/>
  <c r="BG35" i="3"/>
  <c r="BH15" i="3"/>
  <c r="BF14" i="3"/>
  <c r="CL38" i="1" s="1"/>
  <c r="BH33" i="3"/>
  <c r="BH19" i="3"/>
  <c r="BL17" i="3"/>
  <c r="BP6" i="3"/>
  <c r="BP8" i="3"/>
  <c r="BG32" i="3"/>
  <c r="BL8" i="3"/>
  <c r="BF25" i="3"/>
  <c r="CL51" i="1" s="1"/>
  <c r="BH42" i="3"/>
  <c r="BE18" i="3"/>
  <c r="BI34" i="3"/>
  <c r="BL35" i="3"/>
  <c r="Y83" i="2"/>
  <c r="Y88" i="2"/>
  <c r="Y28" i="2"/>
  <c r="C4" i="2"/>
  <c r="AA29" i="2"/>
  <c r="Z13" i="2"/>
  <c r="BA45" i="3"/>
  <c r="BD18" i="3"/>
  <c r="BB30" i="3"/>
  <c r="BC12" i="3"/>
  <c r="AA87" i="2"/>
  <c r="AA66" i="2"/>
  <c r="AA30" i="2"/>
  <c r="Y62" i="2"/>
  <c r="Z61" i="2"/>
  <c r="AA58" i="2"/>
  <c r="BA15" i="3"/>
  <c r="BA32" i="3"/>
  <c r="BA41" i="3"/>
  <c r="BC45" i="3"/>
  <c r="Z23" i="2"/>
  <c r="Z35" i="2"/>
  <c r="Z90" i="2"/>
  <c r="Y45" i="2"/>
  <c r="Y81" i="2"/>
  <c r="AA21" i="2"/>
  <c r="BB33" i="3"/>
  <c r="BB8" i="3"/>
  <c r="AA97" i="2"/>
  <c r="Y66" i="2"/>
  <c r="BC22" i="3"/>
  <c r="Z71" i="2"/>
  <c r="Z26" i="2"/>
  <c r="Z56" i="2"/>
  <c r="BD27" i="3"/>
  <c r="BC35" i="3"/>
  <c r="Y41" i="2"/>
  <c r="BQ10" i="3"/>
  <c r="BQ16" i="3"/>
  <c r="BQ22" i="3"/>
  <c r="BQ28" i="3"/>
  <c r="BQ34" i="3"/>
  <c r="BQ40" i="3"/>
  <c r="BR5" i="3"/>
  <c r="BR11" i="3"/>
  <c r="BS41" i="3"/>
  <c r="BT6" i="3"/>
  <c r="BM29" i="3"/>
  <c r="BF9" i="3"/>
  <c r="BH28" i="3"/>
  <c r="BI10" i="3"/>
  <c r="BG31" i="3"/>
  <c r="BN38" i="3"/>
  <c r="BV16" i="3"/>
  <c r="BV22" i="3"/>
  <c r="BV28" i="3"/>
  <c r="BV34" i="3"/>
  <c r="BV40" i="3"/>
  <c r="BS6" i="3"/>
  <c r="BS12" i="3"/>
  <c r="BS18" i="3"/>
  <c r="BS24" i="3"/>
  <c r="BS30" i="3"/>
  <c r="BS38" i="3"/>
  <c r="BT33" i="3"/>
  <c r="BG26" i="3"/>
  <c r="BN7" i="3"/>
  <c r="BF31" i="3"/>
  <c r="BK9" i="3"/>
  <c r="BM30" i="3"/>
  <c r="BH37" i="3"/>
  <c r="BT16" i="3"/>
  <c r="BP41" i="3"/>
  <c r="BP29" i="3"/>
  <c r="BK8" i="3"/>
  <c r="BI13" i="3"/>
  <c r="BG18" i="3"/>
  <c r="BE23" i="3"/>
  <c r="BG38" i="3"/>
  <c r="BL16" i="3"/>
  <c r="BN35" i="3"/>
  <c r="BI16" i="3"/>
  <c r="BM36" i="3"/>
  <c r="BL21" i="3"/>
  <c r="BL15" i="3"/>
  <c r="BN34" i="3"/>
  <c r="BL25" i="3"/>
  <c r="BF24" i="3"/>
  <c r="BT9" i="3"/>
  <c r="BP14" i="3"/>
  <c r="BI33" i="3"/>
  <c r="BN9" i="3"/>
  <c r="BH26" i="3"/>
  <c r="BF45" i="3"/>
  <c r="CL78" i="1" s="1"/>
  <c r="BK19" i="3"/>
  <c r="BK35" i="3"/>
  <c r="BJ40" i="3"/>
  <c r="AB39" i="3"/>
  <c r="AA61" i="2"/>
  <c r="AA17" i="2"/>
  <c r="Y46" i="2"/>
  <c r="Y23" i="2"/>
  <c r="AA105" i="2"/>
  <c r="Z64" i="2"/>
  <c r="BC18" i="3"/>
  <c r="BD22" i="3"/>
  <c r="BC27" i="3"/>
  <c r="BB15" i="3"/>
  <c r="Z107" i="2"/>
  <c r="AA9" i="2"/>
  <c r="AA79" i="2"/>
  <c r="AA86" i="2"/>
  <c r="AA63" i="2"/>
  <c r="Y71" i="2"/>
  <c r="BC28" i="3"/>
  <c r="BC7" i="3"/>
  <c r="BC29" i="3"/>
  <c r="BB46" i="3"/>
  <c r="Y96" i="2"/>
  <c r="Y8" i="2"/>
  <c r="AA98" i="2"/>
  <c r="AA46" i="2"/>
  <c r="Y90" i="2"/>
  <c r="Z105" i="2"/>
  <c r="BA8" i="3"/>
  <c r="BA33" i="3"/>
  <c r="Z65" i="2"/>
  <c r="BD16" i="3"/>
  <c r="BD38" i="3"/>
  <c r="Z27" i="2"/>
  <c r="Y27" i="2"/>
  <c r="Y79" i="2"/>
  <c r="BC40" i="3"/>
  <c r="Y105" i="2"/>
  <c r="Y63" i="2"/>
  <c r="Y53" i="2"/>
  <c r="FC14" i="4" a="1"/>
  <c r="FA7" i="4" a="1"/>
  <c r="EX13" i="4" a="1"/>
  <c r="FC16" i="4" a="1"/>
  <c r="EX9" i="4" a="1"/>
  <c r="EY15" i="4" a="1"/>
  <c r="FC15" i="4" a="1"/>
  <c r="FF5" i="4" a="1"/>
  <c r="BU10" i="3"/>
  <c r="BU16" i="3"/>
  <c r="BE12" i="3"/>
  <c r="BO31" i="3"/>
  <c r="BE9" i="3"/>
  <c r="BI18" i="3"/>
  <c r="BN36" i="3"/>
  <c r="BH22" i="3"/>
  <c r="BN22" i="3"/>
  <c r="Z48" i="2"/>
  <c r="AA47" i="2"/>
  <c r="BB37" i="3"/>
  <c r="AA50" i="2"/>
  <c r="BA36" i="3"/>
  <c r="AA104" i="2"/>
  <c r="Y84" i="2"/>
  <c r="BC9" i="3"/>
  <c r="BA21" i="3"/>
  <c r="Z52" i="2"/>
  <c r="Y40" i="2"/>
  <c r="BD34" i="3"/>
  <c r="FA8" i="4" a="1"/>
  <c r="FC8" i="4" a="1"/>
  <c r="EZ16" i="4" a="1"/>
  <c r="FB11" i="4" a="1"/>
  <c r="FB15" i="4" a="1"/>
  <c r="BC36" i="3"/>
  <c r="BA30" i="3"/>
  <c r="BB29" i="3"/>
  <c r="EX5" i="4" a="1"/>
  <c r="FE6" i="4" a="1"/>
  <c r="EY8" i="4" a="1"/>
  <c r="FF7" i="4" a="1"/>
  <c r="BD32" i="3"/>
  <c r="Y98" i="2"/>
  <c r="C5" i="2"/>
  <c r="AA25" i="2"/>
  <c r="BD40" i="3"/>
  <c r="BB40" i="3"/>
  <c r="EZ12" i="4" a="1"/>
  <c r="FA15" i="4" a="1"/>
  <c r="FE9" i="4" a="1"/>
  <c r="EY9" i="4" a="1"/>
  <c r="FA14" i="4" a="1"/>
  <c r="EZ8" i="4" a="1"/>
  <c r="EZ7" i="4" a="1"/>
  <c r="FC13" i="4" a="1"/>
  <c r="FE16" i="4" a="1"/>
  <c r="BB36" i="3"/>
  <c r="BA14" i="3"/>
  <c r="Y86" i="2"/>
  <c r="BJ11" i="3"/>
  <c r="BC11" i="3"/>
  <c r="AA91" i="2"/>
  <c r="FF8" i="4" a="1"/>
  <c r="BE10" i="3"/>
  <c r="Z96" i="2"/>
  <c r="AA59" i="2"/>
  <c r="FB14" i="4" a="1"/>
  <c r="FB6" i="4" a="1"/>
  <c r="EZ9" i="4" a="1"/>
  <c r="BU22" i="3"/>
  <c r="BM32" i="3"/>
  <c r="BS39" i="3"/>
  <c r="BM13" i="3"/>
  <c r="BE30" i="3"/>
  <c r="BH11" i="3"/>
  <c r="BJ27" i="3"/>
  <c r="BH45" i="3"/>
  <c r="AA53" i="2"/>
  <c r="BD42" i="3"/>
  <c r="AA62" i="2"/>
  <c r="AA11" i="2"/>
  <c r="BB14" i="3"/>
  <c r="Y47" i="2"/>
  <c r="AA32" i="2"/>
  <c r="BA10" i="3"/>
  <c r="Z97" i="2"/>
  <c r="EY14" i="4" a="1"/>
  <c r="Z47" i="2"/>
  <c r="BA40" i="3"/>
  <c r="AA60" i="2"/>
  <c r="Y93" i="2"/>
  <c r="BC6" i="3"/>
  <c r="BC24" i="3"/>
  <c r="FA11" i="4" a="1"/>
  <c r="Z68" i="2"/>
  <c r="Z41" i="2"/>
  <c r="FF13" i="4" a="1"/>
  <c r="EX7" i="4" a="1"/>
  <c r="BF32" i="3"/>
  <c r="Z75" i="2"/>
  <c r="BU28" i="3"/>
  <c r="BF46" i="3"/>
  <c r="CL79" i="1" s="1"/>
  <c r="BT39" i="3"/>
  <c r="BK18" i="3"/>
  <c r="BM38" i="3"/>
  <c r="BT13" i="3"/>
  <c r="BJ37" i="3"/>
  <c r="BN40" i="3"/>
  <c r="AA72" i="2"/>
  <c r="BU34" i="3"/>
  <c r="BR17" i="3"/>
  <c r="BM27" i="3"/>
  <c r="BI21" i="3"/>
  <c r="BF34" i="3"/>
  <c r="CL60" i="1" s="1"/>
  <c r="BT18" i="3"/>
  <c r="BF39" i="3"/>
  <c r="BK45" i="3"/>
  <c r="AA14" i="2"/>
  <c r="BC37" i="3"/>
  <c r="Z20" i="2"/>
  <c r="Z70" i="2"/>
  <c r="BC42" i="3"/>
  <c r="Y11" i="2"/>
  <c r="AA52" i="2"/>
  <c r="AA31" i="2"/>
  <c r="Y70" i="2"/>
  <c r="Y107" i="2"/>
  <c r="Z93" i="2"/>
  <c r="AA57" i="2"/>
  <c r="FF16" i="4" a="1"/>
  <c r="FF11" i="4" a="1"/>
  <c r="FE14" i="4" a="1"/>
  <c r="FE7" i="4" a="1"/>
  <c r="FE13" i="4" a="1"/>
  <c r="Z24" i="2"/>
  <c r="Z8" i="2"/>
  <c r="Z43" i="2"/>
  <c r="EX11" i="4" a="1"/>
  <c r="FB12" i="4" a="1"/>
  <c r="FA13" i="4" a="1"/>
  <c r="FB16" i="4" a="1"/>
  <c r="BH9" i="3"/>
  <c r="Y68" i="2"/>
  <c r="Z94" i="2"/>
  <c r="AA82" i="2"/>
  <c r="Z83" i="2"/>
  <c r="AA43" i="2"/>
  <c r="Z63" i="2"/>
  <c r="Y97" i="2"/>
  <c r="EY7" i="4" a="1"/>
  <c r="FF6" i="4" a="1"/>
  <c r="Z7" i="2"/>
  <c r="AA108" i="2"/>
  <c r="BA38" i="3"/>
  <c r="FC7" i="4" a="1"/>
  <c r="EZ5" i="4" a="1"/>
  <c r="BN37" i="3"/>
  <c r="Y24" i="2"/>
  <c r="FA16" i="4" a="1"/>
  <c r="BO25" i="3"/>
  <c r="AA24" i="2"/>
  <c r="Z18" i="2"/>
  <c r="BB35" i="3"/>
  <c r="FB8" i="4" a="1"/>
  <c r="BU40" i="3"/>
  <c r="BR23" i="3"/>
  <c r="BJ9" i="3"/>
  <c r="BI23" i="3"/>
  <c r="BL29" i="3"/>
  <c r="BP20" i="3"/>
  <c r="BK5" i="3"/>
  <c r="AA68" i="2"/>
  <c r="AY29" i="3"/>
  <c r="Z40" i="2"/>
  <c r="Z91" i="2"/>
  <c r="BA27" i="3"/>
  <c r="Z46" i="2"/>
  <c r="AA34" i="2"/>
  <c r="Y7" i="2"/>
  <c r="AA15" i="2"/>
  <c r="FA12" i="4" a="1"/>
  <c r="BE29" i="3"/>
  <c r="BI14" i="3"/>
  <c r="BA31" i="3"/>
  <c r="Y42" i="2"/>
  <c r="Y15" i="2"/>
  <c r="BD45" i="3"/>
  <c r="BA25" i="3"/>
  <c r="FD8" i="4" a="1"/>
  <c r="EX14" i="4" a="1"/>
  <c r="EY6" i="4" a="1"/>
  <c r="BC5" i="3"/>
  <c r="BD14" i="3"/>
  <c r="AA95" i="2"/>
  <c r="BC46" i="3"/>
  <c r="Z109" i="2"/>
  <c r="AA96" i="2"/>
  <c r="BP21" i="3"/>
  <c r="BC19" i="3"/>
  <c r="BD7" i="3"/>
  <c r="BB6" i="3"/>
  <c r="BB28" i="3"/>
  <c r="FE5" i="4" a="1"/>
  <c r="BP7" i="3"/>
  <c r="BL20" i="3"/>
  <c r="AA93" i="2"/>
  <c r="BC14" i="3"/>
  <c r="Y77" i="2"/>
  <c r="BV5" i="3"/>
  <c r="BR29" i="3"/>
  <c r="BF33" i="3"/>
  <c r="BK28" i="3"/>
  <c r="Z78" i="2"/>
  <c r="BV11" i="3"/>
  <c r="BR35" i="3"/>
  <c r="BI12" i="3"/>
  <c r="BM39" i="3"/>
  <c r="BH17" i="3"/>
  <c r="BG30" i="3"/>
  <c r="BK15" i="3"/>
  <c r="AA40" i="2"/>
  <c r="Z108" i="2"/>
  <c r="BB32" i="3"/>
  <c r="Y19" i="2"/>
  <c r="Y61" i="2"/>
  <c r="AA88" i="2"/>
  <c r="AA64" i="2"/>
  <c r="BD28" i="3"/>
  <c r="Z84" i="2"/>
  <c r="FB7" i="4" a="1"/>
  <c r="EY16" i="4" a="1"/>
  <c r="BA9" i="3"/>
  <c r="BG37" i="3"/>
  <c r="Z55" i="2"/>
  <c r="AA22" i="2"/>
  <c r="Y69" i="2"/>
  <c r="Y29" i="2"/>
  <c r="FD15" i="4" a="1"/>
  <c r="BH30" i="3"/>
  <c r="BB12" i="3"/>
  <c r="Y52" i="2"/>
  <c r="BS42" i="3"/>
  <c r="BR41" i="3"/>
  <c r="BI32" i="3"/>
  <c r="BH10" i="3"/>
  <c r="BJ28" i="3"/>
  <c r="BK34" i="3"/>
  <c r="BG21" i="3"/>
  <c r="Y14" i="2"/>
  <c r="AA44" i="2"/>
  <c r="BC25" i="3"/>
  <c r="Z14" i="2"/>
  <c r="Z15" i="2"/>
  <c r="Y16" i="2"/>
  <c r="AA84" i="2"/>
  <c r="BC31" i="3"/>
  <c r="Z87" i="2"/>
  <c r="BD31" i="3"/>
  <c r="EZ11" i="4" a="1"/>
  <c r="EX15" i="4" a="1"/>
  <c r="AA36" i="2"/>
  <c r="AA69" i="2"/>
  <c r="FD6" i="4" a="1"/>
  <c r="BO19" i="3"/>
  <c r="EX12" i="4" a="1"/>
  <c r="BL33" i="3"/>
  <c r="BJ16" i="3"/>
  <c r="BA22" i="3"/>
  <c r="FC12" i="4" a="1"/>
  <c r="BT14" i="3"/>
  <c r="BO7" i="3"/>
  <c r="BN46" i="3"/>
  <c r="BH18" i="3"/>
  <c r="BJ36" i="3"/>
  <c r="BM45" i="3"/>
  <c r="BI30" i="3"/>
  <c r="AA55" i="2"/>
  <c r="BM31" i="3"/>
  <c r="BO13" i="3"/>
  <c r="BT20" i="3"/>
  <c r="BN29" i="3"/>
  <c r="BH62" i="3"/>
  <c r="BJ5" i="3"/>
  <c r="BK31" i="3"/>
  <c r="Y94" i="2"/>
  <c r="AA78" i="2"/>
  <c r="BD39" i="3"/>
  <c r="Z5" i="2"/>
  <c r="BC13" i="3"/>
  <c r="AA20" i="2"/>
  <c r="AA13" i="2"/>
  <c r="AV10" i="3"/>
  <c r="BC33" i="3"/>
  <c r="Z28" i="2"/>
  <c r="BD5" i="3"/>
  <c r="Z17" i="2"/>
  <c r="FD14" i="4" a="1"/>
  <c r="FA5" i="4" a="1"/>
  <c r="FE8" i="4" a="1"/>
  <c r="FA9" i="4" a="1"/>
  <c r="EZ13" i="4" a="1"/>
  <c r="BL10" i="3"/>
  <c r="CL24" i="1" l="1"/>
  <c r="CL23" i="1"/>
  <c r="CL15" i="1" s="1"/>
  <c r="CL62" i="1"/>
  <c r="CL80" i="1"/>
  <c r="CL246" i="1"/>
  <c r="CL25" i="1"/>
  <c r="CL268" i="1"/>
  <c r="CL209" i="1"/>
  <c r="CL267" i="1"/>
  <c r="CL41" i="1"/>
  <c r="CL42" i="1" s="1"/>
  <c r="CK54" i="1"/>
  <c r="CK28" i="1"/>
  <c r="CK29" i="1"/>
  <c r="CK50" i="1"/>
  <c r="CK40" i="1"/>
  <c r="CJ23" i="1"/>
  <c r="CJ7" i="1" s="1"/>
  <c r="CK61" i="1"/>
  <c r="CK78" i="1"/>
  <c r="CK36" i="1"/>
  <c r="CK62" i="1"/>
  <c r="CK37" i="1"/>
  <c r="CK47" i="1"/>
  <c r="CK23" i="1"/>
  <c r="CK30" i="1"/>
  <c r="CK51" i="1"/>
  <c r="CK39" i="1"/>
  <c r="CK79" i="1"/>
  <c r="CK66" i="1"/>
  <c r="CK35" i="1"/>
  <c r="CK24" i="1"/>
  <c r="CK38" i="1"/>
  <c r="CK60" i="1"/>
  <c r="CK25" i="1"/>
  <c r="CL27" i="1" s="1"/>
  <c r="Z62" i="1"/>
  <c r="CH60" i="1"/>
  <c r="CH30" i="1"/>
  <c r="X141" i="1"/>
  <c r="X169" i="1" s="1"/>
  <c r="Z137" i="1"/>
  <c r="CH137" i="1" s="1"/>
  <c r="CI137" i="1" s="1"/>
  <c r="Z38" i="1"/>
  <c r="Z170" i="1"/>
  <c r="CH170" i="1" s="1"/>
  <c r="CH54" i="1"/>
  <c r="CJ60" i="1"/>
  <c r="CJ24" i="1"/>
  <c r="X82" i="1"/>
  <c r="Y133" i="1"/>
  <c r="X62" i="1"/>
  <c r="Y36" i="1"/>
  <c r="X147" i="1"/>
  <c r="X132" i="1"/>
  <c r="Y132" i="1"/>
  <c r="Y24" i="1"/>
  <c r="Z186" i="1"/>
  <c r="Z93" i="1"/>
  <c r="Y165" i="1"/>
  <c r="Y147" i="1"/>
  <c r="X168" i="1"/>
  <c r="Y134" i="1"/>
  <c r="Y187" i="1"/>
  <c r="CI61" i="1"/>
  <c r="Y175" i="1"/>
  <c r="Z174" i="1"/>
  <c r="CH174" i="1" s="1"/>
  <c r="X40" i="1"/>
  <c r="CH47" i="1"/>
  <c r="CH209" i="1" s="1"/>
  <c r="CJ38" i="1"/>
  <c r="CI62" i="1"/>
  <c r="CJ39" i="1"/>
  <c r="CH50" i="1"/>
  <c r="CG51" i="1"/>
  <c r="X161" i="1"/>
  <c r="Y142" i="1"/>
  <c r="X93" i="1"/>
  <c r="Z51" i="1"/>
  <c r="Z179" i="1"/>
  <c r="CH179" i="1" s="1"/>
  <c r="CI179" i="1" s="1"/>
  <c r="X186" i="1"/>
  <c r="Y61" i="1"/>
  <c r="Z178" i="1"/>
  <c r="CH178" i="1" s="1"/>
  <c r="CI178" i="1" s="1"/>
  <c r="Y166" i="1"/>
  <c r="X166" i="1"/>
  <c r="X47" i="1"/>
  <c r="X209" i="1" s="1"/>
  <c r="Z152" i="1"/>
  <c r="CH152" i="1" s="1"/>
  <c r="CI152" i="1" s="1"/>
  <c r="CH28" i="1"/>
  <c r="CG40" i="1"/>
  <c r="CJ36" i="1"/>
  <c r="Y47" i="1"/>
  <c r="Y209" i="1" s="1"/>
  <c r="Y155" i="1"/>
  <c r="Z134" i="1"/>
  <c r="CH134" i="1" s="1"/>
  <c r="CJ29" i="1"/>
  <c r="CG60" i="1"/>
  <c r="CG50" i="1"/>
  <c r="CI23" i="1"/>
  <c r="CL113" i="1" s="1"/>
  <c r="CL114" i="1" s="1"/>
  <c r="CG28" i="1"/>
  <c r="CG37" i="1"/>
  <c r="CH61" i="1"/>
  <c r="CH23" i="1"/>
  <c r="CH7" i="1" s="1"/>
  <c r="CH66" i="1"/>
  <c r="CG30" i="1"/>
  <c r="CJ51" i="1"/>
  <c r="CI60" i="1"/>
  <c r="CJ35" i="1"/>
  <c r="CN35" i="1" s="1"/>
  <c r="CR35" i="1" s="1"/>
  <c r="CV35" i="1" s="1"/>
  <c r="CZ35" i="1" s="1"/>
  <c r="X150" i="1"/>
  <c r="X146" i="1" s="1"/>
  <c r="Y141" i="1"/>
  <c r="Y169" i="1" s="1"/>
  <c r="Z50" i="1"/>
  <c r="Y60" i="1"/>
  <c r="X152" i="1"/>
  <c r="Y179" i="1"/>
  <c r="X24" i="1"/>
  <c r="X187" i="1"/>
  <c r="Z47" i="1"/>
  <c r="Z209" i="1" s="1"/>
  <c r="X142" i="1"/>
  <c r="X140" i="1"/>
  <c r="CI50" i="1"/>
  <c r="CH29" i="1"/>
  <c r="CI37" i="1"/>
  <c r="CH62" i="1"/>
  <c r="CJ79" i="1"/>
  <c r="CI79" i="1" s="1"/>
  <c r="CH79" i="1" s="1"/>
  <c r="CG79" i="1" s="1"/>
  <c r="CF79" i="1" s="1"/>
  <c r="CE79" i="1" s="1"/>
  <c r="CD79" i="1" s="1"/>
  <c r="CC79" i="1" s="1"/>
  <c r="CB79" i="1" s="1"/>
  <c r="CA79" i="1" s="1"/>
  <c r="BZ79" i="1" s="1"/>
  <c r="BY79" i="1" s="1"/>
  <c r="BX79" i="1" s="1"/>
  <c r="BW79" i="1" s="1"/>
  <c r="BV79" i="1" s="1"/>
  <c r="BU79" i="1" s="1"/>
  <c r="BT79" i="1" s="1"/>
  <c r="BS79" i="1" s="1"/>
  <c r="BR79" i="1" s="1"/>
  <c r="BQ79" i="1" s="1"/>
  <c r="BP79" i="1" s="1"/>
  <c r="BO79" i="1" s="1"/>
  <c r="BN79" i="1" s="1"/>
  <c r="BM79" i="1" s="1"/>
  <c r="BL79" i="1" s="1"/>
  <c r="BK79" i="1" s="1"/>
  <c r="BJ79" i="1" s="1"/>
  <c r="BI79" i="1" s="1"/>
  <c r="BH79" i="1" s="1"/>
  <c r="BG79" i="1" s="1"/>
  <c r="BF79" i="1" s="1"/>
  <c r="BE79" i="1" s="1"/>
  <c r="BD79" i="1" s="1"/>
  <c r="BC79" i="1" s="1"/>
  <c r="BB79" i="1" s="1"/>
  <c r="BA79" i="1" s="1"/>
  <c r="AZ79" i="1" s="1"/>
  <c r="AY79" i="1" s="1"/>
  <c r="AX79" i="1" s="1"/>
  <c r="AW79" i="1" s="1"/>
  <c r="AV79" i="1" s="1"/>
  <c r="AU79" i="1" s="1"/>
  <c r="AT79" i="1" s="1"/>
  <c r="AS79" i="1" s="1"/>
  <c r="AR79" i="1" s="1"/>
  <c r="AQ79" i="1" s="1"/>
  <c r="AP79" i="1" s="1"/>
  <c r="AO79" i="1" s="1"/>
  <c r="AN79" i="1" s="1"/>
  <c r="AM79" i="1" s="1"/>
  <c r="AL79" i="1" s="1"/>
  <c r="AK79" i="1" s="1"/>
  <c r="AJ79" i="1" s="1"/>
  <c r="AI79" i="1" s="1"/>
  <c r="CG38" i="1"/>
  <c r="CJ47" i="1"/>
  <c r="CG29" i="1"/>
  <c r="Z61" i="1"/>
  <c r="Z166" i="1"/>
  <c r="CH166" i="1" s="1"/>
  <c r="X54" i="1"/>
  <c r="Z60" i="1"/>
  <c r="X160" i="1"/>
  <c r="Y137" i="1"/>
  <c r="X170" i="1"/>
  <c r="Z39" i="1"/>
  <c r="X137" i="1"/>
  <c r="Z148" i="1"/>
  <c r="CH148" i="1" s="1"/>
  <c r="CI148" i="1" s="1"/>
  <c r="Z155" i="1"/>
  <c r="Z30" i="1"/>
  <c r="X28" i="1"/>
  <c r="Y92" i="1"/>
  <c r="Y185" i="1"/>
  <c r="Z185" i="1"/>
  <c r="X139" i="1"/>
  <c r="Y66" i="1"/>
  <c r="Y40" i="1"/>
  <c r="Y174" i="1"/>
  <c r="Z133" i="1"/>
  <c r="CH133" i="1" s="1"/>
  <c r="CI133" i="1" s="1"/>
  <c r="Y50" i="1"/>
  <c r="Y170" i="1"/>
  <c r="Z94" i="1"/>
  <c r="Z158" i="1"/>
  <c r="CH158" i="1" s="1"/>
  <c r="Z142" i="1"/>
  <c r="CH142" i="1" s="1"/>
  <c r="CI142" i="1" s="1"/>
  <c r="Y158" i="1"/>
  <c r="Y23" i="1"/>
  <c r="CG61" i="1"/>
  <c r="CJ78" i="1"/>
  <c r="CI78" i="1" s="1"/>
  <c r="CH78" i="1" s="1"/>
  <c r="CG78" i="1" s="1"/>
  <c r="CF78" i="1" s="1"/>
  <c r="CE78" i="1" s="1"/>
  <c r="CD78" i="1" s="1"/>
  <c r="CC78" i="1" s="1"/>
  <c r="CB78" i="1" s="1"/>
  <c r="CA78" i="1" s="1"/>
  <c r="BZ78" i="1" s="1"/>
  <c r="BY78" i="1" s="1"/>
  <c r="BX78" i="1" s="1"/>
  <c r="BW78" i="1" s="1"/>
  <c r="BV78" i="1" s="1"/>
  <c r="BU78" i="1" s="1"/>
  <c r="BT78" i="1" s="1"/>
  <c r="BS78" i="1" s="1"/>
  <c r="BR78" i="1" s="1"/>
  <c r="BQ78" i="1" s="1"/>
  <c r="BP78" i="1" s="1"/>
  <c r="BO78" i="1" s="1"/>
  <c r="BN78" i="1" s="1"/>
  <c r="BM78" i="1" s="1"/>
  <c r="BL78" i="1" s="1"/>
  <c r="BK78" i="1" s="1"/>
  <c r="BJ78" i="1" s="1"/>
  <c r="BI78" i="1" s="1"/>
  <c r="BH78" i="1" s="1"/>
  <c r="BG78" i="1" s="1"/>
  <c r="BF78" i="1" s="1"/>
  <c r="BE78" i="1" s="1"/>
  <c r="BD78" i="1" s="1"/>
  <c r="BC78" i="1" s="1"/>
  <c r="BB78" i="1" s="1"/>
  <c r="BA78" i="1" s="1"/>
  <c r="AZ78" i="1" s="1"/>
  <c r="AY78" i="1" s="1"/>
  <c r="AX78" i="1" s="1"/>
  <c r="AW78" i="1" s="1"/>
  <c r="AV78" i="1" s="1"/>
  <c r="AU78" i="1" s="1"/>
  <c r="AT78" i="1" s="1"/>
  <c r="AS78" i="1" s="1"/>
  <c r="AR78" i="1" s="1"/>
  <c r="AQ78" i="1" s="1"/>
  <c r="AP78" i="1" s="1"/>
  <c r="AO78" i="1" s="1"/>
  <c r="AN78" i="1" s="1"/>
  <c r="AM78" i="1" s="1"/>
  <c r="AL78" i="1" s="1"/>
  <c r="AK78" i="1" s="1"/>
  <c r="AJ78" i="1" s="1"/>
  <c r="AI78" i="1" s="1"/>
  <c r="CH40" i="1"/>
  <c r="CH37" i="1"/>
  <c r="CJ61" i="1"/>
  <c r="CG47" i="1"/>
  <c r="CI66" i="1"/>
  <c r="CI54" i="1"/>
  <c r="CG66" i="1"/>
  <c r="CH38" i="1"/>
  <c r="CI38" i="1"/>
  <c r="CJ30" i="1"/>
  <c r="CJ28" i="1"/>
  <c r="CG23" i="1"/>
  <c r="CI36" i="1"/>
  <c r="CH35" i="1"/>
  <c r="CP35" i="1" s="1"/>
  <c r="CT35" i="1" s="1"/>
  <c r="CX35" i="1" s="1"/>
  <c r="DB35" i="1" s="1"/>
  <c r="CI47" i="1"/>
  <c r="CI209" i="1" s="1"/>
  <c r="CG39" i="1"/>
  <c r="X175" i="1"/>
  <c r="Y151" i="1"/>
  <c r="Y38" i="1"/>
  <c r="Z132" i="1"/>
  <c r="X51" i="1"/>
  <c r="Y150" i="1"/>
  <c r="Y146" i="1" s="1"/>
  <c r="Y62" i="1"/>
  <c r="Y30" i="1"/>
  <c r="X155" i="1"/>
  <c r="Y37" i="1"/>
  <c r="X38" i="1"/>
  <c r="X164" i="1"/>
  <c r="X92" i="1"/>
  <c r="Y162" i="1"/>
  <c r="Y186" i="1"/>
  <c r="Z159" i="1"/>
  <c r="Z147" i="1"/>
  <c r="CH147" i="1" s="1"/>
  <c r="Y161" i="1"/>
  <c r="Z28" i="1"/>
  <c r="Z23" i="1"/>
  <c r="Y160" i="1"/>
  <c r="Z66" i="1"/>
  <c r="Z164" i="1"/>
  <c r="CH164" i="1" s="1"/>
  <c r="Z150" i="1"/>
  <c r="Y28" i="1"/>
  <c r="Y178" i="1"/>
  <c r="X61" i="1"/>
  <c r="X162" i="1"/>
  <c r="Z161" i="1"/>
  <c r="CH161" i="1" s="1"/>
  <c r="Z54" i="1"/>
  <c r="Y35" i="1"/>
  <c r="X178" i="1"/>
  <c r="Z140" i="1"/>
  <c r="CH140" i="1" s="1"/>
  <c r="CI140" i="1" s="1"/>
  <c r="X94" i="1"/>
  <c r="X37" i="1"/>
  <c r="X133" i="1"/>
  <c r="Y82" i="1"/>
  <c r="Z92" i="1"/>
  <c r="X36" i="1"/>
  <c r="X134" i="1"/>
  <c r="Y93" i="1"/>
  <c r="Z141" i="1"/>
  <c r="CH141" i="1" s="1"/>
  <c r="CI141" i="1" s="1"/>
  <c r="Y51" i="1"/>
  <c r="Y139" i="1"/>
  <c r="X23" i="1"/>
  <c r="X246" i="1" s="1"/>
  <c r="CI39" i="1"/>
  <c r="CJ54" i="1"/>
  <c r="CH39" i="1"/>
  <c r="CI29" i="1"/>
  <c r="CJ50" i="1"/>
  <c r="CI30" i="1"/>
  <c r="CI28" i="1"/>
  <c r="CG54" i="1"/>
  <c r="CG35" i="1"/>
  <c r="CH51" i="1"/>
  <c r="CI51" i="1"/>
  <c r="CI35" i="1"/>
  <c r="CM35" i="1" s="1"/>
  <c r="CQ35" i="1" s="1"/>
  <c r="CU35" i="1" s="1"/>
  <c r="CY35" i="1" s="1"/>
  <c r="CJ37" i="1"/>
  <c r="CJ40" i="1"/>
  <c r="CH36" i="1"/>
  <c r="CE54" i="1"/>
  <c r="CG62" i="1"/>
  <c r="CJ62" i="1"/>
  <c r="CG24" i="1"/>
  <c r="CG36" i="1"/>
  <c r="CI40" i="1"/>
  <c r="CJ66" i="1"/>
  <c r="CH24" i="1"/>
  <c r="CI24" i="1"/>
  <c r="Y157" i="1"/>
  <c r="X66" i="1"/>
  <c r="Z139" i="1"/>
  <c r="CH139" i="1" s="1"/>
  <c r="CI139" i="1" s="1"/>
  <c r="Y148" i="1"/>
  <c r="Y39" i="1"/>
  <c r="X60" i="1"/>
  <c r="Z187" i="1"/>
  <c r="X30" i="1"/>
  <c r="Y164" i="1"/>
  <c r="Z175" i="1"/>
  <c r="CH175" i="1" s="1"/>
  <c r="X157" i="1"/>
  <c r="Y168" i="1"/>
  <c r="Y54" i="1"/>
  <c r="Z24" i="1"/>
  <c r="Z165" i="1"/>
  <c r="CH165" i="1" s="1"/>
  <c r="Y94" i="1"/>
  <c r="X50" i="1"/>
  <c r="X151" i="1"/>
  <c r="Z151" i="1"/>
  <c r="CH151" i="1" s="1"/>
  <c r="CI151" i="1" s="1"/>
  <c r="Z162" i="1"/>
  <c r="CH162" i="1" s="1"/>
  <c r="X148" i="1"/>
  <c r="Z35" i="1"/>
  <c r="Z160" i="1"/>
  <c r="CH160" i="1" s="1"/>
  <c r="Z157" i="1"/>
  <c r="CH157" i="1" s="1"/>
  <c r="X174" i="1"/>
  <c r="X165" i="1"/>
  <c r="Y140" i="1"/>
  <c r="Z36" i="1"/>
  <c r="Z37" i="1"/>
  <c r="Z82" i="1"/>
  <c r="Z40" i="1"/>
  <c r="X159" i="1"/>
  <c r="Y152" i="1"/>
  <c r="Y159" i="1"/>
  <c r="X179" i="1"/>
  <c r="X39" i="1"/>
  <c r="X35" i="1"/>
  <c r="Z168" i="1"/>
  <c r="CH168" i="1" s="1"/>
  <c r="X158" i="1"/>
  <c r="X185" i="1"/>
  <c r="JP9" i="4" s="1"/>
  <c r="JP16" i="4" s="1"/>
  <c r="JO16" i="4" s="1"/>
  <c r="JO9" i="4" s="1"/>
  <c r="JN9" i="4" s="1"/>
  <c r="JN16" i="4" s="1"/>
  <c r="BV48" i="3"/>
  <c r="BU58" i="3"/>
  <c r="BK64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CL140" i="1" s="1"/>
  <c r="BB92" i="3"/>
  <c r="BB85" i="3"/>
  <c r="BB89" i="3"/>
  <c r="BG93" i="3"/>
  <c r="BH76" i="3"/>
  <c r="BF90" i="3"/>
  <c r="CL141" i="1" s="1"/>
  <c r="BD62" i="3"/>
  <c r="BU55" i="3"/>
  <c r="BI83" i="3"/>
  <c r="BI84" i="3"/>
  <c r="BB75" i="3"/>
  <c r="BA79" i="3"/>
  <c r="BD92" i="3"/>
  <c r="BQ60" i="3"/>
  <c r="BH69" i="3"/>
  <c r="BH84" i="3"/>
  <c r="BL66" i="3"/>
  <c r="BL92" i="3"/>
  <c r="BL69" i="3"/>
  <c r="BE93" i="3"/>
  <c r="BE92" i="3"/>
  <c r="BI54" i="3"/>
  <c r="BF92" i="3"/>
  <c r="CL170" i="1" s="1"/>
  <c r="BF85" i="3"/>
  <c r="CL162" i="1" s="1"/>
  <c r="BQ74" i="3"/>
  <c r="BQ83" i="3"/>
  <c r="BU87" i="3"/>
  <c r="BR57" i="3"/>
  <c r="BV83" i="3"/>
  <c r="BT91" i="3"/>
  <c r="BO63" i="3"/>
  <c r="BO50" i="3"/>
  <c r="BO87" i="3"/>
  <c r="BS88" i="3"/>
  <c r="BS97" i="3"/>
  <c r="BS56" i="3"/>
  <c r="BU67" i="3"/>
  <c r="BH61" i="3"/>
  <c r="BK78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CL137" i="1" s="1"/>
  <c r="BB95" i="3"/>
  <c r="BB63" i="3"/>
  <c r="BB67" i="3"/>
  <c r="BG97" i="3"/>
  <c r="BE55" i="3"/>
  <c r="BP86" i="3"/>
  <c r="BD94" i="3"/>
  <c r="BU61" i="3"/>
  <c r="BI89" i="3"/>
  <c r="BI96" i="3"/>
  <c r="BB54" i="3"/>
  <c r="BA47" i="3"/>
  <c r="BD50" i="3"/>
  <c r="BQ73" i="3"/>
  <c r="BH67" i="3"/>
  <c r="BH48" i="3"/>
  <c r="BL68" i="3"/>
  <c r="BL94" i="3"/>
  <c r="BL61" i="3"/>
  <c r="BE60" i="3"/>
  <c r="BE97" i="3"/>
  <c r="BI81" i="3"/>
  <c r="BF94" i="3"/>
  <c r="BQ93" i="3"/>
  <c r="BQ97" i="3"/>
  <c r="BQ69" i="3"/>
  <c r="BR62" i="3"/>
  <c r="BV64" i="3"/>
  <c r="BV85" i="3"/>
  <c r="BT90" i="3"/>
  <c r="BO66" i="3"/>
  <c r="BO57" i="3"/>
  <c r="BO90" i="3"/>
  <c r="BS68" i="3"/>
  <c r="BS96" i="3"/>
  <c r="BS50" i="3"/>
  <c r="BU69" i="3"/>
  <c r="BU92" i="3"/>
  <c r="BR88" i="3"/>
  <c r="BR75" i="3"/>
  <c r="BR94" i="3"/>
  <c r="BV57" i="3"/>
  <c r="BV58" i="3"/>
  <c r="BV70" i="3"/>
  <c r="BT72" i="3"/>
  <c r="BT79" i="3"/>
  <c r="BT48" i="3"/>
  <c r="BN59" i="3"/>
  <c r="BN60" i="3"/>
  <c r="BN63" i="3"/>
  <c r="BP90" i="3"/>
  <c r="BF48" i="3"/>
  <c r="BO56" i="3"/>
  <c r="BS66" i="3"/>
  <c r="BS58" i="3"/>
  <c r="BH93" i="3"/>
  <c r="BE89" i="3"/>
  <c r="BI71" i="3"/>
  <c r="BM47" i="3"/>
  <c r="BF64" i="3"/>
  <c r="CL164" i="1" s="1"/>
  <c r="BJ47" i="3"/>
  <c r="BJ89" i="3"/>
  <c r="BJ50" i="3"/>
  <c r="BJ81" i="3"/>
  <c r="BK59" i="3"/>
  <c r="BK90" i="3"/>
  <c r="BK96" i="3"/>
  <c r="GC5" i="4" a="1"/>
  <c r="FN6" i="4" a="1"/>
  <c r="HH6" i="4" a="1"/>
  <c r="HH9" i="4" a="1"/>
  <c r="GQ13" i="4" a="1"/>
  <c r="FV5" i="4" a="1"/>
  <c r="HA7" i="4" a="1"/>
  <c r="GR7" i="4" a="1"/>
  <c r="FQ12" i="4" a="1"/>
  <c r="FU5" i="4" a="1"/>
  <c r="HB6" i="4" a="1"/>
  <c r="GB9" i="4" a="1"/>
  <c r="FH8" i="4" a="1"/>
  <c r="GO9" i="4" a="1"/>
  <c r="HE5" i="4" a="1"/>
  <c r="HG7" i="4" a="1"/>
  <c r="HD5" i="4" a="1"/>
  <c r="GZ7" i="4" a="1"/>
  <c r="GZ5" i="4" a="1"/>
  <c r="GL7" i="4" a="1"/>
  <c r="GY7" i="4" a="1"/>
  <c r="GD9" i="4" a="1"/>
  <c r="HH5" i="4" a="1"/>
  <c r="FT9" i="4" a="1"/>
  <c r="FS7" i="4" a="1"/>
  <c r="FN9" i="4" a="1"/>
  <c r="GS11" i="4" a="1"/>
  <c r="GM12" i="4" a="1"/>
  <c r="GG13" i="4" a="1"/>
  <c r="FP9" i="4" a="1"/>
  <c r="FP12" i="4" a="1"/>
  <c r="FJ13" i="4" a="1"/>
  <c r="HF13" i="4" a="1"/>
  <c r="GZ14" i="4" a="1"/>
  <c r="GR11" i="4" a="1"/>
  <c r="GP14" i="4" a="1"/>
  <c r="GP15" i="4" a="1"/>
  <c r="FL16" i="4" a="1"/>
  <c r="GJ16" i="4" a="1"/>
  <c r="HH16" i="4" a="1"/>
  <c r="BK84" i="3"/>
  <c r="BK70" i="3"/>
  <c r="BF87" i="3"/>
  <c r="CL167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P67" i="3"/>
  <c r="BF79" i="3"/>
  <c r="CL158" i="1" s="1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R89" i="3"/>
  <c r="BV59" i="3"/>
  <c r="BT69" i="3"/>
  <c r="BN88" i="3"/>
  <c r="BO71" i="3"/>
  <c r="BO62" i="3"/>
  <c r="BO95" i="3"/>
  <c r="BS75" i="3"/>
  <c r="BS92" i="3"/>
  <c r="BF91" i="3"/>
  <c r="CL169" i="1" s="1"/>
  <c r="BU80" i="3"/>
  <c r="BU94" i="3"/>
  <c r="BR48" i="3"/>
  <c r="BR95" i="3"/>
  <c r="BR73" i="3"/>
  <c r="BV72" i="3"/>
  <c r="BV74" i="3"/>
  <c r="BV97" i="3"/>
  <c r="BT77" i="3"/>
  <c r="BT82" i="3"/>
  <c r="BT97" i="3"/>
  <c r="BN50" i="3"/>
  <c r="BN74" i="3"/>
  <c r="BN73" i="3"/>
  <c r="BP74" i="3"/>
  <c r="AA112" i="2"/>
  <c r="BO60" i="3"/>
  <c r="BS70" i="3"/>
  <c r="BP63" i="3"/>
  <c r="BH89" i="3"/>
  <c r="BE91" i="3"/>
  <c r="BI75" i="3"/>
  <c r="BM85" i="3"/>
  <c r="BF57" i="3"/>
  <c r="CL133" i="1" s="1"/>
  <c r="BJ60" i="3"/>
  <c r="BJ97" i="3"/>
  <c r="BJ61" i="3"/>
  <c r="BJ85" i="3"/>
  <c r="BK58" i="3"/>
  <c r="BK92" i="3"/>
  <c r="BK71" i="3"/>
  <c r="FP5" i="4" a="1"/>
  <c r="GY6" i="4" a="1"/>
  <c r="FG9" i="4" a="1"/>
  <c r="FZ11" i="4" a="1"/>
  <c r="GF14" i="4" a="1"/>
  <c r="HB5" i="4" a="1"/>
  <c r="GE8" i="4" a="1"/>
  <c r="GR8" i="4" a="1"/>
  <c r="FK13" i="4" a="1"/>
  <c r="FX5" i="4" a="1"/>
  <c r="GV7" i="4" a="1"/>
  <c r="GB7" i="4" a="1"/>
  <c r="HF11" i="4" a="1"/>
  <c r="FY5" i="4" a="1"/>
  <c r="FH7" i="4" a="1"/>
  <c r="HA5" i="4" a="1"/>
  <c r="FH9" i="4" a="1"/>
  <c r="FQ5" i="4" a="1"/>
  <c r="GT6" i="4" a="1"/>
  <c r="FJ6" i="4" a="1"/>
  <c r="HC11" i="4" a="1"/>
  <c r="FW5" i="4" a="1"/>
  <c r="FP7" i="4" a="1"/>
  <c r="FL7" i="4" a="1"/>
  <c r="GP11" i="4" a="1"/>
  <c r="HE9" i="4" a="1"/>
  <c r="HA11" i="4" a="1"/>
  <c r="GU12" i="4" a="1"/>
  <c r="GO13" i="4" a="1"/>
  <c r="GF9" i="4" a="1"/>
  <c r="FX12" i="4" a="1"/>
  <c r="FR13" i="4" a="1"/>
  <c r="FL14" i="4" a="1"/>
  <c r="HH14" i="4" a="1"/>
  <c r="FV12" i="4" a="1"/>
  <c r="HF14" i="4" a="1"/>
  <c r="GT15" i="4" a="1"/>
  <c r="FP16" i="4" a="1"/>
  <c r="GN16" i="4" a="1"/>
  <c r="GO11" i="4" a="1"/>
  <c r="GQ9" i="4" a="1"/>
  <c r="FK14" i="4" a="1"/>
  <c r="GD15" i="4" a="1"/>
  <c r="FI11" i="4" a="1"/>
  <c r="FR14" i="4" a="1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P77" i="3"/>
  <c r="BJ56" i="3"/>
  <c r="BA72" i="3"/>
  <c r="BA91" i="3"/>
  <c r="BQ59" i="3"/>
  <c r="BH47" i="3"/>
  <c r="BL86" i="3"/>
  <c r="BC82" i="3"/>
  <c r="BM60" i="3"/>
  <c r="BP76" i="3"/>
  <c r="BG76" i="3"/>
  <c r="BG80" i="3"/>
  <c r="BM95" i="3"/>
  <c r="BM62" i="3"/>
  <c r="Z111" i="2"/>
  <c r="BB58" i="3"/>
  <c r="BB66" i="3"/>
  <c r="BB83" i="3"/>
  <c r="BG95" i="3"/>
  <c r="BM81" i="3"/>
  <c r="BP97" i="3"/>
  <c r="BD89" i="3"/>
  <c r="BP58" i="3"/>
  <c r="BI72" i="3"/>
  <c r="BB81" i="3"/>
  <c r="BA76" i="3"/>
  <c r="BA61" i="3"/>
  <c r="BD73" i="3"/>
  <c r="BH83" i="3"/>
  <c r="BH94" i="3"/>
  <c r="BL58" i="3"/>
  <c r="BL60" i="3"/>
  <c r="BL91" i="3"/>
  <c r="BE83" i="3"/>
  <c r="BE87" i="3"/>
  <c r="BI62" i="3"/>
  <c r="BI85" i="3"/>
  <c r="BF78" i="3"/>
  <c r="CL157" i="1" s="1"/>
  <c r="BQ70" i="3"/>
  <c r="BQ67" i="3"/>
  <c r="BQ96" i="3"/>
  <c r="BR92" i="3"/>
  <c r="BV56" i="3"/>
  <c r="BT50" i="3"/>
  <c r="BN92" i="3"/>
  <c r="BO76" i="3"/>
  <c r="BO67" i="3"/>
  <c r="BS71" i="3"/>
  <c r="BS65" i="3"/>
  <c r="BS86" i="3"/>
  <c r="BU49" i="3"/>
  <c r="BU86" i="3"/>
  <c r="BU97" i="3"/>
  <c r="BR78" i="3"/>
  <c r="BR66" i="3"/>
  <c r="BR83" i="3"/>
  <c r="BV93" i="3"/>
  <c r="BV82" i="3"/>
  <c r="BV87" i="3"/>
  <c r="BT96" i="3"/>
  <c r="BT83" i="3"/>
  <c r="BN57" i="3"/>
  <c r="BN93" i="3"/>
  <c r="BN71" i="3"/>
  <c r="BN83" i="3"/>
  <c r="BP82" i="3"/>
  <c r="AA113" i="2"/>
  <c r="BO86" i="3"/>
  <c r="BS76" i="3"/>
  <c r="BG82" i="3"/>
  <c r="BL95" i="3"/>
  <c r="BE59" i="3"/>
  <c r="BI77" i="3"/>
  <c r="BM58" i="3"/>
  <c r="BF72" i="3"/>
  <c r="CL150" i="1" s="1"/>
  <c r="BJ68" i="3"/>
  <c r="BJ91" i="3"/>
  <c r="BJ65" i="3"/>
  <c r="BK81" i="3"/>
  <c r="BK85" i="3"/>
  <c r="BK56" i="3"/>
  <c r="BK89" i="3"/>
  <c r="GQ5" i="4" a="1"/>
  <c r="GS7" i="4" a="1"/>
  <c r="GH6" i="4" a="1"/>
  <c r="FZ6" i="4" a="1"/>
  <c r="FR15" i="4" a="1"/>
  <c r="HD6" i="4" a="1"/>
  <c r="HC8" i="4" a="1"/>
  <c r="GP9" i="4" a="1"/>
  <c r="HG13" i="4" a="1"/>
  <c r="FH6" i="4" a="1"/>
  <c r="GC8" i="4" a="1"/>
  <c r="GN8" i="4" a="1"/>
  <c r="GW12" i="4" a="1"/>
  <c r="FT5" i="4" a="1"/>
  <c r="HD7" i="4" a="1"/>
  <c r="GW7" i="4" a="1"/>
  <c r="FI12" i="4" a="1"/>
  <c r="FN5" i="4" a="1"/>
  <c r="BP87" i="3"/>
  <c r="BT49" i="3"/>
  <c r="BP50" i="3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L65" i="3"/>
  <c r="BE95" i="3"/>
  <c r="BE71" i="3"/>
  <c r="BI58" i="3"/>
  <c r="BI67" i="3"/>
  <c r="BF54" i="3"/>
  <c r="BQ84" i="3"/>
  <c r="BQ66" i="3"/>
  <c r="BU78" i="3"/>
  <c r="BR91" i="3"/>
  <c r="BV49" i="3"/>
  <c r="BT93" i="3"/>
  <c r="BN76" i="3"/>
  <c r="BO81" i="3"/>
  <c r="BO72" i="3"/>
  <c r="BS63" i="3"/>
  <c r="BS60" i="3"/>
  <c r="BS72" i="3"/>
  <c r="BU57" i="3"/>
  <c r="BU96" i="3"/>
  <c r="BU84" i="3"/>
  <c r="BR55" i="3"/>
  <c r="BR82" i="3"/>
  <c r="BR68" i="3"/>
  <c r="BV91" i="3"/>
  <c r="BV89" i="3"/>
  <c r="BT71" i="3"/>
  <c r="BT70" i="3"/>
  <c r="BT86" i="3"/>
  <c r="BN82" i="3"/>
  <c r="BN64" i="3"/>
  <c r="BN47" i="3"/>
  <c r="BN87" i="3"/>
  <c r="BF81" i="3"/>
  <c r="CL159" i="1" s="1"/>
  <c r="CL194" i="1" s="1"/>
  <c r="Y111" i="2"/>
  <c r="BO83" i="3"/>
  <c r="BS81" i="3"/>
  <c r="BG48" i="3"/>
  <c r="BL73" i="3"/>
  <c r="BE69" i="3"/>
  <c r="BI87" i="3"/>
  <c r="BM63" i="3"/>
  <c r="BF56" i="3"/>
  <c r="CL132" i="1" s="1"/>
  <c r="BJ72" i="3"/>
  <c r="BP60" i="3"/>
  <c r="BA48" i="3"/>
  <c r="BQ61" i="3"/>
  <c r="BC49" i="3"/>
  <c r="BP78" i="3"/>
  <c r="BE74" i="3"/>
  <c r="BF83" i="3"/>
  <c r="CL175" i="1" s="1"/>
  <c r="BB94" i="3"/>
  <c r="BH64" i="3"/>
  <c r="BD55" i="3"/>
  <c r="BI86" i="3"/>
  <c r="BA74" i="3"/>
  <c r="BH95" i="3"/>
  <c r="BL83" i="3"/>
  <c r="BL48" i="3"/>
  <c r="BE68" i="3"/>
  <c r="BI66" i="3"/>
  <c r="BQ89" i="3"/>
  <c r="BQ75" i="3"/>
  <c r="BR63" i="3"/>
  <c r="BT92" i="3"/>
  <c r="BO75" i="3"/>
  <c r="BO82" i="3"/>
  <c r="BS78" i="3"/>
  <c r="BU56" i="3"/>
  <c r="BU91" i="3"/>
  <c r="BR64" i="3"/>
  <c r="BR90" i="3"/>
  <c r="BV90" i="3"/>
  <c r="BV55" i="3"/>
  <c r="BT57" i="3"/>
  <c r="BT89" i="3"/>
  <c r="BN61" i="3"/>
  <c r="BN72" i="3"/>
  <c r="BF67" i="3"/>
  <c r="BO85" i="3"/>
  <c r="BS87" i="3"/>
  <c r="BH97" i="3"/>
  <c r="BE73" i="3"/>
  <c r="BM75" i="3"/>
  <c r="BF50" i="3"/>
  <c r="CL89" i="1" s="1"/>
  <c r="BJ95" i="3"/>
  <c r="BJ67" i="3"/>
  <c r="BK55" i="3"/>
  <c r="BK86" i="3"/>
  <c r="BK93" i="3"/>
  <c r="FJ7" i="4" a="1"/>
  <c r="FG6" i="4" a="1"/>
  <c r="HE8" i="4" a="1"/>
  <c r="HA9" i="4" a="1"/>
  <c r="GC7" i="4" a="1"/>
  <c r="HB9" i="4" a="1"/>
  <c r="GO7" i="4" a="1"/>
  <c r="GI6" i="4" a="1"/>
  <c r="FJ9" i="4" a="1"/>
  <c r="GS14" i="4" a="1"/>
  <c r="FI8" i="4" a="1"/>
  <c r="GF8" i="4" a="1"/>
  <c r="HB13" i="4" a="1"/>
  <c r="HC7" i="4" a="1"/>
  <c r="GG7" i="4" a="1"/>
  <c r="FV13" i="4" a="1"/>
  <c r="FU6" i="4" a="1"/>
  <c r="GN5" i="4" a="1"/>
  <c r="GO6" i="4" a="1"/>
  <c r="FG11" i="4" a="1"/>
  <c r="FJ12" i="4" a="1"/>
  <c r="FL13" i="4" a="1"/>
  <c r="GT7" i="4" a="1"/>
  <c r="FM12" i="4" a="1"/>
  <c r="FW13" i="4" a="1"/>
  <c r="FY14" i="4" a="1"/>
  <c r="FQ9" i="4" a="1"/>
  <c r="FO14" i="4" a="1"/>
  <c r="GN15" i="4" a="1"/>
  <c r="FR16" i="4" a="1"/>
  <c r="GT16" i="4" a="1"/>
  <c r="GY14" i="4" a="1"/>
  <c r="GI12" i="4" a="1"/>
  <c r="FI15" i="4" a="1"/>
  <c r="HF6" i="4" a="1"/>
  <c r="GV13" i="4" a="1"/>
  <c r="GG15" i="4" a="1"/>
  <c r="HE15" i="4" a="1"/>
  <c r="GA16" i="4" a="1"/>
  <c r="GY16" i="4" a="1"/>
  <c r="FS14" i="4" a="1"/>
  <c r="BC64" i="3"/>
  <c r="BC79" i="3"/>
  <c r="BD48" i="3"/>
  <c r="BD57" i="3"/>
  <c r="BD81" i="3"/>
  <c r="BH78" i="3"/>
  <c r="BB55" i="3"/>
  <c r="BC57" i="3"/>
  <c r="BL64" i="3"/>
  <c r="BO89" i="3"/>
  <c r="BS91" i="3"/>
  <c r="BU81" i="3"/>
  <c r="BR67" i="3"/>
  <c r="BT68" i="3"/>
  <c r="BT78" i="3"/>
  <c r="BN77" i="3"/>
  <c r="BF55" i="3"/>
  <c r="BL50" i="3"/>
  <c r="GJ12" i="4" a="1"/>
  <c r="FY6" i="4" a="1"/>
  <c r="HF9" i="4" a="1"/>
  <c r="GZ15" i="4" a="1"/>
  <c r="FV8" i="4" a="1"/>
  <c r="FY11" i="4" a="1"/>
  <c r="GO15" i="4" a="1"/>
  <c r="BU77" i="3"/>
  <c r="BN56" i="3"/>
  <c r="BP95" i="3"/>
  <c r="BS62" i="3"/>
  <c r="BE54" i="3"/>
  <c r="FW7" i="4" a="1"/>
  <c r="FM6" i="4" a="1"/>
  <c r="GA8" i="4" a="1"/>
  <c r="GN11" i="4" a="1"/>
  <c r="HA12" i="4" a="1"/>
  <c r="FO6" i="4" a="1"/>
  <c r="BG79" i="3"/>
  <c r="BA90" i="3"/>
  <c r="BQ58" i="3"/>
  <c r="BC71" i="3"/>
  <c r="BP89" i="3"/>
  <c r="BE62" i="3"/>
  <c r="BB84" i="3"/>
  <c r="BB90" i="3"/>
  <c r="BH68" i="3"/>
  <c r="BD93" i="3"/>
  <c r="BI74" i="3"/>
  <c r="BA57" i="3"/>
  <c r="BH73" i="3"/>
  <c r="BL55" i="3"/>
  <c r="BL75" i="3"/>
  <c r="BE57" i="3"/>
  <c r="BI76" i="3"/>
  <c r="BQ86" i="3"/>
  <c r="BQ87" i="3"/>
  <c r="BR54" i="3"/>
  <c r="BT75" i="3"/>
  <c r="BO80" i="3"/>
  <c r="BO92" i="3"/>
  <c r="BS47" i="3"/>
  <c r="BU59" i="3"/>
  <c r="BU93" i="3"/>
  <c r="BR74" i="3"/>
  <c r="BR97" i="3"/>
  <c r="BV88" i="3"/>
  <c r="BV69" i="3"/>
  <c r="BT47" i="3"/>
  <c r="BT95" i="3"/>
  <c r="BN55" i="3"/>
  <c r="BN69" i="3"/>
  <c r="BF77" i="3"/>
  <c r="CL155" i="1" s="1"/>
  <c r="BO73" i="3"/>
  <c r="BS89" i="3"/>
  <c r="BH91" i="3"/>
  <c r="BE77" i="3"/>
  <c r="BM54" i="3"/>
  <c r="BJ49" i="3"/>
  <c r="BJ93" i="3"/>
  <c r="BJ69" i="3"/>
  <c r="BK88" i="3"/>
  <c r="BK57" i="3"/>
  <c r="BK61" i="3"/>
  <c r="GH7" i="4" a="1"/>
  <c r="GQ7" i="4" a="1"/>
  <c r="GI9" i="4" a="1"/>
  <c r="FO5" i="4" a="1"/>
  <c r="FS8" i="4" a="1"/>
  <c r="FL11" i="4" a="1"/>
  <c r="GX8" i="4" a="1"/>
  <c r="FX7" i="4" a="1"/>
  <c r="GK9" i="4" a="1"/>
  <c r="FO15" i="4" a="1"/>
  <c r="GD6" i="4" a="1"/>
  <c r="HD8" i="4" a="1"/>
  <c r="FX14" i="4" a="1"/>
  <c r="FV6" i="4" a="1"/>
  <c r="FX8" i="4" a="1"/>
  <c r="GT13" i="4" a="1"/>
  <c r="GS6" i="4" a="1"/>
  <c r="GW6" i="4" a="1"/>
  <c r="FS9" i="4" a="1"/>
  <c r="FK11" i="4" a="1"/>
  <c r="FO12" i="4" a="1"/>
  <c r="FQ13" i="4" a="1"/>
  <c r="FM8" i="4" a="1"/>
  <c r="FU12" i="4" a="1"/>
  <c r="FZ13" i="4" a="1"/>
  <c r="GB14" i="4" a="1"/>
  <c r="GL9" i="4" a="1"/>
  <c r="FZ14" i="4" a="1"/>
  <c r="GR15" i="4" a="1"/>
  <c r="FT16" i="4" a="1"/>
  <c r="GV16" i="4" a="1"/>
  <c r="FV15" i="4" a="1"/>
  <c r="GT12" i="4" a="1"/>
  <c r="FM15" i="4" a="1"/>
  <c r="GD8" i="4" a="1"/>
  <c r="HD13" i="4" a="1"/>
  <c r="GI15" i="4" a="1"/>
  <c r="HG15" i="4" a="1"/>
  <c r="GC16" i="4" a="1"/>
  <c r="HA16" i="4" a="1"/>
  <c r="BC55" i="3"/>
  <c r="BC84" i="3"/>
  <c r="BC69" i="3"/>
  <c r="BD84" i="3"/>
  <c r="BD58" i="3"/>
  <c r="BD95" i="3"/>
  <c r="BP80" i="3"/>
  <c r="BR71" i="3"/>
  <c r="BG74" i="3"/>
  <c r="BU54" i="3"/>
  <c r="BL87" i="3"/>
  <c r="BQ72" i="3"/>
  <c r="BS83" i="3"/>
  <c r="BN58" i="3"/>
  <c r="BO78" i="3"/>
  <c r="BI65" i="3"/>
  <c r="BJ84" i="3"/>
  <c r="BJ48" i="3"/>
  <c r="GH5" i="4" a="1"/>
  <c r="GD7" i="4" a="1"/>
  <c r="GG5" i="4" a="1"/>
  <c r="GY8" i="4" a="1"/>
  <c r="GG8" i="4" a="1"/>
  <c r="FW11" i="4" a="1"/>
  <c r="GG11" i="4" a="1"/>
  <c r="FL15" i="4" a="1"/>
  <c r="GA15" i="4" a="1"/>
  <c r="BR65" i="3"/>
  <c r="BF58" i="3"/>
  <c r="CL134" i="1" s="1"/>
  <c r="BK60" i="3"/>
  <c r="GK8" i="4" a="1"/>
  <c r="GW5" i="4" a="1"/>
  <c r="FV7" i="4" a="1"/>
  <c r="FJ5" i="4" a="1"/>
  <c r="GZ13" i="4" a="1"/>
  <c r="GH16" i="4" a="1"/>
  <c r="BG59" i="3"/>
  <c r="BA96" i="3"/>
  <c r="BP56" i="3"/>
  <c r="BC65" i="3"/>
  <c r="BG70" i="3"/>
  <c r="BE56" i="3"/>
  <c r="BB50" i="3"/>
  <c r="BB87" i="3"/>
  <c r="BM97" i="3"/>
  <c r="BU47" i="3"/>
  <c r="BI97" i="3"/>
  <c r="BC56" i="3"/>
  <c r="BH60" i="3"/>
  <c r="BL47" i="3"/>
  <c r="BL59" i="3"/>
  <c r="BE61" i="3"/>
  <c r="BF89" i="3"/>
  <c r="CL168" i="1" s="1"/>
  <c r="CL198" i="1" s="1"/>
  <c r="BQ79" i="3"/>
  <c r="BQ95" i="3"/>
  <c r="BV71" i="3"/>
  <c r="BT80" i="3"/>
  <c r="BO84" i="3"/>
  <c r="BS48" i="3"/>
  <c r="BS77" i="3"/>
  <c r="BU60" i="3"/>
  <c r="BU95" i="3"/>
  <c r="BR72" i="3"/>
  <c r="BR79" i="3"/>
  <c r="BV84" i="3"/>
  <c r="BV73" i="3"/>
  <c r="BT56" i="3"/>
  <c r="BT66" i="3"/>
  <c r="BN90" i="3"/>
  <c r="BN81" i="3"/>
  <c r="BF73" i="3"/>
  <c r="BO61" i="3"/>
  <c r="BS49" i="3"/>
  <c r="BL54" i="3"/>
  <c r="BE81" i="3"/>
  <c r="BM87" i="3"/>
  <c r="BJ74" i="3"/>
  <c r="BJ87" i="3"/>
  <c r="BJ71" i="3"/>
  <c r="BK83" i="3"/>
  <c r="BK94" i="3"/>
  <c r="GT14" i="4" a="1"/>
  <c r="HF7" i="4" a="1"/>
  <c r="GE9" i="4" a="1"/>
  <c r="GX11" i="4" a="1"/>
  <c r="GA5" i="4" a="1"/>
  <c r="GQ8" i="4" a="1"/>
  <c r="GB11" i="4" a="1"/>
  <c r="GS9" i="4" a="1"/>
  <c r="FQ8" i="4" a="1"/>
  <c r="GZ9" i="4" a="1"/>
  <c r="FI7" i="4" a="1"/>
  <c r="GK7" i="4" a="1"/>
  <c r="FZ9" i="4" a="1"/>
  <c r="GV14" i="4" a="1"/>
  <c r="FM7" i="4" a="1"/>
  <c r="GV8" i="4" a="1"/>
  <c r="FP14" i="4" a="1"/>
  <c r="FR7" i="4" a="1"/>
  <c r="HB7" i="4" a="1"/>
  <c r="FL12" i="4" a="1"/>
  <c r="FO11" i="4" a="1"/>
  <c r="FR12" i="4" a="1"/>
  <c r="FT13" i="4" a="1"/>
  <c r="FK9" i="4" a="1"/>
  <c r="GC12" i="4" a="1"/>
  <c r="GE13" i="4" a="1"/>
  <c r="GG14" i="4" a="1"/>
  <c r="HC9" i="4" a="1"/>
  <c r="GE14" i="4" a="1"/>
  <c r="GV15" i="4" a="1"/>
  <c r="FV16" i="4" a="1"/>
  <c r="GX16" i="4" a="1"/>
  <c r="GP6" i="4" a="1"/>
  <c r="FM13" i="4" a="1"/>
  <c r="FT15" i="4" a="1"/>
  <c r="HH8" i="4" a="1"/>
  <c r="FG14" i="4" a="1"/>
  <c r="GK15" i="4" a="1"/>
  <c r="FG16" i="4" a="1"/>
  <c r="GE16" i="4" a="1"/>
  <c r="HC16" i="4" a="1"/>
  <c r="BC54" i="3"/>
  <c r="BC83" i="3"/>
  <c r="BC74" i="3"/>
  <c r="BD72" i="3"/>
  <c r="BD67" i="3"/>
  <c r="BD90" i="3"/>
  <c r="BA70" i="3"/>
  <c r="BG78" i="3"/>
  <c r="BM92" i="3"/>
  <c r="BB77" i="3"/>
  <c r="BE70" i="3"/>
  <c r="BU74" i="3"/>
  <c r="BT73" i="3"/>
  <c r="BU71" i="3"/>
  <c r="BR60" i="3"/>
  <c r="BV76" i="3"/>
  <c r="BS94" i="3"/>
  <c r="FV11" i="4" a="1"/>
  <c r="FI9" i="4" a="1"/>
  <c r="GR9" i="4" a="1"/>
  <c r="FL8" i="4" a="1"/>
  <c r="FN13" i="4" a="1"/>
  <c r="FZ12" i="4" a="1"/>
  <c r="GI11" i="4" a="1"/>
  <c r="GM13" i="4" a="1"/>
  <c r="FZ16" i="4" a="1"/>
  <c r="BC93" i="3"/>
  <c r="BD96" i="3"/>
  <c r="BA69" i="3"/>
  <c r="BP73" i="3"/>
  <c r="BU63" i="3"/>
  <c r="BG55" i="3"/>
  <c r="BM74" i="3"/>
  <c r="BB79" i="3"/>
  <c r="BB78" i="3"/>
  <c r="BM88" i="3"/>
  <c r="BU48" i="3"/>
  <c r="BB91" i="3"/>
  <c r="BC85" i="3"/>
  <c r="BH79" i="3"/>
  <c r="BL71" i="3"/>
  <c r="BL56" i="3"/>
  <c r="BE48" i="3"/>
  <c r="BF71" i="3"/>
  <c r="BQ76" i="3"/>
  <c r="BU72" i="3"/>
  <c r="BV75" i="3"/>
  <c r="BT84" i="3"/>
  <c r="BO88" i="3"/>
  <c r="BS80" i="3"/>
  <c r="BS93" i="3"/>
  <c r="BU62" i="3"/>
  <c r="BU65" i="3"/>
  <c r="BR59" i="3"/>
  <c r="BR87" i="3"/>
  <c r="BV80" i="3"/>
  <c r="BV66" i="3"/>
  <c r="BT55" i="3"/>
  <c r="BN86" i="3"/>
  <c r="BN48" i="3"/>
  <c r="BN85" i="3"/>
  <c r="BF69" i="3"/>
  <c r="BO64" i="3"/>
  <c r="BS54" i="3"/>
  <c r="BL85" i="3"/>
  <c r="BI63" i="3"/>
  <c r="BM83" i="3"/>
  <c r="BJ82" i="3"/>
  <c r="BJ54" i="3"/>
  <c r="BJ73" i="3"/>
  <c r="BK75" i="3"/>
  <c r="BK95" i="3"/>
  <c r="FK15" i="4" a="1"/>
  <c r="GR5" i="4" a="1"/>
  <c r="FQ7" i="4" a="1"/>
  <c r="FT12" i="4" a="1"/>
  <c r="FH5" i="4" a="1"/>
  <c r="HC5" i="4" a="1"/>
  <c r="GJ6" i="4" a="1"/>
  <c r="FG5" i="4" a="1"/>
  <c r="GM8" i="4" a="1"/>
  <c r="FJ11" i="4" a="1"/>
  <c r="GP8" i="4" a="1"/>
  <c r="FU8" i="4" a="1"/>
  <c r="GT9" i="4" a="1"/>
  <c r="FZ15" i="4" a="1"/>
  <c r="GF7" i="4" a="1"/>
  <c r="FU9" i="4" a="1"/>
  <c r="GN14" i="4" a="1"/>
  <c r="GM7" i="4" a="1"/>
  <c r="GM9" i="4" a="1"/>
  <c r="GR12" i="4" a="1"/>
  <c r="FS11" i="4" a="1"/>
  <c r="FW12" i="4" a="1"/>
  <c r="FY13" i="4" a="1"/>
  <c r="GA9" i="4" a="1"/>
  <c r="GF12" i="4" a="1"/>
  <c r="GH13" i="4" a="1"/>
  <c r="GJ14" i="4" a="1"/>
  <c r="FQ11" i="4" a="1"/>
  <c r="GU14" i="4" a="1"/>
  <c r="GX15" i="4" a="1"/>
  <c r="FX16" i="4" a="1"/>
  <c r="GZ16" i="4" a="1"/>
  <c r="GJ7" i="4" a="1"/>
  <c r="FX13" i="4" a="1"/>
  <c r="FX15" i="4" a="1"/>
  <c r="GU9" i="4" a="1"/>
  <c r="FW14" i="4" a="1"/>
  <c r="GM15" i="4" a="1"/>
  <c r="FI16" i="4" a="1"/>
  <c r="GG16" i="4" a="1"/>
  <c r="HE16" i="4" a="1"/>
  <c r="BC96" i="3"/>
  <c r="BC78" i="3"/>
  <c r="BC87" i="3"/>
  <c r="BD60" i="3"/>
  <c r="BD63" i="3"/>
  <c r="BM84" i="3"/>
  <c r="BF65" i="3"/>
  <c r="CL165" i="1" s="1"/>
  <c r="BV77" i="3"/>
  <c r="BK67" i="3"/>
  <c r="FI5" i="4" a="1"/>
  <c r="FG8" i="4" a="1"/>
  <c r="FK8" i="4" a="1"/>
  <c r="GK12" i="4" a="1"/>
  <c r="GO14" i="4" a="1"/>
  <c r="GS13" i="4" a="1"/>
  <c r="GH14" i="4" a="1"/>
  <c r="FK16" i="4" a="1"/>
  <c r="BC90" i="3"/>
  <c r="BV60" i="3"/>
  <c r="BO47" i="3"/>
  <c r="BG62" i="3"/>
  <c r="BJ92" i="3"/>
  <c r="GB5" i="4" a="1"/>
  <c r="HA14" i="4" a="1"/>
  <c r="FP6" i="4" a="1"/>
  <c r="GM11" i="4" a="1"/>
  <c r="GU5" i="4" a="1"/>
  <c r="FG15" i="4" a="1"/>
  <c r="GY11" i="4" a="1"/>
  <c r="BP83" i="3"/>
  <c r="BA50" i="3"/>
  <c r="BH63" i="3"/>
  <c r="BR56" i="3"/>
  <c r="BG71" i="3"/>
  <c r="BM49" i="3"/>
  <c r="BB65" i="3"/>
  <c r="BG64" i="3"/>
  <c r="BF86" i="3"/>
  <c r="BP49" i="3"/>
  <c r="BB80" i="3"/>
  <c r="BC60" i="3"/>
  <c r="BH58" i="3"/>
  <c r="BL93" i="3"/>
  <c r="BL79" i="3"/>
  <c r="BE88" i="3"/>
  <c r="BF47" i="3"/>
  <c r="BQ63" i="3"/>
  <c r="BU75" i="3"/>
  <c r="BV47" i="3"/>
  <c r="BN78" i="3"/>
  <c r="BO94" i="3"/>
  <c r="BS84" i="3"/>
  <c r="BS82" i="3"/>
  <c r="BU82" i="3"/>
  <c r="BU88" i="3"/>
  <c r="BR47" i="3"/>
  <c r="BV62" i="3"/>
  <c r="BV61" i="3"/>
  <c r="BT63" i="3"/>
  <c r="BT81" i="3"/>
  <c r="BN79" i="3"/>
  <c r="BN62" i="3"/>
  <c r="BN97" i="3"/>
  <c r="BF75" i="3"/>
  <c r="BO91" i="3"/>
  <c r="BP55" i="3"/>
  <c r="BE49" i="3"/>
  <c r="BI56" i="3"/>
  <c r="BM55" i="3"/>
  <c r="BJ58" i="3"/>
  <c r="BJ55" i="3"/>
  <c r="BJ77" i="3"/>
  <c r="BK48" i="3"/>
  <c r="BK54" i="3"/>
  <c r="FM5" i="4" a="1"/>
  <c r="FU7" i="4" a="1"/>
  <c r="GB8" i="4" a="1"/>
  <c r="HE12" i="4" a="1"/>
  <c r="GC6" i="4" a="1"/>
  <c r="GG6" i="4" a="1"/>
  <c r="FX9" i="4" a="1"/>
  <c r="GL5" i="4" a="1"/>
  <c r="GX5" i="4" a="1"/>
  <c r="GS5" i="4" a="1"/>
  <c r="GI5" i="4" a="1"/>
  <c r="GS8" i="4" a="1"/>
  <c r="FP11" i="4" a="1"/>
  <c r="GE5" i="4" a="1"/>
  <c r="FW8" i="4" a="1"/>
  <c r="HD9" i="4" a="1"/>
  <c r="GE6" i="4" a="1"/>
  <c r="GA6" i="4" a="1"/>
  <c r="GJ8" i="4" a="1"/>
  <c r="GL13" i="4" a="1"/>
  <c r="GA11" i="4" a="1"/>
  <c r="GE12" i="4" a="1"/>
  <c r="GJ13" i="4" a="1"/>
  <c r="GL11" i="4" a="1"/>
  <c r="GN12" i="4" a="1"/>
  <c r="GP13" i="4" a="1"/>
  <c r="GR14" i="4" a="1"/>
  <c r="FK12" i="4" a="1"/>
  <c r="FP15" i="4" a="1"/>
  <c r="HB15" i="4" a="1"/>
  <c r="GB16" i="4" a="1"/>
  <c r="HD16" i="4" a="1"/>
  <c r="HB8" i="4" a="1"/>
  <c r="HH13" i="4" a="1"/>
  <c r="FM11" i="4" a="1"/>
  <c r="GW11" i="4" a="1"/>
  <c r="GM14" i="4" a="1"/>
  <c r="GQ15" i="4" a="1"/>
  <c r="FM16" i="4" a="1"/>
  <c r="GK16" i="4" a="1"/>
  <c r="GL8" i="4" a="1"/>
  <c r="BC70" i="3"/>
  <c r="BC81" i="3"/>
  <c r="BC91" i="3"/>
  <c r="BD87" i="3"/>
  <c r="BD71" i="3"/>
  <c r="BK80" i="3"/>
  <c r="FO8" i="4" a="1"/>
  <c r="GZ8" i="4" a="1"/>
  <c r="GA7" i="4" a="1"/>
  <c r="FQ6" i="4" a="1"/>
  <c r="FZ5" i="4" a="1"/>
  <c r="FN11" i="4" a="1"/>
  <c r="FZ8" i="4" a="1"/>
  <c r="GN7" i="4" a="1"/>
  <c r="FM14" i="4" a="1"/>
  <c r="GU13" i="4" a="1"/>
  <c r="GW14" i="4" a="1"/>
  <c r="HD15" i="4" a="1"/>
  <c r="GD16" i="4" a="1"/>
  <c r="HF16" i="4" a="1"/>
  <c r="FV14" i="4" a="1"/>
  <c r="GD12" i="4" a="1"/>
  <c r="GX14" i="4" a="1"/>
  <c r="FO16" i="4" a="1"/>
  <c r="GG9" i="4" a="1"/>
  <c r="BC67" i="3"/>
  <c r="BC68" i="3"/>
  <c r="BD79" i="3"/>
  <c r="BO70" i="3"/>
  <c r="FR6" i="4" a="1"/>
  <c r="BE85" i="3"/>
  <c r="BG86" i="3"/>
  <c r="BA89" i="3"/>
  <c r="BH72" i="3"/>
  <c r="BR61" i="3"/>
  <c r="BG96" i="3"/>
  <c r="BM48" i="3"/>
  <c r="BB70" i="3"/>
  <c r="BG72" i="3"/>
  <c r="BF88" i="3"/>
  <c r="CL142" i="1" s="1"/>
  <c r="BP59" i="3"/>
  <c r="BB82" i="3"/>
  <c r="BD85" i="3"/>
  <c r="BH50" i="3"/>
  <c r="BL78" i="3"/>
  <c r="BE63" i="3"/>
  <c r="BI68" i="3"/>
  <c r="BF59" i="3"/>
  <c r="BQ90" i="3"/>
  <c r="BU76" i="3"/>
  <c r="BV65" i="3"/>
  <c r="BN65" i="3"/>
  <c r="BO58" i="3"/>
  <c r="BS85" i="3"/>
  <c r="BS69" i="3"/>
  <c r="BU73" i="3"/>
  <c r="BU64" i="3"/>
  <c r="BR85" i="3"/>
  <c r="BV50" i="3"/>
  <c r="BV78" i="3"/>
  <c r="BT58" i="3"/>
  <c r="BT65" i="3"/>
  <c r="BN89" i="3"/>
  <c r="BN94" i="3"/>
  <c r="BP54" i="3"/>
  <c r="AA111" i="2"/>
  <c r="BO93" i="3"/>
  <c r="BP65" i="3"/>
  <c r="BE47" i="3"/>
  <c r="BI79" i="3"/>
  <c r="BF68" i="3"/>
  <c r="CL149" i="1" s="1"/>
  <c r="BJ66" i="3"/>
  <c r="BJ62" i="3"/>
  <c r="BJ79" i="3"/>
  <c r="BK49" i="3"/>
  <c r="FS5" i="4" a="1"/>
  <c r="GA13" i="4" a="1"/>
  <c r="GE7" i="4" a="1"/>
  <c r="GU11" i="4" a="1"/>
  <c r="GF6" i="4" a="1"/>
  <c r="GK5" i="4" a="1"/>
  <c r="GF5" i="4" a="1"/>
  <c r="GP5" i="4" a="1"/>
  <c r="FX11" i="4" a="1"/>
  <c r="GI8" i="4" a="1"/>
  <c r="HG8" i="4" a="1"/>
  <c r="GE11" i="4" a="1"/>
  <c r="GH12" i="4" a="1"/>
  <c r="GR13" i="4" a="1"/>
  <c r="GQ11" i="4" a="1"/>
  <c r="GS12" i="4" a="1"/>
  <c r="GQ12" i="4" a="1"/>
  <c r="FS15" i="4" a="1"/>
  <c r="FV9" i="4" a="1"/>
  <c r="HH11" i="4" a="1"/>
  <c r="GS15" i="4" a="1"/>
  <c r="GM16" i="4" a="1"/>
  <c r="BC77" i="3"/>
  <c r="BD59" i="3"/>
  <c r="BO49" i="3"/>
  <c r="BJ76" i="3"/>
  <c r="GH9" i="4" a="1"/>
  <c r="GJ9" i="4" a="1"/>
  <c r="GB12" i="4" a="1"/>
  <c r="GZ6" i="4" a="1"/>
  <c r="GV9" i="4" a="1"/>
  <c r="GX12" i="4" a="1"/>
  <c r="BG63" i="3"/>
  <c r="BA71" i="3"/>
  <c r="BH96" i="3"/>
  <c r="BM56" i="3"/>
  <c r="BG89" i="3"/>
  <c r="BM59" i="3"/>
  <c r="BB71" i="3"/>
  <c r="BG94" i="3"/>
  <c r="BP47" i="3"/>
  <c r="BI49" i="3"/>
  <c r="BB57" i="3"/>
  <c r="BQ47" i="3"/>
  <c r="BH88" i="3"/>
  <c r="BL62" i="3"/>
  <c r="BE86" i="3"/>
  <c r="BI70" i="3"/>
  <c r="BF49" i="3"/>
  <c r="CL88" i="1" s="1"/>
  <c r="BQ64" i="3"/>
  <c r="BR70" i="3"/>
  <c r="BV81" i="3"/>
  <c r="BO97" i="3"/>
  <c r="BO65" i="3"/>
  <c r="BS73" i="3"/>
  <c r="BS64" i="3"/>
  <c r="BU83" i="3"/>
  <c r="BU70" i="3"/>
  <c r="BR84" i="3"/>
  <c r="BV79" i="3"/>
  <c r="BV86" i="3"/>
  <c r="BT59" i="3"/>
  <c r="BT85" i="3"/>
  <c r="BN67" i="3"/>
  <c r="BN96" i="3"/>
  <c r="BP69" i="3"/>
  <c r="Y112" i="2"/>
  <c r="BO96" i="3"/>
  <c r="BG68" i="3"/>
  <c r="BE79" i="3"/>
  <c r="BI60" i="3"/>
  <c r="BF74" i="3"/>
  <c r="CL152" i="1" s="1"/>
  <c r="BJ70" i="3"/>
  <c r="BJ64" i="3"/>
  <c r="BJ83" i="3"/>
  <c r="BK66" i="3"/>
  <c r="BK65" i="3"/>
  <c r="FL5" i="4" a="1"/>
  <c r="FY8" i="4" a="1"/>
  <c r="FR9" i="4" a="1"/>
  <c r="FH14" i="4" a="1"/>
  <c r="GX7" i="4" a="1"/>
  <c r="FL9" i="4" a="1"/>
  <c r="GO12" i="4" a="1"/>
  <c r="HA6" i="4" a="1"/>
  <c r="GB6" i="4" a="1"/>
  <c r="GH11" i="4" a="1"/>
  <c r="GT5" i="4" a="1"/>
  <c r="FL6" i="4" a="1"/>
  <c r="GU6" i="4" a="1"/>
  <c r="GJ5" i="4" a="1"/>
  <c r="GW8" i="4" a="1"/>
  <c r="GF11" i="4" a="1"/>
  <c r="FK5" i="4" a="1"/>
  <c r="FJ8" i="4" a="1"/>
  <c r="GC9" i="4" a="1"/>
  <c r="GK14" i="4" a="1"/>
  <c r="GK11" i="4" a="1"/>
  <c r="GP12" i="4" a="1"/>
  <c r="GW13" i="4" a="1"/>
  <c r="GT11" i="4" a="1"/>
  <c r="GV12" i="4" a="1"/>
  <c r="GX13" i="4" a="1"/>
  <c r="HE14" i="4" a="1"/>
  <c r="HB12" i="4" a="1"/>
  <c r="GC15" i="4" a="1"/>
  <c r="HF15" i="4" a="1"/>
  <c r="GF16" i="4" a="1"/>
  <c r="HE7" i="4" a="1"/>
  <c r="HG9" i="4" a="1"/>
  <c r="GA14" i="4" a="1"/>
  <c r="GC13" i="4" a="1"/>
  <c r="GA12" i="4" a="1"/>
  <c r="HC14" i="4" a="1"/>
  <c r="GU15" i="4" a="1"/>
  <c r="FQ16" i="4" a="1"/>
  <c r="GO16" i="4" a="1"/>
  <c r="GY9" i="4" a="1"/>
  <c r="BC95" i="3"/>
  <c r="BC61" i="3"/>
  <c r="BC76" i="3"/>
  <c r="BD97" i="3"/>
  <c r="BD66" i="3"/>
  <c r="BC48" i="3"/>
  <c r="BJ59" i="3"/>
  <c r="BA84" i="3"/>
  <c r="BH70" i="3"/>
  <c r="BM73" i="3"/>
  <c r="BG83" i="3"/>
  <c r="BM90" i="3"/>
  <c r="BB56" i="3"/>
  <c r="BG77" i="3"/>
  <c r="BD82" i="3"/>
  <c r="BI69" i="3"/>
  <c r="BA80" i="3"/>
  <c r="BQ50" i="3"/>
  <c r="BH92" i="3"/>
  <c r="BL96" i="3"/>
  <c r="BE84" i="3"/>
  <c r="BI90" i="3"/>
  <c r="BF66" i="3"/>
  <c r="CL166" i="1" s="1"/>
  <c r="BQ71" i="3"/>
  <c r="BS90" i="3"/>
  <c r="BR81" i="3"/>
  <c r="BR80" i="3"/>
  <c r="BV54" i="3"/>
  <c r="BV92" i="3"/>
  <c r="BT67" i="3"/>
  <c r="BT87" i="3"/>
  <c r="BN95" i="3"/>
  <c r="BI91" i="3"/>
  <c r="BK73" i="3"/>
  <c r="BA67" i="3"/>
  <c r="BQ49" i="3"/>
  <c r="BK50" i="3"/>
  <c r="BN84" i="3"/>
  <c r="BE82" i="3"/>
  <c r="BF84" i="3"/>
  <c r="CL161" i="1" s="1"/>
  <c r="BB48" i="3"/>
  <c r="BH54" i="3"/>
  <c r="BD49" i="3"/>
  <c r="BI92" i="3"/>
  <c r="BA78" i="3"/>
  <c r="BQ57" i="3"/>
  <c r="BH82" i="3"/>
  <c r="BL82" i="3"/>
  <c r="BE80" i="3"/>
  <c r="BI57" i="3"/>
  <c r="BF93" i="3"/>
  <c r="BQ82" i="3"/>
  <c r="BR58" i="3"/>
  <c r="BT94" i="3"/>
  <c r="BO68" i="3"/>
  <c r="BO79" i="3"/>
  <c r="BS55" i="3"/>
  <c r="BF97" i="3"/>
  <c r="BU90" i="3"/>
  <c r="BR76" i="3"/>
  <c r="BR96" i="3"/>
  <c r="BV68" i="3"/>
  <c r="BV63" i="3"/>
  <c r="BT64" i="3"/>
  <c r="BT62" i="3"/>
  <c r="BN75" i="3"/>
  <c r="BN70" i="3"/>
  <c r="BP85" i="3"/>
  <c r="BO54" i="3"/>
  <c r="BS79" i="3"/>
  <c r="BG90" i="3"/>
  <c r="BE67" i="3"/>
  <c r="BM69" i="3"/>
  <c r="BF70" i="3"/>
  <c r="CL148" i="1" s="1"/>
  <c r="BJ96" i="3"/>
  <c r="BJ63" i="3"/>
  <c r="BK77" i="3"/>
  <c r="BK76" i="3"/>
  <c r="BK79" i="3"/>
  <c r="GN6" i="4" a="1"/>
  <c r="FI6" i="4" a="1"/>
  <c r="FW6" i="4" a="1"/>
  <c r="FY9" i="4" a="1"/>
  <c r="HG6" i="4" a="1"/>
  <c r="FM9" i="4" a="1"/>
  <c r="FW15" i="4" a="1"/>
  <c r="FK6" i="4" a="1"/>
  <c r="FP8" i="4" a="1"/>
  <c r="FU14" i="4" a="1"/>
  <c r="GP7" i="4" a="1"/>
  <c r="HC6" i="4" a="1"/>
  <c r="GD13" i="4" a="1"/>
  <c r="FZ7" i="4" a="1"/>
  <c r="FO9" i="4" a="1"/>
  <c r="GZ12" i="4" a="1"/>
  <c r="GY5" i="4" a="1"/>
  <c r="HF5" i="4" a="1"/>
  <c r="GD11" i="4" a="1"/>
  <c r="GW9" i="4" a="1"/>
  <c r="FG12" i="4" a="1"/>
  <c r="FI13" i="4" a="1"/>
  <c r="GI7" i="4" a="1"/>
  <c r="FH12" i="4" a="1"/>
  <c r="FO13" i="4" a="1"/>
  <c r="FT14" i="4" a="1"/>
  <c r="GT8" i="4" a="1"/>
  <c r="FJ14" i="4" a="1"/>
  <c r="GL15" i="4" a="1"/>
  <c r="FN16" i="4" a="1"/>
  <c r="GR16" i="4" a="1"/>
  <c r="GD14" i="4" a="1"/>
  <c r="FN12" i="4" a="1"/>
  <c r="HG14" i="4" a="1"/>
  <c r="FY15" i="4" a="1"/>
  <c r="GK13" i="4" a="1"/>
  <c r="GB15" i="4" a="1"/>
  <c r="HC15" i="4" a="1"/>
  <c r="FY16" i="4" a="1"/>
  <c r="GW16" i="4" a="1"/>
  <c r="GN13" i="4" a="1"/>
  <c r="BC63" i="3"/>
  <c r="BC86" i="3"/>
  <c r="BD47" i="3"/>
  <c r="BD91" i="3"/>
  <c r="BD68" i="3"/>
  <c r="Z112" i="2"/>
  <c r="BH71" i="3"/>
  <c r="BN91" i="3"/>
  <c r="BM89" i="3"/>
  <c r="BJ75" i="3"/>
  <c r="BK91" i="3"/>
  <c r="GE15" i="4" a="1"/>
  <c r="GL6" i="4" a="1"/>
  <c r="HH7" i="4" a="1"/>
  <c r="FJ15" i="4" a="1"/>
  <c r="GB13" i="4" a="1"/>
  <c r="HB16" i="4" a="1"/>
  <c r="GI16" i="4" a="1"/>
  <c r="HG16" i="4" a="1"/>
  <c r="BC88" i="3"/>
  <c r="BD74" i="3"/>
  <c r="BS61" i="3"/>
  <c r="BK97" i="3"/>
  <c r="GI13" i="4" a="1"/>
  <c r="BJ88" i="3"/>
  <c r="BB69" i="3"/>
  <c r="BH90" i="3"/>
  <c r="BR93" i="3"/>
  <c r="BU85" i="3"/>
  <c r="BT54" i="3"/>
  <c r="BG47" i="3"/>
  <c r="BK69" i="3"/>
  <c r="FT7" i="4" a="1"/>
  <c r="FS13" i="4" a="1"/>
  <c r="GN9" i="4" a="1"/>
  <c r="HC12" i="4" a="1"/>
  <c r="FN8" i="4" a="1"/>
  <c r="FS12" i="4" a="1"/>
  <c r="GL12" i="4" a="1"/>
  <c r="GQ16" i="4" a="1"/>
  <c r="BC97" i="3"/>
  <c r="BB93" i="3"/>
  <c r="GS16" i="4" a="1"/>
  <c r="BA65" i="3"/>
  <c r="BA63" i="3"/>
  <c r="BL74" i="3"/>
  <c r="BK87" i="3"/>
  <c r="GV6" i="4" a="1"/>
  <c r="GF13" i="4" a="1"/>
  <c r="FP13" i="4" a="1"/>
  <c r="BC80" i="3"/>
  <c r="BA55" i="3"/>
  <c r="BH55" i="3"/>
  <c r="BL80" i="3"/>
  <c r="BT61" i="3"/>
  <c r="BR49" i="3"/>
  <c r="BE65" i="3"/>
  <c r="GQ6" i="4" a="1"/>
  <c r="GD5" i="4" a="1"/>
  <c r="FN7" i="4" a="1"/>
  <c r="FU11" i="4" a="1"/>
  <c r="BD88" i="3"/>
  <c r="BE78" i="3"/>
  <c r="BO55" i="3"/>
  <c r="BN66" i="3"/>
  <c r="GX6" i="4" a="1"/>
  <c r="FK7" i="4" a="1"/>
  <c r="GO8" i="4" a="1"/>
  <c r="HB11" i="4" a="1"/>
  <c r="GF15" i="4" a="1"/>
  <c r="GJ11" i="4" a="1"/>
  <c r="FQ15" i="4" a="1"/>
  <c r="BD65" i="3"/>
  <c r="BJ57" i="3"/>
  <c r="GP16" i="4" a="1"/>
  <c r="BA81" i="3"/>
  <c r="BB74" i="3"/>
  <c r="BH80" i="3"/>
  <c r="BR50" i="3"/>
  <c r="BU89" i="3"/>
  <c r="BT60" i="3"/>
  <c r="BG84" i="3"/>
  <c r="BK82" i="3"/>
  <c r="GH8" i="4" a="1"/>
  <c r="GY13" i="4" a="1"/>
  <c r="FY12" i="4" a="1"/>
  <c r="HF12" i="4" a="1"/>
  <c r="FU13" i="4" a="1"/>
  <c r="FH13" i="4" a="1"/>
  <c r="HG12" i="4" a="1"/>
  <c r="BC62" i="3"/>
  <c r="BG57" i="3"/>
  <c r="BT74" i="3"/>
  <c r="BR86" i="3"/>
  <c r="BN80" i="3"/>
  <c r="BE58" i="3"/>
  <c r="FS6" i="4" a="1"/>
  <c r="FR5" i="4" a="1"/>
  <c r="HE6" i="4" a="1"/>
  <c r="FN14" i="4" a="1"/>
  <c r="GU16" i="4" a="1"/>
  <c r="BN54" i="3"/>
  <c r="BK62" i="3"/>
  <c r="FO7" i="4" a="1"/>
  <c r="HA13" i="4" a="1"/>
  <c r="FN15" i="4" a="1"/>
  <c r="GC11" i="4" a="1"/>
  <c r="BD56" i="3"/>
  <c r="BL90" i="3"/>
  <c r="BR77" i="3"/>
  <c r="BI61" i="3"/>
  <c r="BK47" i="3"/>
  <c r="GZ11" i="4" a="1"/>
  <c r="GM6" i="4" a="1"/>
  <c r="FW16" i="4" a="1"/>
  <c r="Y113" i="2"/>
  <c r="FH15" i="4" a="1"/>
  <c r="BK68" i="3"/>
  <c r="BD70" i="3"/>
  <c r="BE72" i="3"/>
  <c r="BO59" i="3"/>
  <c r="BR69" i="3"/>
  <c r="BN68" i="3"/>
  <c r="BI50" i="3"/>
  <c r="BK63" i="3"/>
  <c r="FT8" i="4" a="1"/>
  <c r="FW9" i="4" a="1"/>
  <c r="HA8" i="4" a="1"/>
  <c r="HG11" i="4" a="1"/>
  <c r="GH15" i="4" a="1"/>
  <c r="HE11" i="4" a="1"/>
  <c r="FU15" i="4" a="1"/>
  <c r="GY12" i="4" a="1"/>
  <c r="BD64" i="3"/>
  <c r="BC92" i="3"/>
  <c r="BN49" i="3"/>
  <c r="BI47" i="3"/>
  <c r="BV67" i="3"/>
  <c r="BF96" i="3"/>
  <c r="CL178" i="1" s="1"/>
  <c r="HD14" i="4" a="1"/>
  <c r="HH12" i="4" a="1"/>
  <c r="FG13" i="4" a="1"/>
  <c r="GQ14" i="4" a="1"/>
  <c r="BD80" i="3"/>
  <c r="BG65" i="3"/>
  <c r="BA66" i="3"/>
  <c r="BF80" i="3"/>
  <c r="CL174" i="1" s="1"/>
  <c r="BS59" i="3"/>
  <c r="BV94" i="3"/>
  <c r="BO48" i="3"/>
  <c r="BJ78" i="3"/>
  <c r="GU8" i="4" a="1"/>
  <c r="GU7" i="4" a="1"/>
  <c r="GK6" i="4" a="1"/>
  <c r="GV5" i="4" a="1"/>
  <c r="HC13" i="4" a="1"/>
  <c r="FH16" i="4" a="1"/>
  <c r="HB14" i="4" a="1"/>
  <c r="HA15" i="4" a="1"/>
  <c r="BC73" i="3"/>
  <c r="BD69" i="3"/>
  <c r="BG92" i="3"/>
  <c r="BA77" i="3"/>
  <c r="BF82" i="3"/>
  <c r="CL160" i="1" s="1"/>
  <c r="CL195" i="1" s="1"/>
  <c r="BS95" i="3"/>
  <c r="BV96" i="3"/>
  <c r="BO69" i="3"/>
  <c r="BJ80" i="3"/>
  <c r="GM5" i="4" a="1"/>
  <c r="GO5" i="4" a="1"/>
  <c r="FG7" i="4" a="1"/>
  <c r="FR8" i="4" a="1"/>
  <c r="FI14" i="4" a="1"/>
  <c r="FJ16" i="4" a="1"/>
  <c r="HE13" i="4" a="1"/>
  <c r="FS16" i="4" a="1"/>
  <c r="BC59" i="3"/>
  <c r="BM57" i="3"/>
  <c r="BQ54" i="3"/>
  <c r="BQ80" i="3"/>
  <c r="BS57" i="3"/>
  <c r="BT76" i="3"/>
  <c r="BS67" i="3"/>
  <c r="BJ94" i="3"/>
  <c r="GX9" i="4" a="1"/>
  <c r="HF8" i="4" a="1"/>
  <c r="FT6" i="4" a="1"/>
  <c r="GV11" i="4" a="1"/>
  <c r="FQ14" i="4" a="1"/>
  <c r="GL16" i="4" a="1"/>
  <c r="GI14" i="4" a="1"/>
  <c r="FU16" i="4" a="1"/>
  <c r="BC66" i="3"/>
  <c r="BM76" i="3"/>
  <c r="BQ55" i="3"/>
  <c r="BQ81" i="3"/>
  <c r="BF95" i="3"/>
  <c r="CL179" i="1" s="1"/>
  <c r="BT88" i="3"/>
  <c r="BS74" i="3"/>
  <c r="FR11" i="4" a="1"/>
  <c r="GR6" i="4" a="1"/>
  <c r="HD11" i="4" a="1"/>
  <c r="FY7" i="4" a="1"/>
  <c r="BC89" i="3"/>
  <c r="BM77" i="3"/>
  <c r="BI73" i="3"/>
  <c r="BI94" i="3"/>
  <c r="BO74" i="3"/>
  <c r="BV95" i="3"/>
  <c r="BP75" i="3"/>
  <c r="BF62" i="3"/>
  <c r="CL139" i="1" s="1"/>
  <c r="HG5" i="4" a="1"/>
  <c r="GC14" i="4" a="1"/>
  <c r="GG12" i="4" a="1"/>
  <c r="FH11" i="4" a="1"/>
  <c r="HD12" i="4" a="1"/>
  <c r="GJ15" i="4" a="1"/>
  <c r="GL14" i="4" a="1"/>
  <c r="GW15" i="4" a="1"/>
  <c r="BD77" i="3"/>
  <c r="BI80" i="3"/>
  <c r="BO77" i="3"/>
  <c r="BP79" i="3"/>
  <c r="FX6" i="4" a="1"/>
  <c r="FT11" i="4" a="1"/>
  <c r="HH15" i="4" a="1"/>
  <c r="GY15" i="4" a="1"/>
  <c r="BC75" i="3"/>
  <c r="CJ15" i="1" l="1"/>
  <c r="CO35" i="1"/>
  <c r="CS35" i="1" s="1"/>
  <c r="CH155" i="1"/>
  <c r="CI155" i="1" s="1"/>
  <c r="AA217" i="1"/>
  <c r="CL135" i="1"/>
  <c r="CL107" i="1" s="1"/>
  <c r="CL31" i="1"/>
  <c r="CK15" i="1"/>
  <c r="Z15" i="1"/>
  <c r="CL176" i="1"/>
  <c r="CL153" i="1"/>
  <c r="CL143" i="1"/>
  <c r="CL171" i="1"/>
  <c r="CL200" i="1" s="1"/>
  <c r="CL199" i="1" s="1"/>
  <c r="CL163" i="1"/>
  <c r="CH15" i="1"/>
  <c r="CG15" i="1"/>
  <c r="CJ155" i="1"/>
  <c r="JU16" i="4" s="1"/>
  <c r="CJ174" i="1"/>
  <c r="CJ164" i="1"/>
  <c r="CJ148" i="1"/>
  <c r="CK148" i="1" s="1"/>
  <c r="CM148" i="1" s="1"/>
  <c r="CN148" i="1" s="1"/>
  <c r="CO148" i="1" s="1"/>
  <c r="CP148" i="1" s="1"/>
  <c r="CJ132" i="1"/>
  <c r="KB16" i="4" s="1"/>
  <c r="CJ165" i="1"/>
  <c r="CJ142" i="1"/>
  <c r="CK142" i="1" s="1"/>
  <c r="CM142" i="1" s="1"/>
  <c r="CN142" i="1" s="1"/>
  <c r="CO142" i="1" s="1"/>
  <c r="CP142" i="1" s="1"/>
  <c r="CQ142" i="1" s="1"/>
  <c r="CR142" i="1" s="1"/>
  <c r="CS142" i="1" s="1"/>
  <c r="CT142" i="1" s="1"/>
  <c r="CU142" i="1" s="1"/>
  <c r="CV142" i="1" s="1"/>
  <c r="CW142" i="1" s="1"/>
  <c r="CX142" i="1" s="1"/>
  <c r="CY142" i="1" s="1"/>
  <c r="CZ142" i="1" s="1"/>
  <c r="DA142" i="1" s="1"/>
  <c r="DB142" i="1" s="1"/>
  <c r="KC16" i="4" s="1"/>
  <c r="KF16" i="4" s="1"/>
  <c r="CJ149" i="1"/>
  <c r="CK48" i="1" s="1"/>
  <c r="CJ169" i="1"/>
  <c r="JS9" i="4" s="1"/>
  <c r="CJ88" i="1"/>
  <c r="CJ160" i="1"/>
  <c r="CJ195" i="1" s="1"/>
  <c r="CK195" i="1" s="1"/>
  <c r="CJ166" i="1"/>
  <c r="KE9" i="4" s="1"/>
  <c r="JR9" i="4" s="1"/>
  <c r="JT9" i="4" s="1"/>
  <c r="X88" i="1"/>
  <c r="KD9" i="4" s="1"/>
  <c r="JZ9" i="4" s="1"/>
  <c r="KA16" i="4" s="1"/>
  <c r="CJ162" i="1"/>
  <c r="JY9" i="4" s="1"/>
  <c r="JS16" i="4" s="1"/>
  <c r="JX16" i="4" s="1"/>
  <c r="KE14" i="4" s="1"/>
  <c r="JS14" i="4" s="1"/>
  <c r="CJ167" i="1"/>
  <c r="JZ8" i="4" s="1"/>
  <c r="JV9" i="4" s="1"/>
  <c r="CK88" i="1"/>
  <c r="CG89" i="1"/>
  <c r="CJ140" i="1"/>
  <c r="CK140" i="1" s="1"/>
  <c r="CJ137" i="1"/>
  <c r="CK137" i="1" s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KG16" i="4" s="1"/>
  <c r="JY16" i="4" s="1"/>
  <c r="JQ16" i="4" s="1"/>
  <c r="JV16" i="4" s="1"/>
  <c r="JV21" i="4" s="1"/>
  <c r="JW9" i="4" s="1"/>
  <c r="KA9" i="4" s="1"/>
  <c r="JU9" i="4" s="1"/>
  <c r="CJ178" i="1"/>
  <c r="CK178" i="1" s="1"/>
  <c r="CM178" i="1" s="1"/>
  <c r="CN178" i="1" s="1"/>
  <c r="CO178" i="1" s="1"/>
  <c r="CP178" i="1" s="1"/>
  <c r="CQ178" i="1" s="1"/>
  <c r="CR178" i="1" s="1"/>
  <c r="CS178" i="1" s="1"/>
  <c r="CT178" i="1" s="1"/>
  <c r="CU178" i="1" s="1"/>
  <c r="CV178" i="1" s="1"/>
  <c r="CW178" i="1" s="1"/>
  <c r="JQ9" i="4" s="1"/>
  <c r="CJ141" i="1"/>
  <c r="CK141" i="1" s="1"/>
  <c r="CM141" i="1" s="1"/>
  <c r="CN141" i="1" s="1"/>
  <c r="CO141" i="1" s="1"/>
  <c r="CP141" i="1" s="1"/>
  <c r="CQ141" i="1" s="1"/>
  <c r="CR141" i="1" s="1"/>
  <c r="CS141" i="1" s="1"/>
  <c r="CT141" i="1" s="1"/>
  <c r="CU141" i="1" s="1"/>
  <c r="CV141" i="1" s="1"/>
  <c r="CW141" i="1" s="1"/>
  <c r="CX141" i="1" s="1"/>
  <c r="CY141" i="1" s="1"/>
  <c r="CZ141" i="1" s="1"/>
  <c r="DA141" i="1" s="1"/>
  <c r="DB141" i="1" s="1"/>
  <c r="CJ150" i="1"/>
  <c r="CK150" i="1" s="1"/>
  <c r="CM150" i="1" s="1"/>
  <c r="CN150" i="1" s="1"/>
  <c r="CO150" i="1" s="1"/>
  <c r="CP150" i="1" s="1"/>
  <c r="CQ150" i="1" s="1"/>
  <c r="CR150" i="1" s="1"/>
  <c r="CS150" i="1" s="1"/>
  <c r="CT150" i="1" s="1"/>
  <c r="CU150" i="1" s="1"/>
  <c r="CV150" i="1" s="1"/>
  <c r="CW150" i="1" s="1"/>
  <c r="CX150" i="1" s="1"/>
  <c r="CY150" i="1" s="1"/>
  <c r="CZ150" i="1" s="1"/>
  <c r="DA150" i="1" s="1"/>
  <c r="DB150" i="1" s="1"/>
  <c r="KA15" i="4" s="1"/>
  <c r="JQ14" i="4" s="1"/>
  <c r="KC9" i="4" s="1"/>
  <c r="CH89" i="1"/>
  <c r="KA8" i="4" s="1"/>
  <c r="CJ179" i="1"/>
  <c r="CK179" i="1" s="1"/>
  <c r="CM179" i="1" s="1"/>
  <c r="CN179" i="1" s="1"/>
  <c r="CO179" i="1" s="1"/>
  <c r="CP179" i="1" s="1"/>
  <c r="CQ179" i="1" s="1"/>
  <c r="CR179" i="1" s="1"/>
  <c r="CS179" i="1" s="1"/>
  <c r="CT179" i="1" s="1"/>
  <c r="CU179" i="1" s="1"/>
  <c r="CV179" i="1" s="1"/>
  <c r="CW179" i="1" s="1"/>
  <c r="CX179" i="1" s="1"/>
  <c r="CY179" i="1" s="1"/>
  <c r="CZ179" i="1" s="1"/>
  <c r="DA179" i="1" s="1"/>
  <c r="DB179" i="1" s="1"/>
  <c r="CJ134" i="1"/>
  <c r="CJ161" i="1"/>
  <c r="KD16" i="4" s="1"/>
  <c r="JV8" i="4" s="1"/>
  <c r="KF15" i="4" s="1"/>
  <c r="CJ159" i="1"/>
  <c r="CJ194" i="1" s="1"/>
  <c r="CK194" i="1" s="1"/>
  <c r="CJ133" i="1"/>
  <c r="CK133" i="1" s="1"/>
  <c r="CM133" i="1" s="1"/>
  <c r="CN133" i="1" s="1"/>
  <c r="CO133" i="1" s="1"/>
  <c r="CP133" i="1" s="1"/>
  <c r="CQ133" i="1" s="1"/>
  <c r="CR133" i="1" s="1"/>
  <c r="CS133" i="1" s="1"/>
  <c r="CT133" i="1" s="1"/>
  <c r="CU133" i="1" s="1"/>
  <c r="CV133" i="1" s="1"/>
  <c r="CW133" i="1" s="1"/>
  <c r="CX133" i="1" s="1"/>
  <c r="CY133" i="1" s="1"/>
  <c r="CZ133" i="1" s="1"/>
  <c r="DA133" i="1" s="1"/>
  <c r="DB133" i="1" s="1"/>
  <c r="JU14" i="4" s="1"/>
  <c r="KE16" i="4" s="1"/>
  <c r="KE21" i="4" s="1"/>
  <c r="JW16" i="4" s="1"/>
  <c r="JT16" i="4" s="1"/>
  <c r="KF9" i="4" s="1"/>
  <c r="CI88" i="1"/>
  <c r="KB9" i="4" s="1"/>
  <c r="Z89" i="1"/>
  <c r="CJ168" i="1"/>
  <c r="CJ198" i="1" s="1"/>
  <c r="CK198" i="1" s="1"/>
  <c r="Y89" i="1"/>
  <c r="CI89" i="1"/>
  <c r="KG9" i="4" s="1"/>
  <c r="Z88" i="1"/>
  <c r="CJ175" i="1"/>
  <c r="CK89" i="1"/>
  <c r="CJ157" i="1"/>
  <c r="CH88" i="1"/>
  <c r="KH16" i="4" s="1"/>
  <c r="KH21" i="4" s="1"/>
  <c r="JZ16" i="4" s="1"/>
  <c r="JZ21" i="4" s="1"/>
  <c r="JR16" i="4" s="1"/>
  <c r="KB14" i="4" s="1"/>
  <c r="KF14" i="4" s="1"/>
  <c r="JX9" i="4" s="1"/>
  <c r="KH9" i="4" s="1"/>
  <c r="CJ89" i="1"/>
  <c r="CJ170" i="1"/>
  <c r="CJ139" i="1"/>
  <c r="CK139" i="1" s="1"/>
  <c r="CG88" i="1"/>
  <c r="CG246" i="1"/>
  <c r="CG7" i="1"/>
  <c r="CI7" i="1"/>
  <c r="CI15" i="1"/>
  <c r="CK41" i="1"/>
  <c r="CK42" i="1" s="1"/>
  <c r="CK80" i="1"/>
  <c r="X194" i="1"/>
  <c r="X15" i="1"/>
  <c r="Y15" i="1"/>
  <c r="CK31" i="1"/>
  <c r="Z169" i="1"/>
  <c r="Y176" i="1"/>
  <c r="Z224" i="1" s="1"/>
  <c r="X268" i="1"/>
  <c r="X163" i="1"/>
  <c r="X197" i="1" s="1"/>
  <c r="Z176" i="1"/>
  <c r="AA224" i="1" s="1"/>
  <c r="X198" i="1"/>
  <c r="Y163" i="1"/>
  <c r="Y197" i="1" s="1"/>
  <c r="CH176" i="1"/>
  <c r="CI224" i="1" s="1"/>
  <c r="Z163" i="1"/>
  <c r="AA211" i="1" s="1"/>
  <c r="CK113" i="1"/>
  <c r="Y41" i="1"/>
  <c r="Y188" i="1"/>
  <c r="X25" i="1"/>
  <c r="X195" i="1"/>
  <c r="X267" i="1"/>
  <c r="Y149" i="1"/>
  <c r="CJ152" i="1"/>
  <c r="CJ158" i="1"/>
  <c r="Y194" i="1"/>
  <c r="X188" i="1"/>
  <c r="Y267" i="1"/>
  <c r="Y25" i="1"/>
  <c r="Y246" i="1"/>
  <c r="Y268" i="1"/>
  <c r="Y198" i="1"/>
  <c r="CH132" i="1"/>
  <c r="Z135" i="1"/>
  <c r="AA222" i="1" s="1"/>
  <c r="CH159" i="1"/>
  <c r="Z194" i="1"/>
  <c r="Z246" i="1"/>
  <c r="Z267" i="1"/>
  <c r="Z195" i="1"/>
  <c r="Z268" i="1"/>
  <c r="Z198" i="1"/>
  <c r="CH150" i="1"/>
  <c r="CI150" i="1" s="1"/>
  <c r="Z146" i="1"/>
  <c r="CH146" i="1" s="1"/>
  <c r="CG209" i="1"/>
  <c r="CG268" i="1"/>
  <c r="Y171" i="1"/>
  <c r="CH268" i="1"/>
  <c r="CG267" i="1"/>
  <c r="X149" i="1"/>
  <c r="CI246" i="1"/>
  <c r="CI25" i="1"/>
  <c r="CJ113" i="1"/>
  <c r="Y217" i="1"/>
  <c r="Y195" i="1"/>
  <c r="CG25" i="1"/>
  <c r="CK26" i="1" s="1"/>
  <c r="Z188" i="1"/>
  <c r="Z25" i="1"/>
  <c r="X171" i="1"/>
  <c r="Y135" i="1"/>
  <c r="X143" i="1"/>
  <c r="X176" i="1"/>
  <c r="X135" i="1"/>
  <c r="X190" i="1" s="1"/>
  <c r="Y143" i="1"/>
  <c r="Z41" i="1"/>
  <c r="X41" i="1"/>
  <c r="CI147" i="1"/>
  <c r="CJ147" i="1" s="1"/>
  <c r="CH267" i="1"/>
  <c r="CJ41" i="1"/>
  <c r="CI143" i="1"/>
  <c r="CG41" i="1"/>
  <c r="CH25" i="1"/>
  <c r="CH41" i="1"/>
  <c r="CI267" i="1"/>
  <c r="CJ268" i="1"/>
  <c r="CH246" i="1"/>
  <c r="CJ246" i="1"/>
  <c r="CI268" i="1"/>
  <c r="CH195" i="1"/>
  <c r="CI195" i="1" s="1"/>
  <c r="CH198" i="1"/>
  <c r="CI198" i="1" s="1"/>
  <c r="CJ267" i="1"/>
  <c r="CJ25" i="1"/>
  <c r="Y88" i="1"/>
  <c r="X89" i="1"/>
  <c r="Z217" i="1"/>
  <c r="CI41" i="1"/>
  <c r="CI80" i="1"/>
  <c r="CJ209" i="1"/>
  <c r="Z143" i="1"/>
  <c r="CH80" i="1"/>
  <c r="CG80" i="1"/>
  <c r="CI217" i="1"/>
  <c r="CJ80" i="1"/>
  <c r="CH143" i="1"/>
  <c r="JP15" i="4"/>
  <c r="JP14" i="4"/>
  <c r="JP8" i="4"/>
  <c r="JP7" i="4"/>
  <c r="CM139" i="1"/>
  <c r="CW35" i="1"/>
  <c r="DA35" i="1" s="1"/>
  <c r="JP21" i="4"/>
  <c r="CJ92" i="1" s="1"/>
  <c r="JO21" i="4"/>
  <c r="CI92" i="1" s="1"/>
  <c r="JO7" i="4"/>
  <c r="JO15" i="4"/>
  <c r="JO14" i="4"/>
  <c r="JO8" i="4"/>
  <c r="JN21" i="4"/>
  <c r="CH92" i="1" s="1"/>
  <c r="JN15" i="4"/>
  <c r="JN14" i="4"/>
  <c r="JN7" i="4"/>
  <c r="JN8" i="4"/>
  <c r="CB28" i="1"/>
  <c r="KG21" i="4" l="1"/>
  <c r="AA26" i="1"/>
  <c r="AA203" i="1"/>
  <c r="AA221" i="1"/>
  <c r="AA220" i="1" s="1"/>
  <c r="AA264" i="1"/>
  <c r="CL259" i="1"/>
  <c r="KE15" i="4"/>
  <c r="JW7" i="4"/>
  <c r="JU21" i="4"/>
  <c r="JT14" i="4"/>
  <c r="CJ176" i="1"/>
  <c r="CK224" i="1" s="1"/>
  <c r="KC14" i="4"/>
  <c r="JZ15" i="4"/>
  <c r="JQ15" i="4"/>
  <c r="JS15" i="4"/>
  <c r="JR15" i="4"/>
  <c r="JR20" i="4" s="1"/>
  <c r="CL94" i="1" s="1"/>
  <c r="JY15" i="4"/>
  <c r="JX15" i="4"/>
  <c r="KA14" i="4"/>
  <c r="JW8" i="4"/>
  <c r="JU15" i="4"/>
  <c r="JY21" i="4"/>
  <c r="JX21" i="4"/>
  <c r="JZ14" i="4"/>
  <c r="JY14" i="4"/>
  <c r="JW21" i="4"/>
  <c r="KB15" i="4"/>
  <c r="JW14" i="4"/>
  <c r="KG7" i="4"/>
  <c r="KE7" i="4"/>
  <c r="KE19" i="4" s="1"/>
  <c r="KD15" i="4"/>
  <c r="JX7" i="4"/>
  <c r="KH7" i="4"/>
  <c r="JQ8" i="4"/>
  <c r="CL240" i="1"/>
  <c r="JS7" i="4"/>
  <c r="KC21" i="4"/>
  <c r="KF21" i="4"/>
  <c r="JW15" i="4"/>
  <c r="JT8" i="4"/>
  <c r="KH15" i="4"/>
  <c r="JR8" i="4"/>
  <c r="JY7" i="4"/>
  <c r="JV14" i="4"/>
  <c r="JV7" i="4"/>
  <c r="CL26" i="1"/>
  <c r="CL203" i="1"/>
  <c r="CL32" i="1"/>
  <c r="CL43" i="1"/>
  <c r="CL263" i="1"/>
  <c r="CL261" i="1"/>
  <c r="CL183" i="1"/>
  <c r="CL124" i="1" s="1"/>
  <c r="CL144" i="1"/>
  <c r="CL172" i="1"/>
  <c r="CL180" i="1" s="1"/>
  <c r="CL197" i="1"/>
  <c r="KD8" i="4"/>
  <c r="KG14" i="4"/>
  <c r="KG19" i="4" s="1"/>
  <c r="JQ21" i="4"/>
  <c r="CK92" i="1" s="1"/>
  <c r="KA21" i="4"/>
  <c r="KH8" i="4"/>
  <c r="CK43" i="1"/>
  <c r="KA7" i="4"/>
  <c r="KA19" i="4" s="1"/>
  <c r="KD14" i="4"/>
  <c r="JY8" i="4"/>
  <c r="JY20" i="4" s="1"/>
  <c r="KE8" i="4"/>
  <c r="KE20" i="4" s="1"/>
  <c r="JX8" i="4"/>
  <c r="KD21" i="4"/>
  <c r="KC15" i="4"/>
  <c r="JS8" i="4"/>
  <c r="JS20" i="4" s="1"/>
  <c r="JU8" i="4"/>
  <c r="JU20" i="4" s="1"/>
  <c r="JZ7" i="4"/>
  <c r="KG15" i="4"/>
  <c r="JT21" i="4"/>
  <c r="KB21" i="4"/>
  <c r="JR21" i="4"/>
  <c r="CL92" i="1" s="1"/>
  <c r="JT15" i="4"/>
  <c r="JT20" i="4" s="1"/>
  <c r="KB7" i="4"/>
  <c r="KB19" i="4" s="1"/>
  <c r="KC7" i="4"/>
  <c r="JQ7" i="4"/>
  <c r="JU7" i="4"/>
  <c r="JU19" i="4" s="1"/>
  <c r="CJ146" i="1"/>
  <c r="CK146" i="1" s="1"/>
  <c r="CJ171" i="1"/>
  <c r="CJ200" i="1" s="1"/>
  <c r="CJ199" i="1" s="1"/>
  <c r="CK199" i="1" s="1"/>
  <c r="CJ217" i="1"/>
  <c r="CK155" i="1"/>
  <c r="CK132" i="1"/>
  <c r="CM132" i="1" s="1"/>
  <c r="CN132" i="1" s="1"/>
  <c r="CO132" i="1" s="1"/>
  <c r="CP132" i="1" s="1"/>
  <c r="CQ132" i="1" s="1"/>
  <c r="CR132" i="1" s="1"/>
  <c r="CS132" i="1" s="1"/>
  <c r="CT132" i="1" s="1"/>
  <c r="CU132" i="1" s="1"/>
  <c r="CV132" i="1" s="1"/>
  <c r="CW132" i="1" s="1"/>
  <c r="CX132" i="1" s="1"/>
  <c r="CJ135" i="1"/>
  <c r="CK32" i="1"/>
  <c r="CL34" i="1"/>
  <c r="CH169" i="1"/>
  <c r="CH171" i="1" s="1"/>
  <c r="CH200" i="1" s="1"/>
  <c r="Z171" i="1"/>
  <c r="AA212" i="1" s="1"/>
  <c r="AA213" i="1" s="1"/>
  <c r="AA214" i="1" s="1"/>
  <c r="CK114" i="1"/>
  <c r="KF8" i="4"/>
  <c r="KF20" i="4" s="1"/>
  <c r="JR14" i="4"/>
  <c r="JR19" i="4" s="1"/>
  <c r="CL93" i="1" s="1"/>
  <c r="KD7" i="4"/>
  <c r="KC8" i="4"/>
  <c r="KG8" i="4"/>
  <c r="JS21" i="4"/>
  <c r="KF7" i="4"/>
  <c r="KF19" i="4" s="1"/>
  <c r="JT7" i="4"/>
  <c r="JT19" i="4" s="1"/>
  <c r="JR7" i="4"/>
  <c r="KH14" i="4"/>
  <c r="KH19" i="4" s="1"/>
  <c r="JV15" i="4"/>
  <c r="JV20" i="4" s="1"/>
  <c r="KB8" i="4"/>
  <c r="JX14" i="4"/>
  <c r="JX19" i="4" s="1"/>
  <c r="CJ143" i="1"/>
  <c r="CJ163" i="1"/>
  <c r="CJ197" i="1" s="1"/>
  <c r="CI31" i="1"/>
  <c r="CK27" i="1"/>
  <c r="Y211" i="1"/>
  <c r="X42" i="1"/>
  <c r="X172" i="1"/>
  <c r="Z211" i="1"/>
  <c r="Z149" i="1"/>
  <c r="Z48" i="1" s="1"/>
  <c r="Z197" i="1"/>
  <c r="Z196" i="1" s="1"/>
  <c r="JV19" i="4"/>
  <c r="KA20" i="4"/>
  <c r="Z42" i="1"/>
  <c r="CH163" i="1"/>
  <c r="CH194" i="1"/>
  <c r="CI194" i="1" s="1"/>
  <c r="X113" i="1"/>
  <c r="X31" i="1"/>
  <c r="Y153" i="1"/>
  <c r="Y48" i="1"/>
  <c r="Y203" i="1"/>
  <c r="Y42" i="1"/>
  <c r="Y26" i="1"/>
  <c r="Y113" i="1"/>
  <c r="Y31" i="1"/>
  <c r="CK152" i="1"/>
  <c r="CM152" i="1" s="1"/>
  <c r="CN152" i="1" s="1"/>
  <c r="CO152" i="1" s="1"/>
  <c r="CP152" i="1" s="1"/>
  <c r="CQ152" i="1" s="1"/>
  <c r="CR152" i="1" s="1"/>
  <c r="CS152" i="1" s="1"/>
  <c r="CT152" i="1" s="1"/>
  <c r="CU152" i="1" s="1"/>
  <c r="CV152" i="1" s="1"/>
  <c r="CW152" i="1" s="1"/>
  <c r="CX152" i="1" s="1"/>
  <c r="CY152" i="1" s="1"/>
  <c r="CZ152" i="1" s="1"/>
  <c r="DA152" i="1" s="1"/>
  <c r="DB152" i="1" s="1"/>
  <c r="CJ153" i="1"/>
  <c r="CI132" i="1"/>
  <c r="CH135" i="1"/>
  <c r="CH107" i="1" s="1"/>
  <c r="CH109" i="1" s="1"/>
  <c r="Z190" i="1"/>
  <c r="Z263" i="1"/>
  <c r="AB148" i="1"/>
  <c r="CQ148" i="1"/>
  <c r="CR148" i="1" s="1"/>
  <c r="CS148" i="1" s="1"/>
  <c r="CT148" i="1" s="1"/>
  <c r="CG42" i="1"/>
  <c r="CG31" i="1"/>
  <c r="CK33" i="1" s="1"/>
  <c r="X144" i="1"/>
  <c r="CI42" i="1"/>
  <c r="Y196" i="1"/>
  <c r="Y200" i="1"/>
  <c r="Y172" i="1"/>
  <c r="X153" i="1"/>
  <c r="X48" i="1"/>
  <c r="X263" i="1"/>
  <c r="Y224" i="1"/>
  <c r="KC19" i="4"/>
  <c r="Z203" i="1"/>
  <c r="Z26" i="1"/>
  <c r="Z31" i="1"/>
  <c r="AA33" i="1" s="1"/>
  <c r="Z113" i="1"/>
  <c r="Y190" i="1"/>
  <c r="Y263" i="1"/>
  <c r="X52" i="1"/>
  <c r="X183" i="1"/>
  <c r="X124" i="1" s="1"/>
  <c r="JQ19" i="4"/>
  <c r="CK93" i="1" s="1"/>
  <c r="CI221" i="1"/>
  <c r="X200" i="1"/>
  <c r="Y212" i="1"/>
  <c r="JZ20" i="4"/>
  <c r="Y264" i="1"/>
  <c r="Y221" i="1"/>
  <c r="Y183" i="1"/>
  <c r="Y124" i="1" s="1"/>
  <c r="CK143" i="1"/>
  <c r="JS19" i="4"/>
  <c r="Y52" i="1"/>
  <c r="Y144" i="1"/>
  <c r="Z183" i="1"/>
  <c r="Z124" i="1" s="1"/>
  <c r="Z221" i="1"/>
  <c r="CI27" i="1"/>
  <c r="CJ31" i="1"/>
  <c r="CK34" i="1" s="1"/>
  <c r="CJ114" i="1"/>
  <c r="CJ117" i="1" s="1"/>
  <c r="CH42" i="1"/>
  <c r="CJ240" i="1"/>
  <c r="CJ27" i="1"/>
  <c r="CJ42" i="1"/>
  <c r="CH31" i="1"/>
  <c r="CL33" i="1" s="1"/>
  <c r="CH27" i="1"/>
  <c r="Z144" i="1"/>
  <c r="Z52" i="1"/>
  <c r="Z264" i="1"/>
  <c r="CH183" i="1"/>
  <c r="CI264" i="1"/>
  <c r="CI146" i="1"/>
  <c r="CI149" i="1" s="1"/>
  <c r="CJ48" i="1" s="1"/>
  <c r="CH149" i="1"/>
  <c r="X196" i="1"/>
  <c r="CM194" i="1"/>
  <c r="CN139" i="1"/>
  <c r="CM195" i="1"/>
  <c r="CM198" i="1"/>
  <c r="CX178" i="1"/>
  <c r="JP20" i="4"/>
  <c r="CJ94" i="1" s="1"/>
  <c r="JP19" i="4"/>
  <c r="CJ93" i="1" s="1"/>
  <c r="JO19" i="4"/>
  <c r="CI93" i="1" s="1"/>
  <c r="JO20" i="4"/>
  <c r="CI94" i="1" s="1"/>
  <c r="JN20" i="4"/>
  <c r="CH94" i="1" s="1"/>
  <c r="JN19" i="4"/>
  <c r="CH93" i="1" s="1"/>
  <c r="KB20" i="4" l="1"/>
  <c r="KH20" i="4"/>
  <c r="JY19" i="4"/>
  <c r="JW19" i="4"/>
  <c r="KD20" i="4"/>
  <c r="JQ20" i="4"/>
  <c r="CK94" i="1" s="1"/>
  <c r="CH199" i="1"/>
  <c r="CI199" i="1" s="1"/>
  <c r="JZ19" i="4"/>
  <c r="JW20" i="4"/>
  <c r="JX20" i="4"/>
  <c r="CL181" i="1"/>
  <c r="CJ144" i="1"/>
  <c r="CK117" i="1"/>
  <c r="KD19" i="4"/>
  <c r="KC20" i="4"/>
  <c r="KG20" i="4"/>
  <c r="CL247" i="1"/>
  <c r="CL248" i="1" s="1"/>
  <c r="CL265" i="1"/>
  <c r="CL49" i="1"/>
  <c r="CL53" i="1" s="1"/>
  <c r="CL44" i="1"/>
  <c r="CL196" i="1"/>
  <c r="CL201" i="1"/>
  <c r="CL117" i="1"/>
  <c r="CL109" i="1"/>
  <c r="CL46" i="1"/>
  <c r="CK49" i="1"/>
  <c r="CK53" i="1" s="1"/>
  <c r="CK44" i="1"/>
  <c r="CL217" i="1"/>
  <c r="CK217" i="1"/>
  <c r="CJ107" i="1"/>
  <c r="CJ263" i="1"/>
  <c r="Z200" i="1"/>
  <c r="Z172" i="1"/>
  <c r="Z212" i="1"/>
  <c r="Z213" i="1" s="1"/>
  <c r="CL118" i="1"/>
  <c r="CL122" i="1"/>
  <c r="CL125" i="1" s="1"/>
  <c r="CL110" i="1"/>
  <c r="CI32" i="1"/>
  <c r="CI43" i="1"/>
  <c r="CL264" i="1"/>
  <c r="CL221" i="1"/>
  <c r="CL119" i="1"/>
  <c r="CL111" i="1"/>
  <c r="CL123" i="1"/>
  <c r="CL126" i="1" s="1"/>
  <c r="CJ221" i="1"/>
  <c r="CJ172" i="1"/>
  <c r="CJ180" i="1" s="1"/>
  <c r="CJ181" i="1" s="1"/>
  <c r="CJ264" i="1"/>
  <c r="Z153" i="1"/>
  <c r="Y213" i="1"/>
  <c r="X180" i="1"/>
  <c r="X181" i="1" s="1"/>
  <c r="X261" i="1"/>
  <c r="Y180" i="1"/>
  <c r="Y181" i="1" s="1"/>
  <c r="CH197" i="1"/>
  <c r="CH172" i="1"/>
  <c r="CK119" i="1"/>
  <c r="CK123" i="1"/>
  <c r="CK118" i="1"/>
  <c r="CK122" i="1"/>
  <c r="CM42" i="1"/>
  <c r="Y33" i="1"/>
  <c r="X43" i="1"/>
  <c r="X32" i="1"/>
  <c r="Y261" i="1"/>
  <c r="Y259" i="1"/>
  <c r="Y43" i="1"/>
  <c r="Y32" i="1"/>
  <c r="CJ259" i="1"/>
  <c r="CJ261" i="1"/>
  <c r="CH263" i="1"/>
  <c r="CH144" i="1"/>
  <c r="CU148" i="1"/>
  <c r="CV148" i="1" s="1"/>
  <c r="CW148" i="1" s="1"/>
  <c r="CX148" i="1" s="1"/>
  <c r="AC148" i="1"/>
  <c r="X259" i="1"/>
  <c r="Y218" i="1"/>
  <c r="Y216" i="1" s="1"/>
  <c r="Z33" i="1"/>
  <c r="Z32" i="1"/>
  <c r="Z43" i="1"/>
  <c r="CH111" i="1"/>
  <c r="CG43" i="1"/>
  <c r="CG32" i="1"/>
  <c r="CK200" i="1"/>
  <c r="Y199" i="1"/>
  <c r="Y201" i="1"/>
  <c r="CI200" i="1"/>
  <c r="CI167" i="1"/>
  <c r="CM155" i="1"/>
  <c r="CJ196" i="1"/>
  <c r="CK196" i="1" s="1"/>
  <c r="CJ201" i="1"/>
  <c r="CH110" i="1"/>
  <c r="CI34" i="1"/>
  <c r="CH32" i="1"/>
  <c r="X199" i="1"/>
  <c r="X201" i="1"/>
  <c r="CM140" i="1"/>
  <c r="CJ34" i="1"/>
  <c r="CJ43" i="1"/>
  <c r="CK46" i="1" s="1"/>
  <c r="CJ32" i="1"/>
  <c r="CK221" i="1"/>
  <c r="CK264" i="1"/>
  <c r="CH43" i="1"/>
  <c r="CL45" i="1" s="1"/>
  <c r="CH34" i="1"/>
  <c r="CI52" i="1"/>
  <c r="CH124" i="1"/>
  <c r="CI153" i="1"/>
  <c r="CJ218" i="1" s="1"/>
  <c r="CJ216" i="1" s="1"/>
  <c r="CI48" i="1"/>
  <c r="CH153" i="1"/>
  <c r="CJ123" i="1"/>
  <c r="CJ119" i="1"/>
  <c r="CH123" i="1"/>
  <c r="CI122" i="1"/>
  <c r="CH122" i="1"/>
  <c r="CI123" i="1"/>
  <c r="CJ122" i="1"/>
  <c r="CJ118" i="1"/>
  <c r="CN195" i="1"/>
  <c r="CO139" i="1"/>
  <c r="CN198" i="1"/>
  <c r="CN194" i="1"/>
  <c r="CY132" i="1"/>
  <c r="CY178" i="1"/>
  <c r="Z218" i="1" l="1"/>
  <c r="Z216" i="1" s="1"/>
  <c r="AA218" i="1"/>
  <c r="AA216" i="1" s="1"/>
  <c r="AA45" i="1"/>
  <c r="AA265" i="1"/>
  <c r="AA266" i="1" s="1"/>
  <c r="CK55" i="1"/>
  <c r="CK56" i="1"/>
  <c r="CJ109" i="1"/>
  <c r="CJ111" i="1"/>
  <c r="CJ110" i="1"/>
  <c r="Z201" i="1"/>
  <c r="AA204" i="1" s="1"/>
  <c r="AA205" i="1" s="1"/>
  <c r="Z199" i="1"/>
  <c r="CI49" i="1"/>
  <c r="CL70" i="1" s="1"/>
  <c r="CI247" i="1"/>
  <c r="CI248" i="1" s="1"/>
  <c r="CI44" i="1"/>
  <c r="CL55" i="1"/>
  <c r="CL56" i="1"/>
  <c r="CL241" i="1"/>
  <c r="CL127" i="1"/>
  <c r="CL266" i="1"/>
  <c r="Z259" i="1"/>
  <c r="Z261" i="1"/>
  <c r="Z180" i="1"/>
  <c r="Z181" i="1" s="1"/>
  <c r="Z44" i="1"/>
  <c r="Z247" i="1"/>
  <c r="Z248" i="1" s="1"/>
  <c r="CH201" i="1"/>
  <c r="CL204" i="1" s="1"/>
  <c r="CH196" i="1"/>
  <c r="CI196" i="1" s="1"/>
  <c r="Y204" i="1"/>
  <c r="Y205" i="1" s="1"/>
  <c r="Z49" i="1"/>
  <c r="Z127" i="1"/>
  <c r="CG44" i="1"/>
  <c r="CG49" i="1"/>
  <c r="CG53" i="1" s="1"/>
  <c r="CG247" i="1"/>
  <c r="CG248" i="1" s="1"/>
  <c r="CK45" i="1"/>
  <c r="CI265" i="1"/>
  <c r="CI266" i="1" s="1"/>
  <c r="CK127" i="1"/>
  <c r="Z204" i="1"/>
  <c r="Z205" i="1" s="1"/>
  <c r="X247" i="1"/>
  <c r="X248" i="1" s="1"/>
  <c r="X49" i="1"/>
  <c r="X127" i="1"/>
  <c r="X44" i="1"/>
  <c r="Y45" i="1"/>
  <c r="Z265" i="1"/>
  <c r="Z266" i="1" s="1"/>
  <c r="Y265" i="1"/>
  <c r="Y266" i="1" s="1"/>
  <c r="Y127" i="1"/>
  <c r="Y44" i="1"/>
  <c r="Y247" i="1"/>
  <c r="Y248" i="1" s="1"/>
  <c r="Z45" i="1"/>
  <c r="Y49" i="1"/>
  <c r="CM32" i="1"/>
  <c r="CY148" i="1"/>
  <c r="CZ148" i="1" s="1"/>
  <c r="DA148" i="1" s="1"/>
  <c r="DB148" i="1" s="1"/>
  <c r="AE148" i="1" s="1"/>
  <c r="AD148" i="1"/>
  <c r="CM217" i="1"/>
  <c r="CN155" i="1"/>
  <c r="CK197" i="1"/>
  <c r="CK201" i="1" s="1"/>
  <c r="CM199" i="1"/>
  <c r="CJ46" i="1"/>
  <c r="CJ265" i="1"/>
  <c r="CJ266" i="1" s="1"/>
  <c r="CJ247" i="1"/>
  <c r="CJ248" i="1" s="1"/>
  <c r="CH44" i="1"/>
  <c r="CH49" i="1"/>
  <c r="CH53" i="1" s="1"/>
  <c r="CH46" i="1"/>
  <c r="CH265" i="1"/>
  <c r="CI46" i="1"/>
  <c r="CH247" i="1"/>
  <c r="CH248" i="1" s="1"/>
  <c r="CJ241" i="1"/>
  <c r="CJ127" i="1"/>
  <c r="CJ44" i="1"/>
  <c r="CJ49" i="1"/>
  <c r="CJ53" i="1" s="1"/>
  <c r="CN140" i="1"/>
  <c r="CM143" i="1"/>
  <c r="CM264" i="1" s="1"/>
  <c r="CI218" i="1"/>
  <c r="CI216" i="1" s="1"/>
  <c r="CH125" i="1"/>
  <c r="CH126" i="1"/>
  <c r="CK209" i="1"/>
  <c r="CK147" i="1"/>
  <c r="CH261" i="1"/>
  <c r="CH180" i="1"/>
  <c r="CH181" i="1" s="1"/>
  <c r="CN42" i="1"/>
  <c r="CO42" i="1" s="1"/>
  <c r="CP139" i="1"/>
  <c r="CO194" i="1"/>
  <c r="CO195" i="1"/>
  <c r="CO198" i="1"/>
  <c r="CZ178" i="1"/>
  <c r="CZ132" i="1"/>
  <c r="CM60" i="1"/>
  <c r="CN60" i="1" s="1"/>
  <c r="CO60" i="1" s="1"/>
  <c r="CP60" i="1" s="1"/>
  <c r="CQ60" i="1" s="1"/>
  <c r="CR60" i="1" s="1"/>
  <c r="CS60" i="1" s="1"/>
  <c r="CT60" i="1" s="1"/>
  <c r="CU60" i="1" s="1"/>
  <c r="CM61" i="1"/>
  <c r="AA228" i="1" l="1"/>
  <c r="AA225" i="1"/>
  <c r="AA226" i="1" s="1"/>
  <c r="CI53" i="1"/>
  <c r="CK57" i="1"/>
  <c r="CK63" i="1"/>
  <c r="CI55" i="1"/>
  <c r="CL59" i="1"/>
  <c r="CL249" i="1"/>
  <c r="CL63" i="1"/>
  <c r="CL57" i="1"/>
  <c r="CL260" i="1" s="1"/>
  <c r="CL129" i="1"/>
  <c r="CL128" i="1"/>
  <c r="CK149" i="1"/>
  <c r="CL147" i="1"/>
  <c r="CL146" i="1" s="1"/>
  <c r="Z53" i="1"/>
  <c r="Z56" i="1" s="1"/>
  <c r="AA58" i="1" s="1"/>
  <c r="Z70" i="1"/>
  <c r="CG56" i="1"/>
  <c r="CK58" i="1" s="1"/>
  <c r="CG55" i="1"/>
  <c r="X53" i="1"/>
  <c r="X55" i="1" s="1"/>
  <c r="X70" i="1"/>
  <c r="Y70" i="1"/>
  <c r="Y53" i="1"/>
  <c r="Y55" i="1" s="1"/>
  <c r="CI161" i="1"/>
  <c r="CI197" i="1"/>
  <c r="CN217" i="1"/>
  <c r="CO155" i="1"/>
  <c r="CH55" i="1"/>
  <c r="CH56" i="1"/>
  <c r="CL58" i="1" s="1"/>
  <c r="CJ56" i="1"/>
  <c r="CJ55" i="1"/>
  <c r="CN199" i="1"/>
  <c r="CM200" i="1"/>
  <c r="CM196" i="1"/>
  <c r="CO140" i="1"/>
  <c r="CN143" i="1"/>
  <c r="CN264" i="1" s="1"/>
  <c r="CM221" i="1"/>
  <c r="CP42" i="1"/>
  <c r="CQ42" i="1" s="1"/>
  <c r="CR42" i="1" s="1"/>
  <c r="CS42" i="1" s="1"/>
  <c r="CN32" i="1"/>
  <c r="CP198" i="1"/>
  <c r="CP195" i="1"/>
  <c r="CP194" i="1"/>
  <c r="CQ139" i="1"/>
  <c r="DA132" i="1"/>
  <c r="DA178" i="1"/>
  <c r="CE80" i="1"/>
  <c r="AB60" i="1"/>
  <c r="AC60" i="1"/>
  <c r="CV60" i="1"/>
  <c r="CW60" i="1" s="1"/>
  <c r="CX60" i="1" s="1"/>
  <c r="CY60" i="1" s="1"/>
  <c r="AB50" i="1"/>
  <c r="CN61" i="1"/>
  <c r="CO61" i="1" s="1"/>
  <c r="CP61" i="1" s="1"/>
  <c r="CQ61" i="1" s="1"/>
  <c r="CI56" i="1" l="1"/>
  <c r="CK67" i="1"/>
  <c r="CK81" i="1"/>
  <c r="CL48" i="1"/>
  <c r="CM48" i="1" s="1"/>
  <c r="CN48" i="1" s="1"/>
  <c r="CO48" i="1" s="1"/>
  <c r="CP48" i="1" s="1"/>
  <c r="CQ48" i="1" s="1"/>
  <c r="CR48" i="1" s="1"/>
  <c r="CS48" i="1" s="1"/>
  <c r="CT48" i="1" s="1"/>
  <c r="CU48" i="1" s="1"/>
  <c r="CV48" i="1" s="1"/>
  <c r="CW48" i="1" s="1"/>
  <c r="CX48" i="1" s="1"/>
  <c r="CY48" i="1" s="1"/>
  <c r="CZ48" i="1" s="1"/>
  <c r="DA48" i="1" s="1"/>
  <c r="DB48" i="1" s="1"/>
  <c r="CK153" i="1"/>
  <c r="CK218" i="1" s="1"/>
  <c r="CK216" i="1" s="1"/>
  <c r="CL67" i="1"/>
  <c r="CL208" i="1"/>
  <c r="CL210" i="1" s="1"/>
  <c r="CL81" i="1"/>
  <c r="CM146" i="1"/>
  <c r="CN146" i="1" s="1"/>
  <c r="CO146" i="1" s="1"/>
  <c r="CP146" i="1" s="1"/>
  <c r="CL218" i="1"/>
  <c r="CL216" i="1" s="1"/>
  <c r="X56" i="1"/>
  <c r="X249" i="1" s="1"/>
  <c r="Z55" i="1"/>
  <c r="CG57" i="1"/>
  <c r="CG260" i="1" s="1"/>
  <c r="CG63" i="1"/>
  <c r="CG208" i="1" s="1"/>
  <c r="CG210" i="1" s="1"/>
  <c r="CG249" i="1"/>
  <c r="Y56" i="1"/>
  <c r="Y57" i="1" s="1"/>
  <c r="Y260" i="1" s="1"/>
  <c r="CM55" i="1"/>
  <c r="CN55" i="1" s="1"/>
  <c r="CP155" i="1"/>
  <c r="CP217" i="1" s="1"/>
  <c r="CO217" i="1"/>
  <c r="CJ242" i="1"/>
  <c r="CI59" i="1"/>
  <c r="CJ59" i="1"/>
  <c r="CJ57" i="1"/>
  <c r="CJ260" i="1" s="1"/>
  <c r="CJ63" i="1"/>
  <c r="CJ249" i="1"/>
  <c r="CK59" i="1"/>
  <c r="CH59" i="1"/>
  <c r="CH63" i="1"/>
  <c r="CH57" i="1"/>
  <c r="CH260" i="1" s="1"/>
  <c r="CH249" i="1"/>
  <c r="CO199" i="1"/>
  <c r="CN200" i="1"/>
  <c r="CM197" i="1"/>
  <c r="CM201" i="1" s="1"/>
  <c r="CN196" i="1"/>
  <c r="CP140" i="1"/>
  <c r="CO143" i="1"/>
  <c r="CO264" i="1" s="1"/>
  <c r="CN221" i="1"/>
  <c r="Z63" i="1"/>
  <c r="Z57" i="1"/>
  <c r="Z260" i="1" s="1"/>
  <c r="Z249" i="1"/>
  <c r="CO32" i="1"/>
  <c r="CP32" i="1" s="1"/>
  <c r="CT42" i="1"/>
  <c r="CB80" i="1"/>
  <c r="BL80" i="1"/>
  <c r="CR139" i="1"/>
  <c r="CQ194" i="1"/>
  <c r="CQ198" i="1"/>
  <c r="CC80" i="1"/>
  <c r="CQ195" i="1"/>
  <c r="DB132" i="1"/>
  <c r="DB178" i="1"/>
  <c r="AL80" i="1"/>
  <c r="CF80" i="1"/>
  <c r="CD80" i="1"/>
  <c r="BY80" i="1"/>
  <c r="BZ80" i="1"/>
  <c r="CA80" i="1"/>
  <c r="AD60" i="1"/>
  <c r="AB61" i="1"/>
  <c r="CZ60" i="1"/>
  <c r="DA60" i="1" s="1"/>
  <c r="DB60" i="1" s="1"/>
  <c r="AE60" i="1" s="1"/>
  <c r="AC50" i="1"/>
  <c r="CR61" i="1"/>
  <c r="CS61" i="1" s="1"/>
  <c r="CT61" i="1" s="1"/>
  <c r="CU61" i="1" s="1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AL5" i="6" a="1"/>
  <c r="AX23" i="3"/>
  <c r="AW20" i="3"/>
  <c r="AZ8" i="3"/>
  <c r="AS9" i="3"/>
  <c r="AW31" i="3"/>
  <c r="AV46" i="3"/>
  <c r="AV7" i="3"/>
  <c r="AZ5" i="3"/>
  <c r="AV34" i="3"/>
  <c r="G5" i="6" a="1"/>
  <c r="J5" i="6" a="1"/>
  <c r="AN5" i="6" a="1"/>
  <c r="AF38" i="3"/>
  <c r="AV35" i="3"/>
  <c r="AS23" i="3"/>
  <c r="AS16" i="3"/>
  <c r="AX18" i="3"/>
  <c r="AF15" i="3"/>
  <c r="AT19" i="3"/>
  <c r="AS31" i="3"/>
  <c r="D5" i="6" a="1"/>
  <c r="AY39" i="3"/>
  <c r="AC6" i="6" a="1"/>
  <c r="EN5" i="4" a="1"/>
  <c r="ER14" i="4" a="1"/>
  <c r="ET6" i="4" a="1"/>
  <c r="EW8" i="4" a="1"/>
  <c r="EN6" i="4" a="1"/>
  <c r="EQ6" i="4" a="1"/>
  <c r="EO8" i="4" a="1"/>
  <c r="EQ7" i="4" a="1"/>
  <c r="EO15" i="4" a="1"/>
  <c r="EW6" i="4" a="1"/>
  <c r="EP16" i="4" a="1"/>
  <c r="EL5" i="4" a="1"/>
  <c r="AT5" i="3"/>
  <c r="AT15" i="3"/>
  <c r="AS14" i="3"/>
  <c r="AQ5" i="6" a="1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X32" i="3"/>
  <c r="AF24" i="3"/>
  <c r="AF37" i="3"/>
  <c r="AY5" i="6" a="1"/>
  <c r="AM6" i="6" a="1"/>
  <c r="AZ15" i="3"/>
  <c r="AU20" i="3"/>
  <c r="AV18" i="3"/>
  <c r="AW29" i="3"/>
  <c r="AS11" i="3"/>
  <c r="AT26" i="3"/>
  <c r="AU45" i="3"/>
  <c r="AF42" i="3"/>
  <c r="AS28" i="3"/>
  <c r="F46" i="3"/>
  <c r="AS5" i="6" a="1"/>
  <c r="AZ25" i="3"/>
  <c r="AX5" i="6" a="1"/>
  <c r="AW15" i="3"/>
  <c r="AX13" i="3"/>
  <c r="AT33" i="3"/>
  <c r="ES5" i="4" a="1"/>
  <c r="EO12" i="4" a="1"/>
  <c r="EL6" i="4" a="1"/>
  <c r="EP11" i="4" a="1"/>
  <c r="EU7" i="4" a="1"/>
  <c r="ER7" i="4" a="1"/>
  <c r="ER6" i="4" a="1"/>
  <c r="ES12" i="4" a="1"/>
  <c r="EL12" i="4" a="1"/>
  <c r="EM6" i="4" a="1"/>
  <c r="EV11" i="4" a="1"/>
  <c r="AT24" i="3"/>
  <c r="AU15" i="3"/>
  <c r="AJ5" i="6" a="1"/>
  <c r="AV40" i="3"/>
  <c r="AV26" i="3"/>
  <c r="AW28" i="3"/>
  <c r="AU16" i="3"/>
  <c r="AU19" i="3"/>
  <c r="AS8" i="3"/>
  <c r="AW23" i="3"/>
  <c r="AY25" i="3"/>
  <c r="AU5" i="3"/>
  <c r="C5" i="3"/>
  <c r="AQ6" i="6" a="1"/>
  <c r="AZ11" i="3"/>
  <c r="AZ24" i="3"/>
  <c r="AT35" i="3"/>
  <c r="AX9" i="3"/>
  <c r="J6" i="6" a="1"/>
  <c r="AU12" i="3"/>
  <c r="AX42" i="3"/>
  <c r="AZ46" i="3"/>
  <c r="AY15" i="3"/>
  <c r="AX46" i="3"/>
  <c r="AU7" i="3"/>
  <c r="AY42" i="3"/>
  <c r="AY37" i="3"/>
  <c r="ET12" i="4" a="1"/>
  <c r="ER11" i="4" a="1"/>
  <c r="EM5" i="4" a="1"/>
  <c r="EN7" i="4" a="1"/>
  <c r="EV13" i="4" a="1"/>
  <c r="ET15" i="4" a="1"/>
  <c r="EL13" i="4" a="1"/>
  <c r="EO6" i="4" a="1"/>
  <c r="EQ8" i="4" a="1"/>
  <c r="EW9" i="4" a="1"/>
  <c r="ES13" i="4" a="1"/>
  <c r="AF31" i="3"/>
  <c r="AX27" i="3"/>
  <c r="AF39" i="3"/>
  <c r="AZ19" i="3"/>
  <c r="AU37" i="3"/>
  <c r="EV15" i="4" a="1"/>
  <c r="ER12" i="4" a="1"/>
  <c r="EM7" i="4" a="1"/>
  <c r="ES8" i="4" a="1"/>
  <c r="ET14" i="4" a="1"/>
  <c r="ET9" i="4" a="1"/>
  <c r="EQ9" i="4" a="1"/>
  <c r="EO14" i="4" a="1"/>
  <c r="EW14" i="4" a="1"/>
  <c r="ES15" i="4" a="1"/>
  <c r="ET13" i="4" a="1"/>
  <c r="AB5" i="3"/>
  <c r="AX15" i="3"/>
  <c r="V6" i="6" a="1"/>
  <c r="U5" i="6" a="1"/>
  <c r="AW26" i="3"/>
  <c r="EP8" i="4" a="1"/>
  <c r="EW13" i="4" a="1"/>
  <c r="EL15" i="4" a="1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EO16" i="4" a="1"/>
  <c r="EM9" i="4" a="1"/>
  <c r="ET11" i="4" a="1"/>
  <c r="EW5" i="4" a="1"/>
  <c r="AF22" i="3"/>
  <c r="AT46" i="3"/>
  <c r="AT41" i="3"/>
  <c r="AV37" i="3"/>
  <c r="EQ13" i="4" a="1"/>
  <c r="F5" i="6" a="1"/>
  <c r="AF26" i="3"/>
  <c r="AF25" i="3"/>
  <c r="AT31" i="3"/>
  <c r="AE6" i="6" a="1"/>
  <c r="AW6" i="3"/>
  <c r="AV38" i="3"/>
  <c r="AV25" i="3"/>
  <c r="AW45" i="3"/>
  <c r="E5" i="6" a="1"/>
  <c r="AX38" i="3"/>
  <c r="AZ31" i="3"/>
  <c r="AX30" i="3"/>
  <c r="AV29" i="3"/>
  <c r="F45" i="3"/>
  <c r="AW46" i="3"/>
  <c r="AW13" i="3"/>
  <c r="AU23" i="3"/>
  <c r="AU6" i="6" a="1"/>
  <c r="AI5" i="6" a="1"/>
  <c r="AT27" i="3"/>
  <c r="AY13" i="3"/>
  <c r="AY35" i="3"/>
  <c r="AZ23" i="3"/>
  <c r="AV20" i="3"/>
  <c r="AS34" i="3"/>
  <c r="AV45" i="3"/>
  <c r="AX45" i="3"/>
  <c r="AS25" i="3"/>
  <c r="AV23" i="3"/>
  <c r="AY8" i="3"/>
  <c r="AZ33" i="3"/>
  <c r="D6" i="6" a="1"/>
  <c r="AF16" i="3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Z5" i="6" a="1"/>
  <c r="AF5" i="3"/>
  <c r="AY12" i="3"/>
  <c r="AY21" i="3"/>
  <c r="AZ12" i="3"/>
  <c r="AF27" i="3"/>
  <c r="AT30" i="3"/>
  <c r="AX39" i="3"/>
  <c r="AF46" i="3"/>
  <c r="AZ9" i="3"/>
  <c r="AO6" i="6" a="1"/>
  <c r="AT32" i="3"/>
  <c r="AA6" i="6" a="1"/>
  <c r="L5" i="6" a="1"/>
  <c r="AR5" i="3"/>
  <c r="AZ32" i="3"/>
  <c r="AZ27" i="3"/>
  <c r="AZ26" i="3"/>
  <c r="AF23" i="3"/>
  <c r="AU30" i="3"/>
  <c r="AM5" i="6" a="1"/>
  <c r="X5" i="6" a="1"/>
  <c r="AF17" i="3"/>
  <c r="EQ12" i="4" a="1"/>
  <c r="ER16" i="4" a="1"/>
  <c r="EP12" i="4" a="1"/>
  <c r="EM11" i="4" a="1"/>
  <c r="ES16" i="4" a="1"/>
  <c r="EM14" i="4" a="1"/>
  <c r="ET8" i="4" a="1"/>
  <c r="EM13" i="4" a="1"/>
  <c r="EV9" i="4" a="1"/>
  <c r="EL14" i="4" a="1"/>
  <c r="EV16" i="4" a="1"/>
  <c r="AX19" i="3"/>
  <c r="AP5" i="3"/>
  <c r="AV28" i="3"/>
  <c r="AW14" i="3"/>
  <c r="AW33" i="3"/>
  <c r="AT9" i="3"/>
  <c r="AU35" i="3"/>
  <c r="AV22" i="3"/>
  <c r="Y6" i="6" a="1"/>
  <c r="AS5" i="3"/>
  <c r="EQ16" i="4" a="1"/>
  <c r="AS46" i="3"/>
  <c r="AU5" i="6" a="1"/>
  <c r="AA5" i="6" a="1"/>
  <c r="AS12" i="3"/>
  <c r="AW16" i="3"/>
  <c r="AS7" i="3"/>
  <c r="AF32" i="3"/>
  <c r="AF41" i="3"/>
  <c r="AU36" i="3"/>
  <c r="Q5" i="6" a="1"/>
  <c r="AP6" i="6" a="1"/>
  <c r="AX6" i="6" a="1"/>
  <c r="AY27" i="3"/>
  <c r="AZ10" i="3"/>
  <c r="AV33" i="3"/>
  <c r="AZ20" i="3"/>
  <c r="AU13" i="3"/>
  <c r="AU29" i="3"/>
  <c r="AT23" i="3"/>
  <c r="E6" i="6" a="1"/>
  <c r="AY18" i="3"/>
  <c r="AY19" i="3"/>
  <c r="AY11" i="3"/>
  <c r="AY28" i="3"/>
  <c r="AF36" i="3"/>
  <c r="W5" i="6" a="1"/>
  <c r="AW38" i="3"/>
  <c r="AF28" i="3"/>
  <c r="AH5" i="6" a="1"/>
  <c r="AY16" i="3"/>
  <c r="AX11" i="3"/>
  <c r="AF33" i="3"/>
  <c r="AT6" i="3"/>
  <c r="AV15" i="3"/>
  <c r="S6" i="6" a="1"/>
  <c r="AT16" i="3"/>
  <c r="AT34" i="3"/>
  <c r="X6" i="6" a="1"/>
  <c r="AS42" i="3"/>
  <c r="EP5" i="4" a="1"/>
  <c r="ER13" i="4" a="1"/>
  <c r="EN14" i="4" a="1"/>
  <c r="EW12" i="4" a="1"/>
  <c r="EQ5" i="4" a="1"/>
  <c r="EU16" i="4" a="1"/>
  <c r="EU15" i="4" a="1"/>
  <c r="EO13" i="4" a="1"/>
  <c r="EL7" i="4" a="1"/>
  <c r="EV5" i="4" a="1"/>
  <c r="ES11" i="4" a="1"/>
  <c r="AV6" i="3"/>
  <c r="H6" i="6" a="1"/>
  <c r="AW5" i="3"/>
  <c r="AU38" i="3"/>
  <c r="AY14" i="3"/>
  <c r="H5" i="6" a="1"/>
  <c r="AO5" i="6" a="1"/>
  <c r="S5" i="6" a="1"/>
  <c r="AY22" i="3"/>
  <c r="AF20" i="3"/>
  <c r="AZ30" i="3"/>
  <c r="AY10" i="3"/>
  <c r="AF12" i="3"/>
  <c r="AY34" i="3"/>
  <c r="AP5" i="6" a="1"/>
  <c r="AP6" i="3"/>
  <c r="AT18" i="3"/>
  <c r="AF14" i="3"/>
  <c r="W6" i="6" a="1"/>
  <c r="G6" i="6" a="1"/>
  <c r="AZ38" i="3"/>
  <c r="AV32" i="3"/>
  <c r="AY41" i="3"/>
  <c r="AW11" i="3"/>
  <c r="P5" i="6" a="1"/>
  <c r="AY46" i="3"/>
  <c r="AY45" i="3"/>
  <c r="AT22" i="3"/>
  <c r="ES7" i="4" a="1"/>
  <c r="AX10" i="3"/>
  <c r="AV24" i="3"/>
  <c r="AU24" i="3"/>
  <c r="AW22" i="3"/>
  <c r="AU11" i="3"/>
  <c r="AU33" i="3"/>
  <c r="AU32" i="3"/>
  <c r="AZ40" i="3"/>
  <c r="EU8" i="4" a="1"/>
  <c r="EO5" i="4" a="1"/>
  <c r="ET7" i="4" a="1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W7" i="3"/>
  <c r="AV41" i="3"/>
  <c r="AF9" i="3"/>
  <c r="AY36" i="3"/>
  <c r="AT45" i="3"/>
  <c r="AW36" i="3"/>
  <c r="AS32" i="3"/>
  <c r="AU6" i="3"/>
  <c r="AV36" i="3"/>
  <c r="AV16" i="3"/>
  <c r="AT11" i="3"/>
  <c r="AW8" i="3"/>
  <c r="AX8" i="3"/>
  <c r="AH6" i="6" a="1"/>
  <c r="AU8" i="3"/>
  <c r="AZ29" i="3"/>
  <c r="AF13" i="3"/>
  <c r="AW9" i="3"/>
  <c r="AW25" i="3"/>
  <c r="AS27" i="3"/>
  <c r="EM15" i="4" a="1"/>
  <c r="ET16" i="4" a="1"/>
  <c r="EU9" i="4" a="1"/>
  <c r="EP9" i="4" a="1"/>
  <c r="EL11" i="4" a="1"/>
  <c r="ES6" i="4" a="1"/>
  <c r="EV6" i="4" a="1"/>
  <c r="ES14" i="4" a="1"/>
  <c r="ET5" i="4" a="1"/>
  <c r="EP7" i="4" a="1"/>
  <c r="EM16" i="4" a="1"/>
  <c r="EP14" i="4" a="1"/>
  <c r="AS39" i="3"/>
  <c r="K6" i="6" a="1"/>
  <c r="AT20" i="3"/>
  <c r="Q6" i="6" a="1"/>
  <c r="AY6" i="6" a="1"/>
  <c r="AX33" i="3"/>
  <c r="N5" i="6" a="1"/>
  <c r="AZ28" i="3"/>
  <c r="AY32" i="3"/>
  <c r="AX28" i="3"/>
  <c r="AW27" i="3"/>
  <c r="AY20" i="3"/>
  <c r="AG5" i="6" a="1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R6" i="3"/>
  <c r="AS20" i="3"/>
  <c r="AX40" i="3"/>
  <c r="AU39" i="3"/>
  <c r="AY31" i="3"/>
  <c r="AU21" i="3"/>
  <c r="AS37" i="3"/>
  <c r="AN6" i="6" a="1"/>
  <c r="AW34" i="3"/>
  <c r="AV5" i="3"/>
  <c r="AZ45" i="3"/>
  <c r="AK6" i="6" a="1"/>
  <c r="AJ6" i="6" a="1"/>
  <c r="AS26" i="3"/>
  <c r="AF7" i="3"/>
  <c r="AV17" i="3"/>
  <c r="AF6" i="3"/>
  <c r="AS30" i="3"/>
  <c r="AY38" i="3"/>
  <c r="AW19" i="3"/>
  <c r="AV31" i="3"/>
  <c r="AW32" i="3"/>
  <c r="AC5" i="6" a="1"/>
  <c r="AV6" i="6" a="1"/>
  <c r="AS10" i="3"/>
  <c r="AT36" i="3"/>
  <c r="EP13" i="4" a="1"/>
  <c r="EQ15" i="4" a="1"/>
  <c r="EW15" i="4" a="1"/>
  <c r="ER8" i="4" a="1"/>
  <c r="ER5" i="4" a="1"/>
  <c r="EL9" i="4" a="1"/>
  <c r="EM12" i="4" a="1"/>
  <c r="EN11" i="4" a="1"/>
  <c r="EV8" i="4" a="1"/>
  <c r="EV12" i="4" a="1"/>
  <c r="ER9" i="4" a="1"/>
  <c r="AS40" i="3"/>
  <c r="AE5" i="6" a="1"/>
  <c r="AV9" i="3"/>
  <c r="AU14" i="3"/>
  <c r="AD5" i="6" a="1"/>
  <c r="AW18" i="3"/>
  <c r="AT12" i="3"/>
  <c r="T6" i="6" a="1"/>
  <c r="AX14" i="3"/>
  <c r="AW24" i="3"/>
  <c r="M5" i="6" a="1"/>
  <c r="EW16" i="4" a="1"/>
  <c r="EL8" i="4" a="1"/>
  <c r="EU13" i="4" a="1"/>
  <c r="EW7" i="4" a="1"/>
  <c r="EU5" i="4" a="1"/>
  <c r="EN9" i="4" a="1"/>
  <c r="EN12" i="4" a="1"/>
  <c r="ES9" i="4" a="1"/>
  <c r="EU12" i="4" a="1"/>
  <c r="C5" i="4" a="1"/>
  <c r="EO11" i="4" a="1"/>
  <c r="EQ14" i="4" a="1"/>
  <c r="AW41" i="3"/>
  <c r="AF8" i="3"/>
  <c r="AS6" i="6" a="1"/>
  <c r="AU31" i="3"/>
  <c r="EQ11" i="4" a="1"/>
  <c r="EL16" i="4" a="1"/>
  <c r="EN15" i="4" a="1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C6" i="6" a="1"/>
  <c r="N6" i="6" a="1"/>
  <c r="AF18" i="3"/>
  <c r="AS38" i="3"/>
  <c r="AW42" i="3"/>
  <c r="F6" i="6" a="1"/>
  <c r="AY9" i="3"/>
  <c r="AS33" i="3"/>
  <c r="AV19" i="3"/>
  <c r="AL6" i="6" a="1"/>
  <c r="AX37" i="3"/>
  <c r="AS21" i="3"/>
  <c r="AZ13" i="3"/>
  <c r="AR5" i="6" a="1"/>
  <c r="C6" i="4" a="1"/>
  <c r="EU11" i="4" a="1"/>
  <c r="EN13" i="4" a="1"/>
  <c r="EP6" i="4" a="1"/>
  <c r="ER15" i="4" a="1"/>
  <c r="EV14" i="4" a="1"/>
  <c r="EW11" i="4" a="1"/>
  <c r="AF5" i="6" a="1"/>
  <c r="EP15" i="4" a="1"/>
  <c r="EO7" i="4" a="1"/>
  <c r="EN16" i="4" a="1"/>
  <c r="EU6" i="4" a="1"/>
  <c r="EM8" i="4" a="1"/>
  <c r="AR7" i="3"/>
  <c r="EN8" i="4" a="1"/>
  <c r="AU34" i="3"/>
  <c r="AY30" i="3"/>
  <c r="AT39" i="3"/>
  <c r="AW37" i="3"/>
  <c r="AW39" i="3"/>
  <c r="AF11" i="3"/>
  <c r="AY7" i="3"/>
  <c r="AZ16" i="3"/>
  <c r="AF30" i="3"/>
  <c r="AW30" i="3"/>
  <c r="AF40" i="3"/>
  <c r="AU22" i="3"/>
  <c r="AX5" i="3"/>
  <c r="AX21" i="3"/>
  <c r="AX35" i="3"/>
  <c r="AY17" i="3"/>
  <c r="AT29" i="3"/>
  <c r="AZ7" i="3"/>
  <c r="AT5" i="6" a="1"/>
  <c r="K5" i="6" a="1"/>
  <c r="AZ37" i="3"/>
  <c r="AY23" i="3"/>
  <c r="AS41" i="3"/>
  <c r="AS6" i="3"/>
  <c r="AW10" i="3"/>
  <c r="AF34" i="3"/>
  <c r="AS22" i="3"/>
  <c r="AS13" i="3"/>
  <c r="AU40" i="3"/>
  <c r="AU26" i="3"/>
  <c r="AD6" i="6" a="1"/>
  <c r="AT6" i="6" a="1"/>
  <c r="AB5" i="6" a="1"/>
  <c r="AV27" i="3"/>
  <c r="AV13" i="3"/>
  <c r="AV12" i="3"/>
  <c r="AP7" i="3"/>
  <c r="AZ34" i="3"/>
  <c r="EU14" i="4" a="1"/>
  <c r="EO9" i="4" a="1"/>
  <c r="EV7" i="4" a="1"/>
  <c r="CI57" i="1" l="1"/>
  <c r="CI260" i="1" s="1"/>
  <c r="CL242" i="1"/>
  <c r="CI63" i="1"/>
  <c r="CI249" i="1"/>
  <c r="AB146" i="1"/>
  <c r="CQ146" i="1"/>
  <c r="CR146" i="1" s="1"/>
  <c r="CS146" i="1" s="1"/>
  <c r="CT146" i="1" s="1"/>
  <c r="CJ208" i="1"/>
  <c r="CJ210" i="1" s="1"/>
  <c r="CL69" i="1"/>
  <c r="X63" i="1"/>
  <c r="X208" i="1" s="1"/>
  <c r="X210" i="1" s="1"/>
  <c r="X57" i="1"/>
  <c r="X260" i="1" s="1"/>
  <c r="Y249" i="1"/>
  <c r="Y58" i="1"/>
  <c r="CJ81" i="1"/>
  <c r="Y63" i="1"/>
  <c r="Y69" i="1" s="1"/>
  <c r="CJ67" i="1"/>
  <c r="Z58" i="1"/>
  <c r="CG81" i="1"/>
  <c r="CG67" i="1"/>
  <c r="CQ155" i="1"/>
  <c r="CQ217" i="1" s="1"/>
  <c r="CJ69" i="1"/>
  <c r="CH208" i="1"/>
  <c r="CH210" i="1" s="1"/>
  <c r="CH81" i="1"/>
  <c r="CH67" i="1"/>
  <c r="CP199" i="1"/>
  <c r="CO200" i="1"/>
  <c r="CN197" i="1"/>
  <c r="CN201" i="1" s="1"/>
  <c r="CO196" i="1"/>
  <c r="CQ140" i="1"/>
  <c r="CP143" i="1"/>
  <c r="CP264" i="1" s="1"/>
  <c r="CO221" i="1"/>
  <c r="BY37" i="1"/>
  <c r="CA24" i="1"/>
  <c r="CE37" i="1"/>
  <c r="CA37" i="1"/>
  <c r="CF37" i="1"/>
  <c r="CD37" i="1"/>
  <c r="BZ37" i="1"/>
  <c r="BL37" i="1"/>
  <c r="CC37" i="1"/>
  <c r="CB37" i="1"/>
  <c r="CF24" i="1"/>
  <c r="CD24" i="1"/>
  <c r="BY24" i="1"/>
  <c r="CE24" i="1"/>
  <c r="BZ24" i="1"/>
  <c r="CC24" i="1"/>
  <c r="CB24" i="1"/>
  <c r="BL24" i="1"/>
  <c r="Z208" i="1"/>
  <c r="Z210" i="1" s="1"/>
  <c r="Z214" i="1" s="1"/>
  <c r="Z228" i="1" s="1"/>
  <c r="Z222" i="1"/>
  <c r="Z220" i="1" s="1"/>
  <c r="Z69" i="1"/>
  <c r="Z67" i="1"/>
  <c r="CD40" i="1"/>
  <c r="CC60" i="1"/>
  <c r="CA23" i="1"/>
  <c r="CD54" i="1"/>
  <c r="AH7" i="6" s="1"/>
  <c r="CD50" i="1"/>
  <c r="CF51" i="1"/>
  <c r="BY60" i="1"/>
  <c r="BL60" i="1"/>
  <c r="CD61" i="1"/>
  <c r="AV7" i="6" s="1"/>
  <c r="CB35" i="1"/>
  <c r="R7" i="6" s="1"/>
  <c r="X7" i="6" s="1"/>
  <c r="CD60" i="1"/>
  <c r="CD30" i="1"/>
  <c r="V7" i="6" s="1"/>
  <c r="BY30" i="1"/>
  <c r="CB23" i="1"/>
  <c r="BY66" i="1"/>
  <c r="BL23" i="1"/>
  <c r="AW7" i="6" s="1"/>
  <c r="BY36" i="1"/>
  <c r="CA28" i="1"/>
  <c r="CB38" i="1"/>
  <c r="BZ51" i="1"/>
  <c r="O7" i="6" s="1"/>
  <c r="BL62" i="1"/>
  <c r="AQ7" i="6" s="1"/>
  <c r="CF23" i="1"/>
  <c r="CF7" i="1" s="1"/>
  <c r="JJ9" i="4" s="1"/>
  <c r="BY61" i="1"/>
  <c r="AM7" i="6" s="1"/>
  <c r="JM16" i="4" s="1"/>
  <c r="CF62" i="1"/>
  <c r="CA39" i="1"/>
  <c r="BL38" i="1"/>
  <c r="BL61" i="1"/>
  <c r="CF50" i="1"/>
  <c r="BL51" i="1"/>
  <c r="BZ60" i="1"/>
  <c r="CC40" i="1"/>
  <c r="CC36" i="1"/>
  <c r="JM9" i="4" s="1"/>
  <c r="CA36" i="1"/>
  <c r="JL16" i="4" s="1"/>
  <c r="BZ39" i="1"/>
  <c r="CB36" i="1"/>
  <c r="CC28" i="1"/>
  <c r="JK16" i="4" s="1"/>
  <c r="CA66" i="1"/>
  <c r="BZ29" i="1"/>
  <c r="CE30" i="1"/>
  <c r="CC29" i="1"/>
  <c r="C7" i="6" s="1"/>
  <c r="T7" i="6" s="1"/>
  <c r="BY39" i="1"/>
  <c r="CC61" i="1"/>
  <c r="CC23" i="1"/>
  <c r="CB50" i="1"/>
  <c r="JL9" i="4" s="1"/>
  <c r="CF54" i="1"/>
  <c r="AL7" i="6" s="1"/>
  <c r="BZ47" i="1"/>
  <c r="BZ209" i="1" s="1"/>
  <c r="BZ50" i="1"/>
  <c r="J7" i="6" s="1"/>
  <c r="BY62" i="1"/>
  <c r="Z7" i="6" s="1"/>
  <c r="BL35" i="1"/>
  <c r="CF28" i="1"/>
  <c r="CF38" i="1"/>
  <c r="BZ28" i="1"/>
  <c r="CA30" i="1"/>
  <c r="CD29" i="1"/>
  <c r="BL36" i="1"/>
  <c r="BY29" i="1"/>
  <c r="CE47" i="1"/>
  <c r="CE209" i="1" s="1"/>
  <c r="AD7" i="6" s="1"/>
  <c r="CF40" i="1"/>
  <c r="CE35" i="1"/>
  <c r="CA62" i="1"/>
  <c r="CD51" i="1"/>
  <c r="CB39" i="1"/>
  <c r="CD62" i="1"/>
  <c r="AP7" i="6" s="1"/>
  <c r="Y7" i="6" s="1"/>
  <c r="CA40" i="1"/>
  <c r="AA7" i="6" s="1"/>
  <c r="AJ7" i="6" s="1"/>
  <c r="BY23" i="1"/>
  <c r="BY7" i="1" s="1"/>
  <c r="BY38" i="1"/>
  <c r="CB54" i="1"/>
  <c r="CE40" i="1"/>
  <c r="I7" i="6" s="1"/>
  <c r="AK7" i="6" s="1"/>
  <c r="CE29" i="1"/>
  <c r="K7" i="6" s="1"/>
  <c r="F7" i="6" s="1"/>
  <c r="CB60" i="1"/>
  <c r="CF39" i="1"/>
  <c r="AC7" i="6" s="1"/>
  <c r="AE7" i="6" s="1"/>
  <c r="M7" i="6" s="1"/>
  <c r="Q7" i="6" s="1"/>
  <c r="CA61" i="1"/>
  <c r="BZ61" i="1"/>
  <c r="CA51" i="1"/>
  <c r="CF61" i="1"/>
  <c r="AU7" i="6" s="1"/>
  <c r="BL30" i="1"/>
  <c r="CE39" i="1"/>
  <c r="CB47" i="1"/>
  <c r="CB209" i="1" s="1"/>
  <c r="CC62" i="1"/>
  <c r="CC66" i="1"/>
  <c r="AX7" i="6" s="1"/>
  <c r="BZ38" i="1"/>
  <c r="AT7" i="6" s="1"/>
  <c r="S7" i="6" s="1"/>
  <c r="BY28" i="1"/>
  <c r="CE50" i="1"/>
  <c r="CA60" i="1"/>
  <c r="CB62" i="1"/>
  <c r="CA50" i="1"/>
  <c r="CF66" i="1"/>
  <c r="CF36" i="1"/>
  <c r="CA35" i="1"/>
  <c r="AN7" i="6" s="1"/>
  <c r="CE61" i="1"/>
  <c r="CC30" i="1"/>
  <c r="CE66" i="1"/>
  <c r="CF30" i="1"/>
  <c r="G7" i="6" s="1"/>
  <c r="BL47" i="1"/>
  <c r="AF7" i="6" s="1"/>
  <c r="CC35" i="1"/>
  <c r="CD35" i="1"/>
  <c r="JJ16" i="4" s="1"/>
  <c r="BY40" i="1"/>
  <c r="CB61" i="1"/>
  <c r="CE23" i="1"/>
  <c r="CE7" i="1" s="1"/>
  <c r="AB7" i="6" s="1"/>
  <c r="BL29" i="1"/>
  <c r="CD66" i="1"/>
  <c r="BY35" i="1"/>
  <c r="BZ30" i="1"/>
  <c r="CD36" i="1"/>
  <c r="L7" i="6" s="1"/>
  <c r="BL54" i="1"/>
  <c r="BZ23" i="1"/>
  <c r="CA47" i="1"/>
  <c r="BZ54" i="1"/>
  <c r="BY47" i="1"/>
  <c r="BY209" i="1" s="1"/>
  <c r="AI7" i="6" s="1"/>
  <c r="CC54" i="1"/>
  <c r="D7" i="6" s="1"/>
  <c r="BZ36" i="1"/>
  <c r="AG7" i="6" s="1"/>
  <c r="BZ35" i="1"/>
  <c r="BL66" i="1"/>
  <c r="W7" i="6" s="1"/>
  <c r="CB66" i="1"/>
  <c r="CE62" i="1"/>
  <c r="CF35" i="1"/>
  <c r="CC38" i="1"/>
  <c r="CD38" i="1"/>
  <c r="CE28" i="1"/>
  <c r="BY50" i="1"/>
  <c r="CC50" i="1"/>
  <c r="BZ66" i="1"/>
  <c r="AS7" i="6" s="1"/>
  <c r="BZ62" i="1"/>
  <c r="CE51" i="1"/>
  <c r="CD28" i="1"/>
  <c r="BL50" i="1"/>
  <c r="CB29" i="1"/>
  <c r="CC47" i="1"/>
  <c r="CC209" i="1" s="1"/>
  <c r="BY54" i="1"/>
  <c r="H7" i="6" s="1"/>
  <c r="CA38" i="1"/>
  <c r="BZ40" i="1"/>
  <c r="CD23" i="1"/>
  <c r="AR7" i="6" s="1"/>
  <c r="CF29" i="1"/>
  <c r="BL28" i="1"/>
  <c r="BL39" i="1"/>
  <c r="JK9" i="4" s="1"/>
  <c r="AO7" i="6" s="1"/>
  <c r="CA54" i="1"/>
  <c r="BL40" i="1"/>
  <c r="CA29" i="1"/>
  <c r="CE60" i="1"/>
  <c r="CD39" i="1"/>
  <c r="P7" i="6" s="1"/>
  <c r="E7" i="6" s="1"/>
  <c r="U7" i="6" s="1"/>
  <c r="CC39" i="1"/>
  <c r="AY7" i="6" s="1"/>
  <c r="CD47" i="1"/>
  <c r="CB30" i="1"/>
  <c r="CC51" i="1"/>
  <c r="CB51" i="1"/>
  <c r="CE38" i="1"/>
  <c r="CE36" i="1"/>
  <c r="CF47" i="1"/>
  <c r="CF209" i="1" s="1"/>
  <c r="CB40" i="1"/>
  <c r="BY51" i="1"/>
  <c r="CF60" i="1"/>
  <c r="N7" i="6" s="1"/>
  <c r="CO55" i="1"/>
  <c r="CP55" i="1" s="1"/>
  <c r="CU42" i="1"/>
  <c r="CQ32" i="1"/>
  <c r="CS139" i="1"/>
  <c r="CR195" i="1"/>
  <c r="CR198" i="1"/>
  <c r="CR194" i="1"/>
  <c r="CJ70" i="1"/>
  <c r="AC61" i="1"/>
  <c r="CV61" i="1"/>
  <c r="CW61" i="1" s="1"/>
  <c r="CX61" i="1" s="1"/>
  <c r="CY61" i="1" s="1"/>
  <c r="AD50" i="1"/>
  <c r="AF57" i="3"/>
  <c r="C89" i="3"/>
  <c r="AZ78" i="3"/>
  <c r="AW61" i="3"/>
  <c r="AF77" i="3"/>
  <c r="AS77" i="3"/>
  <c r="AW82" i="3"/>
  <c r="AU89" i="3"/>
  <c r="AF68" i="3"/>
  <c r="AT66" i="3"/>
  <c r="AF54" i="3"/>
  <c r="C68" i="3"/>
  <c r="AZ85" i="3"/>
  <c r="AT72" i="3"/>
  <c r="AY81" i="3"/>
  <c r="AW64" i="3"/>
  <c r="AX85" i="3"/>
  <c r="AW47" i="3"/>
  <c r="AX96" i="3"/>
  <c r="AS78" i="3"/>
  <c r="AZ89" i="3"/>
  <c r="AU88" i="3"/>
  <c r="AT68" i="3"/>
  <c r="AV82" i="3"/>
  <c r="AY50" i="3"/>
  <c r="AV71" i="3"/>
  <c r="AW62" i="3"/>
  <c r="AY75" i="3"/>
  <c r="AZ60" i="3"/>
  <c r="AT61" i="3"/>
  <c r="AW95" i="3"/>
  <c r="AU86" i="3"/>
  <c r="AZ80" i="3"/>
  <c r="AF87" i="3"/>
  <c r="AX80" i="3"/>
  <c r="AS87" i="3"/>
  <c r="AU92" i="3"/>
  <c r="AZ64" i="3"/>
  <c r="AV74" i="3"/>
  <c r="C85" i="3"/>
  <c r="AV88" i="3"/>
  <c r="AF80" i="3"/>
  <c r="AY68" i="3"/>
  <c r="AY76" i="3"/>
  <c r="AT59" i="3"/>
  <c r="AT96" i="3"/>
  <c r="AW63" i="3"/>
  <c r="AU72" i="3"/>
  <c r="AF49" i="3"/>
  <c r="AF78" i="3"/>
  <c r="C54" i="3"/>
  <c r="AZ47" i="3"/>
  <c r="AF88" i="3"/>
  <c r="AX56" i="3"/>
  <c r="AS90" i="3"/>
  <c r="AZ63" i="3"/>
  <c r="AU70" i="3"/>
  <c r="AF81" i="3"/>
  <c r="AT73" i="3"/>
  <c r="AY49" i="3"/>
  <c r="AS92" i="3"/>
  <c r="AZ79" i="3"/>
  <c r="AT47" i="3"/>
  <c r="C97" i="3"/>
  <c r="AW93" i="3"/>
  <c r="AX88" i="3"/>
  <c r="AW92" i="3"/>
  <c r="AX79" i="3"/>
  <c r="AV91" i="3"/>
  <c r="AZ62" i="3"/>
  <c r="AU84" i="3"/>
  <c r="AT78" i="3"/>
  <c r="AS75" i="3"/>
  <c r="AV58" i="3"/>
  <c r="AU48" i="3"/>
  <c r="C61" i="3"/>
  <c r="C74" i="3"/>
  <c r="AZ90" i="3"/>
  <c r="AW55" i="3"/>
  <c r="AX82" i="3"/>
  <c r="AS89" i="3"/>
  <c r="AW65" i="3"/>
  <c r="AU57" i="3"/>
  <c r="AF55" i="3"/>
  <c r="AT83" i="3"/>
  <c r="AF76" i="3"/>
  <c r="AX70" i="3"/>
  <c r="AZ55" i="3"/>
  <c r="AT79" i="3"/>
  <c r="C50" i="3"/>
  <c r="AZ96" i="3"/>
  <c r="AV48" i="3"/>
  <c r="AW68" i="3"/>
  <c r="C83" i="3"/>
  <c r="AV68" i="3"/>
  <c r="AU55" i="3"/>
  <c r="AF67" i="3"/>
  <c r="AT90" i="3"/>
  <c r="AY95" i="3"/>
  <c r="AU78" i="3"/>
  <c r="AV96" i="3"/>
  <c r="AU75" i="3"/>
  <c r="AY54" i="3"/>
  <c r="AF62" i="3"/>
  <c r="AZ83" i="3"/>
  <c r="AV54" i="3"/>
  <c r="AY97" i="3"/>
  <c r="AT97" i="3"/>
  <c r="AU96" i="3"/>
  <c r="AY47" i="3"/>
  <c r="AU66" i="3"/>
  <c r="AZ54" i="3"/>
  <c r="AX84" i="3"/>
  <c r="AW76" i="3"/>
  <c r="AS83" i="3"/>
  <c r="AS73" i="3"/>
  <c r="AW89" i="3"/>
  <c r="AV93" i="3"/>
  <c r="AS54" i="3"/>
  <c r="AZ72" i="3"/>
  <c r="AF73" i="3"/>
  <c r="C75" i="3"/>
  <c r="AV72" i="3"/>
  <c r="AZ58" i="3"/>
  <c r="AU68" i="3"/>
  <c r="AF97" i="3"/>
  <c r="AT64" i="3"/>
  <c r="C79" i="3"/>
  <c r="AW90" i="3"/>
  <c r="AV69" i="3"/>
  <c r="AY69" i="3"/>
  <c r="AV49" i="3"/>
  <c r="AV90" i="3"/>
  <c r="C73" i="3"/>
  <c r="AZ77" i="3"/>
  <c r="AF63" i="3"/>
  <c r="C80" i="3"/>
  <c r="AT74" i="3"/>
  <c r="AV73" i="3"/>
  <c r="AT58" i="3"/>
  <c r="AY65" i="3"/>
  <c r="AV65" i="3"/>
  <c r="AZ65" i="3"/>
  <c r="AY93" i="3"/>
  <c r="AX93" i="3"/>
  <c r="C86" i="3"/>
  <c r="AX92" i="3"/>
  <c r="AY88" i="3"/>
  <c r="AW60" i="3"/>
  <c r="AU56" i="3"/>
  <c r="AW70" i="3"/>
  <c r="AT87" i="3"/>
  <c r="AS67" i="3"/>
  <c r="AU95" i="3"/>
  <c r="AX66" i="3"/>
  <c r="AX89" i="3"/>
  <c r="AF66" i="3"/>
  <c r="AS55" i="3"/>
  <c r="AY84" i="3"/>
  <c r="C84" i="3"/>
  <c r="AV66" i="3"/>
  <c r="AV92" i="3"/>
  <c r="AZ68" i="3"/>
  <c r="AU81" i="3"/>
  <c r="AF92" i="3"/>
  <c r="AT57" i="3"/>
  <c r="AS48" i="3"/>
  <c r="AX57" i="3"/>
  <c r="AZ75" i="3"/>
  <c r="AF59" i="3"/>
  <c r="C88" i="3"/>
  <c r="AZ66" i="3"/>
  <c r="AW88" i="3"/>
  <c r="AF83" i="3"/>
  <c r="AS50" i="3"/>
  <c r="AW67" i="3"/>
  <c r="AU69" i="3"/>
  <c r="AF64" i="3"/>
  <c r="AT62" i="3"/>
  <c r="AZ74" i="3"/>
  <c r="AS70" i="3"/>
  <c r="AF61" i="3"/>
  <c r="AF95" i="3"/>
  <c r="AS65" i="3"/>
  <c r="AZ67" i="3"/>
  <c r="AX60" i="3"/>
  <c r="AS63" i="3"/>
  <c r="AV67" i="3"/>
  <c r="AZ76" i="3"/>
  <c r="AU71" i="3"/>
  <c r="AF74" i="3"/>
  <c r="AT91" i="3"/>
  <c r="AS56" i="3"/>
  <c r="C57" i="3"/>
  <c r="AZ50" i="3"/>
  <c r="AT75" i="3"/>
  <c r="AY92" i="3"/>
  <c r="AF71" i="3"/>
  <c r="AF96" i="3"/>
  <c r="AS62" i="3"/>
  <c r="C59" i="3"/>
  <c r="AT93" i="3"/>
  <c r="AU76" i="3"/>
  <c r="AT95" i="3"/>
  <c r="C58" i="3"/>
  <c r="AU83" i="3"/>
  <c r="AS82" i="3"/>
  <c r="AW56" i="3"/>
  <c r="AV70" i="3"/>
  <c r="AW58" i="3"/>
  <c r="C69" i="3"/>
  <c r="AS94" i="3"/>
  <c r="AX95" i="3"/>
  <c r="C71" i="3"/>
  <c r="AW73" i="3"/>
  <c r="AW81" i="3"/>
  <c r="AX97" i="3"/>
  <c r="AU93" i="3"/>
  <c r="AY96" i="3"/>
  <c r="AT94" i="3"/>
  <c r="AS96" i="3"/>
  <c r="AW50" i="3"/>
  <c r="AU94" i="3"/>
  <c r="AF84" i="3"/>
  <c r="C95" i="3"/>
  <c r="AZ57" i="3"/>
  <c r="AF65" i="3"/>
  <c r="AX72" i="3"/>
  <c r="AV94" i="3"/>
  <c r="AZ91" i="3"/>
  <c r="AU90" i="3"/>
  <c r="AF75" i="3"/>
  <c r="AT50" i="3"/>
  <c r="AY59" i="3"/>
  <c r="AX94" i="3"/>
  <c r="AW83" i="3"/>
  <c r="AV63" i="3"/>
  <c r="AZ81" i="3"/>
  <c r="AU61" i="3"/>
  <c r="AF82" i="3"/>
  <c r="AF79" i="3"/>
  <c r="AV95" i="3"/>
  <c r="C63" i="3"/>
  <c r="AY86" i="3"/>
  <c r="AZ95" i="3"/>
  <c r="AX59" i="3"/>
  <c r="AU49" i="3"/>
  <c r="AY91" i="3"/>
  <c r="AW80" i="3"/>
  <c r="AV60" i="3"/>
  <c r="AW57" i="3"/>
  <c r="C62" i="3"/>
  <c r="AT82" i="3"/>
  <c r="AF94" i="3"/>
  <c r="AS66" i="3"/>
  <c r="AT76" i="3"/>
  <c r="AT67" i="3"/>
  <c r="AF91" i="3"/>
  <c r="AY78" i="3"/>
  <c r="AS58" i="3"/>
  <c r="AX63" i="3"/>
  <c r="AS86" i="3"/>
  <c r="AW75" i="3"/>
  <c r="AY94" i="3"/>
  <c r="AZ84" i="3"/>
  <c r="C76" i="3"/>
  <c r="AS60" i="3"/>
  <c r="AX64" i="3"/>
  <c r="AS88" i="3"/>
  <c r="AS71" i="3"/>
  <c r="AY90" i="3"/>
  <c r="AV56" i="3"/>
  <c r="AU74" i="3"/>
  <c r="AY80" i="3"/>
  <c r="AT81" i="3"/>
  <c r="AW79" i="3"/>
  <c r="AW84" i="3"/>
  <c r="AU67" i="3"/>
  <c r="AV62" i="3"/>
  <c r="AS95" i="3"/>
  <c r="AZ56" i="3"/>
  <c r="AX86" i="3"/>
  <c r="AS81" i="3"/>
  <c r="AV79" i="3"/>
  <c r="AZ48" i="3"/>
  <c r="AU64" i="3"/>
  <c r="AF70" i="3"/>
  <c r="AT85" i="3"/>
  <c r="AX87" i="3"/>
  <c r="C87" i="3"/>
  <c r="AY60" i="3"/>
  <c r="AY77" i="3"/>
  <c r="AS61" i="3"/>
  <c r="AX78" i="3"/>
  <c r="AX65" i="3"/>
  <c r="AF56" i="3"/>
  <c r="AV47" i="3"/>
  <c r="C66" i="3"/>
  <c r="AZ70" i="3"/>
  <c r="AY62" i="3"/>
  <c r="C64" i="3"/>
  <c r="AS97" i="3"/>
  <c r="AX47" i="3"/>
  <c r="AS69" i="3"/>
  <c r="AW66" i="3"/>
  <c r="AY58" i="3"/>
  <c r="AW71" i="3"/>
  <c r="AU50" i="3"/>
  <c r="AY63" i="3"/>
  <c r="AT60" i="3"/>
  <c r="AZ87" i="3"/>
  <c r="C81" i="3"/>
  <c r="AU79" i="3"/>
  <c r="AF90" i="3"/>
  <c r="AS80" i="3"/>
  <c r="AY57" i="3"/>
  <c r="C96" i="3"/>
  <c r="AV76" i="3"/>
  <c r="AV61" i="3"/>
  <c r="AZ59" i="3"/>
  <c r="AU62" i="3"/>
  <c r="AF47" i="3"/>
  <c r="AT56" i="3"/>
  <c r="AX83" i="3"/>
  <c r="AV86" i="3"/>
  <c r="AT88" i="3"/>
  <c r="C92" i="3"/>
  <c r="AS59" i="3"/>
  <c r="AX61" i="3"/>
  <c r="AS64" i="3"/>
  <c r="AV80" i="3"/>
  <c r="AY67" i="3"/>
  <c r="AV50" i="3"/>
  <c r="AU65" i="3"/>
  <c r="AY74" i="3"/>
  <c r="AT55" i="3"/>
  <c r="C65" i="3"/>
  <c r="C78" i="3"/>
  <c r="AU87" i="3"/>
  <c r="AS57" i="3"/>
  <c r="AX90" i="3"/>
  <c r="AT48" i="3"/>
  <c r="AY70" i="3"/>
  <c r="AX77" i="3"/>
  <c r="AZ86" i="3"/>
  <c r="AY79" i="3"/>
  <c r="AV78" i="3"/>
  <c r="AS79" i="3"/>
  <c r="AU59" i="3"/>
  <c r="AS84" i="3"/>
  <c r="AY89" i="3"/>
  <c r="AX71" i="3"/>
  <c r="AU60" i="3"/>
  <c r="AW78" i="3"/>
  <c r="AX81" i="3"/>
  <c r="AU80" i="3"/>
  <c r="AX49" i="3"/>
  <c r="AV77" i="3"/>
  <c r="AX74" i="3"/>
  <c r="AF86" i="3"/>
  <c r="AY55" i="3"/>
  <c r="AT71" i="3"/>
  <c r="AY61" i="3"/>
  <c r="AW49" i="3"/>
  <c r="AX73" i="3"/>
  <c r="AW94" i="3"/>
  <c r="AX55" i="3"/>
  <c r="AV75" i="3"/>
  <c r="AZ92" i="3"/>
  <c r="AU82" i="3"/>
  <c r="AT77" i="3"/>
  <c r="C60" i="3"/>
  <c r="AX54" i="3"/>
  <c r="AS85" i="3"/>
  <c r="AY66" i="3"/>
  <c r="AF72" i="3"/>
  <c r="AV83" i="3"/>
  <c r="AX48" i="3"/>
  <c r="AV57" i="3"/>
  <c r="AW97" i="3"/>
  <c r="C91" i="3"/>
  <c r="AZ94" i="3"/>
  <c r="AU54" i="3"/>
  <c r="AY72" i="3"/>
  <c r="AT70" i="3"/>
  <c r="AW86" i="3"/>
  <c r="AZ69" i="3"/>
  <c r="AT80" i="3"/>
  <c r="AY82" i="3"/>
  <c r="AW59" i="3"/>
  <c r="AX68" i="3"/>
  <c r="AW48" i="3"/>
  <c r="AX50" i="3"/>
  <c r="AV64" i="3"/>
  <c r="AZ73" i="3"/>
  <c r="AU73" i="3"/>
  <c r="AT69" i="3"/>
  <c r="AV81" i="3"/>
  <c r="AZ88" i="3"/>
  <c r="AS76" i="3"/>
  <c r="AF93" i="3"/>
  <c r="AS74" i="3"/>
  <c r="AV59" i="3"/>
  <c r="AT89" i="3"/>
  <c r="C93" i="3"/>
  <c r="AW96" i="3"/>
  <c r="AY71" i="3"/>
  <c r="AY87" i="3"/>
  <c r="C70" i="3"/>
  <c r="AZ61" i="3"/>
  <c r="AX69" i="3"/>
  <c r="AW69" i="3"/>
  <c r="C56" i="3"/>
  <c r="AV55" i="3"/>
  <c r="AU47" i="3"/>
  <c r="AF69" i="3"/>
  <c r="AT84" i="3"/>
  <c r="C94" i="3"/>
  <c r="AF58" i="3"/>
  <c r="AV85" i="3"/>
  <c r="AT49" i="3"/>
  <c r="AF85" i="3"/>
  <c r="AW54" i="3"/>
  <c r="AX58" i="3"/>
  <c r="AV89" i="3"/>
  <c r="AY48" i="3"/>
  <c r="C90" i="3"/>
  <c r="AZ71" i="3"/>
  <c r="AU58" i="3"/>
  <c r="AY56" i="3"/>
  <c r="AT92" i="3"/>
  <c r="AW77" i="3"/>
  <c r="AZ82" i="3"/>
  <c r="AU91" i="3"/>
  <c r="C77" i="3"/>
  <c r="AZ93" i="3"/>
  <c r="AX67" i="3"/>
  <c r="AW74" i="3"/>
  <c r="C67" i="3"/>
  <c r="AV97" i="3"/>
  <c r="AZ49" i="3"/>
  <c r="AU77" i="3"/>
  <c r="AT65" i="3"/>
  <c r="AY85" i="3"/>
  <c r="AX75" i="3"/>
  <c r="AV84" i="3"/>
  <c r="AY73" i="3"/>
  <c r="C72" i="3"/>
  <c r="AU85" i="3"/>
  <c r="C55" i="3"/>
  <c r="AZ97" i="3"/>
  <c r="AS93" i="3"/>
  <c r="AW87" i="3"/>
  <c r="AU63" i="3"/>
  <c r="AF60" i="3"/>
  <c r="AT86" i="3"/>
  <c r="AV87" i="3"/>
  <c r="AX62" i="3"/>
  <c r="AT63" i="3"/>
  <c r="AF89" i="3"/>
  <c r="AT54" i="3"/>
  <c r="AY64" i="3"/>
  <c r="AS91" i="3"/>
  <c r="C82" i="3"/>
  <c r="AY83" i="3"/>
  <c r="AX91" i="3"/>
  <c r="AU97" i="3"/>
  <c r="AW91" i="3"/>
  <c r="AS72" i="3"/>
  <c r="AW85" i="3"/>
  <c r="AS68" i="3"/>
  <c r="AX76" i="3"/>
  <c r="AW72" i="3"/>
  <c r="CI208" i="1" l="1"/>
  <c r="CI210" i="1" s="1"/>
  <c r="CI81" i="1"/>
  <c r="CL84" i="1" s="1"/>
  <c r="CI67" i="1"/>
  <c r="CI134" i="1"/>
  <c r="CI135" i="1" s="1"/>
  <c r="CC15" i="1"/>
  <c r="CF15" i="1"/>
  <c r="AC146" i="1"/>
  <c r="CU146" i="1"/>
  <c r="CV146" i="1" s="1"/>
  <c r="CW146" i="1" s="1"/>
  <c r="CX146" i="1" s="1"/>
  <c r="CL100" i="1"/>
  <c r="CL101" i="1"/>
  <c r="CL102" i="1"/>
  <c r="CA15" i="1"/>
  <c r="BY15" i="1"/>
  <c r="CB246" i="1"/>
  <c r="CB7" i="1"/>
  <c r="CD15" i="1"/>
  <c r="CC246" i="1"/>
  <c r="CC7" i="1"/>
  <c r="BZ246" i="1"/>
  <c r="BZ7" i="1"/>
  <c r="CA246" i="1"/>
  <c r="CA7" i="1"/>
  <c r="BZ15" i="1"/>
  <c r="CB15" i="1"/>
  <c r="CD246" i="1"/>
  <c r="CD7" i="1"/>
  <c r="CE15" i="1"/>
  <c r="Y208" i="1"/>
  <c r="Y210" i="1" s="1"/>
  <c r="Y214" i="1" s="1"/>
  <c r="Y228" i="1" s="1"/>
  <c r="CR155" i="1"/>
  <c r="X69" i="1"/>
  <c r="X67" i="1"/>
  <c r="Y222" i="1"/>
  <c r="Y220" i="1" s="1"/>
  <c r="CK84" i="1"/>
  <c r="CK102" i="1" s="1"/>
  <c r="Y67" i="1"/>
  <c r="CJ84" i="1"/>
  <c r="CJ101" i="1" s="1"/>
  <c r="CQ199" i="1"/>
  <c r="CP200" i="1"/>
  <c r="CO197" i="1"/>
  <c r="CO201" i="1" s="1"/>
  <c r="CP196" i="1"/>
  <c r="CR140" i="1"/>
  <c r="CQ143" i="1"/>
  <c r="CQ264" i="1" s="1"/>
  <c r="CP221" i="1"/>
  <c r="BZ140" i="1"/>
  <c r="CA140" i="1" s="1"/>
  <c r="BL88" i="1"/>
  <c r="CF89" i="1"/>
  <c r="CB161" i="1"/>
  <c r="CC161" i="1" s="1"/>
  <c r="CD168" i="1"/>
  <c r="CD198" i="1" s="1"/>
  <c r="CE198" i="1" s="1"/>
  <c r="CB179" i="1"/>
  <c r="CC179" i="1" s="1"/>
  <c r="BL139" i="1"/>
  <c r="BM139" i="1" s="1"/>
  <c r="CD148" i="1"/>
  <c r="CD139" i="1"/>
  <c r="CE139" i="1" s="1"/>
  <c r="CF142" i="1"/>
  <c r="CG142" i="1" s="1"/>
  <c r="CB142" i="1"/>
  <c r="CC142" i="1" s="1"/>
  <c r="CB167" i="1"/>
  <c r="CC167" i="1" s="1"/>
  <c r="CB159" i="1"/>
  <c r="CB194" i="1" s="1"/>
  <c r="CC194" i="1" s="1"/>
  <c r="BZ168" i="1"/>
  <c r="BZ198" i="1" s="1"/>
  <c r="CA198" i="1" s="1"/>
  <c r="BZ179" i="1"/>
  <c r="CA179" i="1" s="1"/>
  <c r="BZ169" i="1"/>
  <c r="CA169" i="1" s="1"/>
  <c r="BZ175" i="1"/>
  <c r="BZ165" i="1"/>
  <c r="CA165" i="1" s="1"/>
  <c r="BZ147" i="1"/>
  <c r="BL160" i="1"/>
  <c r="BL195" i="1" s="1"/>
  <c r="BM195" i="1" s="1"/>
  <c r="BL168" i="1"/>
  <c r="BL198" i="1" s="1"/>
  <c r="BM198" i="1" s="1"/>
  <c r="BL137" i="1"/>
  <c r="BM137" i="1" s="1"/>
  <c r="CA88" i="1"/>
  <c r="CF88" i="1"/>
  <c r="CF161" i="1"/>
  <c r="CG161" i="1" s="1"/>
  <c r="CF148" i="1"/>
  <c r="CB89" i="1"/>
  <c r="CF159" i="1"/>
  <c r="CF194" i="1" s="1"/>
  <c r="CG194" i="1" s="1"/>
  <c r="CG159" i="1" s="1"/>
  <c r="CF137" i="1"/>
  <c r="CG137" i="1" s="1"/>
  <c r="CB164" i="1"/>
  <c r="CC164" i="1" s="1"/>
  <c r="CF179" i="1"/>
  <c r="CG179" i="1" s="1"/>
  <c r="CB140" i="1"/>
  <c r="CC140" i="1" s="1"/>
  <c r="CB178" i="1"/>
  <c r="CC178" i="1" s="1"/>
  <c r="CD89" i="1"/>
  <c r="CB174" i="1"/>
  <c r="CD160" i="1"/>
  <c r="CD195" i="1" s="1"/>
  <c r="CE195" i="1" s="1"/>
  <c r="CD137" i="1"/>
  <c r="CE137" i="1" s="1"/>
  <c r="BL140" i="1"/>
  <c r="CD146" i="1"/>
  <c r="CD166" i="1"/>
  <c r="CE166" i="1" s="1"/>
  <c r="CD174" i="1"/>
  <c r="CD157" i="1"/>
  <c r="CE157" i="1" s="1"/>
  <c r="CF155" i="1"/>
  <c r="CF141" i="1"/>
  <c r="CG141" i="1" s="1"/>
  <c r="CB157" i="1"/>
  <c r="CC157" i="1" s="1"/>
  <c r="BL169" i="1"/>
  <c r="BM169" i="1" s="1"/>
  <c r="BL178" i="1"/>
  <c r="BM178" i="1" s="1"/>
  <c r="BL179" i="1"/>
  <c r="CB141" i="1"/>
  <c r="CC141" i="1" s="1"/>
  <c r="CE89" i="1"/>
  <c r="BZ174" i="1"/>
  <c r="BZ178" i="1"/>
  <c r="CA178" i="1" s="1"/>
  <c r="BZ134" i="1"/>
  <c r="BZ142" i="1"/>
  <c r="CA142" i="1" s="1"/>
  <c r="CF160" i="1"/>
  <c r="CF195" i="1" s="1"/>
  <c r="CG195" i="1" s="1"/>
  <c r="CG160" i="1" s="1"/>
  <c r="CF147" i="1"/>
  <c r="CF164" i="1"/>
  <c r="CB134" i="1"/>
  <c r="CB160" i="1"/>
  <c r="CB195" i="1" s="1"/>
  <c r="CC195" i="1" s="1"/>
  <c r="CD175" i="1"/>
  <c r="CD167" i="1"/>
  <c r="CE167" i="1" s="1"/>
  <c r="CB88" i="1"/>
  <c r="BZ170" i="1"/>
  <c r="CA170" i="1" s="1"/>
  <c r="BZ148" i="1"/>
  <c r="BZ132" i="1"/>
  <c r="BZ162" i="1"/>
  <c r="CA162" i="1" s="1"/>
  <c r="BZ89" i="1"/>
  <c r="BZ139" i="1"/>
  <c r="CA139" i="1" s="1"/>
  <c r="BZ141" i="1"/>
  <c r="CA141" i="1" s="1"/>
  <c r="BZ157" i="1"/>
  <c r="CA157" i="1" s="1"/>
  <c r="BZ146" i="1"/>
  <c r="BL148" i="1"/>
  <c r="BL164" i="1"/>
  <c r="BM164" i="1" s="1"/>
  <c r="CF139" i="1"/>
  <c r="CF168" i="1"/>
  <c r="CF198" i="1" s="1"/>
  <c r="CG198" i="1" s="1"/>
  <c r="CG168" i="1" s="1"/>
  <c r="CD169" i="1"/>
  <c r="CE169" i="1" s="1"/>
  <c r="CF169" i="1"/>
  <c r="CG169" i="1" s="1"/>
  <c r="CB146" i="1"/>
  <c r="CB169" i="1"/>
  <c r="CC169" i="1" s="1"/>
  <c r="BY89" i="1"/>
  <c r="CD178" i="1"/>
  <c r="CE178" i="1" s="1"/>
  <c r="CD150" i="1"/>
  <c r="CE150" i="1" s="1"/>
  <c r="BL175" i="1"/>
  <c r="CB168" i="1"/>
  <c r="CB198" i="1" s="1"/>
  <c r="CC198" i="1" s="1"/>
  <c r="CB133" i="1"/>
  <c r="CC133" i="1" s="1"/>
  <c r="BL165" i="1"/>
  <c r="BM165" i="1" s="1"/>
  <c r="CD142" i="1"/>
  <c r="CE142" i="1" s="1"/>
  <c r="CD162" i="1"/>
  <c r="CE162" i="1" s="1"/>
  <c r="CD134" i="1"/>
  <c r="CD161" i="1"/>
  <c r="CE161" i="1" s="1"/>
  <c r="CD170" i="1"/>
  <c r="CE170" i="1" s="1"/>
  <c r="CD155" i="1"/>
  <c r="CE155" i="1" s="1"/>
  <c r="CF132" i="1"/>
  <c r="CF133" i="1"/>
  <c r="CG133" i="1" s="1"/>
  <c r="CF166" i="1"/>
  <c r="CG166" i="1" s="1"/>
  <c r="CF178" i="1"/>
  <c r="CG178" i="1" s="1"/>
  <c r="CB175" i="1"/>
  <c r="CB155" i="1"/>
  <c r="AI89" i="1"/>
  <c r="BL162" i="1"/>
  <c r="BM162" i="1" s="1"/>
  <c r="BL150" i="1"/>
  <c r="BM150" i="1" s="1"/>
  <c r="BL141" i="1"/>
  <c r="BM141" i="1" s="1"/>
  <c r="CB139" i="1"/>
  <c r="CC139" i="1" s="1"/>
  <c r="BL161" i="1"/>
  <c r="BM161" i="1" s="1"/>
  <c r="BZ150" i="1"/>
  <c r="CA150" i="1" s="1"/>
  <c r="BZ88" i="1"/>
  <c r="BL167" i="1"/>
  <c r="BM167" i="1" s="1"/>
  <c r="CB147" i="1"/>
  <c r="CF162" i="1"/>
  <c r="CG162" i="1" s="1"/>
  <c r="CB162" i="1"/>
  <c r="CC162" i="1" s="1"/>
  <c r="CD88" i="1"/>
  <c r="CC89" i="1"/>
  <c r="CD133" i="1"/>
  <c r="CE133" i="1" s="1"/>
  <c r="BL134" i="1"/>
  <c r="CD140" i="1"/>
  <c r="CE140" i="1" s="1"/>
  <c r="CF174" i="1"/>
  <c r="CF167" i="1"/>
  <c r="CG167" i="1" s="1"/>
  <c r="CE88" i="1"/>
  <c r="BZ160" i="1"/>
  <c r="BZ195" i="1" s="1"/>
  <c r="CA195" i="1" s="1"/>
  <c r="BZ137" i="1"/>
  <c r="CA137" i="1" s="1"/>
  <c r="BZ159" i="1"/>
  <c r="BZ194" i="1" s="1"/>
  <c r="CA194" i="1" s="1"/>
  <c r="BZ133" i="1"/>
  <c r="CA133" i="1" s="1"/>
  <c r="BZ164" i="1"/>
  <c r="BZ166" i="1"/>
  <c r="CA166" i="1" s="1"/>
  <c r="BZ161" i="1"/>
  <c r="CA161" i="1" s="1"/>
  <c r="BZ155" i="1"/>
  <c r="CA155" i="1" s="1"/>
  <c r="BZ167" i="1"/>
  <c r="CA167" i="1" s="1"/>
  <c r="BL170" i="1"/>
  <c r="BM170" i="1" s="1"/>
  <c r="BL159" i="1"/>
  <c r="BL194" i="1" s="1"/>
  <c r="BM194" i="1" s="1"/>
  <c r="BL146" i="1"/>
  <c r="BL147" i="1"/>
  <c r="CA89" i="1"/>
  <c r="CF170" i="1"/>
  <c r="CG170" i="1" s="1"/>
  <c r="CF165" i="1"/>
  <c r="CG165" i="1" s="1"/>
  <c r="CF175" i="1"/>
  <c r="CB132" i="1"/>
  <c r="CC132" i="1" s="1"/>
  <c r="CF146" i="1"/>
  <c r="CF134" i="1"/>
  <c r="CG134" i="1" s="1"/>
  <c r="CF140" i="1"/>
  <c r="CG140" i="1" s="1"/>
  <c r="CD141" i="1"/>
  <c r="CE141" i="1" s="1"/>
  <c r="CB170" i="1"/>
  <c r="CC170" i="1" s="1"/>
  <c r="CB150" i="1"/>
  <c r="CC150" i="1" s="1"/>
  <c r="CB166" i="1"/>
  <c r="CC166" i="1" s="1"/>
  <c r="CD132" i="1"/>
  <c r="BL155" i="1"/>
  <c r="CB148" i="1"/>
  <c r="BL142" i="1"/>
  <c r="BM142" i="1" s="1"/>
  <c r="CD147" i="1"/>
  <c r="CD159" i="1"/>
  <c r="CD194" i="1" s="1"/>
  <c r="CE194" i="1" s="1"/>
  <c r="CD165" i="1"/>
  <c r="CE165" i="1" s="1"/>
  <c r="CD164" i="1"/>
  <c r="CE164" i="1" s="1"/>
  <c r="CD179" i="1"/>
  <c r="CE179" i="1" s="1"/>
  <c r="CF150" i="1"/>
  <c r="CG150" i="1" s="1"/>
  <c r="CF157" i="1"/>
  <c r="CG157" i="1" s="1"/>
  <c r="CC88" i="1"/>
  <c r="CB165" i="1"/>
  <c r="CC165" i="1" s="1"/>
  <c r="CB137" i="1"/>
  <c r="CC137" i="1" s="1"/>
  <c r="BL174" i="1"/>
  <c r="BL132" i="1"/>
  <c r="BM132" i="1" s="1"/>
  <c r="BL166" i="1"/>
  <c r="BM166" i="1" s="1"/>
  <c r="BL157" i="1"/>
  <c r="BM157" i="1" s="1"/>
  <c r="BL133" i="1"/>
  <c r="BM133" i="1" s="1"/>
  <c r="BL268" i="1"/>
  <c r="CH113" i="1"/>
  <c r="CH114" i="1" s="1"/>
  <c r="CB152" i="1"/>
  <c r="CC152" i="1" s="1"/>
  <c r="CF152" i="1"/>
  <c r="CG152" i="1" s="1"/>
  <c r="CD152" i="1"/>
  <c r="CE152" i="1" s="1"/>
  <c r="BL152" i="1"/>
  <c r="BM152" i="1" s="1"/>
  <c r="BZ152" i="1"/>
  <c r="CA152" i="1" s="1"/>
  <c r="BL158" i="1"/>
  <c r="CD158" i="1"/>
  <c r="CB158" i="1"/>
  <c r="CF158" i="1"/>
  <c r="BZ158" i="1"/>
  <c r="CA267" i="1"/>
  <c r="JJ21" i="4"/>
  <c r="CD92" i="1" s="1"/>
  <c r="CA25" i="1"/>
  <c r="CA31" i="1" s="1"/>
  <c r="CA32" i="1" s="1"/>
  <c r="JK14" i="4"/>
  <c r="BL25" i="1"/>
  <c r="BL31" i="1" s="1"/>
  <c r="BY25" i="1"/>
  <c r="BY31" i="1" s="1"/>
  <c r="BL209" i="1"/>
  <c r="CF25" i="1"/>
  <c r="AA73" i="1" s="1"/>
  <c r="CF267" i="1"/>
  <c r="JL21" i="4"/>
  <c r="CF92" i="1" s="1"/>
  <c r="CF113" i="1"/>
  <c r="CF114" i="1" s="1"/>
  <c r="CB41" i="1"/>
  <c r="CE246" i="1"/>
  <c r="CC268" i="1"/>
  <c r="CA41" i="1"/>
  <c r="CE267" i="1"/>
  <c r="CC267" i="1"/>
  <c r="JM7" i="4"/>
  <c r="CA268" i="1"/>
  <c r="JJ8" i="4"/>
  <c r="Z225" i="1"/>
  <c r="Z226" i="1" s="1"/>
  <c r="CF41" i="1"/>
  <c r="BZ267" i="1"/>
  <c r="BZ25" i="1"/>
  <c r="CA209" i="1"/>
  <c r="CD268" i="1"/>
  <c r="CB113" i="1"/>
  <c r="CB114" i="1" s="1"/>
  <c r="JK21" i="4"/>
  <c r="CE92" i="1" s="1"/>
  <c r="JK15" i="4"/>
  <c r="CD267" i="1"/>
  <c r="JL14" i="4"/>
  <c r="CC41" i="1"/>
  <c r="BY41" i="1"/>
  <c r="CI113" i="1"/>
  <c r="CI114" i="1" s="1"/>
  <c r="CI117" i="1" s="1"/>
  <c r="CF246" i="1"/>
  <c r="BY268" i="1"/>
  <c r="JL8" i="4"/>
  <c r="CE41" i="1"/>
  <c r="BL267" i="1"/>
  <c r="CE113" i="1"/>
  <c r="CE114" i="1" s="1"/>
  <c r="CD25" i="1"/>
  <c r="CD31" i="1" s="1"/>
  <c r="CH33" i="1" s="1"/>
  <c r="CC25" i="1"/>
  <c r="CD209" i="1"/>
  <c r="CE25" i="1"/>
  <c r="CG113" i="1"/>
  <c r="CG114" i="1" s="1"/>
  <c r="CD113" i="1"/>
  <c r="CD114" i="1" s="1"/>
  <c r="CB25" i="1"/>
  <c r="CB31" i="1" s="1"/>
  <c r="CB267" i="1"/>
  <c r="CC113" i="1"/>
  <c r="CC114" i="1" s="1"/>
  <c r="JJ15" i="4"/>
  <c r="CB268" i="1"/>
  <c r="BY267" i="1"/>
  <c r="CD41" i="1"/>
  <c r="JM8" i="4"/>
  <c r="JL7" i="4"/>
  <c r="CF268" i="1"/>
  <c r="JJ7" i="4"/>
  <c r="JK8" i="4"/>
  <c r="JM21" i="4"/>
  <c r="CG92" i="1" s="1"/>
  <c r="BZ268" i="1"/>
  <c r="CE268" i="1"/>
  <c r="JK7" i="4"/>
  <c r="BL41" i="1"/>
  <c r="JL15" i="4"/>
  <c r="BZ41" i="1"/>
  <c r="JM14" i="4"/>
  <c r="JM15" i="4"/>
  <c r="JJ14" i="4"/>
  <c r="CQ55" i="1"/>
  <c r="CR55" i="1" s="1"/>
  <c r="CR32" i="1"/>
  <c r="CS32" i="1" s="1"/>
  <c r="CV42" i="1"/>
  <c r="CS195" i="1"/>
  <c r="CS198" i="1"/>
  <c r="CS194" i="1"/>
  <c r="CT139" i="1"/>
  <c r="AD61" i="1"/>
  <c r="CZ61" i="1"/>
  <c r="DA61" i="1" s="1"/>
  <c r="DB61" i="1" s="1"/>
  <c r="AE50" i="1"/>
  <c r="U23" i="1"/>
  <c r="V23" i="1"/>
  <c r="W23" i="1"/>
  <c r="CI222" i="1" l="1"/>
  <c r="CI220" i="1" s="1"/>
  <c r="CJ222" i="1"/>
  <c r="CJ220" i="1" s="1"/>
  <c r="CI107" i="1"/>
  <c r="CI144" i="1"/>
  <c r="Y225" i="1"/>
  <c r="Y226" i="1" s="1"/>
  <c r="AD146" i="1"/>
  <c r="CY146" i="1"/>
  <c r="CZ146" i="1" s="1"/>
  <c r="DA146" i="1" s="1"/>
  <c r="DB146" i="1" s="1"/>
  <c r="AE146" i="1" s="1"/>
  <c r="CR217" i="1"/>
  <c r="CS155" i="1"/>
  <c r="CK100" i="1"/>
  <c r="CK101" i="1"/>
  <c r="CJ100" i="1"/>
  <c r="CJ102" i="1"/>
  <c r="CR199" i="1"/>
  <c r="CQ200" i="1"/>
  <c r="CP197" i="1"/>
  <c r="CP201" i="1" s="1"/>
  <c r="CQ196" i="1"/>
  <c r="CS140" i="1"/>
  <c r="CR143" i="1"/>
  <c r="CR264" i="1" s="1"/>
  <c r="CQ221" i="1"/>
  <c r="BZ176" i="1"/>
  <c r="BL176" i="1"/>
  <c r="CB217" i="1"/>
  <c r="CA132" i="1"/>
  <c r="BZ135" i="1"/>
  <c r="BZ107" i="1" s="1"/>
  <c r="BL135" i="1"/>
  <c r="BL107" i="1" s="1"/>
  <c r="CB176" i="1"/>
  <c r="CC224" i="1" s="1"/>
  <c r="CG139" i="1"/>
  <c r="CG143" i="1" s="1"/>
  <c r="CF143" i="1"/>
  <c r="CD149" i="1"/>
  <c r="CE48" i="1" s="1"/>
  <c r="CC155" i="1"/>
  <c r="CE132" i="1"/>
  <c r="CD135" i="1"/>
  <c r="CD107" i="1" s="1"/>
  <c r="CD109" i="1" s="1"/>
  <c r="BM155" i="1"/>
  <c r="BM217" i="1" s="1"/>
  <c r="CD176" i="1"/>
  <c r="CF217" i="1"/>
  <c r="CE143" i="1"/>
  <c r="BM140" i="1"/>
  <c r="BM143" i="1" s="1"/>
  <c r="BL143" i="1"/>
  <c r="CG155" i="1"/>
  <c r="CG164" i="1"/>
  <c r="CG171" i="1" s="1"/>
  <c r="CF171" i="1"/>
  <c r="CF200" i="1" s="1"/>
  <c r="CF199" i="1" s="1"/>
  <c r="CG132" i="1"/>
  <c r="CG135" i="1" s="1"/>
  <c r="CF135" i="1"/>
  <c r="CF107" i="1" s="1"/>
  <c r="CF109" i="1" s="1"/>
  <c r="CA164" i="1"/>
  <c r="BZ171" i="1"/>
  <c r="BZ200" i="1" s="1"/>
  <c r="BZ199" i="1" s="1"/>
  <c r="BZ149" i="1"/>
  <c r="BZ153" i="1" s="1"/>
  <c r="CA143" i="1"/>
  <c r="CB149" i="1"/>
  <c r="CF176" i="1"/>
  <c r="BL149" i="1"/>
  <c r="CF149" i="1"/>
  <c r="CF153" i="1" s="1"/>
  <c r="CC143" i="1"/>
  <c r="CB143" i="1"/>
  <c r="CE217" i="1"/>
  <c r="BZ143" i="1"/>
  <c r="CB171" i="1"/>
  <c r="CB200" i="1" s="1"/>
  <c r="CB199" i="1" s="1"/>
  <c r="BL171" i="1"/>
  <c r="BL200" i="1" s="1"/>
  <c r="BL199" i="1" s="1"/>
  <c r="CD171" i="1"/>
  <c r="CD200" i="1" s="1"/>
  <c r="CD199" i="1" s="1"/>
  <c r="CB135" i="1"/>
  <c r="CD143" i="1"/>
  <c r="CH117" i="1"/>
  <c r="CH118" i="1"/>
  <c r="CH119" i="1"/>
  <c r="BM158" i="1"/>
  <c r="BL163" i="1"/>
  <c r="CE158" i="1"/>
  <c r="CD163" i="1"/>
  <c r="CC158" i="1"/>
  <c r="CB163" i="1"/>
  <c r="CG158" i="1"/>
  <c r="CG163" i="1" s="1"/>
  <c r="CG197" i="1" s="1"/>
  <c r="CG196" i="1" s="1"/>
  <c r="CF163" i="1"/>
  <c r="CA158" i="1"/>
  <c r="BZ163" i="1"/>
  <c r="CD117" i="1"/>
  <c r="CA42" i="1"/>
  <c r="CA27" i="1"/>
  <c r="JK19" i="4"/>
  <c r="CE93" i="1" s="1"/>
  <c r="BL42" i="1"/>
  <c r="CC26" i="1"/>
  <c r="CC42" i="1"/>
  <c r="CI240" i="1"/>
  <c r="CF31" i="1"/>
  <c r="CG27" i="1"/>
  <c r="CJ26" i="1"/>
  <c r="BY42" i="1"/>
  <c r="JL20" i="4"/>
  <c r="CF94" i="1" s="1"/>
  <c r="CF119" i="1" s="1"/>
  <c r="BZ31" i="1"/>
  <c r="CD33" i="1" s="1"/>
  <c r="CF42" i="1"/>
  <c r="Y73" i="1"/>
  <c r="JJ19" i="4"/>
  <c r="CD93" i="1" s="1"/>
  <c r="CD122" i="1" s="1"/>
  <c r="JM20" i="4"/>
  <c r="CG94" i="1" s="1"/>
  <c r="CD42" i="1"/>
  <c r="JM19" i="4"/>
  <c r="CG93" i="1" s="1"/>
  <c r="CE168" i="1"/>
  <c r="CE171" i="1" s="1"/>
  <c r="CE200" i="1" s="1"/>
  <c r="CE199" i="1" s="1"/>
  <c r="CF117" i="1"/>
  <c r="JJ20" i="4"/>
  <c r="CD94" i="1" s="1"/>
  <c r="CD123" i="1" s="1"/>
  <c r="JL19" i="4"/>
  <c r="CF93" i="1" s="1"/>
  <c r="JK20" i="4"/>
  <c r="CE94" i="1" s="1"/>
  <c r="CE123" i="1" s="1"/>
  <c r="CA43" i="1"/>
  <c r="CA247" i="1" s="1"/>
  <c r="CA248" i="1" s="1"/>
  <c r="CD203" i="1"/>
  <c r="CD26" i="1"/>
  <c r="BZ27" i="1"/>
  <c r="CD240" i="1"/>
  <c r="BZ42" i="1"/>
  <c r="CE159" i="1"/>
  <c r="CE203" i="1"/>
  <c r="CG203" i="1"/>
  <c r="CF26" i="1"/>
  <c r="CH240" i="1"/>
  <c r="CJ203" i="1"/>
  <c r="CE42" i="1"/>
  <c r="CC31" i="1"/>
  <c r="CC34" i="1" s="1"/>
  <c r="CF240" i="1"/>
  <c r="CB27" i="1"/>
  <c r="CH259" i="1"/>
  <c r="Z73" i="1"/>
  <c r="CE26" i="1"/>
  <c r="CG117" i="1"/>
  <c r="CE117" i="1"/>
  <c r="CG240" i="1"/>
  <c r="CF27" i="1"/>
  <c r="CF203" i="1"/>
  <c r="CE240" i="1"/>
  <c r="CC27" i="1"/>
  <c r="CC240" i="1"/>
  <c r="CE160" i="1"/>
  <c r="CB42" i="1"/>
  <c r="CB32" i="1"/>
  <c r="CB43" i="1"/>
  <c r="CB34" i="1"/>
  <c r="CD43" i="1"/>
  <c r="CH45" i="1" s="1"/>
  <c r="CD27" i="1"/>
  <c r="CH26" i="1"/>
  <c r="CI203" i="1"/>
  <c r="CI118" i="1"/>
  <c r="CE31" i="1"/>
  <c r="CE34" i="1" s="1"/>
  <c r="CI26" i="1"/>
  <c r="CD32" i="1"/>
  <c r="CI119" i="1"/>
  <c r="CG26" i="1"/>
  <c r="CE27" i="1"/>
  <c r="CH203" i="1"/>
  <c r="CA217" i="1"/>
  <c r="BL32" i="1"/>
  <c r="BL43" i="1"/>
  <c r="BY32" i="1"/>
  <c r="BY43" i="1"/>
  <c r="CS55" i="1"/>
  <c r="CT32" i="1"/>
  <c r="CU32" i="1" s="1"/>
  <c r="CW42" i="1"/>
  <c r="CX42" i="1" s="1"/>
  <c r="CT194" i="1"/>
  <c r="CT198" i="1"/>
  <c r="CU139" i="1"/>
  <c r="CT195" i="1"/>
  <c r="AE61" i="1"/>
  <c r="V246" i="1"/>
  <c r="W246" i="1"/>
  <c r="U246" i="1"/>
  <c r="CI109" i="1" l="1"/>
  <c r="CI111" i="1"/>
  <c r="CI110" i="1"/>
  <c r="CF43" i="1"/>
  <c r="AA75" i="1" s="1"/>
  <c r="AA74" i="1"/>
  <c r="CS217" i="1"/>
  <c r="CT155" i="1"/>
  <c r="CT217" i="1" s="1"/>
  <c r="CS199" i="1"/>
  <c r="CR200" i="1"/>
  <c r="CD217" i="1"/>
  <c r="CC217" i="1"/>
  <c r="CG264" i="1"/>
  <c r="CQ197" i="1"/>
  <c r="CQ201" i="1" s="1"/>
  <c r="CR196" i="1"/>
  <c r="CH217" i="1"/>
  <c r="CG217" i="1"/>
  <c r="CA224" i="1"/>
  <c r="BZ263" i="1"/>
  <c r="CT140" i="1"/>
  <c r="CS143" i="1"/>
  <c r="CS264" i="1" s="1"/>
  <c r="CD221" i="1"/>
  <c r="CF264" i="1"/>
  <c r="BM224" i="1"/>
  <c r="BL263" i="1"/>
  <c r="CF221" i="1"/>
  <c r="CF144" i="1"/>
  <c r="CR221" i="1"/>
  <c r="BL144" i="1"/>
  <c r="BL183" i="1"/>
  <c r="BL124" i="1" s="1"/>
  <c r="CA48" i="1"/>
  <c r="CA149" i="1"/>
  <c r="CB153" i="1"/>
  <c r="CC48" i="1"/>
  <c r="CC149" i="1"/>
  <c r="BZ183" i="1"/>
  <c r="BZ144" i="1"/>
  <c r="CF110" i="1"/>
  <c r="CD153" i="1"/>
  <c r="CE149" i="1"/>
  <c r="CE224" i="1"/>
  <c r="CD263" i="1"/>
  <c r="CA264" i="1"/>
  <c r="CA221" i="1"/>
  <c r="BM221" i="1"/>
  <c r="BM264" i="1"/>
  <c r="CH222" i="1"/>
  <c r="CG107" i="1"/>
  <c r="CG110" i="1" s="1"/>
  <c r="CG222" i="1"/>
  <c r="CG224" i="1"/>
  <c r="CF183" i="1"/>
  <c r="CF263" i="1"/>
  <c r="BM149" i="1"/>
  <c r="BM153" i="1" s="1"/>
  <c r="BL153" i="1"/>
  <c r="BL261" i="1" s="1"/>
  <c r="CG48" i="1"/>
  <c r="CG149" i="1"/>
  <c r="CH264" i="1"/>
  <c r="CH266" i="1" s="1"/>
  <c r="CH221" i="1"/>
  <c r="CG144" i="1"/>
  <c r="CG221" i="1"/>
  <c r="CB264" i="1"/>
  <c r="CB144" i="1"/>
  <c r="CB183" i="1"/>
  <c r="CB221" i="1"/>
  <c r="CB107" i="1"/>
  <c r="CB263" i="1"/>
  <c r="CC264" i="1"/>
  <c r="CC221" i="1"/>
  <c r="CE221" i="1"/>
  <c r="CD264" i="1"/>
  <c r="CD144" i="1"/>
  <c r="CD183" i="1"/>
  <c r="CE264" i="1"/>
  <c r="BL197" i="1"/>
  <c r="BL172" i="1"/>
  <c r="CD197" i="1"/>
  <c r="CD172" i="1"/>
  <c r="CB197" i="1"/>
  <c r="CB172" i="1"/>
  <c r="CF197" i="1"/>
  <c r="CF172" i="1"/>
  <c r="CF180" i="1" s="1"/>
  <c r="BZ197" i="1"/>
  <c r="BZ172" i="1"/>
  <c r="BZ180" i="1" s="1"/>
  <c r="CE118" i="1"/>
  <c r="CE122" i="1"/>
  <c r="BZ34" i="1"/>
  <c r="BZ43" i="1"/>
  <c r="BZ32" i="1"/>
  <c r="CA34" i="1"/>
  <c r="CG200" i="1"/>
  <c r="CH212" i="1"/>
  <c r="CG212" i="1"/>
  <c r="CJ33" i="1"/>
  <c r="CF32" i="1"/>
  <c r="CG34" i="1"/>
  <c r="CF33" i="1"/>
  <c r="BZ261" i="1"/>
  <c r="CF261" i="1"/>
  <c r="CF259" i="1"/>
  <c r="CF123" i="1"/>
  <c r="CF111" i="1"/>
  <c r="CG123" i="1"/>
  <c r="CG119" i="1"/>
  <c r="CG122" i="1"/>
  <c r="CG118" i="1"/>
  <c r="CF122" i="1"/>
  <c r="CF118" i="1"/>
  <c r="CG46" i="1"/>
  <c r="CI127" i="1"/>
  <c r="CG33" i="1"/>
  <c r="CC32" i="1"/>
  <c r="Y74" i="1"/>
  <c r="CC43" i="1"/>
  <c r="CC49" i="1" s="1"/>
  <c r="CC53" i="1" s="1"/>
  <c r="CD34" i="1"/>
  <c r="CC33" i="1"/>
  <c r="CD111" i="1"/>
  <c r="CD118" i="1"/>
  <c r="CE163" i="1"/>
  <c r="CD110" i="1"/>
  <c r="CE212" i="1"/>
  <c r="CG211" i="1"/>
  <c r="CD119" i="1"/>
  <c r="CF212" i="1"/>
  <c r="CA49" i="1"/>
  <c r="CA53" i="1" s="1"/>
  <c r="CA56" i="1" s="1"/>
  <c r="CA63" i="1" s="1"/>
  <c r="CA208" i="1" s="1"/>
  <c r="CA210" i="1" s="1"/>
  <c r="CI241" i="1"/>
  <c r="CA44" i="1"/>
  <c r="CG265" i="1"/>
  <c r="CE119" i="1"/>
  <c r="CF44" i="1"/>
  <c r="CF247" i="1"/>
  <c r="CF248" i="1" s="1"/>
  <c r="CJ45" i="1"/>
  <c r="CF49" i="1"/>
  <c r="CG172" i="1"/>
  <c r="CH211" i="1"/>
  <c r="CD44" i="1"/>
  <c r="CB44" i="1"/>
  <c r="CB247" i="1"/>
  <c r="CB248" i="1" s="1"/>
  <c r="CB49" i="1"/>
  <c r="CB53" i="1" s="1"/>
  <c r="CB46" i="1"/>
  <c r="CB265" i="1"/>
  <c r="CF45" i="1"/>
  <c r="CD247" i="1"/>
  <c r="CD248" i="1" s="1"/>
  <c r="CD49" i="1"/>
  <c r="CD53" i="1" s="1"/>
  <c r="CD56" i="1" s="1"/>
  <c r="CD249" i="1" s="1"/>
  <c r="CF34" i="1"/>
  <c r="CE33" i="1"/>
  <c r="CI33" i="1"/>
  <c r="Z74" i="1"/>
  <c r="CE43" i="1"/>
  <c r="CG241" i="1" s="1"/>
  <c r="CE32" i="1"/>
  <c r="BY49" i="1"/>
  <c r="BY53" i="1" s="1"/>
  <c r="BY44" i="1"/>
  <c r="BL49" i="1"/>
  <c r="BL53" i="1" s="1"/>
  <c r="BL44" i="1"/>
  <c r="CT55" i="1"/>
  <c r="CV32" i="1"/>
  <c r="CY42" i="1"/>
  <c r="CZ42" i="1" s="1"/>
  <c r="CU194" i="1"/>
  <c r="CV139" i="1"/>
  <c r="CU195" i="1"/>
  <c r="CU198" i="1"/>
  <c r="CU155" i="1"/>
  <c r="AB165" i="1"/>
  <c r="A1" i="1"/>
  <c r="CF181" i="1" l="1"/>
  <c r="CT199" i="1"/>
  <c r="CS200" i="1"/>
  <c r="CG266" i="1"/>
  <c r="CR197" i="1"/>
  <c r="CR201" i="1" s="1"/>
  <c r="CS196" i="1"/>
  <c r="CA153" i="1"/>
  <c r="CB48" i="1"/>
  <c r="CB180" i="1"/>
  <c r="CB181" i="1" s="1"/>
  <c r="CD180" i="1"/>
  <c r="CD181" i="1" s="1"/>
  <c r="CU140" i="1"/>
  <c r="CT143" i="1"/>
  <c r="CT264" i="1" s="1"/>
  <c r="CB261" i="1"/>
  <c r="CB259" i="1"/>
  <c r="CE153" i="1"/>
  <c r="CF48" i="1"/>
  <c r="CS221" i="1"/>
  <c r="CB266" i="1"/>
  <c r="CG220" i="1"/>
  <c r="BZ181" i="1"/>
  <c r="CD48" i="1"/>
  <c r="CC153" i="1"/>
  <c r="BZ124" i="1"/>
  <c r="CA52" i="1"/>
  <c r="CD259" i="1"/>
  <c r="CD261" i="1"/>
  <c r="CH220" i="1"/>
  <c r="CG109" i="1"/>
  <c r="CG111" i="1"/>
  <c r="CF124" i="1"/>
  <c r="CG52" i="1"/>
  <c r="CH48" i="1"/>
  <c r="CG153" i="1"/>
  <c r="CB124" i="1"/>
  <c r="CC52" i="1"/>
  <c r="CD124" i="1"/>
  <c r="CE52" i="1"/>
  <c r="CF196" i="1"/>
  <c r="CF201" i="1"/>
  <c r="CJ204" i="1" s="1"/>
  <c r="BL201" i="1"/>
  <c r="BL196" i="1"/>
  <c r="CD201" i="1"/>
  <c r="CD196" i="1"/>
  <c r="CB201" i="1"/>
  <c r="CB196" i="1"/>
  <c r="BZ196" i="1"/>
  <c r="BZ201" i="1"/>
  <c r="CG213" i="1"/>
  <c r="CG214" i="1" s="1"/>
  <c r="BZ44" i="1"/>
  <c r="BZ49" i="1"/>
  <c r="CA265" i="1"/>
  <c r="CA266" i="1" s="1"/>
  <c r="CA46" i="1"/>
  <c r="BZ247" i="1"/>
  <c r="BZ248" i="1" s="1"/>
  <c r="CD45" i="1"/>
  <c r="BZ46" i="1"/>
  <c r="BZ265" i="1"/>
  <c r="CB127" i="1"/>
  <c r="CH213" i="1"/>
  <c r="CH214" i="1" s="1"/>
  <c r="CD127" i="1"/>
  <c r="CC265" i="1"/>
  <c r="CC266" i="1" s="1"/>
  <c r="CE211" i="1"/>
  <c r="CE213" i="1" s="1"/>
  <c r="CE172" i="1"/>
  <c r="CG199" i="1"/>
  <c r="CG201" i="1"/>
  <c r="CC247" i="1"/>
  <c r="CC248" i="1" s="1"/>
  <c r="CG45" i="1"/>
  <c r="Y75" i="1"/>
  <c r="CC44" i="1"/>
  <c r="CC241" i="1"/>
  <c r="CD265" i="1"/>
  <c r="CD266" i="1" s="1"/>
  <c r="CC127" i="1"/>
  <c r="CD241" i="1"/>
  <c r="CC46" i="1"/>
  <c r="CD46" i="1"/>
  <c r="CC45" i="1"/>
  <c r="CC56" i="1"/>
  <c r="CC55" i="1"/>
  <c r="CF53" i="1"/>
  <c r="CI70" i="1"/>
  <c r="CE197" i="1"/>
  <c r="CF211" i="1"/>
  <c r="CF213" i="1" s="1"/>
  <c r="CA55" i="1"/>
  <c r="CA81" i="1"/>
  <c r="CA134" i="1"/>
  <c r="CA135" i="1" s="1"/>
  <c r="CA107" i="1" s="1"/>
  <c r="CH58" i="1"/>
  <c r="CD55" i="1"/>
  <c r="CA67" i="1"/>
  <c r="CA249" i="1"/>
  <c r="CA57" i="1"/>
  <c r="CA260" i="1" s="1"/>
  <c r="CD57" i="1"/>
  <c r="CD260" i="1" s="1"/>
  <c r="CF127" i="1"/>
  <c r="CD70" i="1"/>
  <c r="CD63" i="1"/>
  <c r="CD67" i="1" s="1"/>
  <c r="CE46" i="1"/>
  <c r="CE127" i="1"/>
  <c r="CE241" i="1"/>
  <c r="CB55" i="1"/>
  <c r="CB56" i="1"/>
  <c r="CE265" i="1"/>
  <c r="CE266" i="1" s="1"/>
  <c r="CF265" i="1"/>
  <c r="CF266" i="1" s="1"/>
  <c r="CE247" i="1"/>
  <c r="CE248" i="1" s="1"/>
  <c r="Z75" i="1"/>
  <c r="CE45" i="1"/>
  <c r="CH127" i="1"/>
  <c r="CE44" i="1"/>
  <c r="CG127" i="1"/>
  <c r="CE49" i="1"/>
  <c r="CH241" i="1"/>
  <c r="CF46" i="1"/>
  <c r="CI45" i="1"/>
  <c r="CF241" i="1"/>
  <c r="BL56" i="1"/>
  <c r="BL55" i="1"/>
  <c r="BY55" i="1"/>
  <c r="BY56" i="1"/>
  <c r="CU55" i="1"/>
  <c r="CV55" i="1" s="1"/>
  <c r="DA42" i="1"/>
  <c r="DB42" i="1" s="1"/>
  <c r="CW32" i="1"/>
  <c r="CX32" i="1" s="1"/>
  <c r="CV155" i="1"/>
  <c r="CW139" i="1"/>
  <c r="CV194" i="1"/>
  <c r="CV198" i="1"/>
  <c r="CU217" i="1"/>
  <c r="CV195" i="1"/>
  <c r="AC165" i="1"/>
  <c r="CT200" i="1" l="1"/>
  <c r="CU199" i="1"/>
  <c r="CD126" i="1"/>
  <c r="CD129" i="1" s="1"/>
  <c r="CD125" i="1"/>
  <c r="CD128" i="1" s="1"/>
  <c r="CS197" i="1"/>
  <c r="CS201" i="1" s="1"/>
  <c r="CT196" i="1"/>
  <c r="CA218" i="1"/>
  <c r="CA216" i="1" s="1"/>
  <c r="CB218" i="1"/>
  <c r="CB216" i="1" s="1"/>
  <c r="CE218" i="1"/>
  <c r="CE216" i="1" s="1"/>
  <c r="CF218" i="1"/>
  <c r="CF216" i="1" s="1"/>
  <c r="CH218" i="1"/>
  <c r="CH216" i="1" s="1"/>
  <c r="CH228" i="1" s="1"/>
  <c r="CG218" i="1"/>
  <c r="CG216" i="1" s="1"/>
  <c r="CV140" i="1"/>
  <c r="CU143" i="1"/>
  <c r="CU264" i="1" s="1"/>
  <c r="CT221" i="1"/>
  <c r="CD218" i="1"/>
  <c r="CD216" i="1" s="1"/>
  <c r="CC218" i="1"/>
  <c r="CC216" i="1" s="1"/>
  <c r="CF204" i="1"/>
  <c r="CF125" i="1"/>
  <c r="CF128" i="1" s="1"/>
  <c r="CF126" i="1"/>
  <c r="CF129" i="1" s="1"/>
  <c r="CD204" i="1"/>
  <c r="CH204" i="1"/>
  <c r="BZ53" i="1"/>
  <c r="CB70" i="1"/>
  <c r="CD242" i="1"/>
  <c r="CF56" i="1"/>
  <c r="CF55" i="1"/>
  <c r="CC58" i="1"/>
  <c r="CG58" i="1"/>
  <c r="CC249" i="1"/>
  <c r="CC63" i="1"/>
  <c r="CC57" i="1"/>
  <c r="CC260" i="1" s="1"/>
  <c r="CD59" i="1"/>
  <c r="CE196" i="1"/>
  <c r="CE201" i="1"/>
  <c r="CA222" i="1"/>
  <c r="CA220" i="1" s="1"/>
  <c r="CA144" i="1"/>
  <c r="CC59" i="1"/>
  <c r="CD208" i="1"/>
  <c r="CD210" i="1" s="1"/>
  <c r="Y76" i="1"/>
  <c r="CD81" i="1"/>
  <c r="CH128" i="1"/>
  <c r="CH129" i="1"/>
  <c r="CF70" i="1"/>
  <c r="CH70" i="1"/>
  <c r="CG70" i="1"/>
  <c r="CE53" i="1"/>
  <c r="CB63" i="1"/>
  <c r="CB59" i="1"/>
  <c r="CB249" i="1"/>
  <c r="CB57" i="1"/>
  <c r="CB260" i="1" s="1"/>
  <c r="BL63" i="1"/>
  <c r="BL57" i="1"/>
  <c r="BL260" i="1" s="1"/>
  <c r="CM79" i="1"/>
  <c r="CN79" i="1" s="1"/>
  <c r="CO79" i="1" s="1"/>
  <c r="CP79" i="1" s="1"/>
  <c r="CQ79" i="1" s="1"/>
  <c r="CR79" i="1" s="1"/>
  <c r="CS79" i="1" s="1"/>
  <c r="CT79" i="1" s="1"/>
  <c r="CU79" i="1" s="1"/>
  <c r="CV79" i="1" s="1"/>
  <c r="CW79" i="1" s="1"/>
  <c r="CX79" i="1" s="1"/>
  <c r="CY79" i="1" s="1"/>
  <c r="CZ79" i="1" s="1"/>
  <c r="DA79" i="1" s="1"/>
  <c r="DB79" i="1" s="1"/>
  <c r="BY57" i="1"/>
  <c r="BY260" i="1" s="1"/>
  <c r="BY63" i="1"/>
  <c r="CW55" i="1"/>
  <c r="CX55" i="1" s="1"/>
  <c r="CY32" i="1"/>
  <c r="CZ32" i="1" s="1"/>
  <c r="CX139" i="1"/>
  <c r="CW195" i="1"/>
  <c r="CW194" i="1"/>
  <c r="CW155" i="1"/>
  <c r="CW198" i="1"/>
  <c r="CV217" i="1"/>
  <c r="AE165" i="1"/>
  <c r="AD165" i="1"/>
  <c r="CF249" i="1" l="1"/>
  <c r="AA76" i="1"/>
  <c r="CV199" i="1"/>
  <c r="CU200" i="1"/>
  <c r="CG228" i="1"/>
  <c r="CG225" i="1"/>
  <c r="CG175" i="1" s="1"/>
  <c r="CG176" i="1" s="1"/>
  <c r="CG226" i="1" s="1"/>
  <c r="CT197" i="1"/>
  <c r="CT201" i="1" s="1"/>
  <c r="CU196" i="1"/>
  <c r="CW140" i="1"/>
  <c r="CV143" i="1"/>
  <c r="CV264" i="1" s="1"/>
  <c r="CU221" i="1"/>
  <c r="CF58" i="1"/>
  <c r="CF57" i="1"/>
  <c r="CF260" i="1" s="1"/>
  <c r="BZ56" i="1"/>
  <c r="BZ55" i="1"/>
  <c r="CJ58" i="1"/>
  <c r="CG59" i="1"/>
  <c r="CI242" i="1"/>
  <c r="CF63" i="1"/>
  <c r="CD69" i="1"/>
  <c r="CC67" i="1"/>
  <c r="CC134" i="1"/>
  <c r="CC135" i="1" s="1"/>
  <c r="CC81" i="1"/>
  <c r="CC208" i="1"/>
  <c r="CC210" i="1" s="1"/>
  <c r="CB81" i="1"/>
  <c r="CB67" i="1"/>
  <c r="CB208" i="1"/>
  <c r="CB210" i="1" s="1"/>
  <c r="CB222" i="1"/>
  <c r="CB220" i="1" s="1"/>
  <c r="CE56" i="1"/>
  <c r="CE55" i="1"/>
  <c r="BY208" i="1"/>
  <c r="BY210" i="1" s="1"/>
  <c r="BY67" i="1"/>
  <c r="BY81" i="1"/>
  <c r="BL208" i="1"/>
  <c r="BL210" i="1" s="1"/>
  <c r="BL81" i="1"/>
  <c r="BL67" i="1"/>
  <c r="CY55" i="1"/>
  <c r="CZ55" i="1" s="1"/>
  <c r="DA32" i="1"/>
  <c r="DB32" i="1" s="1"/>
  <c r="CX198" i="1"/>
  <c r="CX195" i="1"/>
  <c r="CX194" i="1"/>
  <c r="CX155" i="1"/>
  <c r="CY139" i="1"/>
  <c r="CW217" i="1"/>
  <c r="AB141" i="1"/>
  <c r="AB151" i="1"/>
  <c r="AB150" i="1"/>
  <c r="AB142" i="1"/>
  <c r="AB137" i="1"/>
  <c r="AB166" i="1"/>
  <c r="AB158" i="1"/>
  <c r="AB133" i="1"/>
  <c r="CW199" i="1" l="1"/>
  <c r="CV200" i="1"/>
  <c r="CU197" i="1"/>
  <c r="CU201" i="1" s="1"/>
  <c r="CV196" i="1"/>
  <c r="CX140" i="1"/>
  <c r="CW143" i="1"/>
  <c r="CW264" i="1" s="1"/>
  <c r="CV221" i="1"/>
  <c r="CD84" i="1"/>
  <c r="CD101" i="1" s="1"/>
  <c r="BZ57" i="1"/>
  <c r="BZ260" i="1" s="1"/>
  <c r="BZ59" i="1"/>
  <c r="CC242" i="1"/>
  <c r="BZ63" i="1"/>
  <c r="CC69" i="1" s="1"/>
  <c r="BZ249" i="1"/>
  <c r="CD58" i="1"/>
  <c r="CA59" i="1"/>
  <c r="CG263" i="1"/>
  <c r="CH224" i="1"/>
  <c r="CH225" i="1" s="1"/>
  <c r="CH226" i="1" s="1"/>
  <c r="CG259" i="1"/>
  <c r="CG261" i="1"/>
  <c r="CG180" i="1"/>
  <c r="CG181" i="1" s="1"/>
  <c r="CG183" i="1"/>
  <c r="CF208" i="1"/>
  <c r="CF210" i="1" s="1"/>
  <c r="CF214" i="1" s="1"/>
  <c r="CF228" i="1" s="1"/>
  <c r="CF67" i="1"/>
  <c r="CF81" i="1"/>
  <c r="CI84" i="1" s="1"/>
  <c r="CI69" i="1"/>
  <c r="CC107" i="1"/>
  <c r="CC144" i="1"/>
  <c r="CC70" i="1" s="1"/>
  <c r="CC222" i="1"/>
  <c r="CC220" i="1" s="1"/>
  <c r="CD222" i="1"/>
  <c r="CD220" i="1" s="1"/>
  <c r="CG242" i="1"/>
  <c r="CI58" i="1"/>
  <c r="CH242" i="1"/>
  <c r="CE59" i="1"/>
  <c r="CE57" i="1"/>
  <c r="CE260" i="1" s="1"/>
  <c r="CE58" i="1"/>
  <c r="CF59" i="1"/>
  <c r="CE63" i="1"/>
  <c r="CF242" i="1"/>
  <c r="CE242" i="1"/>
  <c r="Z76" i="1"/>
  <c r="CE249" i="1"/>
  <c r="DA55" i="1"/>
  <c r="DB55" i="1" s="1"/>
  <c r="CY195" i="1"/>
  <c r="CZ139" i="1"/>
  <c r="CY194" i="1"/>
  <c r="CY155" i="1"/>
  <c r="CY217" i="1" s="1"/>
  <c r="CX217" i="1"/>
  <c r="CY198" i="1"/>
  <c r="AC151" i="1"/>
  <c r="AC141" i="1"/>
  <c r="AB179" i="1"/>
  <c r="AC137" i="1"/>
  <c r="AC166" i="1"/>
  <c r="AB162" i="1"/>
  <c r="AB169" i="1"/>
  <c r="AC158" i="1"/>
  <c r="AC142" i="1"/>
  <c r="AB170" i="1"/>
  <c r="AC133" i="1"/>
  <c r="AC150" i="1"/>
  <c r="CX199" i="1" l="1"/>
  <c r="CW200" i="1"/>
  <c r="CV197" i="1"/>
  <c r="CV201" i="1" s="1"/>
  <c r="CW196" i="1"/>
  <c r="CY140" i="1"/>
  <c r="CX143" i="1"/>
  <c r="CX264" i="1" s="1"/>
  <c r="CW221" i="1"/>
  <c r="CD100" i="1"/>
  <c r="CD102" i="1"/>
  <c r="CB69" i="1"/>
  <c r="BZ81" i="1"/>
  <c r="BZ67" i="1"/>
  <c r="BZ208" i="1"/>
  <c r="BZ210" i="1" s="1"/>
  <c r="CH52" i="1"/>
  <c r="CG124" i="1"/>
  <c r="CI102" i="1"/>
  <c r="CI100" i="1"/>
  <c r="CI101" i="1"/>
  <c r="CL105" i="1" s="1"/>
  <c r="CE67" i="1"/>
  <c r="CE134" i="1"/>
  <c r="CE135" i="1" s="1"/>
  <c r="CE69" i="1" s="1"/>
  <c r="CE208" i="1"/>
  <c r="CE210" i="1" s="1"/>
  <c r="CE214" i="1" s="1"/>
  <c r="CE228" i="1" s="1"/>
  <c r="CE81" i="1"/>
  <c r="CF69" i="1"/>
  <c r="CG69" i="1"/>
  <c r="CH69" i="1"/>
  <c r="DA139" i="1"/>
  <c r="CZ155" i="1"/>
  <c r="CZ217" i="1" s="1"/>
  <c r="CZ198" i="1"/>
  <c r="CZ195" i="1"/>
  <c r="CZ194" i="1"/>
  <c r="AE151" i="1"/>
  <c r="AD151" i="1"/>
  <c r="AE141" i="1"/>
  <c r="AD141" i="1"/>
  <c r="AC179" i="1"/>
  <c r="AE166" i="1"/>
  <c r="AD166" i="1"/>
  <c r="AE158" i="1"/>
  <c r="AD158" i="1"/>
  <c r="AD133" i="1"/>
  <c r="AE133" i="1"/>
  <c r="AC169" i="1"/>
  <c r="AE142" i="1"/>
  <c r="AD142" i="1"/>
  <c r="AE150" i="1"/>
  <c r="AD150" i="1"/>
  <c r="AC170" i="1"/>
  <c r="AC162" i="1"/>
  <c r="AE137" i="1"/>
  <c r="AD137" i="1"/>
  <c r="CY199" i="1" l="1"/>
  <c r="CX200" i="1"/>
  <c r="CW197" i="1"/>
  <c r="CW201" i="1" s="1"/>
  <c r="CX196" i="1"/>
  <c r="CZ140" i="1"/>
  <c r="CY143" i="1"/>
  <c r="CY264" i="1" s="1"/>
  <c r="CX221" i="1"/>
  <c r="CC84" i="1"/>
  <c r="CB84" i="1"/>
  <c r="CG126" i="1"/>
  <c r="CG129" i="1" s="1"/>
  <c r="CG125" i="1"/>
  <c r="CG128" i="1" s="1"/>
  <c r="CF84" i="1"/>
  <c r="CH84" i="1"/>
  <c r="CL85" i="1" s="1"/>
  <c r="CG84" i="1"/>
  <c r="CK85" i="1" s="1"/>
  <c r="CE84" i="1"/>
  <c r="CE107" i="1"/>
  <c r="CF222" i="1"/>
  <c r="CF220" i="1" s="1"/>
  <c r="CE144" i="1"/>
  <c r="CE70" i="1" s="1"/>
  <c r="CE222" i="1"/>
  <c r="CE220" i="1" s="1"/>
  <c r="CE225" i="1" s="1"/>
  <c r="CE175" i="1" s="1"/>
  <c r="CE176" i="1" s="1"/>
  <c r="CE180" i="1" s="1"/>
  <c r="DA194" i="1"/>
  <c r="DA195" i="1"/>
  <c r="DA155" i="1"/>
  <c r="DB155" i="1" s="1"/>
  <c r="DB217" i="1" s="1"/>
  <c r="DA198" i="1"/>
  <c r="DB139" i="1"/>
  <c r="AE179" i="1"/>
  <c r="AD179" i="1"/>
  <c r="AE169" i="1"/>
  <c r="AD169" i="1"/>
  <c r="AE170" i="1"/>
  <c r="AD170" i="1"/>
  <c r="AE162" i="1"/>
  <c r="AD162" i="1"/>
  <c r="BY246" i="1"/>
  <c r="CZ199" i="1" l="1"/>
  <c r="CY200" i="1"/>
  <c r="DA140" i="1"/>
  <c r="CZ143" i="1"/>
  <c r="CX197" i="1"/>
  <c r="CX201" i="1" s="1"/>
  <c r="CY196" i="1"/>
  <c r="CY221" i="1"/>
  <c r="CE109" i="1"/>
  <c r="CE110" i="1"/>
  <c r="CE111" i="1"/>
  <c r="CE259" i="1"/>
  <c r="CE100" i="1"/>
  <c r="CE101" i="1"/>
  <c r="CI85" i="1"/>
  <c r="CE102" i="1"/>
  <c r="CE263" i="1"/>
  <c r="CG85" i="1"/>
  <c r="CG100" i="1"/>
  <c r="CG102" i="1"/>
  <c r="CG101" i="1"/>
  <c r="CE183" i="1"/>
  <c r="CE124" i="1" s="1"/>
  <c r="CE126" i="1" s="1"/>
  <c r="CE129" i="1" s="1"/>
  <c r="CF224" i="1"/>
  <c r="CF225" i="1" s="1"/>
  <c r="CF226" i="1" s="1"/>
  <c r="CE261" i="1"/>
  <c r="CH85" i="1"/>
  <c r="CH101" i="1"/>
  <c r="CK105" i="1" s="1"/>
  <c r="CH100" i="1"/>
  <c r="CH102" i="1"/>
  <c r="CE226" i="1"/>
  <c r="CF85" i="1"/>
  <c r="CJ85" i="1"/>
  <c r="CF102" i="1"/>
  <c r="CF100" i="1"/>
  <c r="CF101" i="1"/>
  <c r="DA217" i="1"/>
  <c r="DB195" i="1"/>
  <c r="DB194" i="1"/>
  <c r="DB198" i="1"/>
  <c r="CE181" i="1"/>
  <c r="AB35" i="1"/>
  <c r="DA199" i="1" l="1"/>
  <c r="CZ200" i="1"/>
  <c r="CZ221" i="1"/>
  <c r="CZ264" i="1"/>
  <c r="DA143" i="1"/>
  <c r="DB140" i="1"/>
  <c r="DB143" i="1" s="1"/>
  <c r="CY197" i="1"/>
  <c r="CY201" i="1" s="1"/>
  <c r="CZ196" i="1"/>
  <c r="CJ105" i="1"/>
  <c r="CH105" i="1"/>
  <c r="CF52" i="1"/>
  <c r="CI105" i="1"/>
  <c r="CG105" i="1"/>
  <c r="CE125" i="1"/>
  <c r="CE128" i="1" s="1"/>
  <c r="AC35" i="1"/>
  <c r="BY247" i="1"/>
  <c r="BY248" i="1" s="1"/>
  <c r="DB199" i="1" l="1"/>
  <c r="DB200" i="1" s="1"/>
  <c r="DA200" i="1"/>
  <c r="DA221" i="1"/>
  <c r="DA264" i="1"/>
  <c r="DB221" i="1"/>
  <c r="DB264" i="1"/>
  <c r="CZ197" i="1"/>
  <c r="CZ201" i="1" s="1"/>
  <c r="DA196" i="1"/>
  <c r="AD35" i="1"/>
  <c r="BY249" i="1"/>
  <c r="DA197" i="1" l="1"/>
  <c r="DA201" i="1" s="1"/>
  <c r="DB196" i="1"/>
  <c r="DB197" i="1" s="1"/>
  <c r="DB201" i="1" s="1"/>
  <c r="AE35" i="1"/>
  <c r="BI80" i="1" l="1"/>
  <c r="AT80" i="1"/>
  <c r="BT80" i="1"/>
  <c r="AV80" i="1"/>
  <c r="AX80" i="1"/>
  <c r="AR80" i="1"/>
  <c r="AO80" i="1" l="1"/>
  <c r="BK80" i="1"/>
  <c r="AN80" i="1"/>
  <c r="AW80" i="1"/>
  <c r="BB80" i="1"/>
  <c r="BM80" i="1"/>
  <c r="BQ80" i="1"/>
  <c r="AJ80" i="1"/>
  <c r="BS80" i="1"/>
  <c r="BR80" i="1"/>
  <c r="BO80" i="1"/>
  <c r="AM80" i="1"/>
  <c r="AI80" i="1"/>
  <c r="AP80" i="1"/>
  <c r="AZ80" i="1"/>
  <c r="AS80" i="1"/>
  <c r="BN80" i="1"/>
  <c r="BU80" i="1"/>
  <c r="BA80" i="1"/>
  <c r="BC80" i="1"/>
  <c r="AU80" i="1"/>
  <c r="BW80" i="1"/>
  <c r="BP80" i="1"/>
  <c r="BJ80" i="1"/>
  <c r="BH80" i="1"/>
  <c r="BX80" i="1"/>
  <c r="BG80" i="1"/>
  <c r="AQ80" i="1"/>
  <c r="AY80" i="1"/>
  <c r="AK80" i="1"/>
  <c r="BE80" i="1"/>
  <c r="BD80" i="1"/>
  <c r="BV80" i="1"/>
  <c r="BF80" i="1"/>
  <c r="BL246" i="1" l="1"/>
  <c r="CM92" i="1" l="1"/>
  <c r="AB155" i="1"/>
  <c r="CN92" i="1" l="1"/>
  <c r="AB217" i="1"/>
  <c r="CO92" i="1" l="1"/>
  <c r="CM78" i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AR59" i="3"/>
  <c r="F18" i="2"/>
  <c r="E40" i="3"/>
  <c r="F10" i="3"/>
  <c r="E11" i="3"/>
  <c r="S45" i="3"/>
  <c r="AQ46" i="3"/>
  <c r="G26" i="3"/>
  <c r="E10" i="3"/>
  <c r="F14" i="3"/>
  <c r="E17" i="3"/>
  <c r="AR30" i="3"/>
  <c r="AD45" i="3"/>
  <c r="AK46" i="3"/>
  <c r="D42" i="3"/>
  <c r="H46" i="3"/>
  <c r="AN46" i="3"/>
  <c r="G28" i="3"/>
  <c r="G16" i="3"/>
  <c r="G19" i="3"/>
  <c r="G29" i="3"/>
  <c r="Y45" i="3"/>
  <c r="E19" i="3"/>
  <c r="L45" i="3"/>
  <c r="G25" i="3"/>
  <c r="BB8" i="4" a="1"/>
  <c r="AX8" i="4" a="1"/>
  <c r="CK15" i="4" a="1"/>
  <c r="AJ12" i="4" a="1"/>
  <c r="AM11" i="4" a="1"/>
  <c r="AT14" i="4" a="1"/>
  <c r="AX11" i="4" a="1"/>
  <c r="AH13" i="4" a="1"/>
  <c r="DL14" i="4" a="1"/>
  <c r="BU7" i="4" a="1"/>
  <c r="W11" i="4" a="1"/>
  <c r="D6" i="4" a="1"/>
  <c r="AM7" i="4" a="1"/>
  <c r="DC9" i="4" a="1"/>
  <c r="T16" i="4" a="1"/>
  <c r="BN11" i="4" a="1"/>
  <c r="BY13" i="4" a="1"/>
  <c r="AQ12" i="4" a="1"/>
  <c r="DH8" i="4" a="1"/>
  <c r="BL12" i="4" a="1"/>
  <c r="DU8" i="4" a="1"/>
  <c r="V14" i="4" a="1"/>
  <c r="DA7" i="4" a="1"/>
  <c r="CN14" i="4" a="1"/>
  <c r="DQ8" i="4" a="1"/>
  <c r="X5" i="4" a="1"/>
  <c r="AK7" i="4" a="1"/>
  <c r="AD7" i="4" a="1"/>
  <c r="BF12" i="4" a="1"/>
  <c r="EC11" i="4" a="1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I13" i="2"/>
  <c r="U32" i="2"/>
  <c r="AR82" i="3"/>
  <c r="G13" i="2"/>
  <c r="G17" i="3"/>
  <c r="AR22" i="3"/>
  <c r="F36" i="3"/>
  <c r="D36" i="3"/>
  <c r="C45" i="3"/>
  <c r="T46" i="3"/>
  <c r="AI45" i="3"/>
  <c r="F42" i="3"/>
  <c r="E21" i="3"/>
  <c r="D10" i="3"/>
  <c r="AD8" i="3"/>
  <c r="E33" i="3"/>
  <c r="G6" i="3"/>
  <c r="AR45" i="3"/>
  <c r="E36" i="3"/>
  <c r="AD9" i="3"/>
  <c r="E16" i="3"/>
  <c r="G12" i="3"/>
  <c r="F21" i="3"/>
  <c r="Q46" i="3"/>
  <c r="F40" i="3"/>
  <c r="D28" i="3"/>
  <c r="EH5" i="4" a="1"/>
  <c r="DT7" i="4" a="1"/>
  <c r="DA11" i="4" a="1"/>
  <c r="BN7" i="4" a="1"/>
  <c r="CC11" i="4" a="1"/>
  <c r="BV14" i="4" a="1"/>
  <c r="CT11" i="4" a="1"/>
  <c r="BW11" i="4" a="1"/>
  <c r="DV5" i="4" a="1"/>
  <c r="AG12" i="4" a="1"/>
  <c r="AN8" i="4" a="1"/>
  <c r="BZ8" i="4" a="1"/>
  <c r="DY11" i="4" a="1"/>
  <c r="BG5" i="4" a="1"/>
  <c r="EG14" i="4" a="1"/>
  <c r="V15" i="4" a="1"/>
  <c r="AP9" i="4" a="1"/>
  <c r="EE14" i="4" a="1"/>
  <c r="Q14" i="4" a="1"/>
  <c r="R6" i="4" a="1"/>
  <c r="BX16" i="4" a="1"/>
  <c r="AA12" i="4" a="1"/>
  <c r="DL6" i="4" a="1"/>
  <c r="AC15" i="4" a="1"/>
  <c r="DY8" i="4" a="1"/>
  <c r="O7" i="4" a="1"/>
  <c r="DI16" i="4" a="1"/>
  <c r="AF9" i="4" a="1"/>
  <c r="DX13" i="4" a="1"/>
  <c r="EF13" i="4" a="1"/>
  <c r="DZ12" i="4" a="1"/>
  <c r="BC5" i="4" a="1"/>
  <c r="X6" i="4" a="1"/>
  <c r="AP15" i="4" a="1"/>
  <c r="CE5" i="4" a="1"/>
  <c r="ED6" i="4" a="1"/>
  <c r="EF5" i="4" a="1"/>
  <c r="CR9" i="4" a="1"/>
  <c r="BS15" i="4" a="1"/>
  <c r="BJ9" i="4" a="1"/>
  <c r="BZ11" i="4" a="1"/>
  <c r="CJ11" i="4" a="1"/>
  <c r="EJ13" i="4" a="1"/>
  <c r="AK12" i="4" a="1"/>
  <c r="AU16" i="4" a="1"/>
  <c r="DO9" i="4" a="1"/>
  <c r="CK6" i="4" a="1"/>
  <c r="AR8" i="4" a="1"/>
  <c r="DM13" i="4" a="1"/>
  <c r="DP8" i="4" a="1"/>
  <c r="DW5" i="4" a="1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F18" i="3"/>
  <c r="AR13" i="3"/>
  <c r="AR21" i="3"/>
  <c r="X45" i="3"/>
  <c r="D17" i="3"/>
  <c r="E6" i="3"/>
  <c r="E22" i="3"/>
  <c r="D23" i="3"/>
  <c r="U45" i="3"/>
  <c r="G9" i="3"/>
  <c r="O46" i="3"/>
  <c r="E38" i="3"/>
  <c r="AD5" i="3"/>
  <c r="G24" i="3"/>
  <c r="AR20" i="3"/>
  <c r="F23" i="3"/>
  <c r="E45" i="3"/>
  <c r="AD6" i="3"/>
  <c r="AM45" i="3"/>
  <c r="D5" i="3"/>
  <c r="AD9" i="4" a="1"/>
  <c r="E16" i="4" a="1"/>
  <c r="BY8" i="4" a="1"/>
  <c r="CI15" i="4" a="1"/>
  <c r="BJ11" i="4" a="1"/>
  <c r="CZ16" i="4" a="1"/>
  <c r="BR12" i="4" a="1"/>
  <c r="CR13" i="4" a="1"/>
  <c r="DM6" i="4" a="1"/>
  <c r="BT7" i="4" a="1"/>
  <c r="BS6" i="4" a="1"/>
  <c r="AI7" i="4" a="1"/>
  <c r="K7" i="4" a="1"/>
  <c r="CQ6" i="4" a="1"/>
  <c r="CM8" i="4" a="1"/>
  <c r="EH16" i="4" a="1"/>
  <c r="DE14" i="4" a="1"/>
  <c r="CW14" i="4" a="1"/>
  <c r="BA9" i="4" a="1"/>
  <c r="DG13" i="4" a="1"/>
  <c r="P7" i="4" a="1"/>
  <c r="CJ5" i="4" a="1"/>
  <c r="I11" i="4" a="1"/>
  <c r="CO13" i="4" a="1"/>
  <c r="BR5" i="4" a="1"/>
  <c r="BE8" i="4" a="1"/>
  <c r="CB9" i="4" a="1"/>
  <c r="DQ9" i="4" a="1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C13" i="2"/>
  <c r="F15" i="2"/>
  <c r="J30" i="2"/>
  <c r="AR77" i="3"/>
  <c r="AR78" i="3"/>
  <c r="E9" i="3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H25" i="2"/>
  <c r="E21" i="2"/>
  <c r="AR81" i="3"/>
  <c r="AR37" i="3"/>
  <c r="AR19" i="3"/>
  <c r="D37" i="3"/>
  <c r="AI46" i="3"/>
  <c r="AD17" i="3"/>
  <c r="G31" i="3"/>
  <c r="E18" i="3"/>
  <c r="D40" i="3"/>
  <c r="G46" i="3"/>
  <c r="D30" i="3"/>
  <c r="D11" i="3"/>
  <c r="AD14" i="3"/>
  <c r="D32" i="3"/>
  <c r="AR46" i="3"/>
  <c r="F24" i="3"/>
  <c r="F27" i="3"/>
  <c r="F9" i="3"/>
  <c r="AR31" i="3"/>
  <c r="F30" i="3"/>
  <c r="D25" i="3"/>
  <c r="E27" i="3"/>
  <c r="D41" i="3"/>
  <c r="F38" i="3"/>
  <c r="F11" i="4" a="1"/>
  <c r="BV7" i="4" a="1"/>
  <c r="BF11" i="4" a="1"/>
  <c r="Y16" i="4" a="1"/>
  <c r="F12" i="4" a="1"/>
  <c r="CF16" i="4" a="1"/>
  <c r="Z15" i="4" a="1"/>
  <c r="BU12" i="4" a="1"/>
  <c r="BX8" i="4" a="1"/>
  <c r="BE11" i="4" a="1"/>
  <c r="DB14" i="4" a="1"/>
  <c r="BP7" i="4" a="1"/>
  <c r="BV13" i="4" a="1"/>
  <c r="CO6" i="4" a="1"/>
  <c r="DH15" i="4" a="1"/>
  <c r="AC16" i="4" a="1"/>
  <c r="CT8" i="4" a="1"/>
  <c r="R13" i="4" a="1"/>
  <c r="BM15" i="4" a="1"/>
  <c r="BU8" i="4" a="1"/>
  <c r="BT13" i="4" a="1"/>
  <c r="BH12" i="4" a="1"/>
  <c r="D13" i="4" a="1"/>
  <c r="BH6" i="4" a="1"/>
  <c r="DE15" i="4" a="1"/>
  <c r="P9" i="4" a="1"/>
  <c r="CX15" i="4" a="1"/>
  <c r="BZ9" i="4" a="1"/>
  <c r="DD13" i="4" a="1"/>
  <c r="AY9" i="4" a="1"/>
  <c r="CN7" i="4" a="1"/>
  <c r="EB8" i="4" a="1"/>
  <c r="BS12" i="4" a="1"/>
  <c r="DG16" i="4" a="1"/>
  <c r="CL9" i="4" a="1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G30" i="2"/>
  <c r="M26" i="2"/>
  <c r="T18" i="2"/>
  <c r="S6" i="2"/>
  <c r="I30" i="2"/>
  <c r="L26" i="2"/>
  <c r="U8" i="2"/>
  <c r="Q29" i="2"/>
  <c r="V13" i="2"/>
  <c r="F36" i="2"/>
  <c r="U16" i="2"/>
  <c r="D18" i="2"/>
  <c r="W7" i="2"/>
  <c r="I7" i="2"/>
  <c r="M17" i="2"/>
  <c r="Q7" i="2"/>
  <c r="E34" i="2"/>
  <c r="L5" i="2"/>
  <c r="AR71" i="3"/>
  <c r="X24" i="2"/>
  <c r="O21" i="2"/>
  <c r="E18" i="2"/>
  <c r="R16" i="2"/>
  <c r="F8" i="2"/>
  <c r="D5" i="2"/>
  <c r="AR87" i="3"/>
  <c r="E27" i="2"/>
  <c r="S10" i="2"/>
  <c r="F14" i="2"/>
  <c r="N22" i="2"/>
  <c r="M6" i="2"/>
  <c r="C12" i="2"/>
  <c r="G18" i="2"/>
  <c r="AM46" i="3"/>
  <c r="D33" i="3"/>
  <c r="G27" i="3"/>
  <c r="AR41" i="3"/>
  <c r="D16" i="3"/>
  <c r="E39" i="3"/>
  <c r="I46" i="3"/>
  <c r="D12" i="3"/>
  <c r="AR11" i="3"/>
  <c r="D39" i="3"/>
  <c r="V46" i="3"/>
  <c r="AG46" i="3"/>
  <c r="D9" i="3"/>
  <c r="M46" i="3"/>
  <c r="F34" i="3"/>
  <c r="F37" i="3"/>
  <c r="AO6" i="3"/>
  <c r="F16" i="3"/>
  <c r="E46" i="3"/>
  <c r="Y46" i="3"/>
  <c r="G8" i="3"/>
  <c r="D46" i="3"/>
  <c r="R45" i="3"/>
  <c r="BO14" i="4" a="1"/>
  <c r="EJ14" i="4" a="1"/>
  <c r="CY15" i="4" a="1"/>
  <c r="Y5" i="4" a="1"/>
  <c r="EJ5" i="4" a="1"/>
  <c r="BJ12" i="4" a="1"/>
  <c r="DK7" i="4" a="1"/>
  <c r="E14" i="4" a="1"/>
  <c r="DU7" i="4" a="1"/>
  <c r="DG8" i="4" a="1"/>
  <c r="DR16" i="4" a="1"/>
  <c r="AJ14" i="4" a="1"/>
  <c r="CX14" i="4" a="1"/>
  <c r="BW15" i="4" a="1"/>
  <c r="CT14" i="4" a="1"/>
  <c r="AK14" i="4" a="1"/>
  <c r="EG5" i="4" a="1"/>
  <c r="DN9" i="4" a="1"/>
  <c r="CY16" i="4" a="1"/>
  <c r="X7" i="4" a="1"/>
  <c r="AG15" i="4" a="1"/>
  <c r="DZ16" i="4" a="1"/>
  <c r="K14" i="4" a="1"/>
  <c r="AO5" i="4" a="1"/>
  <c r="AV16" i="4" a="1"/>
  <c r="M14" i="4" a="1"/>
  <c r="X15" i="4" a="1"/>
  <c r="AX6" i="4" a="1"/>
  <c r="CP14" i="4" a="1"/>
  <c r="BL8" i="4" a="1"/>
  <c r="AF8" i="4" a="1"/>
  <c r="AH5" i="4" a="1"/>
  <c r="T8" i="4" a="1"/>
  <c r="U9" i="4" a="1"/>
  <c r="DU5" i="4" a="1"/>
  <c r="DJ14" i="4" a="1"/>
  <c r="BB16" i="4" a="1"/>
  <c r="CE6" i="4" a="1"/>
  <c r="CT7" i="4" a="1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I35" i="2"/>
  <c r="I17" i="2"/>
  <c r="G35" i="2"/>
  <c r="F20" i="2"/>
  <c r="R14" i="2"/>
  <c r="L31" i="2"/>
  <c r="M13" i="2"/>
  <c r="Q31" i="2"/>
  <c r="E24" i="2"/>
  <c r="O34" i="2"/>
  <c r="F29" i="2"/>
  <c r="X30" i="2"/>
  <c r="V31" i="2"/>
  <c r="E12" i="2"/>
  <c r="P5" i="2"/>
  <c r="O23" i="2"/>
  <c r="R27" i="2"/>
  <c r="V11" i="2"/>
  <c r="AR60" i="3"/>
  <c r="C10" i="2"/>
  <c r="J11" i="2"/>
  <c r="U33" i="2"/>
  <c r="R19" i="2"/>
  <c r="F32" i="2"/>
  <c r="M31" i="2"/>
  <c r="AR75" i="3"/>
  <c r="F22" i="2"/>
  <c r="K14" i="2"/>
  <c r="K27" i="2"/>
  <c r="D14" i="2"/>
  <c r="K15" i="2"/>
  <c r="U31" i="2"/>
  <c r="V15" i="2"/>
  <c r="AG45" i="3"/>
  <c r="F39" i="3"/>
  <c r="S46" i="3"/>
  <c r="F20" i="3"/>
  <c r="E41" i="3"/>
  <c r="AD15" i="3"/>
  <c r="E32" i="3"/>
  <c r="AD13" i="3"/>
  <c r="R46" i="3"/>
  <c r="G45" i="3"/>
  <c r="AR27" i="3"/>
  <c r="O45" i="3"/>
  <c r="Z45" i="3"/>
  <c r="G15" i="3"/>
  <c r="P46" i="3"/>
  <c r="E31" i="3"/>
  <c r="AJ45" i="3"/>
  <c r="F5" i="3"/>
  <c r="D20" i="3"/>
  <c r="AD16" i="3"/>
  <c r="U46" i="3"/>
  <c r="I45" i="3"/>
  <c r="AR16" i="3"/>
  <c r="M14" i="2"/>
  <c r="Q69" i="2"/>
  <c r="T26" i="2"/>
  <c r="K26" i="2"/>
  <c r="G23" i="2"/>
  <c r="Q6" i="2"/>
  <c r="I14" i="2"/>
  <c r="F75" i="2"/>
  <c r="L17" i="2"/>
  <c r="P7" i="2"/>
  <c r="O17" i="2"/>
  <c r="K32" i="2"/>
  <c r="D8" i="2"/>
  <c r="O15" i="2"/>
  <c r="R29" i="2"/>
  <c r="V28" i="2"/>
  <c r="D20" i="2"/>
  <c r="V24" i="2"/>
  <c r="K10" i="2"/>
  <c r="O12" i="2"/>
  <c r="I20" i="2"/>
  <c r="D24" i="2"/>
  <c r="D7" i="2"/>
  <c r="W31" i="2"/>
  <c r="R21" i="2"/>
  <c r="R23" i="2"/>
  <c r="G32" i="2"/>
  <c r="J19" i="2"/>
  <c r="C59" i="2"/>
  <c r="N19" i="2"/>
  <c r="N31" i="2"/>
  <c r="K16" i="2"/>
  <c r="V36" i="2"/>
  <c r="V18" i="2"/>
  <c r="G27" i="2"/>
  <c r="E10" i="2"/>
  <c r="T35" i="2"/>
  <c r="X19" i="2"/>
  <c r="T5" i="2"/>
  <c r="D19" i="2"/>
  <c r="G17" i="2"/>
  <c r="N11" i="2"/>
  <c r="N9" i="2"/>
  <c r="D32" i="2"/>
  <c r="Q16" i="2"/>
  <c r="Q56" i="2"/>
  <c r="K33" i="2"/>
  <c r="R33" i="2"/>
  <c r="F6" i="2"/>
  <c r="I31" i="2"/>
  <c r="T12" i="2"/>
  <c r="U25" i="2"/>
  <c r="U11" i="2"/>
  <c r="U34" i="2"/>
  <c r="P23" i="2"/>
  <c r="K17" i="2"/>
  <c r="I19" i="2"/>
  <c r="W12" i="2"/>
  <c r="D28" i="2"/>
  <c r="N35" i="2"/>
  <c r="N14" i="2"/>
  <c r="C22" i="2"/>
  <c r="O22" i="2"/>
  <c r="J7" i="2"/>
  <c r="S15" i="2"/>
  <c r="V10" i="2"/>
  <c r="D10" i="2"/>
  <c r="X63" i="2"/>
  <c r="U13" i="2"/>
  <c r="W9" i="2"/>
  <c r="X41" i="2"/>
  <c r="T36" i="2"/>
  <c r="X23" i="2"/>
  <c r="K29" i="2"/>
  <c r="F34" i="2"/>
  <c r="X10" i="2"/>
  <c r="E29" i="2"/>
  <c r="O36" i="2"/>
  <c r="T9" i="2"/>
  <c r="L21" i="2"/>
  <c r="P35" i="2"/>
  <c r="W15" i="2"/>
  <c r="AR89" i="3"/>
  <c r="M11" i="2"/>
  <c r="T11" i="2"/>
  <c r="F26" i="2"/>
  <c r="J23" i="2"/>
  <c r="AR84" i="3"/>
  <c r="W19" i="2"/>
  <c r="I21" i="2"/>
  <c r="O14" i="2"/>
  <c r="W45" i="3"/>
  <c r="D24" i="3"/>
  <c r="D26" i="3"/>
  <c r="AN45" i="3"/>
  <c r="AH46" i="3"/>
  <c r="F6" i="3"/>
  <c r="F11" i="3"/>
  <c r="N46" i="3"/>
  <c r="E12" i="3"/>
  <c r="G20" i="3"/>
  <c r="G22" i="3"/>
  <c r="DV16" i="4" a="1"/>
  <c r="BF9" i="4" a="1"/>
  <c r="J8" i="4" a="1"/>
  <c r="CF7" i="4" a="1"/>
  <c r="DL15" i="4" a="1"/>
  <c r="CZ12" i="4" a="1"/>
  <c r="L9" i="4" a="1"/>
  <c r="EC7" i="4" a="1"/>
  <c r="BK13" i="4" a="1"/>
  <c r="EK15" i="4" a="1"/>
  <c r="EA5" i="4" a="1"/>
  <c r="CX6" i="4" a="1"/>
  <c r="DY16" i="4" a="1"/>
  <c r="CV6" i="4" a="1"/>
  <c r="AI13" i="4" a="1"/>
  <c r="BI5" i="4" a="1"/>
  <c r="BI16" i="4" a="1"/>
  <c r="CF14" i="4" a="1"/>
  <c r="DB16" i="4" a="1"/>
  <c r="EI6" i="4" a="1"/>
  <c r="Q5" i="4" a="1"/>
  <c r="AR12" i="4" a="1"/>
  <c r="BP8" i="4" a="1"/>
  <c r="BB6" i="4" a="1"/>
  <c r="BG12" i="4" a="1"/>
  <c r="T12" i="4" a="1"/>
  <c r="BA6" i="4" a="1"/>
  <c r="DW15" i="4" a="1"/>
  <c r="DT9" i="4" a="1"/>
  <c r="CL16" i="4" a="1"/>
  <c r="V6" i="4" a="1"/>
  <c r="BG7" i="4" a="1"/>
  <c r="BW16" i="4" a="1"/>
  <c r="AR13" i="4" a="1"/>
  <c r="BQ11" i="4" a="1"/>
  <c r="N12" i="4" a="1"/>
  <c r="BV11" i="4" a="1"/>
  <c r="BD11" i="4" a="1"/>
  <c r="G11" i="4" a="1"/>
  <c r="CS5" i="4" a="1"/>
  <c r="AL6" i="4" a="1"/>
  <c r="DN6" i="4" a="1"/>
  <c r="EB16" i="4" a="1"/>
  <c r="CQ11" i="4" a="1"/>
  <c r="V8" i="4" a="1"/>
  <c r="F13" i="4" a="1"/>
  <c r="EE6" i="4" a="1"/>
  <c r="AE15" i="4" a="1"/>
  <c r="AB6" i="4" a="1"/>
  <c r="CC14" i="4" a="1"/>
  <c r="C16" i="4" a="1"/>
  <c r="R5" i="4" a="1"/>
  <c r="AU15" i="4" a="1"/>
  <c r="AV5" i="4" a="1"/>
  <c r="CE11" i="4" a="1"/>
  <c r="AL7" i="4" a="1"/>
  <c r="DR14" i="4" a="1"/>
  <c r="BR7" i="4" a="1"/>
  <c r="AF11" i="4" a="1"/>
  <c r="DC8" i="4" a="1"/>
  <c r="K6" i="4" a="1"/>
  <c r="CO7" i="4" a="1"/>
  <c r="BT14" i="4" a="1"/>
  <c r="AH7" i="4" a="1"/>
  <c r="AV14" i="4" a="1"/>
  <c r="CV7" i="4" a="1"/>
  <c r="BZ14" i="4" a="1"/>
  <c r="CZ5" i="4" a="1"/>
  <c r="DL12" i="4" a="1"/>
  <c r="AY13" i="4" a="1"/>
  <c r="X16" i="4" a="1"/>
  <c r="CE8" i="4" a="1"/>
  <c r="CH5" i="4" a="1"/>
  <c r="BY16" i="4" a="1"/>
  <c r="CH12" i="4" a="1"/>
  <c r="BN15" i="4" a="1"/>
  <c r="CL5" i="4" a="1"/>
  <c r="CP6" i="4" a="1"/>
  <c r="AT9" i="4" a="1"/>
  <c r="AF12" i="4" a="1"/>
  <c r="AY8" i="4" a="1"/>
  <c r="EC16" i="4" a="1"/>
  <c r="CL13" i="4" a="1"/>
  <c r="EI11" i="4" a="1"/>
  <c r="BR9" i="4" a="1"/>
  <c r="BA11" i="4" a="1"/>
  <c r="X12" i="4" a="1"/>
  <c r="BL15" i="4" a="1"/>
  <c r="CZ13" i="4" a="1"/>
  <c r="CZ7" i="4" a="1"/>
  <c r="DY12" i="4" a="1"/>
  <c r="CU7" i="4" a="1"/>
  <c r="H7" i="4" a="1"/>
  <c r="Y15" i="4" a="1"/>
  <c r="BU16" i="4" a="1"/>
  <c r="DC6" i="4" a="1"/>
  <c r="DB5" i="4" a="1"/>
  <c r="EI13" i="4" a="1"/>
  <c r="CV8" i="4" a="1"/>
  <c r="CB11" i="4" a="1"/>
  <c r="AS7" i="4" a="1"/>
  <c r="BE14" i="4" a="1"/>
  <c r="AA5" i="4" a="1"/>
  <c r="BU15" i="4" a="1"/>
  <c r="DN13" i="4" a="1"/>
  <c r="DG6" i="4" a="1"/>
  <c r="F13" i="2"/>
  <c r="O7" i="2"/>
  <c r="R10" i="2"/>
  <c r="K87" i="2"/>
  <c r="N27" i="2"/>
  <c r="S16" i="2"/>
  <c r="C34" i="2"/>
  <c r="M28" i="2"/>
  <c r="R9" i="2"/>
  <c r="X27" i="2"/>
  <c r="W33" i="2"/>
  <c r="H26" i="2"/>
  <c r="Q20" i="2"/>
  <c r="I25" i="2"/>
  <c r="J17" i="2"/>
  <c r="AR90" i="3"/>
  <c r="K18" i="2"/>
  <c r="C26" i="2"/>
  <c r="AR54" i="3"/>
  <c r="P21" i="2"/>
  <c r="T17" i="2"/>
  <c r="N15" i="2"/>
  <c r="H45" i="3"/>
  <c r="AR36" i="3"/>
  <c r="E20" i="3"/>
  <c r="W46" i="3"/>
  <c r="AR32" i="3"/>
  <c r="AR38" i="3"/>
  <c r="P45" i="3"/>
  <c r="D6" i="3"/>
  <c r="E29" i="3"/>
  <c r="F7" i="3"/>
  <c r="F26" i="3"/>
  <c r="DO5" i="4" a="1"/>
  <c r="CI7" i="4" a="1"/>
  <c r="BL13" i="4" a="1"/>
  <c r="J9" i="4" a="1"/>
  <c r="DE11" i="4" a="1"/>
  <c r="AK8" i="4" a="1"/>
  <c r="I14" i="4" a="1"/>
  <c r="Q12" i="4" a="1"/>
  <c r="AZ7" i="4" a="1"/>
  <c r="DG15" i="4" a="1"/>
  <c r="DM15" i="4" a="1"/>
  <c r="W5" i="4" a="1"/>
  <c r="V12" i="4" a="1"/>
  <c r="CZ15" i="4" a="1"/>
  <c r="CC8" i="4" a="1"/>
  <c r="C8" i="4" a="1"/>
  <c r="F16" i="4" a="1"/>
  <c r="O6" i="4" a="1"/>
  <c r="AU11" i="4" a="1"/>
  <c r="V5" i="4" a="1"/>
  <c r="AI8" i="4" a="1"/>
  <c r="CG8" i="4" a="1"/>
  <c r="DA8" i="4" a="1"/>
  <c r="EG6" i="4" a="1"/>
  <c r="DZ6" i="4" a="1"/>
  <c r="DF16" i="4" a="1"/>
  <c r="AU7" i="4" a="1"/>
  <c r="BV16" i="4" a="1"/>
  <c r="DB8" i="4" a="1"/>
  <c r="DY14" i="4" a="1"/>
  <c r="AA11" i="4" a="1"/>
  <c r="DZ11" i="4" a="1"/>
  <c r="K9" i="4" a="1"/>
  <c r="BJ6" i="4" a="1"/>
  <c r="BS14" i="4" a="1"/>
  <c r="AN13" i="4" a="1"/>
  <c r="BW12" i="4" a="1"/>
  <c r="E9" i="4" a="1"/>
  <c r="EB6" i="4" a="1"/>
  <c r="Y12" i="4" a="1"/>
  <c r="DN15" i="4" a="1"/>
  <c r="AX15" i="4" a="1"/>
  <c r="D12" i="4" a="1"/>
  <c r="AO7" i="4" a="1"/>
  <c r="DG7" i="4" a="1"/>
  <c r="CL6" i="4" a="1"/>
  <c r="BN9" i="4" a="1"/>
  <c r="BJ7" i="4" a="1"/>
  <c r="DX12" i="4" a="1"/>
  <c r="AZ5" i="4" a="1"/>
  <c r="BT5" i="4" a="1"/>
  <c r="AX9" i="4" a="1"/>
  <c r="AX14" i="4" a="1"/>
  <c r="AE11" i="4" a="1"/>
  <c r="AC9" i="4" a="1"/>
  <c r="H14" i="4" a="1"/>
  <c r="W15" i="4" a="1"/>
  <c r="CI11" i="4" a="1"/>
  <c r="BX13" i="4" a="1"/>
  <c r="CM11" i="4" a="1"/>
  <c r="CP7" i="4" a="1"/>
  <c r="DR7" i="4" a="1"/>
  <c r="CY9" i="4" a="1"/>
  <c r="DJ8" i="4" a="1"/>
  <c r="EA14" i="4" a="1"/>
  <c r="E13" i="4" a="1"/>
  <c r="P5" i="4" a="1"/>
  <c r="EK14" i="4" a="1"/>
  <c r="N6" i="4" a="1"/>
  <c r="AW13" i="4" a="1"/>
  <c r="CD7" i="4" a="1"/>
  <c r="BE13" i="4" a="1"/>
  <c r="J15" i="4" a="1"/>
  <c r="C14" i="4" a="1"/>
  <c r="BZ12" i="4" a="1"/>
  <c r="CA16" i="4" a="1"/>
  <c r="BG16" i="4" a="1"/>
  <c r="N15" i="4" a="1"/>
  <c r="EG9" i="4" a="1"/>
  <c r="AS16" i="4" a="1"/>
  <c r="CN6" i="4" a="1"/>
  <c r="AV6" i="4" a="1"/>
  <c r="AB7" i="4" a="1"/>
  <c r="DS9" i="4" a="1"/>
  <c r="O14" i="4" a="1"/>
  <c r="EE9" i="4" a="1"/>
  <c r="AP6" i="4" a="1"/>
  <c r="DB9" i="4" a="1"/>
  <c r="DY9" i="4" a="1"/>
  <c r="CB16" i="4" a="1"/>
  <c r="CY11" i="4" a="1"/>
  <c r="DU15" i="4" a="1"/>
  <c r="AO16" i="4" a="1"/>
  <c r="CC15" i="4" a="1"/>
  <c r="BG14" i="4" a="1"/>
  <c r="EB7" i="4" a="1"/>
  <c r="EE5" i="4" a="1"/>
  <c r="CE16" i="4" a="1"/>
  <c r="BC6" i="4" a="1"/>
  <c r="DK12" i="4" a="1"/>
  <c r="DJ12" i="4" a="1"/>
  <c r="DE5" i="4" a="1"/>
  <c r="AV7" i="4" a="1"/>
  <c r="DA16" i="4" a="1"/>
  <c r="DU12" i="4" a="1"/>
  <c r="AP12" i="4" a="1"/>
  <c r="EG15" i="4" a="1"/>
  <c r="BP13" i="4" a="1"/>
  <c r="C12" i="4" a="1"/>
  <c r="Q16" i="4" a="1"/>
  <c r="EI15" i="4" a="1"/>
  <c r="CN5" i="4" a="1"/>
  <c r="BH8" i="4" a="1"/>
  <c r="AG13" i="4" a="1"/>
  <c r="CX8" i="4" a="1"/>
  <c r="CB8" i="4" a="1"/>
  <c r="CE14" i="4" a="1"/>
  <c r="EK9" i="4" a="1"/>
  <c r="EK7" i="4" a="1"/>
  <c r="DQ12" i="4" a="1"/>
  <c r="CT16" i="4" a="1"/>
  <c r="CR15" i="4" a="1"/>
  <c r="DW11" i="4" a="1"/>
  <c r="AU6" i="4" a="1"/>
  <c r="ED13" i="4" a="1"/>
  <c r="BA13" i="4" a="1"/>
  <c r="AN6" i="4" a="1"/>
  <c r="EB13" i="4" a="1"/>
  <c r="BI12" i="4" a="1"/>
  <c r="AQ11" i="4" a="1"/>
  <c r="AE8" i="4" a="1"/>
  <c r="AL16" i="4" a="1"/>
  <c r="AG6" i="4" a="1"/>
  <c r="Q11" i="4" a="1"/>
  <c r="DV13" i="4" a="1"/>
  <c r="E8" i="4" a="1"/>
  <c r="CT9" i="4" a="1"/>
  <c r="CN13" i="4" a="1"/>
  <c r="BB9" i="4" a="1"/>
  <c r="BR15" i="4" a="1"/>
  <c r="CW13" i="4" a="1"/>
  <c r="K8" i="4" a="1"/>
  <c r="EF11" i="4" a="1"/>
  <c r="DD5" i="4" a="1"/>
  <c r="X28" i="2"/>
  <c r="D16" i="2"/>
  <c r="M18" i="2"/>
  <c r="I16" i="2"/>
  <c r="I9" i="2"/>
  <c r="F35" i="2"/>
  <c r="L32" i="2"/>
  <c r="Q8" i="2"/>
  <c r="T24" i="2"/>
  <c r="G25" i="2"/>
  <c r="M32" i="2"/>
  <c r="I22" i="2"/>
  <c r="X92" i="2"/>
  <c r="M7" i="2"/>
  <c r="P25" i="2"/>
  <c r="AR69" i="3"/>
  <c r="U28" i="2"/>
  <c r="X32" i="2"/>
  <c r="AR80" i="3"/>
  <c r="M9" i="2"/>
  <c r="E22" i="2"/>
  <c r="E45" i="2"/>
  <c r="F17" i="3"/>
  <c r="E28" i="3"/>
  <c r="D34" i="3"/>
  <c r="AR42" i="3"/>
  <c r="AR17" i="3"/>
  <c r="AL46" i="3"/>
  <c r="D45" i="3"/>
  <c r="AR39" i="3"/>
  <c r="AR26" i="3"/>
  <c r="D18" i="3"/>
  <c r="AK45" i="3"/>
  <c r="AZ15" i="4" a="1"/>
  <c r="CY6" i="4" a="1"/>
  <c r="AG7" i="4" a="1"/>
  <c r="J16" i="4" a="1"/>
  <c r="EG12" i="4" a="1"/>
  <c r="BH5" i="4" a="1"/>
  <c r="DS12" i="4" a="1"/>
  <c r="DF5" i="4" a="1"/>
  <c r="DH12" i="4" a="1"/>
  <c r="AH8" i="4" a="1"/>
  <c r="BE12" i="4" a="1"/>
  <c r="BK6" i="4" a="1"/>
  <c r="AQ13" i="4" a="1"/>
  <c r="P16" i="4" a="1"/>
  <c r="CA8" i="4" a="1"/>
  <c r="BO12" i="4" a="1"/>
  <c r="AK6" i="4" a="1"/>
  <c r="BE7" i="4" a="1"/>
  <c r="DF13" i="4" a="1"/>
  <c r="DF11" i="4" a="1"/>
  <c r="DP12" i="4" a="1"/>
  <c r="BU13" i="4" a="1"/>
  <c r="CF6" i="4" a="1"/>
  <c r="BK11" i="4" a="1"/>
  <c r="DP15" i="4" a="1"/>
  <c r="BO13" i="4" a="1"/>
  <c r="DU11" i="4" a="1"/>
  <c r="DQ15" i="4" a="1"/>
  <c r="DG14" i="4" a="1"/>
  <c r="BL16" i="4" a="1"/>
  <c r="EF15" i="4" a="1"/>
  <c r="AD16" i="4" a="1"/>
  <c r="CW9" i="4" a="1"/>
  <c r="BH16" i="4" a="1"/>
  <c r="AA6" i="4" a="1"/>
  <c r="AZ12" i="4" a="1"/>
  <c r="EA7" i="4" a="1"/>
  <c r="EG7" i="4" a="1"/>
  <c r="AS15" i="4" a="1"/>
  <c r="AO9" i="4" a="1"/>
  <c r="L16" i="4" a="1"/>
  <c r="BM9" i="4" a="1"/>
  <c r="BC16" i="4" a="1"/>
  <c r="BD12" i="4" a="1"/>
  <c r="P6" i="4" a="1"/>
  <c r="AV11" i="4" a="1"/>
  <c r="BC13" i="4" a="1"/>
  <c r="U6" i="4" a="1"/>
  <c r="R8" i="4" a="1"/>
  <c r="DC13" i="4" a="1"/>
  <c r="DX11" i="4" a="1"/>
  <c r="CF13" i="4" a="1"/>
  <c r="K12" i="4" a="1"/>
  <c r="DP6" i="4" a="1"/>
  <c r="DZ13" i="4" a="1"/>
  <c r="ED11" i="4" a="1"/>
  <c r="AF13" i="4" a="1"/>
  <c r="EE15" i="4" a="1"/>
  <c r="DJ9" i="4" a="1"/>
  <c r="X14" i="4" a="1"/>
  <c r="DO15" i="4" a="1"/>
  <c r="DJ7" i="4" a="1"/>
  <c r="CC6" i="4" a="1"/>
  <c r="DA13" i="4" a="1"/>
  <c r="O9" i="4" a="1"/>
  <c r="DB6" i="4" a="1"/>
  <c r="DK9" i="4" a="1"/>
  <c r="BD14" i="4" a="1"/>
  <c r="AP5" i="4" a="1"/>
  <c r="M12" i="4" a="1"/>
  <c r="S7" i="4" a="1"/>
  <c r="BD9" i="4" a="1"/>
  <c r="EA11" i="4" a="1"/>
  <c r="BJ13" i="4" a="1"/>
  <c r="CH11" i="4" a="1"/>
  <c r="AU9" i="4" a="1"/>
  <c r="AM13" i="4" a="1"/>
  <c r="CW12" i="4" a="1"/>
  <c r="DU14" i="4" a="1"/>
  <c r="CU15" i="4" a="1"/>
  <c r="DE7" i="4" a="1"/>
  <c r="BW14" i="4" a="1"/>
  <c r="CP11" i="4" a="1"/>
  <c r="BF6" i="4" a="1"/>
  <c r="EJ8" i="4" a="1"/>
  <c r="Q9" i="4" a="1"/>
  <c r="BL6" i="4" a="1"/>
  <c r="DT15" i="4" a="1"/>
  <c r="DV14" i="4" a="1"/>
  <c r="BM6" i="4" a="1"/>
  <c r="DN14" i="4" a="1"/>
  <c r="AS14" i="4" a="1"/>
  <c r="CI5" i="4" a="1"/>
  <c r="C11" i="4" a="1"/>
  <c r="S35" i="2"/>
  <c r="D9" i="2"/>
  <c r="V12" i="2"/>
  <c r="R54" i="2"/>
  <c r="E14" i="2"/>
  <c r="O30" i="2"/>
  <c r="N16" i="2"/>
  <c r="J12" i="2"/>
  <c r="S28" i="2"/>
  <c r="M12" i="2"/>
  <c r="G28" i="2"/>
  <c r="H11" i="2"/>
  <c r="H15" i="2"/>
  <c r="U26" i="2"/>
  <c r="L11" i="2"/>
  <c r="AS49" i="3"/>
  <c r="V20" i="2"/>
  <c r="R11" i="2"/>
  <c r="AR91" i="3"/>
  <c r="C15" i="2"/>
  <c r="D25" i="2"/>
  <c r="I26" i="2"/>
  <c r="F8" i="3"/>
  <c r="AR24" i="3"/>
  <c r="E14" i="3"/>
  <c r="D21" i="3"/>
  <c r="AR25" i="3"/>
  <c r="Q45" i="3"/>
  <c r="AD7" i="3"/>
  <c r="M45" i="3"/>
  <c r="E7" i="3"/>
  <c r="AB46" i="3"/>
  <c r="F41" i="3"/>
  <c r="AZ14" i="4" a="1"/>
  <c r="DM5" i="4" a="1"/>
  <c r="AK9" i="4" a="1"/>
  <c r="DG12" i="4" a="1"/>
  <c r="AS6" i="4" a="1"/>
  <c r="BD15" i="4" a="1"/>
  <c r="AI11" i="4" a="1"/>
  <c r="BC12" i="4" a="1"/>
  <c r="CB13" i="4" a="1"/>
  <c r="BN16" i="4" a="1"/>
  <c r="M7" i="4" a="1"/>
  <c r="CN8" i="4" a="1"/>
  <c r="DC12" i="4" a="1"/>
  <c r="BT9" i="4" a="1"/>
  <c r="CK14" i="4" a="1"/>
  <c r="CW7" i="4" a="1"/>
  <c r="BQ9" i="4" a="1"/>
  <c r="BD5" i="4" a="1"/>
  <c r="CP13" i="4" a="1"/>
  <c r="DK13" i="4" a="1"/>
  <c r="CF12" i="4" a="1"/>
  <c r="AU13" i="4" a="1"/>
  <c r="DR12" i="4" a="1"/>
  <c r="CA12" i="4" a="1"/>
  <c r="L5" i="4" a="1"/>
  <c r="AP11" i="4" a="1"/>
  <c r="BJ5" i="4" a="1"/>
  <c r="BH7" i="4" a="1"/>
  <c r="BM13" i="4" a="1"/>
  <c r="AC6" i="4" a="1"/>
  <c r="DF12" i="4" a="1"/>
  <c r="CL12" i="4" a="1"/>
  <c r="EI12" i="4" a="1"/>
  <c r="DH6" i="4" a="1"/>
  <c r="F15" i="4" a="1"/>
  <c r="DE8" i="4" a="1"/>
  <c r="DK14" i="4" a="1"/>
  <c r="AJ13" i="4" a="1"/>
  <c r="CB14" i="4" a="1"/>
  <c r="W6" i="4" a="1"/>
  <c r="AN9" i="4" a="1"/>
  <c r="BP12" i="4" a="1"/>
  <c r="BJ8" i="4" a="1"/>
  <c r="E6" i="4" a="1"/>
  <c r="DM11" i="4" a="1"/>
  <c r="AG16" i="4" a="1"/>
  <c r="L7" i="4" a="1"/>
  <c r="BA15" i="4" a="1"/>
  <c r="CD16" i="4" a="1"/>
  <c r="CL11" i="4" a="1"/>
  <c r="AI15" i="4" a="1"/>
  <c r="DS13" i="4" a="1"/>
  <c r="CT13" i="4" a="1"/>
  <c r="T15" i="4" a="1"/>
  <c r="AT5" i="4" a="1"/>
  <c r="EC12" i="4" a="1"/>
  <c r="U19" i="2"/>
  <c r="W46" i="2"/>
  <c r="V35" i="2"/>
  <c r="O19" i="2"/>
  <c r="T15" i="2"/>
  <c r="R13" i="2"/>
  <c r="T29" i="2"/>
  <c r="R20" i="2"/>
  <c r="J31" i="2"/>
  <c r="L18" i="2"/>
  <c r="V22" i="2"/>
  <c r="J28" i="2"/>
  <c r="V9" i="2"/>
  <c r="E23" i="2"/>
  <c r="R17" i="2"/>
  <c r="AR49" i="3"/>
  <c r="U24" i="2"/>
  <c r="R22" i="2"/>
  <c r="AR95" i="3"/>
  <c r="I34" i="2"/>
  <c r="U9" i="2"/>
  <c r="AF48" i="3"/>
  <c r="F22" i="3"/>
  <c r="F19" i="3"/>
  <c r="AR33" i="3"/>
  <c r="V45" i="3"/>
  <c r="K46" i="3"/>
  <c r="AQ45" i="3"/>
  <c r="E13" i="3"/>
  <c r="D38" i="3"/>
  <c r="E34" i="3"/>
  <c r="D31" i="3"/>
  <c r="AD11" i="3"/>
  <c r="X13" i="4" a="1"/>
  <c r="DZ14" i="4" a="1"/>
  <c r="CM12" i="4" a="1"/>
  <c r="CB7" i="4" a="1"/>
  <c r="D8" i="4" a="1"/>
  <c r="AD8" i="4" a="1"/>
  <c r="BL9" i="4" a="1"/>
  <c r="DP9" i="4" a="1"/>
  <c r="T7" i="4" a="1"/>
  <c r="K15" i="4" a="1"/>
  <c r="ED14" i="4" a="1"/>
  <c r="AC14" i="4" a="1"/>
  <c r="AO11" i="4" a="1"/>
  <c r="CJ9" i="4" a="1"/>
  <c r="AG9" i="4" a="1"/>
  <c r="DX6" i="4" a="1"/>
  <c r="BR13" i="4" a="1"/>
  <c r="ED9" i="4" a="1"/>
  <c r="BI7" i="4" a="1"/>
  <c r="DG5" i="4" a="1"/>
  <c r="CR5" i="4" a="1"/>
  <c r="DS6" i="4" a="1"/>
  <c r="DP5" i="4" a="1"/>
  <c r="CS12" i="4" a="1"/>
  <c r="W8" i="4" a="1"/>
  <c r="K16" i="4" a="1"/>
  <c r="DC15" i="4" a="1"/>
  <c r="CK11" i="4" a="1"/>
  <c r="X9" i="4" a="1"/>
  <c r="BI9" i="4" a="1"/>
  <c r="AV8" i="4" a="1"/>
  <c r="DS5" i="4" a="1"/>
  <c r="BY14" i="4" a="1"/>
  <c r="BT16" i="4" a="1"/>
  <c r="DT16" i="4" a="1"/>
  <c r="AO14" i="4" a="1"/>
  <c r="BV8" i="4" a="1"/>
  <c r="G14" i="4" a="1"/>
  <c r="AL8" i="4" a="1"/>
  <c r="AJ16" i="4" a="1"/>
  <c r="AR5" i="4" a="1"/>
  <c r="BI14" i="4" a="1"/>
  <c r="N14" i="4" a="1"/>
  <c r="DF6" i="4" a="1"/>
  <c r="DD12" i="4" a="1"/>
  <c r="CH13" i="4" a="1"/>
  <c r="AS13" i="4" a="1"/>
  <c r="CA6" i="4" a="1"/>
  <c r="BT15" i="4" a="1"/>
  <c r="DR6" i="4" a="1"/>
  <c r="CN9" i="4" a="1"/>
  <c r="BO9" i="4" a="1"/>
  <c r="BS11" i="4" a="1"/>
  <c r="CF15" i="4" a="1"/>
  <c r="CD12" i="4" a="1"/>
  <c r="L13" i="4" a="1"/>
  <c r="ED5" i="4" a="1"/>
  <c r="AU12" i="4" a="1"/>
  <c r="V11" i="4" a="1"/>
  <c r="CO14" i="4" a="1"/>
  <c r="DW7" i="4" a="1"/>
  <c r="CT6" i="4" a="1"/>
  <c r="DZ7" i="4" a="1"/>
  <c r="CD14" i="4" a="1"/>
  <c r="BT6" i="4" a="1"/>
  <c r="Z9" i="4" a="1"/>
  <c r="DK6" i="4" a="1"/>
  <c r="DS16" i="4" a="1"/>
  <c r="DT5" i="4" a="1"/>
  <c r="DT14" i="4" a="1"/>
  <c r="EC13" i="4" a="1"/>
  <c r="CX5" i="4" a="1"/>
  <c r="CJ6" i="4" a="1"/>
  <c r="BV6" i="4" a="1"/>
  <c r="DI15" i="4" a="1"/>
  <c r="H16" i="4" a="1"/>
  <c r="EF8" i="4" a="1"/>
  <c r="E15" i="4" a="1"/>
  <c r="DJ5" i="4" a="1"/>
  <c r="CK8" i="4" a="1"/>
  <c r="C8" i="2"/>
  <c r="Q58" i="2"/>
  <c r="S25" i="2"/>
  <c r="Q30" i="2"/>
  <c r="G33" i="2"/>
  <c r="J15" i="2"/>
  <c r="S9" i="2"/>
  <c r="P28" i="2"/>
  <c r="X20" i="2"/>
  <c r="F9" i="2"/>
  <c r="D33" i="2"/>
  <c r="X21" i="2"/>
  <c r="C18" i="2"/>
  <c r="T31" i="2"/>
  <c r="T21" i="2"/>
  <c r="AR55" i="3"/>
  <c r="W70" i="2"/>
  <c r="C23" i="2"/>
  <c r="AS47" i="3"/>
  <c r="H33" i="2"/>
  <c r="C30" i="2"/>
  <c r="G7" i="3"/>
  <c r="D13" i="3"/>
  <c r="F25" i="3"/>
  <c r="F33" i="3"/>
  <c r="N45" i="3"/>
  <c r="AR15" i="3"/>
  <c r="G21" i="3"/>
  <c r="AC45" i="3"/>
  <c r="Z46" i="3"/>
  <c r="G30" i="3"/>
  <c r="D7" i="3"/>
  <c r="AR35" i="3"/>
  <c r="AF7" i="4" a="1"/>
  <c r="EC15" i="4" a="1"/>
  <c r="BC9" i="4" a="1"/>
  <c r="AN7" i="4" a="1"/>
  <c r="S11" i="4" a="1"/>
  <c r="BO8" i="4" a="1"/>
  <c r="CN11" i="4" a="1"/>
  <c r="CF9" i="4" a="1"/>
  <c r="S15" i="4" a="1"/>
  <c r="BZ5" i="4" a="1"/>
  <c r="AK13" i="4" a="1"/>
  <c r="DQ13" i="4" a="1"/>
  <c r="CO9" i="4" a="1"/>
  <c r="CD8" i="4" a="1"/>
  <c r="BI6" i="4" a="1"/>
  <c r="CU8" i="4" a="1"/>
  <c r="DD9" i="4" a="1"/>
  <c r="DP11" i="4" a="1"/>
  <c r="BO5" i="4" a="1"/>
  <c r="EE11" i="4" a="1"/>
  <c r="DQ14" i="4" a="1"/>
  <c r="AY6" i="4" a="1"/>
  <c r="BK15" i="4" a="1"/>
  <c r="AM6" i="4" a="1"/>
  <c r="N13" i="4" a="1"/>
  <c r="DQ5" i="4" a="1"/>
  <c r="BC8" i="4" a="1"/>
  <c r="DA14" i="4" a="1"/>
  <c r="H6" i="4" a="1"/>
  <c r="DP7" i="4" a="1"/>
  <c r="D9" i="4" a="1"/>
  <c r="BE5" i="4" a="1"/>
  <c r="DX8" i="4" a="1"/>
  <c r="DI7" i="4" a="1"/>
  <c r="DX7" i="4" a="1"/>
  <c r="AB15" i="4" a="1"/>
  <c r="U11" i="4" a="1"/>
  <c r="AS9" i="4" a="1"/>
  <c r="DW14" i="4" a="1"/>
  <c r="EC9" i="4" a="1"/>
  <c r="BW7" i="4" a="1"/>
  <c r="CD9" i="4" a="1"/>
  <c r="AS5" i="4" a="1"/>
  <c r="F7" i="4" a="1"/>
  <c r="DF14" i="4" a="1"/>
  <c r="EH7" i="4" a="1"/>
  <c r="CR6" i="4" a="1"/>
  <c r="M16" i="4" a="1"/>
  <c r="AZ9" i="4" a="1"/>
  <c r="N7" i="4" a="1"/>
  <c r="EA6" i="4" a="1"/>
  <c r="EK16" i="4" a="1"/>
  <c r="AC5" i="4" a="1"/>
  <c r="AH9" i="4" a="1"/>
  <c r="I8" i="4" a="1"/>
  <c r="DZ9" i="4" a="1"/>
  <c r="DA12" i="4" a="1"/>
  <c r="BW13" i="4" a="1"/>
  <c r="CG6" i="4" a="1"/>
  <c r="CQ12" i="4" a="1"/>
  <c r="BQ16" i="4" a="1"/>
  <c r="BL11" i="4" a="1"/>
  <c r="ED7" i="4" a="1"/>
  <c r="DF9" i="4" a="1"/>
  <c r="AK16" i="4" a="1"/>
  <c r="DX14" i="4" a="1"/>
  <c r="Q8" i="4" a="1"/>
  <c r="EE8" i="4" a="1"/>
  <c r="CV15" i="4" a="1"/>
  <c r="DX15" i="4" a="1"/>
  <c r="DL7" i="4" a="1"/>
  <c r="BL14" i="4" a="1"/>
  <c r="AA14" i="4" a="1"/>
  <c r="Q18" i="2"/>
  <c r="O6" i="2"/>
  <c r="N36" i="2"/>
  <c r="W5" i="2"/>
  <c r="O25" i="2"/>
  <c r="N33" i="2"/>
  <c r="H23" i="2"/>
  <c r="V5" i="2"/>
  <c r="K24" i="2"/>
  <c r="H27" i="2"/>
  <c r="K59" i="2"/>
  <c r="N6" i="2"/>
  <c r="O10" i="2"/>
  <c r="T20" i="2"/>
  <c r="R36" i="2"/>
  <c r="T8" i="2"/>
  <c r="D11" i="2"/>
  <c r="Q34" i="2"/>
  <c r="V8" i="2"/>
  <c r="X29" i="2"/>
  <c r="L27" i="2"/>
  <c r="AA46" i="3"/>
  <c r="E25" i="3"/>
  <c r="E26" i="3"/>
  <c r="L46" i="3"/>
  <c r="D15" i="3"/>
  <c r="E42" i="3"/>
  <c r="AD46" i="3"/>
  <c r="D22" i="3"/>
  <c r="AO46" i="3"/>
  <c r="AR28" i="3"/>
  <c r="D35" i="3"/>
  <c r="F35" i="3"/>
  <c r="AB12" i="4" a="1"/>
  <c r="Z8" i="4" a="1"/>
  <c r="DH14" i="4" a="1"/>
  <c r="AI14" i="4" a="1"/>
  <c r="CR8" i="4" a="1"/>
  <c r="DF15" i="4" a="1"/>
  <c r="DV7" i="4" a="1"/>
  <c r="CS14" i="4" a="1"/>
  <c r="BG8" i="4" a="1"/>
  <c r="CA15" i="4" a="1"/>
  <c r="U16" i="4" a="1"/>
  <c r="CV9" i="4" a="1"/>
  <c r="DC7" i="4" a="1"/>
  <c r="AQ15" i="4" a="1"/>
  <c r="Y8" i="4" a="1"/>
  <c r="CI13" i="4" a="1"/>
  <c r="C7" i="4" a="1"/>
  <c r="CM13" i="4" a="1"/>
  <c r="DN12" i="4" a="1"/>
  <c r="G12" i="4" a="1"/>
  <c r="EA8" i="4" a="1"/>
  <c r="CA9" i="4" a="1"/>
  <c r="AY12" i="4" a="1"/>
  <c r="EJ16" i="4" a="1"/>
  <c r="AE12" i="4" a="1"/>
  <c r="BQ8" i="4" a="1"/>
  <c r="AN11" i="4" a="1"/>
  <c r="CS7" i="4" a="1"/>
  <c r="BP5" i="4" a="1"/>
  <c r="L6" i="4" a="1"/>
  <c r="AT8" i="4" a="1"/>
  <c r="CJ8" i="4" a="1"/>
  <c r="Z16" i="4" a="1"/>
  <c r="AA9" i="4" a="1"/>
  <c r="AA16" i="4" a="1"/>
  <c r="AA13" i="4" a="1"/>
  <c r="BX12" i="4" a="1"/>
  <c r="AL13" i="4" a="1"/>
  <c r="CB12" i="4" a="1"/>
  <c r="BU14" i="4" a="1"/>
  <c r="J24" i="2"/>
  <c r="U6" i="2"/>
  <c r="D47" i="2"/>
  <c r="J10" i="2"/>
  <c r="D17" i="2"/>
  <c r="M8" i="2"/>
  <c r="T7" i="2"/>
  <c r="L15" i="2"/>
  <c r="O11" i="2"/>
  <c r="T19" i="2"/>
  <c r="T14" i="2"/>
  <c r="C25" i="2"/>
  <c r="G9" i="2"/>
  <c r="C14" i="2"/>
  <c r="Q59" i="2"/>
  <c r="J5" i="2"/>
  <c r="K22" i="2"/>
  <c r="S24" i="2"/>
  <c r="X26" i="2"/>
  <c r="H35" i="2"/>
  <c r="J34" i="2"/>
  <c r="F32" i="3"/>
  <c r="AE46" i="3"/>
  <c r="F29" i="3"/>
  <c r="AE45" i="3"/>
  <c r="AB45" i="3"/>
  <c r="F31" i="3"/>
  <c r="AL45" i="3"/>
  <c r="E24" i="3"/>
  <c r="AR8" i="3"/>
  <c r="E15" i="3"/>
  <c r="K45" i="3"/>
  <c r="R16" i="4" a="1"/>
  <c r="AL12" i="4" a="1"/>
  <c r="BM8" i="4" a="1"/>
  <c r="AO12" i="4" a="1"/>
  <c r="BE15" i="4" a="1"/>
  <c r="DT12" i="4" a="1"/>
  <c r="BQ7" i="4" a="1"/>
  <c r="C9" i="4" a="1"/>
  <c r="CN16" i="4" a="1"/>
  <c r="DR5" i="4" a="1"/>
  <c r="EG16" i="4" a="1"/>
  <c r="AD11" i="4" a="1"/>
  <c r="BS7" i="4" a="1"/>
  <c r="BP11" i="4" a="1"/>
  <c r="CU6" i="4" a="1"/>
  <c r="AY7" i="4" a="1"/>
  <c r="K11" i="2"/>
  <c r="Q46" i="2"/>
  <c r="W17" i="2"/>
  <c r="J26" i="2"/>
  <c r="J22" i="2"/>
  <c r="W30" i="2"/>
  <c r="G14" i="2"/>
  <c r="R8" i="2"/>
  <c r="G24" i="2"/>
  <c r="E8" i="2"/>
  <c r="F19" i="2"/>
  <c r="S8" i="2"/>
  <c r="H10" i="2"/>
  <c r="H28" i="2"/>
  <c r="E17" i="2"/>
  <c r="M24" i="2"/>
  <c r="E5" i="2"/>
  <c r="R7" i="2"/>
  <c r="AR47" i="3"/>
  <c r="Q54" i="2"/>
  <c r="AR86" i="3"/>
  <c r="J46" i="3"/>
  <c r="AR12" i="3"/>
  <c r="AA45" i="3"/>
  <c r="D29" i="3"/>
  <c r="E23" i="3"/>
  <c r="E35" i="3"/>
  <c r="D8" i="3"/>
  <c r="AD12" i="3"/>
  <c r="AR18" i="3"/>
  <c r="AR29" i="3"/>
  <c r="J45" i="3"/>
  <c r="CI14" i="4" a="1"/>
  <c r="BY7" i="4" a="1"/>
  <c r="AK11" i="4" a="1"/>
  <c r="BX9" i="4" a="1"/>
  <c r="D14" i="4" a="1"/>
  <c r="DK5" i="4" a="1"/>
  <c r="BD6" i="4" a="1"/>
  <c r="CD5" i="4" a="1"/>
  <c r="DQ16" i="4" a="1"/>
  <c r="CG12" i="4" a="1"/>
  <c r="AB11" i="4" a="1"/>
  <c r="AE6" i="4" a="1"/>
  <c r="DO12" i="4" a="1"/>
  <c r="P14" i="4" a="1"/>
  <c r="DE12" i="4" a="1"/>
  <c r="AC12" i="4" a="1"/>
  <c r="AL5" i="4" a="1"/>
  <c r="DL11" i="4" a="1"/>
  <c r="CM6" i="4" a="1"/>
  <c r="BE6" i="4" a="1"/>
  <c r="CS15" i="4" a="1"/>
  <c r="Y6" i="4" a="1"/>
  <c r="F8" i="4" a="1"/>
  <c r="DV15" i="4" a="1"/>
  <c r="AD12" i="4" a="1"/>
  <c r="AI5" i="4" a="1"/>
  <c r="CP8" i="4" a="1"/>
  <c r="AY11" i="4" a="1"/>
  <c r="V16" i="4" a="1"/>
  <c r="CH6" i="4" a="1"/>
  <c r="BB14" i="4" a="1"/>
  <c r="AV15" i="4" a="1"/>
  <c r="AB5" i="4" a="1"/>
  <c r="U14" i="4" a="1"/>
  <c r="BC15" i="4" a="1"/>
  <c r="T6" i="4" a="1"/>
  <c r="CH15" i="4" a="1"/>
  <c r="CZ8" i="4" a="1"/>
  <c r="D11" i="4" a="1"/>
  <c r="AU5" i="4" a="1"/>
  <c r="DO16" i="4" a="1"/>
  <c r="CD15" i="4" a="1"/>
  <c r="BJ15" i="4" a="1"/>
  <c r="CI8" i="4" a="1"/>
  <c r="CY8" i="4" a="1"/>
  <c r="BB11" i="4" a="1"/>
  <c r="CI12" i="4" a="1"/>
  <c r="BO15" i="4" a="1"/>
  <c r="DM16" i="4" a="1"/>
  <c r="EF7" i="4" a="1"/>
  <c r="BC14" i="4" a="1"/>
  <c r="CQ5" i="4" a="1"/>
  <c r="DC11" i="4" a="1"/>
  <c r="BP9" i="4" a="1"/>
  <c r="DX9" i="4" a="1"/>
  <c r="EC14" i="4" a="1"/>
  <c r="BP14" i="4" a="1"/>
  <c r="CD11" i="4" a="1"/>
  <c r="K5" i="2"/>
  <c r="S26" i="2"/>
  <c r="I24" i="2"/>
  <c r="G11" i="2"/>
  <c r="X36" i="2"/>
  <c r="V25" i="2"/>
  <c r="AD18" i="3"/>
  <c r="G10" i="3"/>
  <c r="F28" i="3"/>
  <c r="AI16" i="4" a="1"/>
  <c r="CQ14" i="4" a="1"/>
  <c r="M5" i="4" a="1"/>
  <c r="W13" i="4" a="1"/>
  <c r="DQ11" i="4" a="1"/>
  <c r="DI13" i="4" a="1"/>
  <c r="BX5" i="4" a="1"/>
  <c r="U5" i="4" a="1"/>
  <c r="U12" i="4" a="1"/>
  <c r="AW7" i="4" a="1"/>
  <c r="DT6" i="4" a="1"/>
  <c r="BF14" i="4" a="1"/>
  <c r="BB15" i="4" a="1"/>
  <c r="DC14" i="4" a="1"/>
  <c r="G7" i="4" a="1"/>
  <c r="EI5" i="4" a="1"/>
  <c r="CN12" i="4" a="1"/>
  <c r="DD6" i="4" a="1"/>
  <c r="AP14" i="4" a="1"/>
  <c r="BZ6" i="4" a="1"/>
  <c r="H5" i="4" a="1"/>
  <c r="CJ14" i="4" a="1"/>
  <c r="CG5" i="4" a="1"/>
  <c r="CU14" i="4" a="1"/>
  <c r="W7" i="4" a="1"/>
  <c r="BY9" i="4" a="1"/>
  <c r="U7" i="4" a="1"/>
  <c r="DX16" i="4" a="1"/>
  <c r="CG9" i="4" a="1"/>
  <c r="CC7" i="4" a="1"/>
  <c r="DJ11" i="4" a="1"/>
  <c r="G13" i="4" a="1"/>
  <c r="EI8" i="4" a="1"/>
  <c r="DK15" i="4" a="1"/>
  <c r="AX7" i="4" a="1"/>
  <c r="Q15" i="4" a="1"/>
  <c r="CK7" i="4" a="1"/>
  <c r="BS5" i="4" a="1"/>
  <c r="AF5" i="4" a="1"/>
  <c r="H11" i="4" a="1"/>
  <c r="P15" i="4" a="1"/>
  <c r="DD14" i="4" a="1"/>
  <c r="DB11" i="4" a="1"/>
  <c r="BY6" i="4" a="1"/>
  <c r="CG13" i="4" a="1"/>
  <c r="AN14" i="4" a="1"/>
  <c r="DZ5" i="4" a="1"/>
  <c r="EK13" i="4" a="1"/>
  <c r="EG13" i="4" a="1"/>
  <c r="AJ15" i="4" a="1"/>
  <c r="CK12" i="4" a="1"/>
  <c r="DY15" i="4" a="1"/>
  <c r="CI6" i="4" a="1"/>
  <c r="DM7" i="4" a="1"/>
  <c r="DW16" i="4" a="1"/>
  <c r="BV12" i="4" a="1"/>
  <c r="AZ13" i="4" a="1"/>
  <c r="AE9" i="4" a="1"/>
  <c r="CQ7" i="4" a="1"/>
  <c r="EB15" i="4" a="1"/>
  <c r="DA9" i="4" a="1"/>
  <c r="M9" i="4" a="1"/>
  <c r="EC5" i="4" a="1"/>
  <c r="AW9" i="4" a="1"/>
  <c r="T13" i="4" a="1"/>
  <c r="AX12" i="4" a="1"/>
  <c r="CR7" i="4" a="1"/>
  <c r="AD13" i="4" a="1"/>
  <c r="CW16" i="4" a="1"/>
  <c r="BO7" i="4" a="1"/>
  <c r="EF16" i="4" a="1"/>
  <c r="BN5" i="4" a="1"/>
  <c r="CV16" i="4" a="1"/>
  <c r="AR23" i="3"/>
  <c r="CK5" i="4" a="1"/>
  <c r="N11" i="4" a="1"/>
  <c r="BB12" i="4" a="1"/>
  <c r="AE14" i="4" a="1"/>
  <c r="CQ16" i="4" a="1"/>
  <c r="BC11" i="4" a="1"/>
  <c r="V34" i="2"/>
  <c r="G31" i="2"/>
  <c r="P13" i="2"/>
  <c r="J20" i="2"/>
  <c r="R26" i="2"/>
  <c r="X12" i="2"/>
  <c r="AP45" i="3"/>
  <c r="G13" i="3"/>
  <c r="N9" i="4" a="1"/>
  <c r="CM16" i="4" a="1"/>
  <c r="EI14" i="4" a="1"/>
  <c r="AE16" i="4" a="1"/>
  <c r="AD5" i="4" a="1"/>
  <c r="DR11" i="4" a="1"/>
  <c r="BS16" i="4" a="1"/>
  <c r="DO6" i="4" a="1"/>
  <c r="DL5" i="4" a="1"/>
  <c r="CT15" i="4" a="1"/>
  <c r="DJ16" i="4" a="1"/>
  <c r="BO16" i="4" a="1"/>
  <c r="J14" i="4" a="1"/>
  <c r="CE13" i="4" a="1"/>
  <c r="CV14" i="4" a="1"/>
  <c r="CK13" i="4" a="1"/>
  <c r="AJ7" i="4" a="1"/>
  <c r="CF8" i="4" a="1"/>
  <c r="E12" i="4" a="1"/>
  <c r="BB5" i="4" a="1"/>
  <c r="S12" i="4" a="1"/>
  <c r="CM9" i="4" a="1"/>
  <c r="DI5" i="4" a="1"/>
  <c r="AT13" i="4" a="1"/>
  <c r="BG6" i="4" a="1"/>
  <c r="EB11" i="4" a="1"/>
  <c r="CR12" i="4" a="1"/>
  <c r="AW15" i="4" a="1"/>
  <c r="DH5" i="4" a="1"/>
  <c r="Y14" i="4" a="1"/>
  <c r="DZ8" i="4" a="1"/>
  <c r="BT12" i="4" a="1"/>
  <c r="CK9" i="4" a="1"/>
  <c r="BU9" i="4" a="1"/>
  <c r="AG8" i="4" a="1"/>
  <c r="Z13" i="4" a="1"/>
  <c r="AZ11" i="4" a="1"/>
  <c r="EH15" i="4" a="1"/>
  <c r="DM9" i="4" a="1"/>
  <c r="EG11" i="4" a="1"/>
  <c r="E5" i="4" a="1"/>
  <c r="EH11" i="4" a="1"/>
  <c r="BE16" i="4" a="1"/>
  <c r="CU13" i="4" a="1"/>
  <c r="R15" i="4" a="1"/>
  <c r="T14" i="4" a="1"/>
  <c r="AM9" i="4" a="1"/>
  <c r="CE12" i="4" a="1"/>
  <c r="EE7" i="4" a="1"/>
  <c r="BS9" i="4" a="1"/>
  <c r="BO6" i="4" a="1"/>
  <c r="EH14" i="4" a="1"/>
  <c r="G5" i="4" a="1"/>
  <c r="AT7" i="4" a="1"/>
  <c r="CH9" i="4" a="1"/>
  <c r="AX5" i="4" a="1"/>
  <c r="DK11" i="4" a="1"/>
  <c r="DS11" i="4" a="1"/>
  <c r="O13" i="4" a="1"/>
  <c r="BP16" i="4" a="1"/>
  <c r="AR9" i="4" a="1"/>
  <c r="DV6" i="4" a="1"/>
  <c r="CB15" i="4" a="1"/>
  <c r="EH8" i="4" a="1"/>
  <c r="C13" i="4" a="1"/>
  <c r="AV12" i="4" a="1"/>
  <c r="CO5" i="4" a="1"/>
  <c r="DD11" i="4" a="1"/>
  <c r="DN7" i="4" a="1"/>
  <c r="AT11" i="4" a="1"/>
  <c r="EI7" i="4" a="1"/>
  <c r="DI12" i="4" a="1"/>
  <c r="AN16" i="4" a="1"/>
  <c r="AJ11" i="4" a="1"/>
  <c r="BG9" i="4" a="1"/>
  <c r="AO15" i="4" a="1"/>
  <c r="CJ15" i="4" a="1"/>
  <c r="CM5" i="4" a="1"/>
  <c r="AJ6" i="4" a="1"/>
  <c r="BF8" i="4" a="1"/>
  <c r="DY5" i="4" a="1"/>
  <c r="CY12" i="4" a="1"/>
  <c r="DY7" i="4" a="1"/>
  <c r="DJ13" i="4" a="1"/>
  <c r="AU14" i="4" a="1"/>
  <c r="CA14" i="4" a="1"/>
  <c r="DN16" i="4" a="1"/>
  <c r="BK7" i="4" a="1"/>
  <c r="O28" i="2"/>
  <c r="J5" i="4" a="1"/>
  <c r="Z5" i="4" a="1"/>
  <c r="AG11" i="4" a="1"/>
  <c r="CR16" i="4" a="1"/>
  <c r="AQ16" i="4" a="1"/>
  <c r="G9" i="4" a="1"/>
  <c r="CW6" i="4" a="1"/>
  <c r="DV11" i="4" a="1"/>
  <c r="BD13" i="4" a="1"/>
  <c r="P8" i="2"/>
  <c r="D14" i="3"/>
  <c r="CV5" i="4" a="1"/>
  <c r="I9" i="4" a="1"/>
  <c r="DQ6" i="4" a="1"/>
  <c r="V7" i="4" a="1"/>
  <c r="DV12" i="4" a="1"/>
  <c r="CS11" i="4" a="1"/>
  <c r="AF15" i="4" a="1"/>
  <c r="O8" i="2"/>
  <c r="K23" i="2"/>
  <c r="J36" i="2"/>
  <c r="L6" i="2"/>
  <c r="Q57" i="2"/>
  <c r="AR96" i="3"/>
  <c r="F12" i="3"/>
  <c r="G23" i="3"/>
  <c r="ED16" i="4" a="1"/>
  <c r="BI13" i="4" a="1"/>
  <c r="BB13" i="4" a="1"/>
  <c r="CS8" i="4" a="1"/>
  <c r="DL13" i="4" a="1"/>
  <c r="AP16" i="4" a="1"/>
  <c r="D15" i="4" a="1"/>
  <c r="AX16" i="4" a="1"/>
  <c r="DJ6" i="4" a="1"/>
  <c r="Z7" i="4" a="1"/>
  <c r="CG7" i="4" a="1"/>
  <c r="AW5" i="4" a="1"/>
  <c r="BI15" i="4" a="1"/>
  <c r="CJ12" i="4" a="1"/>
  <c r="AS8" i="4" a="1"/>
  <c r="BP15" i="4" a="1"/>
  <c r="CP15" i="4" a="1"/>
  <c r="AB16" i="4" a="1"/>
  <c r="I12" i="4" a="1"/>
  <c r="AE13" i="4" a="1"/>
  <c r="BX6" i="4" a="1"/>
  <c r="DU16" i="4" a="1"/>
  <c r="H15" i="4" a="1"/>
  <c r="EH9" i="4" a="1"/>
  <c r="CW11" i="4" a="1"/>
  <c r="EJ6" i="4" a="1"/>
  <c r="CC5" i="4" a="1"/>
  <c r="DC5" i="4" a="1"/>
  <c r="AR7" i="4" a="1"/>
  <c r="T5" i="4" a="1"/>
  <c r="EH6" i="4" a="1"/>
  <c r="CJ7" i="4" a="1"/>
  <c r="DI9" i="4" a="1"/>
  <c r="BR8" i="4" a="1"/>
  <c r="ED15" i="4" a="1"/>
  <c r="F5" i="4" a="1"/>
  <c r="CP16" i="4" a="1"/>
  <c r="S8" i="4" a="1"/>
  <c r="BW8" i="4" a="1"/>
  <c r="DH16" i="4" a="1"/>
  <c r="DZ15" i="4" a="1"/>
  <c r="O15" i="4" a="1"/>
  <c r="BQ12" i="4" a="1"/>
  <c r="BD8" i="4" a="1"/>
  <c r="EK6" i="4" a="1"/>
  <c r="Z14" i="4" a="1"/>
  <c r="CY7" i="4" a="1"/>
  <c r="Y13" i="4" a="1"/>
  <c r="AD14" i="4" a="1"/>
  <c r="BD7" i="4" a="1"/>
  <c r="DH11" i="4" a="1"/>
  <c r="AW16" i="4" a="1"/>
  <c r="BK14" i="4" a="1"/>
  <c r="DO7" i="4" a="1"/>
  <c r="N8" i="4" a="1"/>
  <c r="AN15" i="4" a="1"/>
  <c r="R12" i="4" a="1"/>
  <c r="AG5" i="4" a="1"/>
  <c r="BX15" i="4" a="1"/>
  <c r="AP46" i="3"/>
  <c r="BJ16" i="4" a="1"/>
  <c r="EB5" i="4" a="1"/>
  <c r="CV13" i="4" a="1"/>
  <c r="BA12" i="4" a="1"/>
  <c r="N5" i="4" a="1"/>
  <c r="DS14" i="4" a="1"/>
  <c r="O16" i="2"/>
  <c r="K36" i="2"/>
  <c r="K9" i="2"/>
  <c r="U5" i="2"/>
  <c r="C65" i="2"/>
  <c r="AR34" i="3"/>
  <c r="AR40" i="3"/>
  <c r="AR14" i="3"/>
  <c r="CX7" i="4" a="1"/>
  <c r="AC11" i="4" a="1"/>
  <c r="DM12" i="4" a="1"/>
  <c r="DI8" i="4" a="1"/>
  <c r="DP16" i="4" a="1"/>
  <c r="AK5" i="4" a="1"/>
  <c r="CH8" i="4" a="1"/>
  <c r="D7" i="4" a="1"/>
  <c r="I5" i="4" a="1"/>
  <c r="AT6" i="4" a="1"/>
  <c r="CD6" i="4" a="1"/>
  <c r="U12" i="2"/>
  <c r="T30" i="2"/>
  <c r="M20" i="2"/>
  <c r="T6" i="2"/>
  <c r="M30" i="2"/>
  <c r="AJ46" i="3"/>
  <c r="T45" i="3"/>
  <c r="AO45" i="3"/>
  <c r="DO14" i="4" a="1"/>
  <c r="BV5" i="4" a="1"/>
  <c r="DI14" i="4" a="1"/>
  <c r="R11" i="4" a="1"/>
  <c r="CU9" i="4" a="1"/>
  <c r="EJ7" i="4" a="1"/>
  <c r="CN15" i="4" a="1"/>
  <c r="CH14" i="4" a="1"/>
  <c r="EE16" i="4" a="1"/>
  <c r="EH13" i="4" a="1"/>
  <c r="Q13" i="4" a="1"/>
  <c r="EA16" i="4" a="1"/>
  <c r="BQ15" i="4" a="1"/>
  <c r="AP7" i="4" a="1"/>
  <c r="BG15" i="4" a="1"/>
  <c r="CQ15" i="4" a="1"/>
  <c r="G6" i="4" a="1"/>
  <c r="EK12" i="4" a="1"/>
  <c r="AP13" i="4" a="1"/>
  <c r="DC16" i="4" a="1"/>
  <c r="DT13" i="4" a="1"/>
  <c r="J13" i="4" a="1"/>
  <c r="AB14" i="4" a="1"/>
  <c r="CO16" i="4" a="1"/>
  <c r="AD6" i="4" a="1"/>
  <c r="CX16" i="4" a="1"/>
  <c r="S9" i="4" a="1"/>
  <c r="M13" i="4" a="1"/>
  <c r="R7" i="4" a="1"/>
  <c r="BX14" i="4" a="1"/>
  <c r="V13" i="4" a="1"/>
  <c r="BN13" i="4" a="1"/>
  <c r="DR15" i="4" a="1"/>
  <c r="AU8" i="4" a="1"/>
  <c r="CR11" i="4" a="1"/>
  <c r="AL9" i="4" a="1"/>
  <c r="AF14" i="4" a="1"/>
  <c r="BU11" i="4" a="1"/>
  <c r="O5" i="4" a="1"/>
  <c r="Q7" i="4" a="1"/>
  <c r="J11" i="4" a="1"/>
  <c r="DS7" i="4" a="1"/>
  <c r="BQ6" i="4" a="1"/>
  <c r="S16" i="4" a="1"/>
  <c r="E7" i="4" a="1"/>
  <c r="G16" i="4" a="1"/>
  <c r="L12" i="4" a="1"/>
  <c r="CZ6" i="4" a="1"/>
  <c r="H13" i="4" a="1"/>
  <c r="EK11" i="4" a="1"/>
  <c r="BW5" i="4" a="1"/>
  <c r="ED12" i="4" a="1"/>
  <c r="DD16" i="4" a="1"/>
  <c r="U13" i="4" a="1"/>
  <c r="DE9" i="4" a="1"/>
  <c r="BQ5" i="4" a="1"/>
  <c r="CS9" i="4" a="1"/>
  <c r="AL14" i="4" a="1"/>
  <c r="BI8" i="4" a="1"/>
  <c r="N16" i="4" a="1"/>
  <c r="E11" i="4" a="1"/>
  <c r="AV13" i="4" a="1"/>
  <c r="BN14" i="4" a="1"/>
  <c r="BH11" i="4" a="1"/>
  <c r="AQ6" i="4" a="1"/>
  <c r="CQ9" i="4" a="1"/>
  <c r="AI12" i="4" a="1"/>
  <c r="EH12" i="4" a="1"/>
  <c r="EF14" i="4" a="1"/>
  <c r="CA13" i="4" a="1"/>
  <c r="I8" i="2"/>
  <c r="AV9" i="4" a="1"/>
  <c r="AJ9" i="4" a="1"/>
  <c r="G16" i="2"/>
  <c r="J25" i="2"/>
  <c r="N7" i="2"/>
  <c r="J32" i="2"/>
  <c r="E20" i="2"/>
  <c r="X46" i="3"/>
  <c r="G14" i="3"/>
  <c r="E30" i="3"/>
  <c r="DL9" i="4" a="1"/>
  <c r="BF7" i="4" a="1"/>
  <c r="EK5" i="4" a="1"/>
  <c r="AE7" i="4" a="1"/>
  <c r="DW6" i="4" a="1"/>
  <c r="BY15" i="4" a="1"/>
  <c r="BV15" i="4" a="1"/>
  <c r="CP12" i="4" a="1"/>
  <c r="CJ13" i="4" a="1"/>
  <c r="I16" i="4" a="1"/>
  <c r="BV9" i="4" a="1"/>
  <c r="BS13" i="4" a="1"/>
  <c r="CM15" i="4" a="1"/>
  <c r="BZ13" i="4" a="1"/>
  <c r="CE7" i="4" a="1"/>
  <c r="Y11" i="4" a="1"/>
  <c r="DO8" i="4" a="1"/>
  <c r="U8" i="4" a="1"/>
  <c r="CS6" i="4" a="1"/>
  <c r="BY11" i="4" a="1"/>
  <c r="AQ9" i="4" a="1"/>
  <c r="AN12" i="4" a="1"/>
  <c r="F6" i="4" a="1"/>
  <c r="BT8" i="4" a="1"/>
  <c r="CW5" i="4" a="1"/>
  <c r="P11" i="4" a="1"/>
  <c r="CS13" i="4" a="1"/>
  <c r="Y9" i="4" a="1"/>
  <c r="AR15" i="4" a="1"/>
  <c r="AQ8" i="4" a="1"/>
  <c r="AW11" i="4" a="1"/>
  <c r="DY6" i="4" a="1"/>
  <c r="EB12" i="4" a="1"/>
  <c r="BG13" i="4" a="1"/>
  <c r="BX7" i="4" a="1"/>
  <c r="BF16" i="4" a="1"/>
  <c r="BH13" i="4" a="1"/>
  <c r="DE6" i="4" a="1"/>
  <c r="H8" i="4" a="1"/>
  <c r="L8" i="4" a="1"/>
  <c r="EA12" i="4" a="1"/>
  <c r="BL5" i="4" a="1"/>
  <c r="BP6" i="4" a="1"/>
  <c r="EJ15" i="4" a="1"/>
  <c r="DB15" i="4" a="1"/>
  <c r="CI9" i="4" a="1"/>
  <c r="DJ15" i="4" a="1"/>
  <c r="CZ14" i="4" a="1"/>
  <c r="K13" i="4" a="1"/>
  <c r="AM15" i="4" a="1"/>
  <c r="BU5" i="4" a="1"/>
  <c r="DP13" i="4" a="1"/>
  <c r="I13" i="4" a="1"/>
  <c r="DH13" i="4" a="1"/>
  <c r="DM8" i="4" a="1"/>
  <c r="AH6" i="4" a="1"/>
  <c r="AD15" i="4" a="1"/>
  <c r="BR16" i="4" a="1"/>
  <c r="BW9" i="4" a="1"/>
  <c r="DL8" i="4" a="1"/>
  <c r="CO11" i="4" a="1"/>
  <c r="C17" i="2"/>
  <c r="AI9" i="4" a="1"/>
  <c r="BY5" i="4" a="1"/>
  <c r="DE16" i="4" a="1"/>
  <c r="CC13" i="4" a="1"/>
  <c r="AK15" i="4" a="1"/>
  <c r="CV11" i="4" a="1"/>
  <c r="BN12" i="4" a="1"/>
  <c r="AA15" i="4" a="1"/>
  <c r="DI11" i="4" a="1"/>
  <c r="BS8" i="4" a="1"/>
  <c r="DA15" i="4" a="1"/>
  <c r="EC6" i="4" a="1"/>
  <c r="DF8" i="4" a="1"/>
  <c r="E9" i="2"/>
  <c r="EA13" i="4" a="1"/>
  <c r="AH12" i="4" a="1"/>
  <c r="CA11" i="4" a="1"/>
  <c r="CZ11" i="4" a="1"/>
  <c r="CE9" i="4" a="1"/>
  <c r="Q6" i="4" a="1"/>
  <c r="AS12" i="4" a="1"/>
  <c r="V26" i="2"/>
  <c r="L9" i="2"/>
  <c r="L22" i="2"/>
  <c r="N21" i="2"/>
  <c r="V19" i="2"/>
  <c r="G11" i="3"/>
  <c r="C46" i="3"/>
  <c r="F15" i="3"/>
  <c r="BU6" i="4" a="1"/>
  <c r="BZ15" i="4" a="1"/>
  <c r="BA5" i="4" a="1"/>
  <c r="CH7" i="4" a="1"/>
  <c r="X8" i="4" a="1"/>
  <c r="AH15" i="4" a="1"/>
  <c r="CC16" i="4" a="1"/>
  <c r="EJ12" i="4" a="1"/>
  <c r="EI9" i="4" a="1"/>
  <c r="DK16" i="4" a="1"/>
  <c r="CG14" i="4" a="1"/>
  <c r="AG14" i="4" a="1"/>
  <c r="DT11" i="4" a="1"/>
  <c r="CP9" i="4" a="1"/>
  <c r="BW6" i="4" a="1"/>
  <c r="BR11" i="4" a="1"/>
  <c r="AY5" i="4" a="1"/>
  <c r="AW12" i="4" a="1"/>
  <c r="CO15" i="4" a="1"/>
  <c r="BK9" i="4" a="1"/>
  <c r="BZ7" i="4" a="1"/>
  <c r="D16" i="4" a="1"/>
  <c r="H12" i="4" a="1"/>
  <c r="DR8" i="4" a="1"/>
  <c r="AY14" i="4" a="1"/>
  <c r="M11" i="4" a="1"/>
  <c r="CA5" i="4" a="1"/>
  <c r="S5" i="4" a="1"/>
  <c r="BZ16" i="4" a="1"/>
  <c r="F14" i="4" a="1"/>
  <c r="CU16" i="4" a="1"/>
  <c r="M8" i="4" a="1"/>
  <c r="BM12" i="4" a="1"/>
  <c r="P13" i="4" a="1"/>
  <c r="ED8" i="4" a="1"/>
  <c r="CP5" i="4" a="1"/>
  <c r="CC12" i="4" a="1"/>
  <c r="CU12" i="4" a="1"/>
  <c r="BQ13" i="4" a="1"/>
  <c r="CJ16" i="4" a="1"/>
  <c r="H9" i="4" a="1"/>
  <c r="L15" i="4" a="1"/>
  <c r="BQ14" i="4" a="1"/>
  <c r="CL14" i="4" a="1"/>
  <c r="CC9" i="4" a="1"/>
  <c r="CK16" i="4" a="1"/>
  <c r="K5" i="4" a="1"/>
  <c r="EJ9" i="4" a="1"/>
  <c r="W16" i="4" a="1"/>
  <c r="AP8" i="4" a="1"/>
  <c r="DI6" i="4" a="1"/>
  <c r="S6" i="4" a="1"/>
  <c r="CG15" i="4" a="1"/>
  <c r="AW6" i="4" a="1"/>
  <c r="CR14" i="4" a="1"/>
  <c r="BA16" i="4" a="1"/>
  <c r="O16" i="4" a="1"/>
  <c r="BA8" i="4" a="1"/>
  <c r="AM16" i="4" a="1"/>
  <c r="CX13" i="4" a="1"/>
  <c r="DE13" i="4" a="1"/>
  <c r="CW8" i="4" a="1"/>
  <c r="AT12" i="4" a="1"/>
  <c r="CE15" i="4" a="1"/>
  <c r="DW8" i="4" a="1"/>
  <c r="AZ6" i="4" a="1"/>
  <c r="EA9" i="4" a="1"/>
  <c r="BM5" i="4" a="1"/>
  <c r="CU5" i="4" a="1"/>
  <c r="EE13" i="4" a="1"/>
  <c r="CX11" i="4" a="1"/>
  <c r="DD15" i="4" a="1"/>
  <c r="AR50" i="3"/>
  <c r="DP14" i="4" a="1"/>
  <c r="CQ8" i="4" a="1"/>
  <c r="J12" i="4" a="1"/>
  <c r="BR14" i="4" a="1"/>
  <c r="BL7" i="4" a="1"/>
  <c r="O12" i="4" a="1"/>
  <c r="CB6" i="4" a="1"/>
  <c r="DS15" i="4" a="1"/>
  <c r="AO6" i="4" a="1"/>
  <c r="BI11" i="4" a="1"/>
  <c r="CU11" i="4" a="1"/>
  <c r="DN11" i="4" a="1"/>
  <c r="AH14" i="4" a="1"/>
  <c r="AR9" i="3"/>
  <c r="R14" i="4" a="1"/>
  <c r="AM5" i="4" a="1"/>
  <c r="EA15" i="4" a="1"/>
  <c r="AW14" i="4" a="1"/>
  <c r="AJ5" i="4" a="1"/>
  <c r="DQ7" i="4" a="1"/>
  <c r="BE9" i="4" a="1"/>
  <c r="DO11" i="4" a="1"/>
  <c r="DU6" i="4" a="1"/>
  <c r="R9" i="4" a="1"/>
  <c r="CA7" i="4" a="1"/>
  <c r="AR6" i="4" a="1"/>
  <c r="DV9" i="4" a="1"/>
  <c r="EB14" i="4" a="1"/>
  <c r="AL11" i="4" a="1"/>
  <c r="W21" i="2"/>
  <c r="H6" i="2"/>
  <c r="E28" i="2"/>
  <c r="O24" i="2"/>
  <c r="N8" i="2"/>
  <c r="D19" i="3"/>
  <c r="F13" i="3"/>
  <c r="AH45" i="3"/>
  <c r="BK8" i="4" a="1"/>
  <c r="CG16" i="4" a="1"/>
  <c r="CQ13" i="4" a="1"/>
  <c r="CV12" i="4" a="1"/>
  <c r="BH14" i="4" a="1"/>
  <c r="EE12" i="4" a="1"/>
  <c r="BG11" i="4" a="1"/>
  <c r="BA7" i="4" a="1"/>
  <c r="AL15" i="4" a="1"/>
  <c r="M6" i="4" a="1"/>
  <c r="O11" i="4" a="1"/>
  <c r="CI16" i="4" a="1"/>
  <c r="AX13" i="4" a="1"/>
  <c r="EC8" i="4" a="1"/>
  <c r="AR16" i="4" a="1"/>
  <c r="T9" i="4" a="1"/>
  <c r="DG9" i="4" a="1"/>
  <c r="Y7" i="4" a="1"/>
  <c r="BN6" i="4" a="1"/>
  <c r="DS8" i="4" a="1"/>
  <c r="AY16" i="4" a="1"/>
  <c r="DW13" i="4" a="1"/>
  <c r="AA7" i="4" a="1"/>
  <c r="EF6" i="4" a="1"/>
  <c r="P12" i="4" a="1"/>
  <c r="BA14" i="4" a="1"/>
  <c r="DD8" i="4" a="1"/>
  <c r="BF5" i="4" a="1"/>
  <c r="DR9" i="4" a="1"/>
  <c r="AW8" i="4" a="1"/>
  <c r="DM14" i="4" a="1"/>
  <c r="EG8" i="4" a="1"/>
  <c r="AZ16" i="4" a="1"/>
  <c r="CS16" i="4" a="1"/>
  <c r="AC13" i="4" a="1"/>
  <c r="AM12" i="4" a="1"/>
  <c r="AN5" i="4" a="1"/>
  <c r="DN5" i="4" a="1"/>
  <c r="AM14" i="4" a="1"/>
  <c r="AH11" i="4" a="1"/>
  <c r="CO12" i="4" a="1"/>
  <c r="CZ9" i="4" a="1"/>
  <c r="AE5" i="4" a="1"/>
  <c r="DT8" i="4" a="1"/>
  <c r="N20" i="2"/>
  <c r="S14" i="4" a="1"/>
  <c r="DR13" i="4" a="1"/>
  <c r="AO8" i="4" a="1"/>
  <c r="AC7" i="4" a="1"/>
  <c r="L12" i="2"/>
  <c r="S20" i="2"/>
  <c r="C35" i="2"/>
  <c r="Q36" i="2"/>
  <c r="I11" i="2"/>
  <c r="AD10" i="3"/>
  <c r="E37" i="3"/>
  <c r="AR10" i="3"/>
  <c r="BF13" i="4" a="1"/>
  <c r="C15" i="4" a="1"/>
  <c r="AR11" i="4" a="1"/>
  <c r="DG11" i="4" a="1"/>
  <c r="AB9" i="4" a="1"/>
  <c r="AZ8" i="4" a="1"/>
  <c r="P8" i="4" a="1"/>
  <c r="BM16" i="4" a="1"/>
  <c r="F9" i="4" a="1"/>
  <c r="BR6" i="4" a="1"/>
  <c r="DB13" i="4" a="1"/>
  <c r="DN8" i="4" a="1"/>
  <c r="BH9" i="4" a="1"/>
  <c r="EF9" i="4" a="1"/>
  <c r="DH9" i="4" a="1"/>
  <c r="M15" i="4" a="1"/>
  <c r="CO8" i="4" a="1"/>
  <c r="K11" i="4" a="1"/>
  <c r="BK16" i="4" a="1"/>
  <c r="M36" i="2"/>
  <c r="DX5" i="4" a="1"/>
  <c r="BN8" i="4" a="1"/>
  <c r="AT16" i="4" a="1"/>
  <c r="I6" i="4" a="1"/>
  <c r="DY13" i="4" a="1"/>
  <c r="E7" i="2"/>
  <c r="AB13" i="4" a="1"/>
  <c r="CM14" i="4" a="1"/>
  <c r="AA8" i="4" a="1"/>
  <c r="DU9" i="4" a="1"/>
  <c r="CG11" i="4" a="1"/>
  <c r="DD7" i="4" a="1"/>
  <c r="CF5" i="4" a="1"/>
  <c r="AB8" i="4" a="1"/>
  <c r="AF6" i="4" a="1"/>
  <c r="DA6" i="4" a="1"/>
  <c r="X8" i="2"/>
  <c r="P6" i="2"/>
  <c r="D31" i="2"/>
  <c r="AR68" i="3"/>
  <c r="H5" i="2"/>
  <c r="AC46" i="3"/>
  <c r="D27" i="3"/>
  <c r="E8" i="3"/>
  <c r="EI16" i="4" a="1"/>
  <c r="AF16" i="4" a="1"/>
  <c r="DF7" i="4" a="1"/>
  <c r="J7" i="4" a="1"/>
  <c r="BK12" i="4" a="1"/>
  <c r="CM7" i="4" a="1"/>
  <c r="CT12" i="4" a="1"/>
  <c r="BM14" i="4" a="1"/>
  <c r="CB5" i="4" a="1"/>
  <c r="AT15" i="4" a="1"/>
  <c r="I7" i="4" a="1"/>
  <c r="DB7" i="4" a="1"/>
  <c r="AQ5" i="4" a="1"/>
  <c r="DB12" i="4" a="1"/>
  <c r="L11" i="4" a="1"/>
  <c r="I15" i="4" a="1"/>
  <c r="DL16" i="4" a="1"/>
  <c r="BJ14" i="4" a="1"/>
  <c r="V9" i="4" a="1"/>
  <c r="CY14" i="4" a="1"/>
  <c r="AS11" i="4" a="1"/>
  <c r="BK5" i="4" a="1"/>
  <c r="CY13" i="4" a="1"/>
  <c r="CL15" i="4" a="1"/>
  <c r="BD16" i="4" a="1"/>
  <c r="W9" i="4" a="1"/>
  <c r="G8" i="4" a="1"/>
  <c r="CD13" i="4" a="1"/>
  <c r="CH16" i="4" a="1"/>
  <c r="AI6" i="4" a="1"/>
  <c r="Z6" i="4" a="1"/>
  <c r="DO13" i="4" a="1"/>
  <c r="BH15" i="4" a="1"/>
  <c r="DU13" i="4" a="1"/>
  <c r="BB7" i="4" a="1"/>
  <c r="BM11" i="4" a="1"/>
  <c r="AR14" i="4" a="1"/>
  <c r="AY15" i="4" a="1"/>
  <c r="CY5" i="4" a="1"/>
  <c r="DW9" i="4" a="1"/>
  <c r="AH16" i="4" a="1"/>
  <c r="CL8" i="4" a="1"/>
  <c r="Z12" i="4" a="1"/>
  <c r="G15" i="4" a="1"/>
  <c r="CW15" i="4" a="1"/>
  <c r="AC8" i="4" a="1"/>
  <c r="BX11" i="4" a="1"/>
  <c r="EJ11" i="4" a="1"/>
  <c r="BF15" i="4" a="1"/>
  <c r="BO11" i="4" a="1"/>
  <c r="EB9" i="4" a="1"/>
  <c r="BY12" i="4" a="1"/>
  <c r="BM7" i="4" a="1"/>
  <c r="W14" i="4" a="1"/>
  <c r="D5" i="4" a="1"/>
  <c r="DK8" i="4" a="1"/>
  <c r="S13" i="4" a="1"/>
  <c r="Z11" i="4" a="1"/>
  <c r="DW12" i="4" a="1"/>
  <c r="T11" i="4" a="1"/>
  <c r="O8" i="4" a="1"/>
  <c r="X11" i="4" a="1"/>
  <c r="AO13" i="4" a="1"/>
  <c r="DH7" i="4" a="1"/>
  <c r="CX9" i="4" a="1"/>
  <c r="AQ14" i="4" a="1"/>
  <c r="EF12" i="4" a="1"/>
  <c r="J6" i="4" a="1"/>
  <c r="BT11" i="4" a="1"/>
  <c r="G5" i="3"/>
  <c r="G18" i="3"/>
  <c r="EK8" i="4" a="1"/>
  <c r="CT5" i="4" a="1"/>
  <c r="CF11" i="4" a="1"/>
  <c r="AJ8" i="4" a="1"/>
  <c r="DV8" i="4" a="1"/>
  <c r="L14" i="4" a="1"/>
  <c r="BC7" i="4" a="1"/>
  <c r="AM8" i="4" a="1"/>
  <c r="CL7" i="4" a="1"/>
  <c r="DA5" i="4" a="1"/>
  <c r="P32" i="2"/>
  <c r="W12" i="4" a="1"/>
  <c r="AQ7" i="4" a="1"/>
  <c r="U15" i="4" a="1"/>
  <c r="CX12" i="4" a="1"/>
  <c r="E54" i="3"/>
  <c r="D90" i="3"/>
  <c r="F93" i="3"/>
  <c r="G65" i="3"/>
  <c r="E85" i="3"/>
  <c r="F56" i="3"/>
  <c r="AD78" i="3"/>
  <c r="F71" i="3"/>
  <c r="G90" i="3"/>
  <c r="D61" i="3"/>
  <c r="F70" i="3"/>
  <c r="E60" i="3"/>
  <c r="F75" i="3"/>
  <c r="AD83" i="3"/>
  <c r="F78" i="3"/>
  <c r="G92" i="3"/>
  <c r="D80" i="3"/>
  <c r="F97" i="3"/>
  <c r="AD58" i="3"/>
  <c r="F76" i="3"/>
  <c r="AD74" i="3"/>
  <c r="D72" i="3"/>
  <c r="D67" i="3"/>
  <c r="F49" i="3"/>
  <c r="G80" i="3"/>
  <c r="E67" i="3"/>
  <c r="F91" i="3"/>
  <c r="AD63" i="3"/>
  <c r="F61" i="3"/>
  <c r="G76" i="3"/>
  <c r="E93" i="3"/>
  <c r="D86" i="3"/>
  <c r="F65" i="3"/>
  <c r="D68" i="3"/>
  <c r="D95" i="3"/>
  <c r="F79" i="3"/>
  <c r="G55" i="3"/>
  <c r="E80" i="3"/>
  <c r="AD60" i="3"/>
  <c r="AD67" i="3"/>
  <c r="F83" i="3"/>
  <c r="G71" i="3"/>
  <c r="E83" i="3"/>
  <c r="D84" i="3"/>
  <c r="AD87" i="3"/>
  <c r="E96" i="3"/>
  <c r="G87" i="3"/>
  <c r="D78" i="3"/>
  <c r="G74" i="3"/>
  <c r="E77" i="3"/>
  <c r="D55" i="3"/>
  <c r="AD80" i="3"/>
  <c r="AD71" i="3"/>
  <c r="E57" i="3"/>
  <c r="F77" i="3"/>
  <c r="AD66" i="3"/>
  <c r="F69" i="3"/>
  <c r="G58" i="3"/>
  <c r="E69" i="3"/>
  <c r="D58" i="3"/>
  <c r="AD77" i="3"/>
  <c r="AD90" i="3"/>
  <c r="G67" i="3"/>
  <c r="D87" i="3"/>
  <c r="G78" i="3"/>
  <c r="E76" i="3"/>
  <c r="D97" i="3"/>
  <c r="F58" i="3"/>
  <c r="F82" i="3"/>
  <c r="E91" i="3"/>
  <c r="AD76" i="3"/>
  <c r="G83" i="3"/>
  <c r="AD81" i="3"/>
  <c r="G89" i="3"/>
  <c r="D64" i="3"/>
  <c r="F95" i="3"/>
  <c r="E66" i="3"/>
  <c r="E64" i="3"/>
  <c r="D73" i="3"/>
  <c r="AD70" i="3"/>
  <c r="F62" i="3"/>
  <c r="G77" i="3"/>
  <c r="E81" i="3"/>
  <c r="D83" i="3"/>
  <c r="AD54" i="3"/>
  <c r="F86" i="3"/>
  <c r="G82" i="3"/>
  <c r="D75" i="3"/>
  <c r="G72" i="3"/>
  <c r="F74" i="3"/>
  <c r="D89" i="3"/>
  <c r="F64" i="3"/>
  <c r="G66" i="3"/>
  <c r="E73" i="3"/>
  <c r="D59" i="3"/>
  <c r="E87" i="3"/>
  <c r="D77" i="3"/>
  <c r="AD65" i="3"/>
  <c r="E89" i="3"/>
  <c r="G56" i="3"/>
  <c r="F59" i="3"/>
  <c r="D82" i="3"/>
  <c r="F55" i="3"/>
  <c r="F60" i="3"/>
  <c r="E97" i="3"/>
  <c r="AD95" i="3"/>
  <c r="G69" i="3"/>
  <c r="G96" i="3"/>
  <c r="AD91" i="3"/>
  <c r="G73" i="3"/>
  <c r="AD86" i="3"/>
  <c r="G93" i="3"/>
  <c r="D70" i="3"/>
  <c r="G85" i="3"/>
  <c r="F96" i="3"/>
  <c r="AD92" i="3"/>
  <c r="F48" i="3"/>
  <c r="E63" i="3"/>
  <c r="F67" i="3"/>
  <c r="G61" i="3"/>
  <c r="AD97" i="3"/>
  <c r="G84" i="3"/>
  <c r="F73" i="3"/>
  <c r="E94" i="3"/>
  <c r="D93" i="3"/>
  <c r="AD75" i="3"/>
  <c r="E56" i="3"/>
  <c r="E65" i="3"/>
  <c r="G63" i="3"/>
  <c r="G91" i="3"/>
  <c r="G95" i="3"/>
  <c r="G57" i="3"/>
  <c r="D85" i="3"/>
  <c r="AD89" i="3"/>
  <c r="F90" i="3"/>
  <c r="AD69" i="3"/>
  <c r="G75" i="3"/>
  <c r="F47" i="3"/>
  <c r="F72" i="3"/>
  <c r="F68" i="3"/>
  <c r="E88" i="3"/>
  <c r="E62" i="3"/>
  <c r="AD56" i="3"/>
  <c r="F87" i="3"/>
  <c r="AD94" i="3"/>
  <c r="D96" i="3"/>
  <c r="E71" i="3"/>
  <c r="AD57" i="3"/>
  <c r="E55" i="3"/>
  <c r="AD72" i="3"/>
  <c r="G54" i="3"/>
  <c r="E84" i="3"/>
  <c r="D66" i="3"/>
  <c r="E82" i="3"/>
  <c r="D60" i="3"/>
  <c r="E75" i="3"/>
  <c r="F85" i="3"/>
  <c r="E61" i="3"/>
  <c r="AD61" i="3"/>
  <c r="G81" i="3"/>
  <c r="D79" i="3"/>
  <c r="E78" i="3"/>
  <c r="F94" i="3"/>
  <c r="G70" i="3"/>
  <c r="G60" i="3"/>
  <c r="G94" i="3"/>
  <c r="AD64" i="3"/>
  <c r="G97" i="3"/>
  <c r="D54" i="3"/>
  <c r="F84" i="3"/>
  <c r="AD85" i="3"/>
  <c r="D62" i="3"/>
  <c r="F57" i="3"/>
  <c r="F66" i="3"/>
  <c r="AD79" i="3"/>
  <c r="D63" i="3"/>
  <c r="G64" i="3"/>
  <c r="AD68" i="3"/>
  <c r="E95" i="3"/>
  <c r="AD93" i="3"/>
  <c r="AD88" i="3"/>
  <c r="F81" i="3"/>
  <c r="D65" i="3"/>
  <c r="D76" i="3"/>
  <c r="AD62" i="3"/>
  <c r="E70" i="3"/>
  <c r="F88" i="3"/>
  <c r="E86" i="3"/>
  <c r="E92" i="3"/>
  <c r="D88" i="3"/>
  <c r="E72" i="3"/>
  <c r="E68" i="3"/>
  <c r="D94" i="3"/>
  <c r="E74" i="3"/>
  <c r="D71" i="3"/>
  <c r="E90" i="3"/>
  <c r="E58" i="3"/>
  <c r="D56" i="3"/>
  <c r="F80" i="3"/>
  <c r="E59" i="3"/>
  <c r="E79" i="3"/>
  <c r="F89" i="3"/>
  <c r="D91" i="3"/>
  <c r="AD96" i="3"/>
  <c r="D74" i="3"/>
  <c r="F50" i="3"/>
  <c r="AD73" i="3"/>
  <c r="D57" i="3"/>
  <c r="AD84" i="3"/>
  <c r="D69" i="3"/>
  <c r="AD82" i="3"/>
  <c r="F54" i="3"/>
  <c r="D81" i="3"/>
  <c r="AD59" i="3"/>
  <c r="F92" i="3"/>
  <c r="D92" i="3"/>
  <c r="G86" i="3"/>
  <c r="AD55" i="3"/>
  <c r="F63" i="3"/>
  <c r="G59" i="3" l="1"/>
  <c r="G62" i="3"/>
  <c r="G88" i="3"/>
  <c r="G68" i="3"/>
  <c r="G79" i="3"/>
  <c r="O60" i="1"/>
  <c r="AM40" i="1"/>
  <c r="IV9" i="4" s="1"/>
  <c r="JF9" i="4" s="1"/>
  <c r="IH15" i="4" s="1"/>
  <c r="BX146" i="1"/>
  <c r="O23" i="1"/>
  <c r="D24" i="1"/>
  <c r="BX28" i="1"/>
  <c r="BJ28" i="1"/>
  <c r="H28" i="1"/>
  <c r="B66" i="1"/>
  <c r="K30" i="1"/>
  <c r="IE16" i="4" s="1"/>
  <c r="IY9" i="4" s="1"/>
  <c r="IQ16" i="4" s="1"/>
  <c r="G23" i="1"/>
  <c r="G246" i="1" s="1"/>
  <c r="JD9" i="4" s="1"/>
  <c r="HT9" i="4" s="1"/>
  <c r="IG9" i="4" s="1"/>
  <c r="JC7" i="4" s="1"/>
  <c r="BX89" i="1"/>
  <c r="IA16" i="4" s="1"/>
  <c r="HS16" i="4" s="1"/>
  <c r="IO9" i="4" s="1"/>
  <c r="IU16" i="4" s="1"/>
  <c r="IU21" i="4" s="1"/>
  <c r="BO92" i="1" s="1"/>
  <c r="IN16" i="4" s="1"/>
  <c r="II9" i="4" s="1"/>
  <c r="IO16" i="4" s="1"/>
  <c r="AL39" i="1"/>
  <c r="AM30" i="1"/>
  <c r="U37" i="1"/>
  <c r="IL8" i="4" s="1"/>
  <c r="B36" i="1"/>
  <c r="IM9" i="4" s="1"/>
  <c r="IQ9" i="4" s="1"/>
  <c r="IN7" i="4" s="1"/>
  <c r="IS15" i="4" s="1"/>
  <c r="HQ16" i="4" s="1"/>
  <c r="HQ21" i="4" s="1"/>
  <c r="AK92" i="1" s="1"/>
  <c r="IN15" i="4" s="1"/>
  <c r="AM38" i="1"/>
  <c r="I60" i="1"/>
  <c r="M24" i="1"/>
  <c r="I51" i="1"/>
  <c r="HZ9" i="4" s="1"/>
  <c r="ID9" i="4" s="1"/>
  <c r="IA14" i="4" s="1"/>
  <c r="IX16" i="4" s="1"/>
  <c r="HP7" i="4" s="1"/>
  <c r="IV16" i="4" s="1"/>
  <c r="IS16" i="4" s="1"/>
  <c r="JG16" i="4" s="1"/>
  <c r="IU9" i="4" s="1"/>
  <c r="L54" i="1"/>
  <c r="S23" i="1"/>
  <c r="S246" i="1" s="1"/>
  <c r="S54" i="1"/>
  <c r="T30" i="1"/>
  <c r="JB16" i="4" s="1"/>
  <c r="BX38" i="1"/>
  <c r="BX60" i="1"/>
  <c r="JH9" i="4" s="1"/>
  <c r="IB16" i="4" s="1"/>
  <c r="AM50" i="1"/>
  <c r="AL29" i="1"/>
  <c r="BX178" i="1"/>
  <c r="BY178" i="1" s="1"/>
  <c r="P170" i="1"/>
  <c r="K23" i="1"/>
  <c r="K246" i="1" s="1"/>
  <c r="J50" i="1"/>
  <c r="HQ9" i="4" s="1"/>
  <c r="AJ38" i="1"/>
  <c r="IT16" i="4" s="1"/>
  <c r="IH8" i="4" s="1"/>
  <c r="JI7" i="4" s="1"/>
  <c r="IA9" i="4" s="1"/>
  <c r="IG16" i="4" s="1"/>
  <c r="JA9" i="4" s="1"/>
  <c r="IZ16" i="4" s="1"/>
  <c r="W30" i="1"/>
  <c r="O39" i="1"/>
  <c r="BX50" i="1"/>
  <c r="IW9" i="4" s="1"/>
  <c r="HV7" i="4" s="1"/>
  <c r="IR14" i="4" s="1"/>
  <c r="AL47" i="1"/>
  <c r="AL209" i="1" s="1"/>
  <c r="AM28" i="1"/>
  <c r="BJ40" i="1"/>
  <c r="U51" i="1"/>
  <c r="U267" i="1" s="1"/>
  <c r="F28" i="1"/>
  <c r="JA16" i="4" s="1"/>
  <c r="JA21" i="4" s="1"/>
  <c r="BU92" i="1" s="1"/>
  <c r="IW8" i="4" s="1"/>
  <c r="II15" i="4" s="1"/>
  <c r="HP8" i="4" s="1"/>
  <c r="IU15" i="4" s="1"/>
  <c r="BX54" i="1"/>
  <c r="BX40" i="1"/>
  <c r="BJ29" i="1"/>
  <c r="AK61" i="1"/>
  <c r="AK50" i="1"/>
  <c r="AJ54" i="1"/>
  <c r="BX29" i="1"/>
  <c r="P168" i="1"/>
  <c r="Q24" i="1"/>
  <c r="D36" i="1"/>
  <c r="E37" i="1"/>
  <c r="F35" i="1"/>
  <c r="V54" i="1"/>
  <c r="V36" i="1"/>
  <c r="J28" i="1"/>
  <c r="IL7" i="4" s="1"/>
  <c r="HT16" i="4" s="1"/>
  <c r="HT21" i="4" s="1"/>
  <c r="AN92" i="1" s="1"/>
  <c r="AK39" i="1"/>
  <c r="BX23" i="1"/>
  <c r="BX7" i="1" s="1"/>
  <c r="AL54" i="1"/>
  <c r="G66" i="1"/>
  <c r="B35" i="1"/>
  <c r="B51" i="1"/>
  <c r="S35" i="1"/>
  <c r="S37" i="1"/>
  <c r="N28" i="1"/>
  <c r="K38" i="1"/>
  <c r="S24" i="1"/>
  <c r="C36" i="1"/>
  <c r="C139" i="1"/>
  <c r="T23" i="1"/>
  <c r="T246" i="1" s="1"/>
  <c r="HW16" i="4" s="1"/>
  <c r="HW21" i="4" s="1"/>
  <c r="AQ92" i="1" s="1"/>
  <c r="HW9" i="4" s="1"/>
  <c r="HU16" i="4" s="1"/>
  <c r="AL61" i="1"/>
  <c r="AJ61" i="1"/>
  <c r="BX47" i="1"/>
  <c r="BX209" i="1" s="1"/>
  <c r="AK66" i="1"/>
  <c r="AJ39" i="1"/>
  <c r="AK62" i="1"/>
  <c r="AK51" i="1"/>
  <c r="K47" i="1"/>
  <c r="K209" i="1" s="1"/>
  <c r="W62" i="1"/>
  <c r="C28" i="1"/>
  <c r="M23" i="1"/>
  <c r="M246" i="1" s="1"/>
  <c r="G47" i="1"/>
  <c r="G209" i="1" s="1"/>
  <c r="G50" i="1"/>
  <c r="M61" i="1"/>
  <c r="N51" i="1"/>
  <c r="N23" i="1"/>
  <c r="N246" i="1" s="1"/>
  <c r="P40" i="1"/>
  <c r="IK16" i="4" s="1"/>
  <c r="JI16" i="4" s="1"/>
  <c r="JI21" i="4" s="1"/>
  <c r="CC92" i="1" s="1"/>
  <c r="CC100" i="1" s="1"/>
  <c r="IC9" i="4" s="1"/>
  <c r="IX9" i="4" s="1"/>
  <c r="IS9" i="4" s="1"/>
  <c r="IP9" i="4" s="1"/>
  <c r="BX61" i="1"/>
  <c r="AM37" i="1"/>
  <c r="BX39" i="1"/>
  <c r="AL51" i="1"/>
  <c r="B54" i="1"/>
  <c r="G61" i="1"/>
  <c r="B50" i="1"/>
  <c r="B40" i="1"/>
  <c r="C61" i="1"/>
  <c r="I38" i="1"/>
  <c r="F61" i="1"/>
  <c r="P54" i="1"/>
  <c r="R51" i="1"/>
  <c r="JC16" i="4" s="1"/>
  <c r="JE7" i="4" s="1"/>
  <c r="HZ16" i="4" s="1"/>
  <c r="HZ21" i="4" s="1"/>
  <c r="AT92" i="1" s="1"/>
  <c r="IA8" i="4" s="1"/>
  <c r="HQ14" i="4" s="1"/>
  <c r="IM8" i="4" s="1"/>
  <c r="IL16" i="4" s="1"/>
  <c r="HV9" i="4" s="1"/>
  <c r="II7" i="4" s="1"/>
  <c r="HY9" i="4" s="1"/>
  <c r="JB9" i="4" s="1"/>
  <c r="JF14" i="4" s="1"/>
  <c r="BJ30" i="1"/>
  <c r="AK60" i="1"/>
  <c r="BX179" i="1"/>
  <c r="BY179" i="1" s="1"/>
  <c r="BX88" i="1"/>
  <c r="Q36" i="1"/>
  <c r="D50" i="1"/>
  <c r="K40" i="1"/>
  <c r="S62" i="1"/>
  <c r="Q39" i="1"/>
  <c r="S38" i="1"/>
  <c r="N37" i="1"/>
  <c r="U66" i="1"/>
  <c r="T37" i="1"/>
  <c r="HY16" i="4" s="1"/>
  <c r="HY21" i="4" s="1"/>
  <c r="AS92" i="1" s="1"/>
  <c r="IY8" i="4" s="1"/>
  <c r="HP15" i="4" s="1"/>
  <c r="IK9" i="4" s="1"/>
  <c r="IL9" i="4" s="1"/>
  <c r="IJ16" i="4" s="1"/>
  <c r="IJ21" i="4" s="1"/>
  <c r="BD92" i="1" s="1"/>
  <c r="IF14" i="4" s="1"/>
  <c r="BX51" i="1"/>
  <c r="AJ37" i="1"/>
  <c r="AK38" i="1"/>
  <c r="C51" i="1"/>
  <c r="B38" i="1"/>
  <c r="BX169" i="1"/>
  <c r="BY169" i="1" s="1"/>
  <c r="Q28" i="1"/>
  <c r="BY88" i="1"/>
  <c r="K28" i="1"/>
  <c r="G38" i="1"/>
  <c r="G28" i="1"/>
  <c r="L30" i="1"/>
  <c r="I30" i="1"/>
  <c r="N54" i="1"/>
  <c r="D35" i="1"/>
  <c r="Q168" i="1"/>
  <c r="U30" i="1"/>
  <c r="R66" i="1"/>
  <c r="IC14" i="4" s="1"/>
  <c r="JD15" i="4" s="1"/>
  <c r="IY7" i="4" s="1"/>
  <c r="HS9" i="4" s="1"/>
  <c r="IZ7" i="4" s="1"/>
  <c r="JB15" i="4" s="1"/>
  <c r="IZ9" i="4" s="1"/>
  <c r="JG15" i="4" s="1"/>
  <c r="HT8" i="4" s="1"/>
  <c r="HR16" i="4" s="1"/>
  <c r="HR21" i="4" s="1"/>
  <c r="AL92" i="1" s="1"/>
  <c r="JH7" i="4" s="1"/>
  <c r="JF7" i="4" s="1"/>
  <c r="IH16" i="4" s="1"/>
  <c r="IH21" i="4" s="1"/>
  <c r="BB92" i="1" s="1"/>
  <c r="HX16" i="4" s="1"/>
  <c r="HX21" i="4" s="1"/>
  <c r="AR92" i="1" s="1"/>
  <c r="JC15" i="4" s="1"/>
  <c r="IG7" i="4" s="1"/>
  <c r="HY7" i="4" s="1"/>
  <c r="AJ40" i="1"/>
  <c r="BX62" i="1"/>
  <c r="BX36" i="1"/>
  <c r="BX66" i="1"/>
  <c r="AJ60" i="1"/>
  <c r="AK47" i="1"/>
  <c r="AK209" i="1" s="1"/>
  <c r="AL36" i="1"/>
  <c r="D137" i="1"/>
  <c r="BX174" i="1"/>
  <c r="W60" i="1"/>
  <c r="BX147" i="1"/>
  <c r="O51" i="1"/>
  <c r="L24" i="1"/>
  <c r="L60" i="1"/>
  <c r="F51" i="1"/>
  <c r="K60" i="1"/>
  <c r="E66" i="1"/>
  <c r="L40" i="1"/>
  <c r="IF9" i="4" s="1"/>
  <c r="JI9" i="4" s="1"/>
  <c r="IW16" i="4" s="1"/>
  <c r="JE9" i="4" s="1"/>
  <c r="JG9" i="4" s="1"/>
  <c r="JC9" i="4" s="1"/>
  <c r="IC16" i="4" s="1"/>
  <c r="IJ9" i="4" s="1"/>
  <c r="HP16" i="4" s="1"/>
  <c r="AL62" i="1"/>
  <c r="AK54" i="1"/>
  <c r="AJ23" i="1"/>
  <c r="AJ246" i="1" s="1"/>
  <c r="AK24" i="1"/>
  <c r="M38" i="1"/>
  <c r="S36" i="1"/>
  <c r="J40" i="1"/>
  <c r="BX141" i="1"/>
  <c r="BY141" i="1" s="1"/>
  <c r="I36" i="1"/>
  <c r="H51" i="1"/>
  <c r="V61" i="1"/>
  <c r="W47" i="1"/>
  <c r="M47" i="1"/>
  <c r="M209" i="1" s="1"/>
  <c r="N24" i="1"/>
  <c r="E39" i="1"/>
  <c r="IP8" i="4" s="1"/>
  <c r="HV16" i="4" s="1"/>
  <c r="IX8" i="4" s="1"/>
  <c r="JC14" i="4" s="1"/>
  <c r="JF16" i="4" s="1"/>
  <c r="JF21" i="4" s="1"/>
  <c r="BZ92" i="1" s="1"/>
  <c r="BZ109" i="1" s="1"/>
  <c r="IM16" i="4" s="1"/>
  <c r="IM21" i="4" s="1"/>
  <c r="BG92" i="1" s="1"/>
  <c r="IR16" i="4" s="1"/>
  <c r="IR21" i="4" s="1"/>
  <c r="BL92" i="1" s="1"/>
  <c r="BL109" i="1" s="1"/>
  <c r="JE15" i="4" s="1"/>
  <c r="IK8" i="4" s="1"/>
  <c r="JE16" i="4" s="1"/>
  <c r="JE21" i="4" s="1"/>
  <c r="BY92" i="1" s="1"/>
  <c r="JI15" i="4" s="1"/>
  <c r="HR9" i="4" s="1"/>
  <c r="HR8" i="4" s="1"/>
  <c r="JD16" i="4" s="1"/>
  <c r="JD21" i="4" s="1"/>
  <c r="BX92" i="1" s="1"/>
  <c r="AM24" i="1"/>
  <c r="AK29" i="1"/>
  <c r="AL30" i="1"/>
  <c r="AL23" i="1"/>
  <c r="AJ62" i="1"/>
  <c r="N35" i="1"/>
  <c r="V37" i="1"/>
  <c r="BX161" i="1"/>
  <c r="BY161" i="1" s="1"/>
  <c r="I50" i="1"/>
  <c r="S28" i="1"/>
  <c r="L28" i="1"/>
  <c r="BX168" i="1"/>
  <c r="V38" i="1"/>
  <c r="O66" i="1"/>
  <c r="D62" i="1"/>
  <c r="J62" i="1"/>
  <c r="W50" i="1"/>
  <c r="W15" i="1" s="1"/>
  <c r="W132" i="1"/>
  <c r="T39" i="1"/>
  <c r="W147" i="1"/>
  <c r="R38" i="1"/>
  <c r="I24" i="1"/>
  <c r="M35" i="1"/>
  <c r="M66" i="1"/>
  <c r="V30" i="1"/>
  <c r="H37" i="1"/>
  <c r="J36" i="1"/>
  <c r="O50" i="1"/>
  <c r="T28" i="1"/>
  <c r="T51" i="1"/>
  <c r="S30" i="1"/>
  <c r="E23" i="1"/>
  <c r="Q61" i="1"/>
  <c r="J61" i="1"/>
  <c r="P142" i="1"/>
  <c r="C60" i="1"/>
  <c r="M28" i="1"/>
  <c r="F36" i="1"/>
  <c r="C37" i="1"/>
  <c r="W37" i="1"/>
  <c r="S66" i="1"/>
  <c r="F47" i="1"/>
  <c r="U40" i="1"/>
  <c r="M37" i="1"/>
  <c r="I37" i="1"/>
  <c r="F60" i="1"/>
  <c r="Q50" i="1"/>
  <c r="C24" i="1"/>
  <c r="N30" i="1"/>
  <c r="Q62" i="1"/>
  <c r="N38" i="1"/>
  <c r="J60" i="1"/>
  <c r="N36" i="1"/>
  <c r="O24" i="1"/>
  <c r="K36" i="1"/>
  <c r="E174" i="1"/>
  <c r="H35" i="1"/>
  <c r="P23" i="1"/>
  <c r="F50" i="1"/>
  <c r="L35" i="1"/>
  <c r="BX35" i="1"/>
  <c r="BJ35" i="1"/>
  <c r="AJ24" i="1"/>
  <c r="AM39" i="1"/>
  <c r="BJ39" i="1"/>
  <c r="AL24" i="1"/>
  <c r="U38" i="1"/>
  <c r="J38" i="1"/>
  <c r="C35" i="1"/>
  <c r="J47" i="1"/>
  <c r="J209" i="1" s="1"/>
  <c r="J35" i="1"/>
  <c r="E60" i="1"/>
  <c r="Q37" i="1"/>
  <c r="T61" i="1"/>
  <c r="I28" i="1"/>
  <c r="BX137" i="1"/>
  <c r="BY137" i="1" s="1"/>
  <c r="U28" i="1"/>
  <c r="Q47" i="1"/>
  <c r="N50" i="1"/>
  <c r="D30" i="1"/>
  <c r="W54" i="1"/>
  <c r="E62" i="1"/>
  <c r="L39" i="1"/>
  <c r="Q35" i="1"/>
  <c r="F66" i="1"/>
  <c r="H36" i="1"/>
  <c r="H66" i="1"/>
  <c r="P47" i="1"/>
  <c r="R37" i="1"/>
  <c r="J24" i="1"/>
  <c r="K37" i="1"/>
  <c r="U50" i="1"/>
  <c r="V66" i="1"/>
  <c r="R36" i="1"/>
  <c r="P35" i="1"/>
  <c r="C62" i="1"/>
  <c r="K61" i="1"/>
  <c r="J39" i="1"/>
  <c r="D37" i="1"/>
  <c r="T54" i="1"/>
  <c r="R30" i="1"/>
  <c r="B23" i="1"/>
  <c r="W28" i="1"/>
  <c r="K50" i="1"/>
  <c r="P175" i="1"/>
  <c r="N60" i="1"/>
  <c r="T62" i="1"/>
  <c r="T47" i="1"/>
  <c r="T209" i="1" s="1"/>
  <c r="E50" i="1"/>
  <c r="IU7" i="4" s="1"/>
  <c r="IF16" i="4" s="1"/>
  <c r="IF21" i="4" s="1"/>
  <c r="AZ92" i="1" s="1"/>
  <c r="IZ14" i="4" s="1"/>
  <c r="HU9" i="4" s="1"/>
  <c r="HU8" i="4" s="1"/>
  <c r="IJ8" i="4" s="1"/>
  <c r="IT14" i="4" s="1"/>
  <c r="HS14" i="4" s="1"/>
  <c r="ID16" i="4" s="1"/>
  <c r="ID21" i="4" s="1"/>
  <c r="AX92" i="1" s="1"/>
  <c r="AL35" i="1"/>
  <c r="AL60" i="1"/>
  <c r="BX30" i="1"/>
  <c r="AJ29" i="1"/>
  <c r="AJ35" i="1"/>
  <c r="F40" i="1"/>
  <c r="B30" i="1"/>
  <c r="L23" i="1"/>
  <c r="L246" i="1" s="1"/>
  <c r="E35" i="1"/>
  <c r="D47" i="1"/>
  <c r="D209" i="1" s="1"/>
  <c r="BX167" i="1"/>
  <c r="BY167" i="1" s="1"/>
  <c r="D40" i="1"/>
  <c r="P24" i="1"/>
  <c r="L36" i="1"/>
  <c r="H24" i="1"/>
  <c r="V24" i="1"/>
  <c r="V25" i="1" s="1"/>
  <c r="V113" i="1" s="1"/>
  <c r="C40" i="1"/>
  <c r="U39" i="1"/>
  <c r="P62" i="1"/>
  <c r="H54" i="1"/>
  <c r="R23" i="1"/>
  <c r="R246" i="1" s="1"/>
  <c r="S40" i="1"/>
  <c r="F54" i="1"/>
  <c r="C66" i="1"/>
  <c r="M36" i="1"/>
  <c r="C38" i="1"/>
  <c r="V60" i="1"/>
  <c r="O35" i="1"/>
  <c r="G178" i="1"/>
  <c r="T66" i="1"/>
  <c r="O38" i="1"/>
  <c r="V39" i="1"/>
  <c r="N66" i="1"/>
  <c r="F37" i="1"/>
  <c r="T38" i="1"/>
  <c r="F23" i="1"/>
  <c r="F246" i="1" s="1"/>
  <c r="D61" i="1"/>
  <c r="W24" i="1"/>
  <c r="W25" i="1" s="1"/>
  <c r="IR9" i="4" s="1"/>
  <c r="IY16" i="4" s="1"/>
  <c r="IY21" i="4" s="1"/>
  <c r="BS92" i="1" s="1"/>
  <c r="IE9" i="4" s="1"/>
  <c r="IN9" i="4" s="1"/>
  <c r="IV15" i="4" s="1"/>
  <c r="IU8" i="4" s="1"/>
  <c r="IP16" i="4" s="1"/>
  <c r="IP21" i="4" s="1"/>
  <c r="BJ92" i="1" s="1"/>
  <c r="AJ51" i="1"/>
  <c r="BJ38" i="1"/>
  <c r="AJ30" i="1"/>
  <c r="AK40" i="1"/>
  <c r="BJ36" i="1"/>
  <c r="BX159" i="1"/>
  <c r="G51" i="1"/>
  <c r="B28" i="1"/>
  <c r="O30" i="1"/>
  <c r="BX175" i="1"/>
  <c r="J37" i="1"/>
  <c r="G35" i="1"/>
  <c r="U36" i="1"/>
  <c r="O40" i="1"/>
  <c r="BX133" i="1"/>
  <c r="BY133" i="1" s="1"/>
  <c r="B24" i="1"/>
  <c r="P60" i="1"/>
  <c r="V35" i="1"/>
  <c r="C39" i="1"/>
  <c r="D38" i="1"/>
  <c r="L38" i="1"/>
  <c r="R24" i="1"/>
  <c r="O54" i="1"/>
  <c r="G40" i="1"/>
  <c r="G24" i="1"/>
  <c r="S39" i="1"/>
  <c r="O61" i="1"/>
  <c r="V62" i="1"/>
  <c r="V28" i="1"/>
  <c r="T24" i="1"/>
  <c r="G168" i="1"/>
  <c r="C30" i="1"/>
  <c r="G39" i="1"/>
  <c r="H38" i="1"/>
  <c r="P30" i="1"/>
  <c r="R39" i="1"/>
  <c r="E36" i="1"/>
  <c r="P61" i="1"/>
  <c r="T40" i="1"/>
  <c r="I61" i="1"/>
  <c r="F62" i="1"/>
  <c r="M40" i="1"/>
  <c r="T50" i="1"/>
  <c r="T35" i="1"/>
  <c r="P37" i="1"/>
  <c r="H50" i="1"/>
  <c r="U62" i="1"/>
  <c r="BX157" i="1"/>
  <c r="BY157" i="1" s="1"/>
  <c r="BX155" i="1"/>
  <c r="BY155" i="1" s="1"/>
  <c r="BZ217" i="1" s="1"/>
  <c r="I54" i="1"/>
  <c r="E38" i="1"/>
  <c r="B39" i="1"/>
  <c r="BX165" i="1"/>
  <c r="BY165" i="1" s="1"/>
  <c r="I35" i="1"/>
  <c r="S60" i="1"/>
  <c r="BX150" i="1"/>
  <c r="BY150" i="1" s="1"/>
  <c r="BX142" i="1"/>
  <c r="BY142" i="1" s="1"/>
  <c r="BX132" i="1"/>
  <c r="BY132" i="1" s="1"/>
  <c r="G60" i="1"/>
  <c r="K54" i="1"/>
  <c r="J23" i="1"/>
  <c r="B60" i="1"/>
  <c r="E61" i="1"/>
  <c r="L62" i="1"/>
  <c r="Q38" i="1"/>
  <c r="S47" i="1"/>
  <c r="E51" i="1"/>
  <c r="W38" i="1"/>
  <c r="I23" i="1"/>
  <c r="I246" i="1" s="1"/>
  <c r="E28" i="1"/>
  <c r="H60" i="1"/>
  <c r="U61" i="1"/>
  <c r="Q23" i="1"/>
  <c r="Q40" i="1"/>
  <c r="J30" i="1"/>
  <c r="E47" i="1"/>
  <c r="E209" i="1" s="1"/>
  <c r="O47" i="1"/>
  <c r="O209" i="1" s="1"/>
  <c r="U24" i="1"/>
  <c r="U25" i="1" s="1"/>
  <c r="G62" i="1"/>
  <c r="W35" i="1"/>
  <c r="R47" i="1"/>
  <c r="I40" i="1"/>
  <c r="H47" i="1"/>
  <c r="H209" i="1" s="1"/>
  <c r="W61" i="1"/>
  <c r="IG8" i="4" s="1"/>
  <c r="HT7" i="4" s="1"/>
  <c r="IV14" i="4" s="1"/>
  <c r="JH16" i="4" s="1"/>
  <c r="HX9" i="4" s="1"/>
  <c r="BJ23" i="1"/>
  <c r="BJ246" i="1" s="1"/>
  <c r="AL50" i="1"/>
  <c r="BX24" i="1"/>
  <c r="AJ50" i="1"/>
  <c r="AK23" i="1"/>
  <c r="AJ36" i="1"/>
  <c r="BX37" i="1"/>
  <c r="AL40" i="1"/>
  <c r="BX166" i="1"/>
  <c r="BY166" i="1" s="1"/>
  <c r="R28" i="1"/>
  <c r="U47" i="1"/>
  <c r="B61" i="1"/>
  <c r="F30" i="1"/>
  <c r="C54" i="1"/>
  <c r="BX162" i="1"/>
  <c r="BY162" i="1" s="1"/>
  <c r="S51" i="1"/>
  <c r="BX170" i="1"/>
  <c r="BY170" i="1" s="1"/>
  <c r="BX164" i="1"/>
  <c r="BY164" i="1" s="1"/>
  <c r="L50" i="1"/>
  <c r="K51" i="1"/>
  <c r="K35" i="1"/>
  <c r="D23" i="1"/>
  <c r="J134" i="1"/>
  <c r="D28" i="1"/>
  <c r="P50" i="1"/>
  <c r="V47" i="1"/>
  <c r="E30" i="1"/>
  <c r="W40" i="1"/>
  <c r="W51" i="1"/>
  <c r="W267" i="1" s="1"/>
  <c r="E24" i="1"/>
  <c r="H62" i="1"/>
  <c r="R54" i="1"/>
  <c r="L47" i="1"/>
  <c r="L209" i="1" s="1"/>
  <c r="V40" i="1"/>
  <c r="L51" i="1"/>
  <c r="D54" i="1"/>
  <c r="Q60" i="1"/>
  <c r="G37" i="1"/>
  <c r="V50" i="1"/>
  <c r="L37" i="1"/>
  <c r="W39" i="1"/>
  <c r="K66" i="1"/>
  <c r="Q30" i="1"/>
  <c r="Q51" i="1"/>
  <c r="R61" i="1"/>
  <c r="Q66" i="1"/>
  <c r="F38" i="1"/>
  <c r="T36" i="1"/>
  <c r="F24" i="1"/>
  <c r="R60" i="1"/>
  <c r="U60" i="1"/>
  <c r="JB8" i="4" s="1"/>
  <c r="IL15" i="4" s="1"/>
  <c r="IT9" i="4" s="1"/>
  <c r="IB15" i="4" s="1"/>
  <c r="HX15" i="4" s="1"/>
  <c r="HT14" i="4" s="1"/>
  <c r="JG14" i="4" s="1"/>
  <c r="IB9" i="4" s="1"/>
  <c r="HV15" i="4" s="1"/>
  <c r="JD7" i="4" s="1"/>
  <c r="AJ47" i="1"/>
  <c r="AJ209" i="1" s="1"/>
  <c r="AL37" i="1"/>
  <c r="AM29" i="1"/>
  <c r="AK35" i="1"/>
  <c r="AM23" i="1"/>
  <c r="AJ28" i="1"/>
  <c r="AK37" i="1"/>
  <c r="AL66" i="1"/>
  <c r="AM36" i="1"/>
  <c r="F39" i="1"/>
  <c r="BX160" i="1"/>
  <c r="T60" i="1"/>
  <c r="H39" i="1"/>
  <c r="M60" i="1"/>
  <c r="W66" i="1"/>
  <c r="BX158" i="1"/>
  <c r="BY158" i="1" s="1"/>
  <c r="BX134" i="1"/>
  <c r="BY134" i="1" s="1"/>
  <c r="BX152" i="1"/>
  <c r="BY152" i="1" s="1"/>
  <c r="H23" i="1"/>
  <c r="H246" i="1" s="1"/>
  <c r="M39" i="1"/>
  <c r="BL89" i="1"/>
  <c r="BX148" i="1"/>
  <c r="R40" i="1"/>
  <c r="P51" i="1"/>
  <c r="I66" i="1"/>
  <c r="C47" i="1"/>
  <c r="P39" i="1"/>
  <c r="M54" i="1"/>
  <c r="D51" i="1"/>
  <c r="O28" i="1"/>
  <c r="L66" i="1"/>
  <c r="O37" i="1"/>
  <c r="C50" i="1"/>
  <c r="J66" i="1"/>
  <c r="N40" i="1"/>
  <c r="B47" i="1"/>
  <c r="B37" i="1"/>
  <c r="L61" i="1"/>
  <c r="P36" i="1"/>
  <c r="N61" i="1"/>
  <c r="H40" i="1"/>
  <c r="G54" i="1"/>
  <c r="K24" i="1"/>
  <c r="P66" i="1"/>
  <c r="I39" i="1"/>
  <c r="D60" i="1"/>
  <c r="K62" i="1"/>
  <c r="N39" i="1"/>
  <c r="G36" i="1"/>
  <c r="JC8" i="4" s="1"/>
  <c r="AM51" i="1"/>
  <c r="AM54" i="1"/>
  <c r="AM35" i="1"/>
  <c r="AM47" i="1"/>
  <c r="AM209" i="1" s="1"/>
  <c r="AJ66" i="1"/>
  <c r="AK36" i="1"/>
  <c r="AL38" i="1"/>
  <c r="AK28" i="1"/>
  <c r="AK30" i="1"/>
  <c r="AL28" i="1"/>
  <c r="E40" i="1"/>
  <c r="E54" i="1"/>
  <c r="Q54" i="1"/>
  <c r="D39" i="1"/>
  <c r="BX140" i="1"/>
  <c r="BY140" i="1" s="1"/>
  <c r="R62" i="1"/>
  <c r="R35" i="1"/>
  <c r="U54" i="1"/>
  <c r="M30" i="1"/>
  <c r="I62" i="1"/>
  <c r="BX139" i="1"/>
  <c r="BY139" i="1" s="1"/>
  <c r="S50" i="1"/>
  <c r="M50" i="1"/>
  <c r="B62" i="1"/>
  <c r="W36" i="1"/>
  <c r="H61" i="1"/>
  <c r="O62" i="1"/>
  <c r="P38" i="1"/>
  <c r="N62" i="1"/>
  <c r="J54" i="1"/>
  <c r="O36" i="1"/>
  <c r="J51" i="1"/>
  <c r="D66" i="1"/>
  <c r="R50" i="1"/>
  <c r="U35" i="1"/>
  <c r="H30" i="1"/>
  <c r="S61" i="1"/>
  <c r="P28" i="1"/>
  <c r="M51" i="1"/>
  <c r="M62" i="1"/>
  <c r="N47" i="1"/>
  <c r="N209" i="1" s="1"/>
  <c r="K39" i="1"/>
  <c r="I47" i="1"/>
  <c r="I209" i="1" s="1"/>
  <c r="G30" i="1"/>
  <c r="C23" i="1"/>
  <c r="V51" i="1"/>
  <c r="V267" i="1" s="1"/>
  <c r="AL170" i="1"/>
  <c r="AM170" i="1" s="1"/>
  <c r="AL89" i="1"/>
  <c r="BJ178" i="1"/>
  <c r="BK178" i="1" s="1"/>
  <c r="BJ169" i="1"/>
  <c r="BK169" i="1" s="1"/>
  <c r="BJ159" i="1"/>
  <c r="AJ139" i="1"/>
  <c r="AK139" i="1" s="1"/>
  <c r="AJ178" i="1"/>
  <c r="AK178" i="1" s="1"/>
  <c r="AJ142" i="1"/>
  <c r="AK142" i="1" s="1"/>
  <c r="AJ174" i="1"/>
  <c r="BJ142" i="1"/>
  <c r="BK142" i="1" s="1"/>
  <c r="AJ137" i="1"/>
  <c r="AK137" i="1" s="1"/>
  <c r="AL160" i="1"/>
  <c r="AL165" i="1"/>
  <c r="AM165" i="1" s="1"/>
  <c r="AL157" i="1"/>
  <c r="AM157" i="1" s="1"/>
  <c r="AL146" i="1"/>
  <c r="AL140" i="1"/>
  <c r="AM140" i="1" s="1"/>
  <c r="AL179" i="1"/>
  <c r="AM179" i="1" s="1"/>
  <c r="AL164" i="1"/>
  <c r="AM164" i="1" s="1"/>
  <c r="AL134" i="1"/>
  <c r="BJ174" i="1"/>
  <c r="BJ175" i="1"/>
  <c r="BJ162" i="1"/>
  <c r="BK162" i="1" s="1"/>
  <c r="BJ164" i="1"/>
  <c r="AJ165" i="1"/>
  <c r="AK165" i="1" s="1"/>
  <c r="AJ168" i="1"/>
  <c r="AJ166" i="1"/>
  <c r="AK166" i="1" s="1"/>
  <c r="AL150" i="1"/>
  <c r="AM150" i="1" s="1"/>
  <c r="BJ170" i="1"/>
  <c r="BK170" i="1" s="1"/>
  <c r="AJ164" i="1"/>
  <c r="AK164" i="1" s="1"/>
  <c r="BJ139" i="1"/>
  <c r="BK139" i="1" s="1"/>
  <c r="AL148" i="1"/>
  <c r="AL178" i="1"/>
  <c r="AM178" i="1" s="1"/>
  <c r="BJ146" i="1"/>
  <c r="BJ160" i="1"/>
  <c r="BJ179" i="1"/>
  <c r="AJ167" i="1"/>
  <c r="AK167" i="1" s="1"/>
  <c r="AJ157" i="1"/>
  <c r="AK157" i="1" s="1"/>
  <c r="AJ169" i="1"/>
  <c r="AK169" i="1" s="1"/>
  <c r="AL166" i="1"/>
  <c r="AM166" i="1" s="1"/>
  <c r="BJ134" i="1"/>
  <c r="AL137" i="1"/>
  <c r="AM137" i="1" s="1"/>
  <c r="BJ141" i="1"/>
  <c r="BK141" i="1" s="1"/>
  <c r="AL168" i="1"/>
  <c r="AL161" i="1"/>
  <c r="AM161" i="1" s="1"/>
  <c r="AL167" i="1"/>
  <c r="AM167" i="1" s="1"/>
  <c r="AL174" i="1"/>
  <c r="AL159" i="1"/>
  <c r="BJ155" i="1"/>
  <c r="BK155" i="1" s="1"/>
  <c r="BL217" i="1" s="1"/>
  <c r="BJ167" i="1"/>
  <c r="BK167" i="1" s="1"/>
  <c r="BJ150" i="1"/>
  <c r="BK150" i="1" s="1"/>
  <c r="BJ140" i="1"/>
  <c r="BK140" i="1" s="1"/>
  <c r="BJ157" i="1"/>
  <c r="BK157" i="1" s="1"/>
  <c r="BJ147" i="1"/>
  <c r="AJ148" i="1"/>
  <c r="AJ159" i="1"/>
  <c r="AJ160" i="1"/>
  <c r="AJ175" i="1"/>
  <c r="AJ134" i="1"/>
  <c r="AJ161" i="1"/>
  <c r="AK161" i="1" s="1"/>
  <c r="AJ140" i="1"/>
  <c r="AK140" i="1" s="1"/>
  <c r="AL169" i="1"/>
  <c r="AM169" i="1" s="1"/>
  <c r="AL132" i="1"/>
  <c r="AM132" i="1" s="1"/>
  <c r="BJ161" i="1"/>
  <c r="BK161" i="1" s="1"/>
  <c r="AJ132" i="1"/>
  <c r="AK132" i="1" s="1"/>
  <c r="AL141" i="1"/>
  <c r="AM141" i="1" s="1"/>
  <c r="AL133" i="1"/>
  <c r="AM133" i="1" s="1"/>
  <c r="AL139" i="1"/>
  <c r="AM139" i="1" s="1"/>
  <c r="AL147" i="1"/>
  <c r="AL175" i="1"/>
  <c r="AL142" i="1"/>
  <c r="AM142" i="1" s="1"/>
  <c r="AL88" i="1"/>
  <c r="AL162" i="1"/>
  <c r="AM162" i="1" s="1"/>
  <c r="BJ133" i="1"/>
  <c r="BK133" i="1" s="1"/>
  <c r="BJ168" i="1"/>
  <c r="BJ165" i="1"/>
  <c r="BK165" i="1" s="1"/>
  <c r="BJ148" i="1"/>
  <c r="BJ166" i="1"/>
  <c r="BK166" i="1" s="1"/>
  <c r="AJ179" i="1"/>
  <c r="AK179" i="1" s="1"/>
  <c r="AJ141" i="1"/>
  <c r="AK141" i="1" s="1"/>
  <c r="AJ147" i="1"/>
  <c r="AJ170" i="1"/>
  <c r="AK170" i="1" s="1"/>
  <c r="AJ133" i="1"/>
  <c r="AK133" i="1" s="1"/>
  <c r="AJ155" i="1"/>
  <c r="AK155" i="1" s="1"/>
  <c r="AL155" i="1"/>
  <c r="AM155" i="1" s="1"/>
  <c r="AM217" i="1" s="1"/>
  <c r="BJ137" i="1"/>
  <c r="BK137" i="1" s="1"/>
  <c r="BJ132" i="1"/>
  <c r="AJ146" i="1"/>
  <c r="AJ150" i="1"/>
  <c r="AK150" i="1" s="1"/>
  <c r="AJ162" i="1"/>
  <c r="AK162" i="1" s="1"/>
  <c r="AJ158" i="1"/>
  <c r="AK158" i="1" s="1"/>
  <c r="AJ152" i="1"/>
  <c r="AK152" i="1" s="1"/>
  <c r="AL152" i="1"/>
  <c r="AM152" i="1" s="1"/>
  <c r="BJ152" i="1"/>
  <c r="BK152" i="1" s="1"/>
  <c r="BJ158" i="1"/>
  <c r="AL158" i="1"/>
  <c r="HZ14" i="4"/>
  <c r="IS7" i="4"/>
  <c r="JA7" i="4"/>
  <c r="IB7" i="4"/>
  <c r="HX14" i="4"/>
  <c r="HX8" i="4"/>
  <c r="HR7" i="4"/>
  <c r="IK15" i="4"/>
  <c r="HY14" i="4"/>
  <c r="IB14" i="4"/>
  <c r="HU14" i="4"/>
  <c r="IN14" i="4"/>
  <c r="IE8" i="4"/>
  <c r="HZ15" i="4"/>
  <c r="IT15" i="4"/>
  <c r="IO14" i="4"/>
  <c r="IY15" i="4"/>
  <c r="IO7" i="4"/>
  <c r="IK7" i="4"/>
  <c r="JG7" i="4"/>
  <c r="IG14" i="4"/>
  <c r="HY15" i="4"/>
  <c r="IS14" i="4"/>
  <c r="HR15" i="4"/>
  <c r="IV7" i="4"/>
  <c r="IO8" i="4"/>
  <c r="C209" i="1"/>
  <c r="HU7" i="4"/>
  <c r="S209" i="1"/>
  <c r="IJ15" i="4"/>
  <c r="IC8" i="4"/>
  <c r="II14" i="4"/>
  <c r="IJ14" i="4"/>
  <c r="IB8" i="4"/>
  <c r="ID14" i="4"/>
  <c r="IE15" i="4"/>
  <c r="ID7" i="4"/>
  <c r="HW7" i="4"/>
  <c r="II8" i="4"/>
  <c r="IC7" i="4"/>
  <c r="IR15" i="4"/>
  <c r="HW14" i="4"/>
  <c r="AK246" i="1"/>
  <c r="HQ7" i="4"/>
  <c r="HU15" i="4"/>
  <c r="JF8" i="4"/>
  <c r="JA8" i="4"/>
  <c r="I268" i="1"/>
  <c r="IJ7" i="4"/>
  <c r="JB7" i="4"/>
  <c r="IT8" i="4"/>
  <c r="IM14" i="4"/>
  <c r="IQ7" i="4"/>
  <c r="IH7" i="4"/>
  <c r="IK14" i="4"/>
  <c r="IF8" i="4"/>
  <c r="IP7" i="4"/>
  <c r="HV8" i="4"/>
  <c r="U113" i="1"/>
  <c r="U268" i="1"/>
  <c r="U209" i="1"/>
  <c r="HS8" i="4"/>
  <c r="JB14" i="4"/>
  <c r="D246" i="1"/>
  <c r="CP92" i="1"/>
  <c r="CN78" i="1"/>
  <c r="CM80" i="1"/>
  <c r="D25" i="1" l="1"/>
  <c r="II16" i="4" s="1"/>
  <c r="IH9" i="4" s="1"/>
  <c r="HP9" i="4" s="1"/>
  <c r="E25" i="1"/>
  <c r="L41" i="1"/>
  <c r="F25" i="1"/>
  <c r="U31" i="1"/>
  <c r="IW21" i="4"/>
  <c r="BQ92" i="1" s="1"/>
  <c r="HP21" i="4"/>
  <c r="AJ92" i="1" s="1"/>
  <c r="IC21" i="4"/>
  <c r="AW92" i="1" s="1"/>
  <c r="JH21" i="4"/>
  <c r="CB92" i="1" s="1"/>
  <c r="C267" i="1"/>
  <c r="V31" i="1"/>
  <c r="V32" i="1" s="1"/>
  <c r="IL21" i="4"/>
  <c r="BF92" i="1" s="1"/>
  <c r="W203" i="1"/>
  <c r="X26" i="1"/>
  <c r="W26" i="1"/>
  <c r="C268" i="1"/>
  <c r="W268" i="1"/>
  <c r="W209" i="1"/>
  <c r="X203" i="1"/>
  <c r="P246" i="1"/>
  <c r="P25" i="1"/>
  <c r="C246" i="1"/>
  <c r="JC21" i="4"/>
  <c r="BW92" i="1" s="1"/>
  <c r="V26" i="1"/>
  <c r="L267" i="1"/>
  <c r="W113" i="1"/>
  <c r="Q267" i="1"/>
  <c r="E246" i="1"/>
  <c r="BX267" i="1"/>
  <c r="N25" i="1"/>
  <c r="K268" i="1"/>
  <c r="O246" i="1"/>
  <c r="O268" i="1"/>
  <c r="T267" i="1"/>
  <c r="O25" i="1"/>
  <c r="P198" i="1"/>
  <c r="AJ25" i="1"/>
  <c r="AL25" i="1"/>
  <c r="G267" i="1"/>
  <c r="BX195" i="1"/>
  <c r="BY195" i="1" s="1"/>
  <c r="BX149" i="1"/>
  <c r="BY149" i="1" s="1"/>
  <c r="II21" i="4"/>
  <c r="BC92" i="1" s="1"/>
  <c r="IG21" i="4"/>
  <c r="BA92" i="1" s="1"/>
  <c r="IZ21" i="4"/>
  <c r="BT92" i="1" s="1"/>
  <c r="IA21" i="4"/>
  <c r="AU92" i="1" s="1"/>
  <c r="IO21" i="4"/>
  <c r="BI92" i="1" s="1"/>
  <c r="IV21" i="4"/>
  <c r="BP92" i="1" s="1"/>
  <c r="IT21" i="4"/>
  <c r="BN92" i="1" s="1"/>
  <c r="S267" i="1"/>
  <c r="G198" i="1"/>
  <c r="Q198" i="1"/>
  <c r="V203" i="1"/>
  <c r="R268" i="1"/>
  <c r="BX25" i="1"/>
  <c r="V41" i="1"/>
  <c r="V42" i="1" s="1"/>
  <c r="M268" i="1"/>
  <c r="HU21" i="4"/>
  <c r="AO92" i="1" s="1"/>
  <c r="IS21" i="4"/>
  <c r="BM92" i="1" s="1"/>
  <c r="IX21" i="4"/>
  <c r="BR92" i="1" s="1"/>
  <c r="HS21" i="4"/>
  <c r="AM92" i="1" s="1"/>
  <c r="IK21" i="4"/>
  <c r="BE92" i="1" s="1"/>
  <c r="T268" i="1"/>
  <c r="P267" i="1"/>
  <c r="D267" i="1"/>
  <c r="N267" i="1"/>
  <c r="JG21" i="4"/>
  <c r="CA92" i="1" s="1"/>
  <c r="IQ21" i="4"/>
  <c r="BK92" i="1" s="1"/>
  <c r="IN21" i="4"/>
  <c r="BH92" i="1" s="1"/>
  <c r="G268" i="1"/>
  <c r="O267" i="1"/>
  <c r="K267" i="1"/>
  <c r="J268" i="1"/>
  <c r="B268" i="1"/>
  <c r="Q246" i="1"/>
  <c r="H25" i="1"/>
  <c r="H31" i="1" s="1"/>
  <c r="H32" i="1" s="1"/>
  <c r="G41" i="1"/>
  <c r="D268" i="1"/>
  <c r="AJ41" i="1"/>
  <c r="Q25" i="1"/>
  <c r="S41" i="1"/>
  <c r="AJ52" i="1"/>
  <c r="HS15" i="4"/>
  <c r="JH8" i="4"/>
  <c r="IX15" i="4"/>
  <c r="IZ15" i="4"/>
  <c r="IZ20" i="4" s="1"/>
  <c r="BT94" i="1" s="1"/>
  <c r="BT123" i="1" s="1"/>
  <c r="IW7" i="4"/>
  <c r="HV14" i="4"/>
  <c r="IZ8" i="4"/>
  <c r="JA14" i="4"/>
  <c r="AL268" i="1"/>
  <c r="AL246" i="1"/>
  <c r="F268" i="1"/>
  <c r="F209" i="1"/>
  <c r="B246" i="1"/>
  <c r="B25" i="1"/>
  <c r="B31" i="1" s="1"/>
  <c r="B32" i="1" s="1"/>
  <c r="AM246" i="1"/>
  <c r="AM25" i="1"/>
  <c r="AM31" i="1" s="1"/>
  <c r="C25" i="1"/>
  <c r="HR14" i="4"/>
  <c r="HQ8" i="4"/>
  <c r="HQ15" i="4"/>
  <c r="JD8" i="4"/>
  <c r="JD20" i="4" s="1"/>
  <c r="BX94" i="1" s="1"/>
  <c r="BX123" i="1" s="1"/>
  <c r="IE14" i="4"/>
  <c r="IL14" i="4"/>
  <c r="JE8" i="4"/>
  <c r="IP15" i="4"/>
  <c r="IV8" i="4"/>
  <c r="IQ15" i="4"/>
  <c r="IA15" i="4"/>
  <c r="IA20" i="4" s="1"/>
  <c r="AU94" i="1" s="1"/>
  <c r="AU123" i="1" s="1"/>
  <c r="JH14" i="4"/>
  <c r="ID8" i="4"/>
  <c r="JD14" i="4"/>
  <c r="IY14" i="4"/>
  <c r="AL41" i="1"/>
  <c r="AL42" i="1" s="1"/>
  <c r="H41" i="1"/>
  <c r="IQ14" i="4"/>
  <c r="IQ19" i="4" s="1"/>
  <c r="BK93" i="1" s="1"/>
  <c r="BK122" i="1" s="1"/>
  <c r="JB21" i="4"/>
  <c r="BV92" i="1" s="1"/>
  <c r="JF15" i="4"/>
  <c r="IR7" i="4"/>
  <c r="IB21" i="4"/>
  <c r="AV92" i="1" s="1"/>
  <c r="HT15" i="4"/>
  <c r="HT20" i="4" s="1"/>
  <c r="AN94" i="1" s="1"/>
  <c r="AN123" i="1" s="1"/>
  <c r="W31" i="1"/>
  <c r="W33" i="1" s="1"/>
  <c r="O41" i="1"/>
  <c r="IT7" i="4"/>
  <c r="IT19" i="4" s="1"/>
  <c r="BN93" i="1" s="1"/>
  <c r="BN122" i="1" s="1"/>
  <c r="JA15" i="4"/>
  <c r="JA20" i="4" s="1"/>
  <c r="BU94" i="1" s="1"/>
  <c r="BU123" i="1" s="1"/>
  <c r="JI8" i="4"/>
  <c r="IE7" i="4"/>
  <c r="IG15" i="4"/>
  <c r="F41" i="1"/>
  <c r="B267" i="1"/>
  <c r="IC15" i="4"/>
  <c r="IC20" i="4" s="1"/>
  <c r="AW94" i="1" s="1"/>
  <c r="AW123" i="1" s="1"/>
  <c r="IX7" i="4"/>
  <c r="IO15" i="4"/>
  <c r="HW8" i="4"/>
  <c r="JG8" i="4"/>
  <c r="JG20" i="4" s="1"/>
  <c r="CA94" i="1" s="1"/>
  <c r="JE14" i="4"/>
  <c r="JE19" i="4" s="1"/>
  <c r="BY93" i="1" s="1"/>
  <c r="IW14" i="4"/>
  <c r="B41" i="1"/>
  <c r="IR8" i="4"/>
  <c r="IR20" i="4" s="1"/>
  <c r="BL94" i="1" s="1"/>
  <c r="BL111" i="1" s="1"/>
  <c r="IP14" i="4"/>
  <c r="IF15" i="4"/>
  <c r="IF20" i="4" s="1"/>
  <c r="AZ94" i="1" s="1"/>
  <c r="AZ123" i="1" s="1"/>
  <c r="IS8" i="4"/>
  <c r="HS7" i="4"/>
  <c r="D41" i="1"/>
  <c r="HY8" i="4"/>
  <c r="HY20" i="4" s="1"/>
  <c r="AS94" i="1" s="1"/>
  <c r="AS123" i="1" s="1"/>
  <c r="JH15" i="4"/>
  <c r="IH14" i="4"/>
  <c r="IH19" i="4" s="1"/>
  <c r="BB93" i="1" s="1"/>
  <c r="BB122" i="1" s="1"/>
  <c r="HX7" i="4"/>
  <c r="IQ8" i="4"/>
  <c r="HZ8" i="4"/>
  <c r="IF7" i="4"/>
  <c r="AK25" i="1"/>
  <c r="AM240" i="1" s="1"/>
  <c r="M41" i="1"/>
  <c r="H267" i="1"/>
  <c r="HW15" i="4"/>
  <c r="HW20" i="4" s="1"/>
  <c r="AQ94" i="1" s="1"/>
  <c r="AQ123" i="1" s="1"/>
  <c r="HV21" i="4"/>
  <c r="AP92" i="1" s="1"/>
  <c r="HZ7" i="4"/>
  <c r="ID15" i="4"/>
  <c r="BX198" i="1"/>
  <c r="BY198" i="1" s="1"/>
  <c r="J41" i="1"/>
  <c r="C41" i="1"/>
  <c r="C42" i="1" s="1"/>
  <c r="BX41" i="1"/>
  <c r="BX42" i="1" s="1"/>
  <c r="IU14" i="4"/>
  <c r="IU19" i="4" s="1"/>
  <c r="BO93" i="1" s="1"/>
  <c r="BO122" i="1" s="1"/>
  <c r="IM15" i="4"/>
  <c r="IM20" i="4" s="1"/>
  <c r="BG94" i="1" s="1"/>
  <c r="BG123" i="1" s="1"/>
  <c r="HP14" i="4"/>
  <c r="HP19" i="4" s="1"/>
  <c r="AJ93" i="1" s="1"/>
  <c r="IW15" i="4"/>
  <c r="IW20" i="4" s="1"/>
  <c r="BQ94" i="1" s="1"/>
  <c r="BQ123" i="1" s="1"/>
  <c r="JI14" i="4"/>
  <c r="JI19" i="4" s="1"/>
  <c r="CC93" i="1" s="1"/>
  <c r="E41" i="1"/>
  <c r="T41" i="1"/>
  <c r="IN8" i="4"/>
  <c r="IN20" i="4" s="1"/>
  <c r="BH94" i="1" s="1"/>
  <c r="BH123" i="1" s="1"/>
  <c r="BX176" i="1"/>
  <c r="P41" i="1"/>
  <c r="BY135" i="1"/>
  <c r="I41" i="1"/>
  <c r="IA7" i="4"/>
  <c r="AM41" i="1"/>
  <c r="AK41" i="1"/>
  <c r="R41" i="1"/>
  <c r="U41" i="1"/>
  <c r="M267" i="1"/>
  <c r="K41" i="1"/>
  <c r="BJ194" i="1"/>
  <c r="BK194" i="1" s="1"/>
  <c r="AL195" i="1"/>
  <c r="AM195" i="1" s="1"/>
  <c r="BJ195" i="1"/>
  <c r="BK195" i="1" s="1"/>
  <c r="AL198" i="1"/>
  <c r="AM198" i="1" s="1"/>
  <c r="BJ198" i="1"/>
  <c r="BK198" i="1" s="1"/>
  <c r="Q209" i="1"/>
  <c r="Q268" i="1"/>
  <c r="P209" i="1"/>
  <c r="P268" i="1"/>
  <c r="J246" i="1"/>
  <c r="J25" i="1"/>
  <c r="J267" i="1"/>
  <c r="V209" i="1"/>
  <c r="V268" i="1"/>
  <c r="BY143" i="1"/>
  <c r="N41" i="1"/>
  <c r="R209" i="1"/>
  <c r="I25" i="1"/>
  <c r="AJ194" i="1"/>
  <c r="IE21" i="4"/>
  <c r="AY92" i="1" s="1"/>
  <c r="BX163" i="1"/>
  <c r="BX197" i="1" s="1"/>
  <c r="AM267" i="1"/>
  <c r="AL267" i="1"/>
  <c r="S25" i="1"/>
  <c r="IM7" i="4"/>
  <c r="Q41" i="1"/>
  <c r="R267" i="1"/>
  <c r="AM113" i="1"/>
  <c r="AM114" i="1" s="1"/>
  <c r="R25" i="1"/>
  <c r="AJ198" i="1"/>
  <c r="W41" i="1"/>
  <c r="W42" i="1" s="1"/>
  <c r="L25" i="1"/>
  <c r="L113" i="1" s="1"/>
  <c r="BX246" i="1"/>
  <c r="F267" i="1"/>
  <c r="H268" i="1"/>
  <c r="IX14" i="4"/>
  <c r="IX19" i="4" s="1"/>
  <c r="BR93" i="1" s="1"/>
  <c r="BR122" i="1" s="1"/>
  <c r="I267" i="1"/>
  <c r="G25" i="1"/>
  <c r="S268" i="1"/>
  <c r="AL194" i="1"/>
  <c r="AM194" i="1" s="1"/>
  <c r="BX268" i="1"/>
  <c r="CA113" i="1"/>
  <c r="CA114" i="1" s="1"/>
  <c r="CA117" i="1" s="1"/>
  <c r="T25" i="1"/>
  <c r="M25" i="1"/>
  <c r="K25" i="1"/>
  <c r="BX194" i="1"/>
  <c r="BY194" i="1" s="1"/>
  <c r="AJ48" i="1"/>
  <c r="BX171" i="1"/>
  <c r="BX200" i="1" s="1"/>
  <c r="BX143" i="1"/>
  <c r="N268" i="1"/>
  <c r="AM268" i="1"/>
  <c r="L268" i="1"/>
  <c r="BX15" i="1"/>
  <c r="BX135" i="1"/>
  <c r="BX107" i="1" s="1"/>
  <c r="BX109" i="1" s="1"/>
  <c r="BJ176" i="1"/>
  <c r="BK224" i="1" s="1"/>
  <c r="BJ149" i="1"/>
  <c r="BK143" i="1"/>
  <c r="BK132" i="1"/>
  <c r="BJ135" i="1"/>
  <c r="AJ176" i="1"/>
  <c r="AK224" i="1" s="1"/>
  <c r="AM143" i="1"/>
  <c r="AL176" i="1"/>
  <c r="AM224" i="1" s="1"/>
  <c r="BJ171" i="1"/>
  <c r="BJ200" i="1" s="1"/>
  <c r="AL149" i="1"/>
  <c r="AM149" i="1" s="1"/>
  <c r="AM153" i="1" s="1"/>
  <c r="BK164" i="1"/>
  <c r="BJ143" i="1"/>
  <c r="AJ143" i="1"/>
  <c r="AL171" i="1"/>
  <c r="AL200" i="1" s="1"/>
  <c r="AJ217" i="1"/>
  <c r="AL135" i="1"/>
  <c r="AL143" i="1"/>
  <c r="AI211" i="1"/>
  <c r="AI213" i="1" s="1"/>
  <c r="AJ149" i="1"/>
  <c r="AK48" i="1" s="1"/>
  <c r="AJ163" i="1"/>
  <c r="AJ195" i="1"/>
  <c r="AK195" i="1" s="1"/>
  <c r="AK143" i="1"/>
  <c r="AJ135" i="1"/>
  <c r="AJ171" i="1"/>
  <c r="BK158" i="1"/>
  <c r="BJ163" i="1"/>
  <c r="AM158" i="1"/>
  <c r="AL163" i="1"/>
  <c r="HX20" i="4"/>
  <c r="AR94" i="1" s="1"/>
  <c r="AR123" i="1" s="1"/>
  <c r="CB109" i="1"/>
  <c r="CB117" i="1"/>
  <c r="CB100" i="1"/>
  <c r="HP20" i="4"/>
  <c r="AJ94" i="1" s="1"/>
  <c r="IU20" i="4"/>
  <c r="BO94" i="1" s="1"/>
  <c r="BO123" i="1" s="1"/>
  <c r="JF19" i="4"/>
  <c r="BZ93" i="1" s="1"/>
  <c r="IF19" i="4"/>
  <c r="AZ93" i="1" s="1"/>
  <c r="AZ122" i="1" s="1"/>
  <c r="IL20" i="4"/>
  <c r="BF94" i="1" s="1"/>
  <c r="BF123" i="1" s="1"/>
  <c r="HR20" i="4"/>
  <c r="AL94" i="1" s="1"/>
  <c r="HS19" i="4"/>
  <c r="AM93" i="1" s="1"/>
  <c r="IB19" i="4"/>
  <c r="AV93" i="1" s="1"/>
  <c r="AV122" i="1" s="1"/>
  <c r="HX19" i="4"/>
  <c r="AR93" i="1" s="1"/>
  <c r="AR122" i="1" s="1"/>
  <c r="JE20" i="4"/>
  <c r="BY94" i="1" s="1"/>
  <c r="BY123" i="1" s="1"/>
  <c r="II19" i="4"/>
  <c r="BC93" i="1" s="1"/>
  <c r="BC122" i="1" s="1"/>
  <c r="JC20" i="4"/>
  <c r="BW94" i="1" s="1"/>
  <c r="BW123" i="1" s="1"/>
  <c r="IA19" i="4"/>
  <c r="AU93" i="1" s="1"/>
  <c r="AU122" i="1" s="1"/>
  <c r="JC19" i="4"/>
  <c r="BW93" i="1" s="1"/>
  <c r="BW122" i="1" s="1"/>
  <c r="II20" i="4"/>
  <c r="BC94" i="1" s="1"/>
  <c r="BC123" i="1" s="1"/>
  <c r="IC19" i="4"/>
  <c r="AW93" i="1" s="1"/>
  <c r="AW122" i="1" s="1"/>
  <c r="IS20" i="4"/>
  <c r="BM94" i="1" s="1"/>
  <c r="BM123" i="1" s="1"/>
  <c r="IR19" i="4"/>
  <c r="BL93" i="1" s="1"/>
  <c r="IH20" i="4"/>
  <c r="BB94" i="1" s="1"/>
  <c r="BB123" i="1" s="1"/>
  <c r="HV20" i="4"/>
  <c r="AP94" i="1" s="1"/>
  <c r="AP123" i="1" s="1"/>
  <c r="IN19" i="4"/>
  <c r="BH93" i="1" s="1"/>
  <c r="BH122" i="1" s="1"/>
  <c r="JB20" i="4"/>
  <c r="BV94" i="1" s="1"/>
  <c r="BV123" i="1" s="1"/>
  <c r="IV19" i="4"/>
  <c r="BP93" i="1" s="1"/>
  <c r="BP122" i="1" s="1"/>
  <c r="IS19" i="4"/>
  <c r="BM93" i="1" s="1"/>
  <c r="BM122" i="1" s="1"/>
  <c r="HT19" i="4"/>
  <c r="AN93" i="1" s="1"/>
  <c r="AN122" i="1" s="1"/>
  <c r="JI20" i="4"/>
  <c r="CC94" i="1" s="1"/>
  <c r="HZ19" i="4"/>
  <c r="AT93" i="1" s="1"/>
  <c r="AT122" i="1" s="1"/>
  <c r="IJ20" i="4"/>
  <c r="BD94" i="1" s="1"/>
  <c r="BD123" i="1" s="1"/>
  <c r="CC117" i="1"/>
  <c r="HU20" i="4"/>
  <c r="AO94" i="1" s="1"/>
  <c r="AO123" i="1" s="1"/>
  <c r="ID19" i="4"/>
  <c r="AX93" i="1" s="1"/>
  <c r="AX122" i="1" s="1"/>
  <c r="IV20" i="4"/>
  <c r="BP94" i="1" s="1"/>
  <c r="BP123" i="1" s="1"/>
  <c r="IZ19" i="4"/>
  <c r="BT93" i="1" s="1"/>
  <c r="BT122" i="1" s="1"/>
  <c r="CC109" i="1"/>
  <c r="IG19" i="4"/>
  <c r="BA93" i="1" s="1"/>
  <c r="BA122" i="1" s="1"/>
  <c r="IK20" i="4"/>
  <c r="BE94" i="1" s="1"/>
  <c r="BE123" i="1" s="1"/>
  <c r="IE20" i="4"/>
  <c r="AY94" i="1" s="1"/>
  <c r="AY123" i="1" s="1"/>
  <c r="JG19" i="4"/>
  <c r="CA93" i="1" s="1"/>
  <c r="IT20" i="4"/>
  <c r="BN94" i="1" s="1"/>
  <c r="BN123" i="1" s="1"/>
  <c r="IY20" i="4"/>
  <c r="BS94" i="1" s="1"/>
  <c r="BS123" i="1" s="1"/>
  <c r="IJ19" i="4"/>
  <c r="BD93" i="1" s="1"/>
  <c r="BD122" i="1" s="1"/>
  <c r="IO19" i="4"/>
  <c r="BI93" i="1" s="1"/>
  <c r="BI122" i="1" s="1"/>
  <c r="HZ20" i="4"/>
  <c r="AT94" i="1" s="1"/>
  <c r="AT123" i="1" s="1"/>
  <c r="HY19" i="4"/>
  <c r="AS93" i="1" s="1"/>
  <c r="AS122" i="1" s="1"/>
  <c r="IB20" i="4"/>
  <c r="AV94" i="1" s="1"/>
  <c r="AV123" i="1" s="1"/>
  <c r="IM19" i="4"/>
  <c r="BG93" i="1" s="1"/>
  <c r="BG122" i="1" s="1"/>
  <c r="HW19" i="4"/>
  <c r="AQ93" i="1" s="1"/>
  <c r="AQ122" i="1" s="1"/>
  <c r="JB19" i="4"/>
  <c r="BV93" i="1" s="1"/>
  <c r="BV122" i="1" s="1"/>
  <c r="HU19" i="4"/>
  <c r="AO93" i="1" s="1"/>
  <c r="AO122" i="1" s="1"/>
  <c r="HQ19" i="4"/>
  <c r="AK93" i="1" s="1"/>
  <c r="F113" i="1"/>
  <c r="F31" i="1"/>
  <c r="F32" i="1" s="1"/>
  <c r="IK19" i="4"/>
  <c r="BE93" i="1" s="1"/>
  <c r="BE122" i="1" s="1"/>
  <c r="E203" i="1"/>
  <c r="E113" i="1"/>
  <c r="E26" i="1"/>
  <c r="F203" i="1"/>
  <c r="F26" i="1"/>
  <c r="E31" i="1"/>
  <c r="U32" i="1"/>
  <c r="V33" i="1"/>
  <c r="AL217" i="1"/>
  <c r="AK217" i="1"/>
  <c r="BK217" i="1"/>
  <c r="P113" i="1"/>
  <c r="P31" i="1"/>
  <c r="D31" i="1"/>
  <c r="BY217" i="1"/>
  <c r="CM47" i="1"/>
  <c r="AB92" i="1"/>
  <c r="CQ92" i="1"/>
  <c r="AC155" i="1"/>
  <c r="CN80" i="1"/>
  <c r="CO78" i="1"/>
  <c r="AJ42" i="1" l="1"/>
  <c r="AJ31" i="1"/>
  <c r="AK42" i="1"/>
  <c r="AM117" i="1"/>
  <c r="BX199" i="1"/>
  <c r="AL31" i="1"/>
  <c r="AM34" i="1" s="1"/>
  <c r="BJ199" i="1"/>
  <c r="AL199" i="1"/>
  <c r="IG20" i="4"/>
  <c r="BA94" i="1" s="1"/>
  <c r="BA123" i="1" s="1"/>
  <c r="B42" i="1"/>
  <c r="ID20" i="4"/>
  <c r="AX94" i="1" s="1"/>
  <c r="AX123" i="1" s="1"/>
  <c r="IL19" i="4"/>
  <c r="BF93" i="1" s="1"/>
  <c r="BF122" i="1" s="1"/>
  <c r="JA19" i="4"/>
  <c r="BU93" i="1" s="1"/>
  <c r="BU122" i="1" s="1"/>
  <c r="JD19" i="4"/>
  <c r="BX93" i="1" s="1"/>
  <c r="I113" i="1"/>
  <c r="J203" i="1"/>
  <c r="N31" i="1"/>
  <c r="IO20" i="4"/>
  <c r="BI94" i="1" s="1"/>
  <c r="BI123" i="1" s="1"/>
  <c r="O31" i="1"/>
  <c r="O32" i="1" s="1"/>
  <c r="D42" i="1"/>
  <c r="BY48" i="1"/>
  <c r="V43" i="1"/>
  <c r="HR19" i="4"/>
  <c r="AL93" i="1" s="1"/>
  <c r="JF20" i="4"/>
  <c r="BZ94" i="1" s="1"/>
  <c r="HV19" i="4"/>
  <c r="AP93" i="1" s="1"/>
  <c r="AP122" i="1" s="1"/>
  <c r="IP20" i="4"/>
  <c r="BJ94" i="1" s="1"/>
  <c r="BJ123" i="1" s="1"/>
  <c r="IE19" i="4"/>
  <c r="AY93" i="1" s="1"/>
  <c r="AY122" i="1" s="1"/>
  <c r="IQ20" i="4"/>
  <c r="BK94" i="1" s="1"/>
  <c r="BK123" i="1" s="1"/>
  <c r="BZ48" i="1"/>
  <c r="IY19" i="4"/>
  <c r="BS93" i="1" s="1"/>
  <c r="BS122" i="1" s="1"/>
  <c r="H113" i="1"/>
  <c r="BY27" i="1"/>
  <c r="CB26" i="1"/>
  <c r="BX31" i="1"/>
  <c r="Q203" i="1"/>
  <c r="Q113" i="1"/>
  <c r="AM32" i="1"/>
  <c r="P26" i="1"/>
  <c r="O203" i="1"/>
  <c r="E42" i="1"/>
  <c r="P203" i="1"/>
  <c r="HQ20" i="4"/>
  <c r="AK94" i="1" s="1"/>
  <c r="JH19" i="4"/>
  <c r="CB93" i="1" s="1"/>
  <c r="I31" i="1"/>
  <c r="J26" i="1"/>
  <c r="N113" i="1"/>
  <c r="CA109" i="1"/>
  <c r="O113" i="1"/>
  <c r="O26" i="1"/>
  <c r="IX20" i="4"/>
  <c r="BR94" i="1" s="1"/>
  <c r="BR123" i="1" s="1"/>
  <c r="B43" i="1"/>
  <c r="B44" i="1" s="1"/>
  <c r="JH20" i="4"/>
  <c r="CB94" i="1" s="1"/>
  <c r="BX153" i="1"/>
  <c r="BY153" i="1"/>
  <c r="BZ218" i="1" s="1"/>
  <c r="BZ216" i="1" s="1"/>
  <c r="IP19" i="4"/>
  <c r="BJ93" i="1" s="1"/>
  <c r="BJ122" i="1" s="1"/>
  <c r="IW19" i="4"/>
  <c r="BQ93" i="1" s="1"/>
  <c r="BQ122" i="1" s="1"/>
  <c r="HS20" i="4"/>
  <c r="AM94" i="1" s="1"/>
  <c r="CC203" i="1"/>
  <c r="Q31" i="1"/>
  <c r="Q32" i="1" s="1"/>
  <c r="Q26" i="1"/>
  <c r="AM27" i="1"/>
  <c r="M203" i="1"/>
  <c r="BY221" i="1"/>
  <c r="J31" i="1"/>
  <c r="J113" i="1"/>
  <c r="BY144" i="1"/>
  <c r="BZ264" i="1"/>
  <c r="BZ266" i="1" s="1"/>
  <c r="BZ221" i="1"/>
  <c r="S113" i="1"/>
  <c r="S31" i="1"/>
  <c r="S32" i="1" s="1"/>
  <c r="R113" i="1"/>
  <c r="R26" i="1"/>
  <c r="R203" i="1"/>
  <c r="R31" i="1"/>
  <c r="C31" i="1"/>
  <c r="C203" i="1"/>
  <c r="C26" i="1"/>
  <c r="D203" i="1"/>
  <c r="D26" i="1"/>
  <c r="I26" i="1"/>
  <c r="I203" i="1"/>
  <c r="L26" i="1"/>
  <c r="W32" i="1"/>
  <c r="X33" i="1"/>
  <c r="W43" i="1"/>
  <c r="AK27" i="1"/>
  <c r="AK31" i="1"/>
  <c r="AL27" i="1"/>
  <c r="AJ43" i="1"/>
  <c r="BY224" i="1"/>
  <c r="BX263" i="1"/>
  <c r="BY107" i="1"/>
  <c r="BZ222" i="1"/>
  <c r="AM42" i="1"/>
  <c r="AM43" i="1"/>
  <c r="AM247" i="1" s="1"/>
  <c r="AM248" i="1" s="1"/>
  <c r="S203" i="1"/>
  <c r="S26" i="1"/>
  <c r="H26" i="1"/>
  <c r="H203" i="1"/>
  <c r="T203" i="1"/>
  <c r="U26" i="1"/>
  <c r="T113" i="1"/>
  <c r="T26" i="1"/>
  <c r="U203" i="1"/>
  <c r="T31" i="1"/>
  <c r="M31" i="1"/>
  <c r="M113" i="1"/>
  <c r="N203" i="1"/>
  <c r="K113" i="1"/>
  <c r="K31" i="1"/>
  <c r="L203" i="1"/>
  <c r="BX144" i="1"/>
  <c r="BX196" i="1"/>
  <c r="BY264" i="1"/>
  <c r="BX183" i="1"/>
  <c r="L31" i="1"/>
  <c r="G26" i="1"/>
  <c r="BX201" i="1"/>
  <c r="CB204" i="1" s="1"/>
  <c r="K26" i="1"/>
  <c r="G203" i="1"/>
  <c r="BX172" i="1"/>
  <c r="K203" i="1"/>
  <c r="AJ144" i="1"/>
  <c r="G31" i="1"/>
  <c r="G32" i="1" s="1"/>
  <c r="G113" i="1"/>
  <c r="N26" i="1"/>
  <c r="M26" i="1"/>
  <c r="BY222" i="1"/>
  <c r="CM118" i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CM119" i="1"/>
  <c r="CN119" i="1" s="1"/>
  <c r="CO119" i="1" s="1"/>
  <c r="CP119" i="1" s="1"/>
  <c r="CQ119" i="1" s="1"/>
  <c r="CR119" i="1" s="1"/>
  <c r="CS119" i="1" s="1"/>
  <c r="CT119" i="1" s="1"/>
  <c r="CU119" i="1" s="1"/>
  <c r="CV119" i="1" s="1"/>
  <c r="CW119" i="1" s="1"/>
  <c r="CX119" i="1" s="1"/>
  <c r="CY119" i="1" s="1"/>
  <c r="CZ119" i="1" s="1"/>
  <c r="DA119" i="1" s="1"/>
  <c r="DB119" i="1" s="1"/>
  <c r="BK264" i="1"/>
  <c r="AK221" i="1"/>
  <c r="AM264" i="1"/>
  <c r="BK149" i="1"/>
  <c r="BJ153" i="1"/>
  <c r="BJ261" i="1" s="1"/>
  <c r="BL221" i="1"/>
  <c r="BL264" i="1"/>
  <c r="BJ107" i="1"/>
  <c r="BJ263" i="1"/>
  <c r="AJ183" i="1"/>
  <c r="AK52" i="1" s="1"/>
  <c r="AJ221" i="1"/>
  <c r="AM48" i="1"/>
  <c r="AL153" i="1"/>
  <c r="AL107" i="1"/>
  <c r="AL111" i="1" s="1"/>
  <c r="AL263" i="1"/>
  <c r="AL221" i="1"/>
  <c r="AM221" i="1"/>
  <c r="AJ212" i="1"/>
  <c r="AJ200" i="1"/>
  <c r="AK149" i="1"/>
  <c r="AL183" i="1"/>
  <c r="AJ172" i="1"/>
  <c r="BJ144" i="1"/>
  <c r="BJ183" i="1"/>
  <c r="BJ124" i="1" s="1"/>
  <c r="AJ153" i="1"/>
  <c r="BK221" i="1"/>
  <c r="AL264" i="1"/>
  <c r="AL144" i="1"/>
  <c r="AJ211" i="1"/>
  <c r="AJ197" i="1"/>
  <c r="BJ197" i="1"/>
  <c r="BJ172" i="1"/>
  <c r="AL197" i="1"/>
  <c r="AL172" i="1"/>
  <c r="AL123" i="1"/>
  <c r="AM118" i="1"/>
  <c r="AM122" i="1"/>
  <c r="BZ110" i="1"/>
  <c r="BZ104" i="1"/>
  <c r="BZ122" i="1"/>
  <c r="BZ125" i="1" s="1"/>
  <c r="I33" i="1"/>
  <c r="BL122" i="1"/>
  <c r="BL125" i="1" s="1"/>
  <c r="BL110" i="1"/>
  <c r="CA111" i="1"/>
  <c r="CA123" i="1"/>
  <c r="CA119" i="1"/>
  <c r="CC110" i="1"/>
  <c r="CC122" i="1"/>
  <c r="CC118" i="1"/>
  <c r="CC101" i="1"/>
  <c r="CF105" i="1" s="1"/>
  <c r="CC111" i="1"/>
  <c r="CC119" i="1"/>
  <c r="CC123" i="1"/>
  <c r="CC102" i="1"/>
  <c r="BX111" i="1"/>
  <c r="BL123" i="1"/>
  <c r="BL126" i="1" s="1"/>
  <c r="CA118" i="1"/>
  <c r="CA122" i="1"/>
  <c r="CA110" i="1"/>
  <c r="BY122" i="1"/>
  <c r="BY104" i="1"/>
  <c r="D32" i="1"/>
  <c r="D43" i="1"/>
  <c r="E33" i="1"/>
  <c r="Q33" i="1"/>
  <c r="P32" i="1"/>
  <c r="G33" i="1"/>
  <c r="E43" i="1"/>
  <c r="E44" i="1" s="1"/>
  <c r="F33" i="1"/>
  <c r="E32" i="1"/>
  <c r="CM209" i="1"/>
  <c r="CM147" i="1"/>
  <c r="CM149" i="1" s="1"/>
  <c r="CM153" i="1" s="1"/>
  <c r="CM218" i="1" s="1"/>
  <c r="CM216" i="1" s="1"/>
  <c r="CR92" i="1"/>
  <c r="AC217" i="1"/>
  <c r="AB164" i="1"/>
  <c r="AB132" i="1"/>
  <c r="CO80" i="1"/>
  <c r="CP78" i="1"/>
  <c r="CA240" i="1"/>
  <c r="AL32" i="1" l="1"/>
  <c r="AL43" i="1"/>
  <c r="AJ32" i="1"/>
  <c r="BX180" i="1"/>
  <c r="BX110" i="1"/>
  <c r="AM123" i="1"/>
  <c r="AM119" i="1"/>
  <c r="I32" i="1"/>
  <c r="BX261" i="1"/>
  <c r="BY218" i="1"/>
  <c r="BY216" i="1" s="1"/>
  <c r="BX104" i="1"/>
  <c r="BX122" i="1"/>
  <c r="CB101" i="1"/>
  <c r="CB118" i="1"/>
  <c r="CB110" i="1"/>
  <c r="CB122" i="1"/>
  <c r="CB125" i="1" s="1"/>
  <c r="CB128" i="1" s="1"/>
  <c r="N32" i="1"/>
  <c r="V49" i="1"/>
  <c r="V53" i="1" s="1"/>
  <c r="V127" i="1"/>
  <c r="V247" i="1"/>
  <c r="V248" i="1" s="1"/>
  <c r="AL122" i="1"/>
  <c r="BZ123" i="1"/>
  <c r="BZ126" i="1" s="1"/>
  <c r="BZ111" i="1"/>
  <c r="CB111" i="1"/>
  <c r="CB123" i="1"/>
  <c r="CB126" i="1" s="1"/>
  <c r="CB129" i="1" s="1"/>
  <c r="O33" i="1"/>
  <c r="P33" i="1"/>
  <c r="V44" i="1"/>
  <c r="B127" i="1"/>
  <c r="CB119" i="1"/>
  <c r="CB102" i="1"/>
  <c r="BX32" i="1"/>
  <c r="CB33" i="1"/>
  <c r="BY34" i="1"/>
  <c r="BX43" i="1"/>
  <c r="H33" i="1"/>
  <c r="BZ220" i="1"/>
  <c r="BY220" i="1"/>
  <c r="J32" i="1"/>
  <c r="J33" i="1"/>
  <c r="S33" i="1"/>
  <c r="R32" i="1"/>
  <c r="R33" i="1"/>
  <c r="C33" i="1"/>
  <c r="C43" i="1"/>
  <c r="D33" i="1"/>
  <c r="C32" i="1"/>
  <c r="AK34" i="1"/>
  <c r="AL34" i="1"/>
  <c r="AK43" i="1"/>
  <c r="AK32" i="1"/>
  <c r="M32" i="1"/>
  <c r="N33" i="1"/>
  <c r="W247" i="1"/>
  <c r="W248" i="1" s="1"/>
  <c r="X45" i="1"/>
  <c r="X265" i="1"/>
  <c r="W49" i="1"/>
  <c r="W53" i="1" s="1"/>
  <c r="W45" i="1"/>
  <c r="W44" i="1"/>
  <c r="W127" i="1"/>
  <c r="W265" i="1"/>
  <c r="AJ247" i="1"/>
  <c r="AJ248" i="1" s="1"/>
  <c r="AJ44" i="1"/>
  <c r="AJ49" i="1"/>
  <c r="AJ53" i="1" s="1"/>
  <c r="BY109" i="1"/>
  <c r="BY111" i="1"/>
  <c r="BY110" i="1"/>
  <c r="AM49" i="1"/>
  <c r="AM53" i="1" s="1"/>
  <c r="AM44" i="1"/>
  <c r="T33" i="1"/>
  <c r="U33" i="1"/>
  <c r="T32" i="1"/>
  <c r="L33" i="1"/>
  <c r="K33" i="1"/>
  <c r="K32" i="1"/>
  <c r="AL247" i="1"/>
  <c r="AL248" i="1" s="1"/>
  <c r="AM46" i="1"/>
  <c r="AL49" i="1"/>
  <c r="AL53" i="1" s="1"/>
  <c r="AL44" i="1"/>
  <c r="BY52" i="1"/>
  <c r="BX124" i="1"/>
  <c r="M33" i="1"/>
  <c r="L32" i="1"/>
  <c r="AJ180" i="1"/>
  <c r="AJ181" i="1" s="1"/>
  <c r="AJ213" i="1"/>
  <c r="AL180" i="1"/>
  <c r="AL181" i="1" s="1"/>
  <c r="BL48" i="1"/>
  <c r="BK153" i="1"/>
  <c r="BL218" i="1" s="1"/>
  <c r="BL216" i="1" s="1"/>
  <c r="BJ109" i="1"/>
  <c r="BJ110" i="1"/>
  <c r="BJ111" i="1"/>
  <c r="AM218" i="1"/>
  <c r="AM216" i="1" s="1"/>
  <c r="AL261" i="1"/>
  <c r="AK153" i="1"/>
  <c r="AL48" i="1"/>
  <c r="BJ125" i="1"/>
  <c r="BJ126" i="1"/>
  <c r="AL109" i="1"/>
  <c r="AL110" i="1"/>
  <c r="AL124" i="1"/>
  <c r="AM52" i="1"/>
  <c r="AJ218" i="1"/>
  <c r="AJ216" i="1" s="1"/>
  <c r="BJ201" i="1"/>
  <c r="BJ196" i="1"/>
  <c r="AL196" i="1"/>
  <c r="AL201" i="1"/>
  <c r="AM241" i="1"/>
  <c r="D44" i="1"/>
  <c r="D49" i="1"/>
  <c r="D53" i="1" s="1"/>
  <c r="D247" i="1"/>
  <c r="D248" i="1" s="1"/>
  <c r="E45" i="1"/>
  <c r="D127" i="1"/>
  <c r="C45" i="1"/>
  <c r="AM127" i="1"/>
  <c r="AK46" i="1"/>
  <c r="CN47" i="1"/>
  <c r="CS92" i="1"/>
  <c r="AB178" i="1"/>
  <c r="CP80" i="1"/>
  <c r="CQ78" i="1"/>
  <c r="AC132" i="1"/>
  <c r="AC164" i="1"/>
  <c r="CB240" i="1"/>
  <c r="BQ1" i="1"/>
  <c r="BR1" i="1" s="1"/>
  <c r="BS1" i="1" s="1"/>
  <c r="BT1" i="1" s="1"/>
  <c r="AM265" i="1" l="1"/>
  <c r="W56" i="1"/>
  <c r="W55" i="1"/>
  <c r="BX125" i="1"/>
  <c r="BX181" i="1"/>
  <c r="AM266" i="1"/>
  <c r="CE105" i="1"/>
  <c r="AL265" i="1"/>
  <c r="AL266" i="1" s="1"/>
  <c r="V56" i="1"/>
  <c r="V55" i="1"/>
  <c r="AJ56" i="1"/>
  <c r="AJ55" i="1"/>
  <c r="AM56" i="1"/>
  <c r="AM57" i="1" s="1"/>
  <c r="AM260" i="1" s="1"/>
  <c r="AM55" i="1"/>
  <c r="D265" i="1"/>
  <c r="AL56" i="1"/>
  <c r="AL55" i="1"/>
  <c r="C265" i="1"/>
  <c r="C44" i="1"/>
  <c r="D45" i="1"/>
  <c r="AK247" i="1"/>
  <c r="AK248" i="1" s="1"/>
  <c r="AL46" i="1"/>
  <c r="AK44" i="1"/>
  <c r="AK49" i="1"/>
  <c r="AK53" i="1" s="1"/>
  <c r="BX44" i="1"/>
  <c r="BX49" i="1"/>
  <c r="CB45" i="1"/>
  <c r="CA127" i="1"/>
  <c r="BX247" i="1"/>
  <c r="BX248" i="1" s="1"/>
  <c r="BY46" i="1"/>
  <c r="BY265" i="1"/>
  <c r="BY266" i="1" s="1"/>
  <c r="BX126" i="1"/>
  <c r="AL126" i="1"/>
  <c r="AL125" i="1"/>
  <c r="AL218" i="1"/>
  <c r="AL216" i="1" s="1"/>
  <c r="AK218" i="1"/>
  <c r="AK216" i="1" s="1"/>
  <c r="D56" i="1"/>
  <c r="D55" i="1"/>
  <c r="W63" i="1"/>
  <c r="W67" i="1" s="1"/>
  <c r="W249" i="1"/>
  <c r="W57" i="1"/>
  <c r="W260" i="1" s="1"/>
  <c r="X58" i="1"/>
  <c r="CN147" i="1"/>
  <c r="CN149" i="1" s="1"/>
  <c r="CO47" i="1" s="1"/>
  <c r="CT92" i="1"/>
  <c r="AB152" i="1"/>
  <c r="AD164" i="1"/>
  <c r="AE164" i="1"/>
  <c r="AD132" i="1"/>
  <c r="AE132" i="1"/>
  <c r="CQ80" i="1"/>
  <c r="CR78" i="1"/>
  <c r="AC178" i="1"/>
  <c r="BU1" i="1"/>
  <c r="Q42" i="1"/>
  <c r="P42" i="1"/>
  <c r="O42" i="1"/>
  <c r="I42" i="1"/>
  <c r="H42" i="1"/>
  <c r="G42" i="1"/>
  <c r="U42" i="1"/>
  <c r="T42" i="1"/>
  <c r="S42" i="1"/>
  <c r="R42" i="1"/>
  <c r="N42" i="1"/>
  <c r="M42" i="1"/>
  <c r="L42" i="1"/>
  <c r="K42" i="1"/>
  <c r="J42" i="1"/>
  <c r="F42" i="1"/>
  <c r="V57" i="1" l="1"/>
  <c r="V260" i="1" s="1"/>
  <c r="V63" i="1"/>
  <c r="AJ57" i="1"/>
  <c r="AJ63" i="1"/>
  <c r="AK56" i="1"/>
  <c r="AK55" i="1"/>
  <c r="AJ249" i="1"/>
  <c r="AL249" i="1"/>
  <c r="AM59" i="1"/>
  <c r="AL63" i="1"/>
  <c r="AL57" i="1"/>
  <c r="AL260" i="1" s="1"/>
  <c r="BX53" i="1"/>
  <c r="CA70" i="1"/>
  <c r="W58" i="1"/>
  <c r="AJ222" i="1"/>
  <c r="AJ220" i="1" s="1"/>
  <c r="AJ67" i="1"/>
  <c r="AJ81" i="1"/>
  <c r="AK249" i="1"/>
  <c r="AK63" i="1"/>
  <c r="AK134" i="1" s="1"/>
  <c r="AK135" i="1" s="1"/>
  <c r="AK144" i="1" s="1"/>
  <c r="AK59" i="1"/>
  <c r="D249" i="1"/>
  <c r="D57" i="1"/>
  <c r="D63" i="1"/>
  <c r="CO209" i="1"/>
  <c r="CO147" i="1"/>
  <c r="CN153" i="1"/>
  <c r="CN209" i="1"/>
  <c r="AC92" i="1"/>
  <c r="CU92" i="1"/>
  <c r="AD178" i="1"/>
  <c r="AE178" i="1"/>
  <c r="AD155" i="1"/>
  <c r="CR80" i="1"/>
  <c r="CS78" i="1"/>
  <c r="AC152" i="1"/>
  <c r="BV1" i="1"/>
  <c r="BW1" i="1" s="1"/>
  <c r="BX1" i="1" s="1"/>
  <c r="AM242" i="1"/>
  <c r="AM249" i="1"/>
  <c r="B247" i="1"/>
  <c r="B248" i="1" s="1"/>
  <c r="BL247" i="1"/>
  <c r="BL248" i="1" s="1"/>
  <c r="G43" i="1"/>
  <c r="O43" i="1"/>
  <c r="H43" i="1"/>
  <c r="P43" i="1"/>
  <c r="I43" i="1"/>
  <c r="Q43" i="1"/>
  <c r="J43" i="1"/>
  <c r="R43" i="1"/>
  <c r="K43" i="1"/>
  <c r="S43" i="1"/>
  <c r="L43" i="1"/>
  <c r="T43" i="1"/>
  <c r="M43" i="1"/>
  <c r="U43" i="1"/>
  <c r="F43" i="1"/>
  <c r="F265" i="1" s="1"/>
  <c r="N43" i="1"/>
  <c r="AJ208" i="1" l="1"/>
  <c r="AJ210" i="1" s="1"/>
  <c r="AJ214" i="1" s="1"/>
  <c r="AJ228" i="1" s="1"/>
  <c r="AK57" i="1"/>
  <c r="AL59" i="1"/>
  <c r="AL208" i="1"/>
  <c r="AL210" i="1" s="1"/>
  <c r="AL81" i="1"/>
  <c r="AL67" i="1"/>
  <c r="BX55" i="1"/>
  <c r="BX56" i="1"/>
  <c r="AJ225" i="1"/>
  <c r="AJ226" i="1" s="1"/>
  <c r="T265" i="1"/>
  <c r="P265" i="1"/>
  <c r="D208" i="1"/>
  <c r="D210" i="1" s="1"/>
  <c r="D67" i="1"/>
  <c r="CB58" i="1"/>
  <c r="BX249" i="1"/>
  <c r="BX57" i="1"/>
  <c r="BX260" i="1" s="1"/>
  <c r="BX63" i="1"/>
  <c r="BY59" i="1"/>
  <c r="AK208" i="1"/>
  <c r="AK210" i="1" s="1"/>
  <c r="AK81" i="1"/>
  <c r="AK67" i="1"/>
  <c r="M265" i="1"/>
  <c r="R265" i="1"/>
  <c r="I265" i="1"/>
  <c r="K265" i="1"/>
  <c r="G265" i="1"/>
  <c r="H265" i="1"/>
  <c r="L265" i="1"/>
  <c r="S265" i="1"/>
  <c r="O265" i="1"/>
  <c r="J265" i="1"/>
  <c r="N265" i="1"/>
  <c r="U265" i="1"/>
  <c r="V265" i="1"/>
  <c r="Q265" i="1"/>
  <c r="R127" i="1"/>
  <c r="S45" i="1"/>
  <c r="T127" i="1"/>
  <c r="U45" i="1"/>
  <c r="U127" i="1"/>
  <c r="V45" i="1"/>
  <c r="P127" i="1"/>
  <c r="Q45" i="1"/>
  <c r="Q127" i="1"/>
  <c r="R45" i="1"/>
  <c r="I127" i="1"/>
  <c r="J45" i="1"/>
  <c r="S127" i="1"/>
  <c r="T45" i="1"/>
  <c r="H127" i="1"/>
  <c r="I45" i="1"/>
  <c r="E127" i="1"/>
  <c r="F45" i="1"/>
  <c r="L127" i="1"/>
  <c r="M45" i="1"/>
  <c r="O127" i="1"/>
  <c r="P45" i="1"/>
  <c r="N127" i="1"/>
  <c r="O45" i="1"/>
  <c r="K127" i="1"/>
  <c r="L45" i="1"/>
  <c r="F127" i="1"/>
  <c r="G45" i="1"/>
  <c r="G127" i="1"/>
  <c r="H45" i="1"/>
  <c r="M127" i="1"/>
  <c r="N45" i="1"/>
  <c r="J127" i="1"/>
  <c r="K45" i="1"/>
  <c r="CN218" i="1"/>
  <c r="CN216" i="1" s="1"/>
  <c r="CO149" i="1"/>
  <c r="CV92" i="1"/>
  <c r="AD217" i="1"/>
  <c r="AB157" i="1"/>
  <c r="AE152" i="1"/>
  <c r="AD152" i="1"/>
  <c r="CT78" i="1"/>
  <c r="CS80" i="1"/>
  <c r="C127" i="1"/>
  <c r="BY1" i="1"/>
  <c r="L44" i="1"/>
  <c r="N44" i="1"/>
  <c r="F44" i="1"/>
  <c r="O44" i="1"/>
  <c r="U49" i="1"/>
  <c r="U53" i="1" s="1"/>
  <c r="U44" i="1"/>
  <c r="G44" i="1"/>
  <c r="S44" i="1"/>
  <c r="M44" i="1"/>
  <c r="R44" i="1"/>
  <c r="J44" i="1"/>
  <c r="I44" i="1"/>
  <c r="P44" i="1"/>
  <c r="H44" i="1"/>
  <c r="K44" i="1"/>
  <c r="T44" i="1"/>
  <c r="Q44" i="1"/>
  <c r="T247" i="1"/>
  <c r="T248" i="1" s="1"/>
  <c r="Q247" i="1"/>
  <c r="Q248" i="1" s="1"/>
  <c r="K247" i="1"/>
  <c r="K248" i="1" s="1"/>
  <c r="O247" i="1"/>
  <c r="O248" i="1" s="1"/>
  <c r="U247" i="1"/>
  <c r="U248" i="1" s="1"/>
  <c r="L247" i="1"/>
  <c r="L248" i="1" s="1"/>
  <c r="C247" i="1"/>
  <c r="C248" i="1" s="1"/>
  <c r="I247" i="1"/>
  <c r="I248" i="1" s="1"/>
  <c r="G247" i="1"/>
  <c r="G248" i="1" s="1"/>
  <c r="R247" i="1"/>
  <c r="R248" i="1" s="1"/>
  <c r="P247" i="1"/>
  <c r="P248" i="1" s="1"/>
  <c r="F247" i="1"/>
  <c r="F248" i="1" s="1"/>
  <c r="M247" i="1"/>
  <c r="M248" i="1" s="1"/>
  <c r="N247" i="1"/>
  <c r="N248" i="1" s="1"/>
  <c r="E247" i="1"/>
  <c r="E248" i="1" s="1"/>
  <c r="S247" i="1"/>
  <c r="S248" i="1" s="1"/>
  <c r="J247" i="1"/>
  <c r="J248" i="1" s="1"/>
  <c r="H247" i="1"/>
  <c r="H248" i="1" s="1"/>
  <c r="B49" i="1"/>
  <c r="L49" i="1"/>
  <c r="Q49" i="1"/>
  <c r="T49" i="1"/>
  <c r="N49" i="1"/>
  <c r="S49" i="1"/>
  <c r="F49" i="1"/>
  <c r="K49" i="1"/>
  <c r="H49" i="1"/>
  <c r="I49" i="1"/>
  <c r="P49" i="1"/>
  <c r="C49" i="1"/>
  <c r="O49" i="1"/>
  <c r="R49" i="1"/>
  <c r="M49" i="1"/>
  <c r="G49" i="1"/>
  <c r="E49" i="1"/>
  <c r="J49" i="1"/>
  <c r="CA69" i="1" l="1"/>
  <c r="BX81" i="1"/>
  <c r="CA84" i="1" s="1"/>
  <c r="BX208" i="1"/>
  <c r="BX210" i="1" s="1"/>
  <c r="BX67" i="1"/>
  <c r="AK222" i="1"/>
  <c r="AK220" i="1" s="1"/>
  <c r="AL222" i="1"/>
  <c r="AL220" i="1" s="1"/>
  <c r="BK179" i="1"/>
  <c r="BM179" i="1"/>
  <c r="CO153" i="1"/>
  <c r="CP47" i="1"/>
  <c r="CW92" i="1"/>
  <c r="AE155" i="1"/>
  <c r="AE217" i="1" s="1"/>
  <c r="CT80" i="1"/>
  <c r="CU78" i="1"/>
  <c r="BZ1" i="1"/>
  <c r="U56" i="1"/>
  <c r="V58" i="1" s="1"/>
  <c r="U55" i="1"/>
  <c r="P53" i="1"/>
  <c r="P56" i="1" s="1"/>
  <c r="R53" i="1"/>
  <c r="R56" i="1" s="1"/>
  <c r="E53" i="1"/>
  <c r="S53" i="1"/>
  <c r="S55" i="1" s="1"/>
  <c r="G53" i="1"/>
  <c r="G56" i="1" s="1"/>
  <c r="K53" i="1"/>
  <c r="K56" i="1" s="1"/>
  <c r="B53" i="1"/>
  <c r="O53" i="1"/>
  <c r="O56" i="1" s="1"/>
  <c r="H53" i="1"/>
  <c r="H56" i="1" s="1"/>
  <c r="N53" i="1"/>
  <c r="N56" i="1" s="1"/>
  <c r="L53" i="1"/>
  <c r="L55" i="1" s="1"/>
  <c r="C53" i="1"/>
  <c r="M53" i="1"/>
  <c r="M55" i="1" s="1"/>
  <c r="T53" i="1"/>
  <c r="T56" i="1" s="1"/>
  <c r="F53" i="1"/>
  <c r="F55" i="1" s="1"/>
  <c r="J53" i="1"/>
  <c r="J55" i="1" s="1"/>
  <c r="I53" i="1"/>
  <c r="I55" i="1" s="1"/>
  <c r="Q53" i="1"/>
  <c r="Q56" i="1" s="1"/>
  <c r="V249" i="1"/>
  <c r="R58" i="1" l="1"/>
  <c r="CE85" i="1"/>
  <c r="CA102" i="1"/>
  <c r="CA101" i="1"/>
  <c r="CD105" i="1" s="1"/>
  <c r="BW104" i="1"/>
  <c r="CA100" i="1"/>
  <c r="U58" i="1"/>
  <c r="O58" i="1"/>
  <c r="AB47" i="1"/>
  <c r="B56" i="1"/>
  <c r="B55" i="1"/>
  <c r="C56" i="1"/>
  <c r="C55" i="1"/>
  <c r="E56" i="1"/>
  <c r="E63" i="1" s="1"/>
  <c r="E55" i="1"/>
  <c r="P58" i="1"/>
  <c r="H58" i="1"/>
  <c r="Q58" i="1"/>
  <c r="BJ180" i="1"/>
  <c r="BJ181" i="1" s="1"/>
  <c r="BL180" i="1"/>
  <c r="BL181" i="1" s="1"/>
  <c r="CP209" i="1"/>
  <c r="CP147" i="1"/>
  <c r="CO218" i="1"/>
  <c r="CO216" i="1" s="1"/>
  <c r="CX92" i="1"/>
  <c r="CV78" i="1"/>
  <c r="CU80" i="1"/>
  <c r="CA1" i="1"/>
  <c r="CB1" i="1" s="1"/>
  <c r="O55" i="1"/>
  <c r="BL249" i="1"/>
  <c r="S56" i="1"/>
  <c r="U57" i="1"/>
  <c r="U260" i="1" s="1"/>
  <c r="P57" i="1"/>
  <c r="P260" i="1" s="1"/>
  <c r="Q63" i="1"/>
  <c r="Q57" i="1"/>
  <c r="Q260" i="1" s="1"/>
  <c r="L56" i="1"/>
  <c r="P55" i="1"/>
  <c r="H57" i="1"/>
  <c r="H260" i="1" s="1"/>
  <c r="G57" i="1"/>
  <c r="G260" i="1" s="1"/>
  <c r="U63" i="1"/>
  <c r="N57" i="1"/>
  <c r="N260" i="1" s="1"/>
  <c r="R57" i="1"/>
  <c r="R260" i="1" s="1"/>
  <c r="K57" i="1"/>
  <c r="K260" i="1" s="1"/>
  <c r="O63" i="1"/>
  <c r="O57" i="1"/>
  <c r="O260" i="1" s="1"/>
  <c r="T63" i="1"/>
  <c r="T57" i="1"/>
  <c r="T260" i="1" s="1"/>
  <c r="R55" i="1"/>
  <c r="K55" i="1"/>
  <c r="N55" i="1"/>
  <c r="G55" i="1"/>
  <c r="H55" i="1"/>
  <c r="J56" i="1"/>
  <c r="K58" i="1" s="1"/>
  <c r="M56" i="1"/>
  <c r="N58" i="1" s="1"/>
  <c r="T55" i="1"/>
  <c r="F56" i="1"/>
  <c r="G58" i="1" s="1"/>
  <c r="I56" i="1"/>
  <c r="I58" i="1" s="1"/>
  <c r="O249" i="1"/>
  <c r="Q55" i="1"/>
  <c r="P249" i="1"/>
  <c r="P63" i="1"/>
  <c r="K249" i="1"/>
  <c r="K63" i="1"/>
  <c r="H249" i="1"/>
  <c r="H63" i="1"/>
  <c r="R63" i="1"/>
  <c r="N63" i="1"/>
  <c r="G63" i="1"/>
  <c r="G249" i="1"/>
  <c r="R249" i="1"/>
  <c r="N249" i="1"/>
  <c r="Q249" i="1"/>
  <c r="U249" i="1"/>
  <c r="T249" i="1"/>
  <c r="V67" i="1"/>
  <c r="V208" i="1"/>
  <c r="V210" i="1" s="1"/>
  <c r="E249" i="1" l="1"/>
  <c r="AB209" i="1"/>
  <c r="E57" i="1"/>
  <c r="E260" i="1" s="1"/>
  <c r="E58" i="1"/>
  <c r="D58" i="1"/>
  <c r="C57" i="1"/>
  <c r="B57" i="1"/>
  <c r="C58" i="1"/>
  <c r="F58" i="1"/>
  <c r="M58" i="1"/>
  <c r="S57" i="1"/>
  <c r="S260" i="1" s="1"/>
  <c r="T58" i="1"/>
  <c r="L58" i="1"/>
  <c r="J58" i="1"/>
  <c r="S58" i="1"/>
  <c r="AB147" i="1"/>
  <c r="AB149" i="1" s="1"/>
  <c r="AB48" i="1" s="1"/>
  <c r="CP149" i="1"/>
  <c r="AD92" i="1"/>
  <c r="CY92" i="1"/>
  <c r="CV80" i="1"/>
  <c r="CW78" i="1"/>
  <c r="CC1" i="1"/>
  <c r="K67" i="1"/>
  <c r="G67" i="1"/>
  <c r="E67" i="1"/>
  <c r="S63" i="1"/>
  <c r="S249" i="1"/>
  <c r="L249" i="1"/>
  <c r="L63" i="1"/>
  <c r="O208" i="1"/>
  <c r="O210" i="1" s="1"/>
  <c r="O67" i="1"/>
  <c r="B249" i="1"/>
  <c r="B63" i="1"/>
  <c r="M63" i="1"/>
  <c r="M57" i="1"/>
  <c r="M260" i="1" s="1"/>
  <c r="C249" i="1"/>
  <c r="I63" i="1"/>
  <c r="I57" i="1"/>
  <c r="I260" i="1" s="1"/>
  <c r="J63" i="1"/>
  <c r="J57" i="1"/>
  <c r="J260" i="1" s="1"/>
  <c r="F63" i="1"/>
  <c r="F57" i="1"/>
  <c r="F260" i="1" s="1"/>
  <c r="L57" i="1"/>
  <c r="L260" i="1" s="1"/>
  <c r="J249" i="1"/>
  <c r="E208" i="1"/>
  <c r="E210" i="1" s="1"/>
  <c r="R208" i="1"/>
  <c r="R210" i="1" s="1"/>
  <c r="M249" i="1"/>
  <c r="R67" i="1"/>
  <c r="I249" i="1"/>
  <c r="H67" i="1"/>
  <c r="H208" i="1"/>
  <c r="H210" i="1" s="1"/>
  <c r="F249" i="1"/>
  <c r="C63" i="1"/>
  <c r="N208" i="1"/>
  <c r="N210" i="1" s="1"/>
  <c r="N67" i="1"/>
  <c r="G208" i="1"/>
  <c r="G210" i="1" s="1"/>
  <c r="P67" i="1"/>
  <c r="K208" i="1"/>
  <c r="K210" i="1" s="1"/>
  <c r="P208" i="1"/>
  <c r="P210" i="1" s="1"/>
  <c r="U67" i="1"/>
  <c r="U208" i="1"/>
  <c r="U210" i="1" s="1"/>
  <c r="Q67" i="1"/>
  <c r="Q208" i="1"/>
  <c r="Q210" i="1" s="1"/>
  <c r="T67" i="1"/>
  <c r="T208" i="1"/>
  <c r="T210" i="1" s="1"/>
  <c r="CP153" i="1" l="1"/>
  <c r="CP218" i="1" s="1"/>
  <c r="CP216" i="1" s="1"/>
  <c r="CQ47" i="1"/>
  <c r="CZ92" i="1"/>
  <c r="AC157" i="1"/>
  <c r="CX78" i="1"/>
  <c r="CW80" i="1"/>
  <c r="CD1" i="1"/>
  <c r="CE1" i="1" s="1"/>
  <c r="CF1" i="1" s="1"/>
  <c r="CG1" i="1" s="1"/>
  <c r="CH1" i="1" s="1"/>
  <c r="CI1" i="1" s="1"/>
  <c r="CJ1" i="1" s="1"/>
  <c r="CK1" i="1" s="1"/>
  <c r="CL1" i="1" s="1"/>
  <c r="L208" i="1"/>
  <c r="L210" i="1" s="1"/>
  <c r="J208" i="1"/>
  <c r="J210" i="1" s="1"/>
  <c r="M208" i="1"/>
  <c r="M210" i="1" s="1"/>
  <c r="B67" i="1"/>
  <c r="F67" i="1"/>
  <c r="I67" i="1"/>
  <c r="C67" i="1"/>
  <c r="L67" i="1"/>
  <c r="S67" i="1"/>
  <c r="J67" i="1"/>
  <c r="S208" i="1"/>
  <c r="S210" i="1" s="1"/>
  <c r="M67" i="1"/>
  <c r="I208" i="1"/>
  <c r="I210" i="1" s="1"/>
  <c r="F208" i="1"/>
  <c r="F210" i="1" s="1"/>
  <c r="C208" i="1"/>
  <c r="C210" i="1" s="1"/>
  <c r="CQ209" i="1" l="1"/>
  <c r="CQ147" i="1"/>
  <c r="DA92" i="1"/>
  <c r="CX80" i="1"/>
  <c r="CY78" i="1"/>
  <c r="AB139" i="1"/>
  <c r="CM1" i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J99" i="2"/>
  <c r="G95" i="2"/>
  <c r="R82" i="2"/>
  <c r="R49" i="2"/>
  <c r="G91" i="2"/>
  <c r="O46" i="2"/>
  <c r="K66" i="2"/>
  <c r="E111" i="2"/>
  <c r="I97" i="2"/>
  <c r="V69" i="2"/>
  <c r="C107" i="2"/>
  <c r="X67" i="2"/>
  <c r="W51" i="2"/>
  <c r="F44" i="2"/>
  <c r="C86" i="2"/>
  <c r="U95" i="2"/>
  <c r="P44" i="2"/>
  <c r="X55" i="2"/>
  <c r="O92" i="2"/>
  <c r="V41" i="2"/>
  <c r="V112" i="2"/>
  <c r="C54" i="2"/>
  <c r="E72" i="2"/>
  <c r="O93" i="2"/>
  <c r="O112" i="2"/>
  <c r="N42" i="2"/>
  <c r="U46" i="2"/>
  <c r="M70" i="2"/>
  <c r="E59" i="2"/>
  <c r="E74" i="2"/>
  <c r="U93" i="2"/>
  <c r="E40" i="2"/>
  <c r="S52" i="2"/>
  <c r="T91" i="2"/>
  <c r="H108" i="2"/>
  <c r="F98" i="2"/>
  <c r="C44" i="2"/>
  <c r="V59" i="2"/>
  <c r="F85" i="2"/>
  <c r="U86" i="2"/>
  <c r="L106" i="2"/>
  <c r="N71" i="2"/>
  <c r="P110" i="2"/>
  <c r="O70" i="2"/>
  <c r="L42" i="2"/>
  <c r="J45" i="2"/>
  <c r="H45" i="2"/>
  <c r="G79" i="2"/>
  <c r="U107" i="2"/>
  <c r="I44" i="2"/>
  <c r="R97" i="2"/>
  <c r="H76" i="2"/>
  <c r="R50" i="2"/>
  <c r="M111" i="2"/>
  <c r="O62" i="2"/>
  <c r="F67" i="2"/>
  <c r="H55" i="2"/>
  <c r="L83" i="2"/>
  <c r="AB60" i="3"/>
  <c r="AP93" i="3"/>
  <c r="AP48" i="3"/>
  <c r="AB79" i="3"/>
  <c r="AB75" i="3"/>
  <c r="AB82" i="3"/>
  <c r="AP50" i="3"/>
  <c r="AP64" i="3"/>
  <c r="H34" i="3"/>
  <c r="AN8" i="3"/>
  <c r="AI12" i="3"/>
  <c r="U21" i="3"/>
  <c r="O23" i="3"/>
  <c r="W28" i="3"/>
  <c r="O29" i="3"/>
  <c r="AL27" i="3"/>
  <c r="AB19" i="3"/>
  <c r="AC39" i="3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96" i="2"/>
  <c r="I46" i="2"/>
  <c r="X58" i="2"/>
  <c r="H92" i="2"/>
  <c r="N83" i="2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F90" i="2"/>
  <c r="L76" i="2"/>
  <c r="O45" i="2"/>
  <c r="E57" i="2"/>
  <c r="X88" i="2"/>
  <c r="Q105" i="2"/>
  <c r="S76" i="2"/>
  <c r="R47" i="2"/>
  <c r="Q64" i="2"/>
  <c r="L49" i="2"/>
  <c r="L73" i="2"/>
  <c r="Q112" i="2"/>
  <c r="F91" i="2"/>
  <c r="G104" i="2"/>
  <c r="P61" i="2"/>
  <c r="O80" i="2"/>
  <c r="V104" i="2"/>
  <c r="W58" i="2"/>
  <c r="C68" i="2"/>
  <c r="D64" i="2"/>
  <c r="J85" i="2"/>
  <c r="R96" i="2"/>
  <c r="N75" i="2"/>
  <c r="V82" i="2"/>
  <c r="M90" i="2"/>
  <c r="N109" i="2"/>
  <c r="K65" i="2"/>
  <c r="K55" i="2"/>
  <c r="V109" i="2"/>
  <c r="C97" i="2"/>
  <c r="D73" i="2"/>
  <c r="D43" i="2"/>
  <c r="P49" i="2"/>
  <c r="C110" i="2"/>
  <c r="W64" i="2"/>
  <c r="V91" i="2"/>
  <c r="H57" i="2"/>
  <c r="V44" i="2"/>
  <c r="M64" i="2"/>
  <c r="I93" i="2"/>
  <c r="R65" i="2"/>
  <c r="S58" i="2"/>
  <c r="N46" i="2"/>
  <c r="N44" i="2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V92" i="2"/>
  <c r="N82" i="2"/>
  <c r="P81" i="2"/>
  <c r="D97" i="2"/>
  <c r="M44" i="2"/>
  <c r="X47" i="2"/>
  <c r="U45" i="2"/>
  <c r="G57" i="2"/>
  <c r="S105" i="2"/>
  <c r="T46" i="2"/>
  <c r="W49" i="2"/>
  <c r="D84" i="2"/>
  <c r="C43" i="2"/>
  <c r="M60" i="2"/>
  <c r="T79" i="2"/>
  <c r="C99" i="2"/>
  <c r="F86" i="2"/>
  <c r="F60" i="2"/>
  <c r="C57" i="2"/>
  <c r="U73" i="2"/>
  <c r="S48" i="2"/>
  <c r="G93" i="2"/>
  <c r="L53" i="2"/>
  <c r="Q90" i="2"/>
  <c r="J84" i="2"/>
  <c r="R93" i="2"/>
  <c r="N74" i="2"/>
  <c r="N111" i="2"/>
  <c r="T47" i="2"/>
  <c r="O51" i="2"/>
  <c r="C105" i="2"/>
  <c r="R70" i="2"/>
  <c r="D55" i="2"/>
  <c r="J113" i="2"/>
  <c r="G59" i="2"/>
  <c r="V66" i="2"/>
  <c r="K68" i="2"/>
  <c r="N86" i="2"/>
  <c r="P53" i="2"/>
  <c r="D95" i="2"/>
  <c r="F64" i="2"/>
  <c r="L66" i="2"/>
  <c r="W82" i="2"/>
  <c r="I111" i="2"/>
  <c r="D58" i="2"/>
  <c r="V70" i="2"/>
  <c r="G54" i="2"/>
  <c r="X43" i="2"/>
  <c r="W110" i="2"/>
  <c r="C40" i="2"/>
  <c r="O52" i="2"/>
  <c r="H58" i="2"/>
  <c r="W86" i="2"/>
  <c r="Q50" i="2"/>
  <c r="D56" i="2"/>
  <c r="P57" i="2"/>
  <c r="G42" i="2"/>
  <c r="F59" i="2"/>
  <c r="J60" i="2"/>
  <c r="C61" i="2"/>
  <c r="R59" i="2"/>
  <c r="P56" i="2"/>
  <c r="Q73" i="2"/>
  <c r="Q51" i="2"/>
  <c r="H109" i="2"/>
  <c r="F81" i="2"/>
  <c r="W96" i="2"/>
  <c r="W112" i="2"/>
  <c r="F82" i="2"/>
  <c r="M42" i="2"/>
  <c r="S98" i="2"/>
  <c r="C87" i="2"/>
  <c r="AP70" i="3"/>
  <c r="AB78" i="3"/>
  <c r="AP83" i="3"/>
  <c r="AB50" i="3"/>
  <c r="AP92" i="3"/>
  <c r="AP54" i="3"/>
  <c r="AB70" i="3"/>
  <c r="AP69" i="3"/>
  <c r="R29" i="3"/>
  <c r="T8" i="3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L111" i="2"/>
  <c r="T107" i="2"/>
  <c r="W109" i="2"/>
  <c r="K109" i="2"/>
  <c r="V111" i="2"/>
  <c r="K70" i="2"/>
  <c r="K98" i="2"/>
  <c r="E69" i="2"/>
  <c r="F48" i="2"/>
  <c r="W55" i="2"/>
  <c r="H72" i="2"/>
  <c r="V76" i="2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G112" i="2"/>
  <c r="V90" i="2"/>
  <c r="L74" i="2"/>
  <c r="S68" i="2"/>
  <c r="J91" i="2"/>
  <c r="I53" i="2"/>
  <c r="Q81" i="2"/>
  <c r="C45" i="2"/>
  <c r="E55" i="2"/>
  <c r="L58" i="2"/>
  <c r="X95" i="2"/>
  <c r="K53" i="2"/>
  <c r="T81" i="2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T64" i="2"/>
  <c r="T77" i="2"/>
  <c r="H64" i="2"/>
  <c r="X75" i="2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M92" i="2"/>
  <c r="K108" i="2"/>
  <c r="M46" i="2"/>
  <c r="O82" i="2"/>
  <c r="R48" i="2"/>
  <c r="P42" i="2"/>
  <c r="Q91" i="2"/>
  <c r="L48" i="2"/>
  <c r="S43" i="2"/>
  <c r="U53" i="2"/>
  <c r="U92" i="2"/>
  <c r="I77" i="2"/>
  <c r="S53" i="2"/>
  <c r="W88" i="2"/>
  <c r="F42" i="2"/>
  <c r="T66" i="2"/>
  <c r="P70" i="2"/>
  <c r="S79" i="2"/>
  <c r="O106" i="2"/>
  <c r="F106" i="2"/>
  <c r="L41" i="2"/>
  <c r="J94" i="2"/>
  <c r="P41" i="2"/>
  <c r="R87" i="2"/>
  <c r="T94" i="2"/>
  <c r="F49" i="2"/>
  <c r="C47" i="2"/>
  <c r="R63" i="2"/>
  <c r="K105" i="2"/>
  <c r="P62" i="2"/>
  <c r="L94" i="2"/>
  <c r="O90" i="2"/>
  <c r="W42" i="2"/>
  <c r="X96" i="2"/>
  <c r="R98" i="2"/>
  <c r="Q82" i="2"/>
  <c r="W54" i="2"/>
  <c r="D86" i="2"/>
  <c r="W111" i="2"/>
  <c r="R112" i="2"/>
  <c r="I86" i="2"/>
  <c r="S97" i="2"/>
  <c r="D96" i="2"/>
  <c r="S88" i="2"/>
  <c r="H56" i="2"/>
  <c r="X42" i="2"/>
  <c r="J68" i="2"/>
  <c r="N108" i="2"/>
  <c r="L79" i="2"/>
  <c r="O110" i="2"/>
  <c r="K48" i="2"/>
  <c r="E83" i="2"/>
  <c r="J42" i="2"/>
  <c r="W41" i="2"/>
  <c r="V56" i="2"/>
  <c r="J111" i="2"/>
  <c r="E93" i="2"/>
  <c r="M43" i="2"/>
  <c r="X105" i="2"/>
  <c r="M95" i="2"/>
  <c r="M84" i="2"/>
  <c r="F79" i="2"/>
  <c r="I87" i="2"/>
  <c r="L99" i="2"/>
  <c r="T56" i="2"/>
  <c r="T71" i="2"/>
  <c r="O104" i="2"/>
  <c r="G87" i="2"/>
  <c r="E80" i="2"/>
  <c r="J77" i="2"/>
  <c r="V46" i="2"/>
  <c r="P60" i="2"/>
  <c r="Q86" i="2"/>
  <c r="K46" i="2"/>
  <c r="I110" i="2"/>
  <c r="O67" i="2"/>
  <c r="I69" i="2"/>
  <c r="X104" i="2"/>
  <c r="G94" i="2"/>
  <c r="W104" i="2"/>
  <c r="G86" i="2"/>
  <c r="T58" i="2"/>
  <c r="G64" i="2"/>
  <c r="E48" i="2"/>
  <c r="P77" i="2"/>
  <c r="X112" i="2"/>
  <c r="L67" i="2"/>
  <c r="X81" i="2"/>
  <c r="P45" i="2"/>
  <c r="S64" i="2"/>
  <c r="K111" i="2"/>
  <c r="M59" i="2"/>
  <c r="F93" i="2"/>
  <c r="P50" i="2"/>
  <c r="V67" i="2"/>
  <c r="M71" i="2"/>
  <c r="T108" i="2"/>
  <c r="G98" i="2"/>
  <c r="P55" i="2"/>
  <c r="I98" i="2"/>
  <c r="H60" i="2"/>
  <c r="J61" i="2"/>
  <c r="S106" i="2"/>
  <c r="K54" i="2"/>
  <c r="J43" i="2"/>
  <c r="X83" i="2"/>
  <c r="U91" i="2"/>
  <c r="U72" i="2"/>
  <c r="W108" i="2"/>
  <c r="W93" i="2"/>
  <c r="S109" i="2"/>
  <c r="E62" i="2"/>
  <c r="S94" i="2"/>
  <c r="K94" i="2"/>
  <c r="T78" i="2"/>
  <c r="E86" i="2"/>
  <c r="O74" i="2"/>
  <c r="P63" i="2"/>
  <c r="X70" i="2"/>
  <c r="W98" i="2"/>
  <c r="D62" i="2"/>
  <c r="M57" i="2"/>
  <c r="D53" i="2"/>
  <c r="I104" i="2"/>
  <c r="T43" i="2"/>
  <c r="C58" i="2"/>
  <c r="T95" i="2"/>
  <c r="N112" i="2"/>
  <c r="D63" i="2"/>
  <c r="T50" i="2"/>
  <c r="F46" i="2"/>
  <c r="O78" i="2"/>
  <c r="C96" i="2"/>
  <c r="I113" i="2"/>
  <c r="T65" i="2"/>
  <c r="C53" i="2"/>
  <c r="N81" i="2"/>
  <c r="L51" i="2"/>
  <c r="U96" i="2"/>
  <c r="J82" i="2"/>
  <c r="Q76" i="2"/>
  <c r="U81" i="2"/>
  <c r="F111" i="2"/>
  <c r="W87" i="2"/>
  <c r="I66" i="2"/>
  <c r="S63" i="2"/>
  <c r="W68" i="2"/>
  <c r="N72" i="2"/>
  <c r="C69" i="2"/>
  <c r="T80" i="2"/>
  <c r="X99" i="2"/>
  <c r="U62" i="2"/>
  <c r="L77" i="2"/>
  <c r="H44" i="2"/>
  <c r="W105" i="2"/>
  <c r="N90" i="2"/>
  <c r="E85" i="2"/>
  <c r="R74" i="2"/>
  <c r="W107" i="2"/>
  <c r="J63" i="2"/>
  <c r="U111" i="2"/>
  <c r="Q88" i="2"/>
  <c r="J79" i="2"/>
  <c r="U63" i="2"/>
  <c r="E71" i="2"/>
  <c r="F51" i="2"/>
  <c r="W61" i="2"/>
  <c r="O86" i="2"/>
  <c r="C60" i="2"/>
  <c r="R111" i="2"/>
  <c r="W80" i="2"/>
  <c r="R113" i="2"/>
  <c r="R83" i="2"/>
  <c r="J73" i="2"/>
  <c r="S72" i="2"/>
  <c r="J40" i="2"/>
  <c r="H71" i="2"/>
  <c r="L98" i="2"/>
  <c r="G88" i="2"/>
  <c r="O60" i="2"/>
  <c r="X76" i="2"/>
  <c r="U89" i="2"/>
  <c r="R72" i="2"/>
  <c r="H69" i="2"/>
  <c r="O55" i="2"/>
  <c r="M72" i="2"/>
  <c r="C52" i="2"/>
  <c r="D60" i="2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E64" i="2"/>
  <c r="K90" i="2"/>
  <c r="L112" i="2"/>
  <c r="K104" i="2"/>
  <c r="F57" i="2"/>
  <c r="K74" i="2"/>
  <c r="P107" i="2"/>
  <c r="U68" i="2"/>
  <c r="X93" i="2"/>
  <c r="R56" i="2"/>
  <c r="X98" i="2"/>
  <c r="I82" i="2"/>
  <c r="G89" i="2"/>
  <c r="X62" i="2"/>
  <c r="L50" i="2"/>
  <c r="D110" i="2"/>
  <c r="V73" i="2"/>
  <c r="V80" i="2"/>
  <c r="M45" i="2"/>
  <c r="N105" i="2"/>
  <c r="E79" i="2"/>
  <c r="C42" i="2"/>
  <c r="K88" i="2"/>
  <c r="W44" i="2"/>
  <c r="M78" i="2"/>
  <c r="I61" i="2"/>
  <c r="C74" i="2"/>
  <c r="P47" i="2"/>
  <c r="N40" i="2"/>
  <c r="W92" i="2"/>
  <c r="R51" i="2"/>
  <c r="R105" i="2"/>
  <c r="H85" i="2"/>
  <c r="L45" i="2"/>
  <c r="W48" i="2"/>
  <c r="U57" i="2"/>
  <c r="T45" i="2"/>
  <c r="S69" i="2"/>
  <c r="P88" i="2"/>
  <c r="M48" i="2"/>
  <c r="I108" i="2"/>
  <c r="L84" i="2"/>
  <c r="E46" i="2"/>
  <c r="M93" i="2"/>
  <c r="R109" i="2"/>
  <c r="E84" i="2"/>
  <c r="U74" i="2"/>
  <c r="L95" i="2"/>
  <c r="T88" i="2"/>
  <c r="X73" i="2"/>
  <c r="N88" i="2"/>
  <c r="T84" i="2"/>
  <c r="V107" i="2"/>
  <c r="F105" i="2"/>
  <c r="M110" i="2"/>
  <c r="N84" i="2"/>
  <c r="O41" i="2"/>
  <c r="K76" i="2"/>
  <c r="J50" i="2"/>
  <c r="V74" i="2"/>
  <c r="R95" i="2"/>
  <c r="X50" i="2"/>
  <c r="O54" i="2"/>
  <c r="D50" i="2"/>
  <c r="H112" i="2"/>
  <c r="G96" i="2"/>
  <c r="J65" i="2"/>
  <c r="I83" i="2"/>
  <c r="W73" i="2"/>
  <c r="S86" i="2"/>
  <c r="Q66" i="2"/>
  <c r="I76" i="2"/>
  <c r="J80" i="2"/>
  <c r="F71" i="2"/>
  <c r="C72" i="2"/>
  <c r="C71" i="2"/>
  <c r="K82" i="2"/>
  <c r="R55" i="2"/>
  <c r="J47" i="2"/>
  <c r="J57" i="2"/>
  <c r="P87" i="2"/>
  <c r="H70" i="2"/>
  <c r="Q68" i="2"/>
  <c r="H95" i="2"/>
  <c r="M99" i="2"/>
  <c r="O105" i="2"/>
  <c r="I107" i="2"/>
  <c r="S108" i="2"/>
  <c r="H41" i="2"/>
  <c r="F72" i="2"/>
  <c r="E67" i="2"/>
  <c r="F109" i="2"/>
  <c r="U78" i="2"/>
  <c r="X113" i="2"/>
  <c r="D76" i="2"/>
  <c r="U55" i="2"/>
  <c r="E99" i="2"/>
  <c r="S84" i="2"/>
  <c r="L62" i="2"/>
  <c r="F68" i="2"/>
  <c r="E89" i="2"/>
  <c r="I47" i="2"/>
  <c r="W66" i="2"/>
  <c r="K67" i="2"/>
  <c r="M94" i="2"/>
  <c r="U83" i="2"/>
  <c r="V94" i="2"/>
  <c r="H79" i="2"/>
  <c r="Q94" i="2"/>
  <c r="X51" i="2"/>
  <c r="J89" i="2"/>
  <c r="X89" i="2"/>
  <c r="Q79" i="2"/>
  <c r="W67" i="2"/>
  <c r="K84" i="2"/>
  <c r="U90" i="2"/>
  <c r="T41" i="2"/>
  <c r="U77" i="2"/>
  <c r="J70" i="2"/>
  <c r="F43" i="2"/>
  <c r="I43" i="2"/>
  <c r="L96" i="2"/>
  <c r="G105" i="2"/>
  <c r="O65" i="2"/>
  <c r="X56" i="2"/>
  <c r="X107" i="2"/>
  <c r="J69" i="2"/>
  <c r="E56" i="2"/>
  <c r="Q61" i="2"/>
  <c r="U59" i="2"/>
  <c r="D104" i="2"/>
  <c r="C90" i="2"/>
  <c r="N79" i="2"/>
  <c r="S83" i="2"/>
  <c r="X87" i="2"/>
  <c r="X111" i="2"/>
  <c r="X53" i="2"/>
  <c r="M68" i="2"/>
  <c r="E113" i="2"/>
  <c r="S56" i="2"/>
  <c r="R107" i="2"/>
  <c r="E97" i="2"/>
  <c r="X97" i="2"/>
  <c r="F45" i="2"/>
  <c r="I75" i="2"/>
  <c r="K73" i="2"/>
  <c r="P48" i="2"/>
  <c r="E87" i="2"/>
  <c r="G70" i="2"/>
  <c r="N63" i="2"/>
  <c r="N70" i="2"/>
  <c r="N55" i="2"/>
  <c r="P92" i="2"/>
  <c r="E78" i="2"/>
  <c r="J81" i="2"/>
  <c r="U64" i="2"/>
  <c r="U40" i="2"/>
  <c r="L97" i="2"/>
  <c r="N47" i="2"/>
  <c r="AB68" i="3"/>
  <c r="AB59" i="3"/>
  <c r="M85" i="2"/>
  <c r="O68" i="2"/>
  <c r="K52" i="2"/>
  <c r="M82" i="2"/>
  <c r="X108" i="2"/>
  <c r="R81" i="2"/>
  <c r="M86" i="2"/>
  <c r="S92" i="2"/>
  <c r="P99" i="2"/>
  <c r="M89" i="2"/>
  <c r="G110" i="2"/>
  <c r="J76" i="2"/>
  <c r="U109" i="2"/>
  <c r="J74" i="2"/>
  <c r="P43" i="2"/>
  <c r="Q75" i="2"/>
  <c r="E50" i="2"/>
  <c r="J44" i="2"/>
  <c r="N106" i="2"/>
  <c r="M79" i="2"/>
  <c r="I45" i="2"/>
  <c r="D59" i="2"/>
  <c r="H42" i="2"/>
  <c r="C104" i="2"/>
  <c r="V53" i="2"/>
  <c r="T61" i="2"/>
  <c r="D40" i="2"/>
  <c r="J51" i="2"/>
  <c r="P52" i="2"/>
  <c r="H90" i="2"/>
  <c r="X78" i="2"/>
  <c r="G78" i="2"/>
  <c r="L46" i="2"/>
  <c r="G62" i="2"/>
  <c r="X54" i="2"/>
  <c r="U65" i="2"/>
  <c r="X68" i="2"/>
  <c r="L40" i="2"/>
  <c r="E42" i="2"/>
  <c r="AP56" i="3"/>
  <c r="AB77" i="3"/>
  <c r="AP78" i="3"/>
  <c r="AB63" i="3"/>
  <c r="AP85" i="3"/>
  <c r="AB69" i="3"/>
  <c r="AB74" i="3"/>
  <c r="AI6" i="3"/>
  <c r="Z19" i="3"/>
  <c r="AJ17" i="3"/>
  <c r="AL20" i="3"/>
  <c r="J41" i="3"/>
  <c r="R24" i="3"/>
  <c r="V8" i="3"/>
  <c r="I28" i="3"/>
  <c r="V24" i="3"/>
  <c r="W33" i="3"/>
  <c r="AA25" i="3"/>
  <c r="U15" i="3"/>
  <c r="N19" i="3"/>
  <c r="U19" i="3"/>
  <c r="AA8" i="3"/>
  <c r="X24" i="3"/>
  <c r="W40" i="3"/>
  <c r="AJ41" i="3"/>
  <c r="X35" i="3"/>
  <c r="AE34" i="3"/>
  <c r="V41" i="3"/>
  <c r="AM21" i="3"/>
  <c r="Y11" i="3"/>
  <c r="U31" i="3"/>
  <c r="AC27" i="3"/>
  <c r="AC36" i="3"/>
  <c r="J42" i="3"/>
  <c r="AN37" i="3"/>
  <c r="AD32" i="3"/>
  <c r="M13" i="3"/>
  <c r="AN25" i="3"/>
  <c r="O16" i="3"/>
  <c r="H36" i="3"/>
  <c r="Y19" i="3"/>
  <c r="AN7" i="3"/>
  <c r="H9" i="3"/>
  <c r="AG10" i="3"/>
  <c r="R20" i="3"/>
  <c r="AA21" i="3"/>
  <c r="J38" i="3"/>
  <c r="M33" i="3"/>
  <c r="O24" i="3"/>
  <c r="U37" i="3"/>
  <c r="C27" i="3"/>
  <c r="O11" i="3"/>
  <c r="Y30" i="3"/>
  <c r="AI28" i="3"/>
  <c r="I7" i="3"/>
  <c r="H32" i="3"/>
  <c r="G48" i="3"/>
  <c r="Z37" i="3"/>
  <c r="AC23" i="3"/>
  <c r="AQ41" i="3"/>
  <c r="AE5" i="3"/>
  <c r="AE63" i="3" s="1"/>
  <c r="W35" i="3"/>
  <c r="L39" i="3"/>
  <c r="T12" i="3"/>
  <c r="AC5" i="3"/>
  <c r="AJ13" i="3"/>
  <c r="Z29" i="3"/>
  <c r="H10" i="3"/>
  <c r="R33" i="3"/>
  <c r="I6" i="3"/>
  <c r="AO16" i="3"/>
  <c r="M12" i="3"/>
  <c r="Z7" i="3"/>
  <c r="N9" i="3"/>
  <c r="AH28" i="3"/>
  <c r="AH25" i="3"/>
  <c r="AQ15" i="3"/>
  <c r="Z38" i="3"/>
  <c r="P31" i="3"/>
  <c r="Q15" i="3"/>
  <c r="L15" i="3"/>
  <c r="R13" i="3"/>
  <c r="I12" i="3"/>
  <c r="Q12" i="3"/>
  <c r="X17" i="3"/>
  <c r="AL28" i="3"/>
  <c r="Y29" i="3"/>
  <c r="AM31" i="3"/>
  <c r="AN11" i="3"/>
  <c r="AA22" i="3"/>
  <c r="AH38" i="3"/>
  <c r="K12" i="3"/>
  <c r="V21" i="3"/>
  <c r="K27" i="3"/>
  <c r="AC32" i="3"/>
  <c r="T18" i="3"/>
  <c r="AI40" i="3"/>
  <c r="AC11" i="3"/>
  <c r="N23" i="3"/>
  <c r="O40" i="3"/>
  <c r="S15" i="3"/>
  <c r="AO19" i="3"/>
  <c r="AJ40" i="3"/>
  <c r="G47" i="3"/>
  <c r="AJ27" i="3"/>
  <c r="I17" i="3"/>
  <c r="AG40" i="3"/>
  <c r="AN15" i="3"/>
  <c r="L21" i="3"/>
  <c r="N27" i="3"/>
  <c r="Y41" i="3"/>
  <c r="K8" i="3"/>
  <c r="AQ7" i="3"/>
  <c r="AO5" i="3"/>
  <c r="M40" i="3"/>
  <c r="V20" i="3"/>
  <c r="J19" i="3"/>
  <c r="S37" i="3"/>
  <c r="T31" i="3"/>
  <c r="L35" i="3"/>
  <c r="N33" i="3"/>
  <c r="S25" i="3"/>
  <c r="U42" i="3"/>
  <c r="AB17" i="3"/>
  <c r="H29" i="3"/>
  <c r="AN41" i="3"/>
  <c r="X18" i="3"/>
  <c r="AB31" i="3"/>
  <c r="X20" i="3"/>
  <c r="AD49" i="3"/>
  <c r="L41" i="3"/>
  <c r="AC24" i="3"/>
  <c r="AO13" i="3"/>
  <c r="V23" i="3"/>
  <c r="AC35" i="3"/>
  <c r="M19" i="3"/>
  <c r="AD22" i="3"/>
  <c r="AQ16" i="3"/>
  <c r="U8" i="3"/>
  <c r="AE12" i="3"/>
  <c r="AI14" i="3"/>
  <c r="C26" i="3"/>
  <c r="AA27" i="3"/>
  <c r="AA35" i="3"/>
  <c r="AG11" i="3"/>
  <c r="Z33" i="3"/>
  <c r="Z9" i="3"/>
  <c r="W16" i="3"/>
  <c r="C9" i="3"/>
  <c r="H37" i="3"/>
  <c r="Z26" i="3"/>
  <c r="O84" i="2"/>
  <c r="J56" i="2"/>
  <c r="J78" i="2"/>
  <c r="V40" i="2"/>
  <c r="T99" i="2"/>
  <c r="J75" i="2"/>
  <c r="P111" i="2"/>
  <c r="W95" i="2"/>
  <c r="E92" i="2"/>
  <c r="U67" i="2"/>
  <c r="U94" i="2"/>
  <c r="K51" i="2"/>
  <c r="N62" i="2"/>
  <c r="V99" i="2"/>
  <c r="N43" i="2"/>
  <c r="N95" i="2"/>
  <c r="O53" i="2"/>
  <c r="H62" i="2"/>
  <c r="N99" i="2"/>
  <c r="Q107" i="2"/>
  <c r="L64" i="2"/>
  <c r="K69" i="2"/>
  <c r="M74" i="2"/>
  <c r="R43" i="2"/>
  <c r="M51" i="2"/>
  <c r="M63" i="2"/>
  <c r="I51" i="2"/>
  <c r="U43" i="2"/>
  <c r="X86" i="2"/>
  <c r="X80" i="2"/>
  <c r="K83" i="2"/>
  <c r="M67" i="2"/>
  <c r="D113" i="2"/>
  <c r="H97" i="2"/>
  <c r="I79" i="2"/>
  <c r="E77" i="2"/>
  <c r="V83" i="2"/>
  <c r="G83" i="2"/>
  <c r="V95" i="2"/>
  <c r="AB58" i="3"/>
  <c r="AP97" i="3"/>
  <c r="C47" i="3"/>
  <c r="AP47" i="3"/>
  <c r="AP80" i="3"/>
  <c r="AB64" i="3"/>
  <c r="H20" i="3"/>
  <c r="AG39" i="3"/>
  <c r="V16" i="3"/>
  <c r="R18" i="3"/>
  <c r="AM32" i="3"/>
  <c r="T25" i="3"/>
  <c r="Z10" i="3"/>
  <c r="R36" i="3"/>
  <c r="P5" i="3"/>
  <c r="AK12" i="3"/>
  <c r="H38" i="3"/>
  <c r="Z15" i="3"/>
  <c r="O38" i="3"/>
  <c r="AQ38" i="3"/>
  <c r="Q16" i="3"/>
  <c r="AM22" i="3"/>
  <c r="T32" i="3"/>
  <c r="L33" i="3"/>
  <c r="AJ33" i="3"/>
  <c r="V12" i="3"/>
  <c r="H6" i="3"/>
  <c r="L8" i="3"/>
  <c r="AB34" i="3"/>
  <c r="W12" i="3"/>
  <c r="Y18" i="3"/>
  <c r="T35" i="3"/>
  <c r="AN32" i="3"/>
  <c r="AH14" i="3"/>
  <c r="C41" i="3"/>
  <c r="G40" i="3"/>
  <c r="V18" i="3"/>
  <c r="AP16" i="3"/>
  <c r="AB11" i="3"/>
  <c r="AK30" i="3"/>
  <c r="J34" i="3"/>
  <c r="W24" i="3"/>
  <c r="AB21" i="3"/>
  <c r="J7" i="3"/>
  <c r="P18" i="3"/>
  <c r="I41" i="3"/>
  <c r="AQ9" i="3"/>
  <c r="S30" i="3"/>
  <c r="L28" i="3"/>
  <c r="AQ23" i="3"/>
  <c r="AJ5" i="3"/>
  <c r="L26" i="3"/>
  <c r="H35" i="3"/>
  <c r="AI19" i="3"/>
  <c r="AB6" i="3"/>
  <c r="W36" i="3"/>
  <c r="AM20" i="3"/>
  <c r="I35" i="3"/>
  <c r="AQ33" i="3"/>
  <c r="J21" i="3"/>
  <c r="W31" i="3"/>
  <c r="AO29" i="3"/>
  <c r="AC14" i="3"/>
  <c r="AG36" i="3"/>
  <c r="S23" i="3"/>
  <c r="P19" i="3"/>
  <c r="M5" i="3"/>
  <c r="J29" i="3"/>
  <c r="AH34" i="3"/>
  <c r="S19" i="3"/>
  <c r="Q28" i="3"/>
  <c r="V32" i="3"/>
  <c r="AA14" i="3"/>
  <c r="O10" i="3"/>
  <c r="AN40" i="3"/>
  <c r="G38" i="3"/>
  <c r="U39" i="3"/>
  <c r="I33" i="3"/>
  <c r="U35" i="3"/>
  <c r="AB7" i="3"/>
  <c r="I20" i="3"/>
  <c r="AN10" i="3"/>
  <c r="U27" i="3"/>
  <c r="X33" i="3"/>
  <c r="AL18" i="3"/>
  <c r="N38" i="3"/>
  <c r="U29" i="3"/>
  <c r="AK6" i="3"/>
  <c r="M28" i="3"/>
  <c r="AM28" i="3"/>
  <c r="AK32" i="3"/>
  <c r="J33" i="3"/>
  <c r="AI7" i="3"/>
  <c r="AK38" i="3"/>
  <c r="T39" i="3"/>
  <c r="AJ10" i="3"/>
  <c r="H31" i="3"/>
  <c r="AI29" i="3"/>
  <c r="AE16" i="3"/>
  <c r="M24" i="3"/>
  <c r="S28" i="3"/>
  <c r="AO8" i="3"/>
  <c r="AL11" i="3"/>
  <c r="AK15" i="3"/>
  <c r="AO26" i="3"/>
  <c r="K16" i="3"/>
  <c r="N12" i="3"/>
  <c r="AH30" i="3"/>
  <c r="AE13" i="3"/>
  <c r="K33" i="3"/>
  <c r="T36" i="3"/>
  <c r="AN13" i="3"/>
  <c r="M21" i="3"/>
  <c r="AA38" i="3"/>
  <c r="I5" i="3"/>
  <c r="K26" i="3"/>
  <c r="AJ7" i="3"/>
  <c r="AP21" i="3"/>
  <c r="AQ20" i="3"/>
  <c r="S13" i="3"/>
  <c r="C11" i="3"/>
  <c r="J17" i="3"/>
  <c r="AG38" i="3"/>
  <c r="AE33" i="3"/>
  <c r="AJ34" i="3"/>
  <c r="AQ14" i="3"/>
  <c r="I42" i="3"/>
  <c r="AB33" i="3"/>
  <c r="AE6" i="3"/>
  <c r="X21" i="3"/>
  <c r="AA13" i="3"/>
  <c r="Q62" i="2"/>
  <c r="M62" i="2"/>
  <c r="F113" i="2"/>
  <c r="F99" i="2"/>
  <c r="T42" i="2"/>
  <c r="H84" i="2"/>
  <c r="Q74" i="2"/>
  <c r="W83" i="2"/>
  <c r="L44" i="2"/>
  <c r="I56" i="2"/>
  <c r="Q93" i="2"/>
  <c r="D54" i="2"/>
  <c r="N52" i="2"/>
  <c r="E108" i="2"/>
  <c r="C62" i="2"/>
  <c r="E68" i="2"/>
  <c r="J105" i="2"/>
  <c r="M81" i="2"/>
  <c r="J97" i="2"/>
  <c r="L80" i="2"/>
  <c r="W53" i="2"/>
  <c r="K71" i="2"/>
  <c r="R71" i="2"/>
  <c r="N49" i="2"/>
  <c r="R73" i="2"/>
  <c r="I81" i="2"/>
  <c r="T93" i="2"/>
  <c r="C80" i="2"/>
  <c r="T52" i="2"/>
  <c r="S90" i="2"/>
  <c r="F66" i="2"/>
  <c r="T62" i="2"/>
  <c r="N67" i="2"/>
  <c r="J98" i="2"/>
  <c r="V45" i="2"/>
  <c r="K64" i="2"/>
  <c r="C56" i="2"/>
  <c r="L105" i="2"/>
  <c r="F69" i="2"/>
  <c r="F88" i="2"/>
  <c r="AB73" i="3"/>
  <c r="AB72" i="3"/>
  <c r="AP61" i="3"/>
  <c r="AP81" i="3"/>
  <c r="AB56" i="3"/>
  <c r="AP67" i="3"/>
  <c r="T23" i="3"/>
  <c r="H17" i="3"/>
  <c r="L32" i="3"/>
  <c r="AK5" i="3"/>
  <c r="AK71" i="3" s="1"/>
  <c r="J16" i="3"/>
  <c r="AO39" i="3"/>
  <c r="E49" i="3"/>
  <c r="AJ22" i="3"/>
  <c r="AD37" i="3"/>
  <c r="AI24" i="3"/>
  <c r="G41" i="3"/>
  <c r="X27" i="3"/>
  <c r="G42" i="3"/>
  <c r="R35" i="3"/>
  <c r="AH17" i="3"/>
  <c r="V31" i="3"/>
  <c r="P30" i="3"/>
  <c r="Y13" i="3"/>
  <c r="AJ24" i="3"/>
  <c r="AA30" i="3"/>
  <c r="AG37" i="3"/>
  <c r="AC22" i="3"/>
  <c r="AP23" i="3"/>
  <c r="M23" i="3"/>
  <c r="AH22" i="3"/>
  <c r="AJ30" i="3"/>
  <c r="AE7" i="3"/>
  <c r="G35" i="3"/>
  <c r="X16" i="3"/>
  <c r="AH37" i="3"/>
  <c r="M25" i="3"/>
  <c r="AO14" i="3"/>
  <c r="P27" i="3"/>
  <c r="J18" i="3"/>
  <c r="S9" i="3"/>
  <c r="T41" i="3"/>
  <c r="AG26" i="3"/>
  <c r="AB10" i="3"/>
  <c r="AP9" i="3"/>
  <c r="AC8" i="3"/>
  <c r="AE18" i="3"/>
  <c r="AB12" i="3"/>
  <c r="J15" i="3"/>
  <c r="AJ8" i="3"/>
  <c r="T16" i="3"/>
  <c r="U22" i="3"/>
  <c r="AN14" i="3"/>
  <c r="AO25" i="3"/>
  <c r="AG6" i="3"/>
  <c r="O7" i="3"/>
  <c r="M6" i="3"/>
  <c r="W11" i="3"/>
  <c r="AH29" i="3"/>
  <c r="I14" i="3"/>
  <c r="AL34" i="3"/>
  <c r="AK7" i="3"/>
  <c r="S41" i="3"/>
  <c r="AP18" i="3"/>
  <c r="AI27" i="3"/>
  <c r="AA23" i="3"/>
  <c r="M38" i="3"/>
  <c r="AI36" i="3"/>
  <c r="AK39" i="3"/>
  <c r="U23" i="3"/>
  <c r="AN5" i="3"/>
  <c r="AN65" i="3" s="1"/>
  <c r="P11" i="3"/>
  <c r="R39" i="3"/>
  <c r="AC26" i="3"/>
  <c r="AP39" i="3"/>
  <c r="AB35" i="3"/>
  <c r="J9" i="3"/>
  <c r="AB36" i="3"/>
  <c r="Z13" i="3"/>
  <c r="V6" i="3"/>
  <c r="Q6" i="3"/>
  <c r="L13" i="3"/>
  <c r="T7" i="3"/>
  <c r="AK42" i="3"/>
  <c r="N6" i="3"/>
  <c r="U18" i="3"/>
  <c r="AD27" i="3"/>
  <c r="C29" i="3"/>
  <c r="AQ25" i="3"/>
  <c r="Q13" i="3"/>
  <c r="O14" i="3"/>
  <c r="K31" i="3"/>
  <c r="U7" i="3"/>
  <c r="AD42" i="3"/>
  <c r="P26" i="3"/>
  <c r="AQ10" i="3"/>
  <c r="Y27" i="3"/>
  <c r="U16" i="3"/>
  <c r="AQ17" i="3"/>
  <c r="C30" i="3"/>
  <c r="Q5" i="3"/>
  <c r="K19" i="3"/>
  <c r="AI32" i="3"/>
  <c r="AO41" i="3"/>
  <c r="AH32" i="3"/>
  <c r="E95" i="2"/>
  <c r="F70" i="2"/>
  <c r="W63" i="2"/>
  <c r="U82" i="2"/>
  <c r="M76" i="2"/>
  <c r="G81" i="2"/>
  <c r="F87" i="2"/>
  <c r="G82" i="2"/>
  <c r="P98" i="2"/>
  <c r="K42" i="2"/>
  <c r="N66" i="2"/>
  <c r="R89" i="2"/>
  <c r="M41" i="2"/>
  <c r="D87" i="2"/>
  <c r="L56" i="2"/>
  <c r="T87" i="2"/>
  <c r="O44" i="2"/>
  <c r="J64" i="2"/>
  <c r="M107" i="2"/>
  <c r="D77" i="2"/>
  <c r="T60" i="2"/>
  <c r="V81" i="2"/>
  <c r="Q42" i="2"/>
  <c r="H61" i="2"/>
  <c r="O97" i="2"/>
  <c r="T96" i="2"/>
  <c r="Q98" i="2"/>
  <c r="J96" i="2"/>
  <c r="O91" i="2"/>
  <c r="G67" i="2"/>
  <c r="R68" i="2"/>
  <c r="X74" i="2"/>
  <c r="C51" i="2"/>
  <c r="I58" i="2"/>
  <c r="W52" i="2"/>
  <c r="G51" i="2"/>
  <c r="O61" i="2"/>
  <c r="X85" i="2"/>
  <c r="M47" i="2"/>
  <c r="C63" i="2"/>
  <c r="AP96" i="3"/>
  <c r="AB47" i="3"/>
  <c r="AB94" i="3"/>
  <c r="AP62" i="3"/>
  <c r="AP76" i="3"/>
  <c r="AB91" i="3"/>
  <c r="C28" i="3"/>
  <c r="AP12" i="3"/>
  <c r="AC18" i="3"/>
  <c r="N26" i="3"/>
  <c r="AQ39" i="3"/>
  <c r="AL41" i="3"/>
  <c r="Z6" i="3"/>
  <c r="P34" i="3"/>
  <c r="AD24" i="3"/>
  <c r="S36" i="3"/>
  <c r="W37" i="3"/>
  <c r="I37" i="3"/>
  <c r="AA9" i="3"/>
  <c r="L37" i="3"/>
  <c r="Y6" i="3"/>
  <c r="M11" i="3"/>
  <c r="X34" i="3"/>
  <c r="P25" i="3"/>
  <c r="O5" i="3"/>
  <c r="M15" i="3"/>
  <c r="AI15" i="3"/>
  <c r="I39" i="3"/>
  <c r="W15" i="3"/>
  <c r="AB23" i="3"/>
  <c r="Z35" i="3"/>
  <c r="AG7" i="3"/>
  <c r="AG27" i="3"/>
  <c r="AN35" i="3"/>
  <c r="H19" i="3"/>
  <c r="H40" i="3"/>
  <c r="Q26" i="3"/>
  <c r="R30" i="3"/>
  <c r="K23" i="3"/>
  <c r="V34" i="3"/>
  <c r="AN23" i="3"/>
  <c r="S17" i="3"/>
  <c r="J27" i="3"/>
  <c r="AM13" i="3"/>
  <c r="M26" i="3"/>
  <c r="AK9" i="3"/>
  <c r="V25" i="3"/>
  <c r="K42" i="3"/>
  <c r="AG21" i="3"/>
  <c r="U28" i="3"/>
  <c r="AE8" i="3"/>
  <c r="R14" i="3"/>
  <c r="X5" i="3"/>
  <c r="X73" i="3" s="1"/>
  <c r="AK34" i="3"/>
  <c r="AC9" i="3"/>
  <c r="AQ21" i="3"/>
  <c r="AB26" i="3"/>
  <c r="H18" i="3"/>
  <c r="Y24" i="3"/>
  <c r="AQ37" i="3"/>
  <c r="AM30" i="3"/>
  <c r="Y37" i="3"/>
  <c r="H7" i="3"/>
  <c r="AI42" i="3"/>
  <c r="AE20" i="3"/>
  <c r="AE41" i="3"/>
  <c r="N42" i="3"/>
  <c r="R10" i="3"/>
  <c r="P23" i="3"/>
  <c r="AC31" i="3"/>
  <c r="AA33" i="3"/>
  <c r="AI20" i="3"/>
  <c r="AD33" i="3"/>
  <c r="M27" i="3"/>
  <c r="S39" i="3"/>
  <c r="AL36" i="3"/>
  <c r="T19" i="3"/>
  <c r="X40" i="3"/>
  <c r="AI22" i="3"/>
  <c r="AM17" i="3"/>
  <c r="C14" i="3"/>
  <c r="AA7" i="3"/>
  <c r="AJ26" i="3"/>
  <c r="Y26" i="3"/>
  <c r="C31" i="3"/>
  <c r="S29" i="3"/>
  <c r="AA20" i="3"/>
  <c r="W17" i="3"/>
  <c r="U5" i="3"/>
  <c r="Y5" i="3"/>
  <c r="K17" i="3"/>
  <c r="Z5" i="3"/>
  <c r="W20" i="3"/>
  <c r="T29" i="3"/>
  <c r="AN39" i="3"/>
  <c r="AB8" i="3"/>
  <c r="AL5" i="3"/>
  <c r="K34" i="3"/>
  <c r="AG14" i="3"/>
  <c r="R11" i="3"/>
  <c r="AC40" i="3"/>
  <c r="Q8" i="3"/>
  <c r="X11" i="3"/>
  <c r="K32" i="3"/>
  <c r="C16" i="3"/>
  <c r="R16" i="3"/>
  <c r="AB9" i="3"/>
  <c r="L24" i="3"/>
  <c r="J35" i="3"/>
  <c r="X19" i="3"/>
  <c r="AG29" i="3"/>
  <c r="AA39" i="3"/>
  <c r="AO37" i="3"/>
  <c r="C35" i="3"/>
  <c r="AC6" i="3"/>
  <c r="L22" i="3"/>
  <c r="N8" i="3"/>
  <c r="S21" i="3"/>
  <c r="AM29" i="3"/>
  <c r="E90" i="2"/>
  <c r="X65" i="2"/>
  <c r="L93" i="2"/>
  <c r="G47" i="2"/>
  <c r="D45" i="2"/>
  <c r="W60" i="2"/>
  <c r="W75" i="2"/>
  <c r="W40" i="2"/>
  <c r="O87" i="2"/>
  <c r="T48" i="2"/>
  <c r="C55" i="2"/>
  <c r="O96" i="2"/>
  <c r="L57" i="2"/>
  <c r="W106" i="2"/>
  <c r="C82" i="2"/>
  <c r="T82" i="2"/>
  <c r="F61" i="2"/>
  <c r="F107" i="2"/>
  <c r="M58" i="2"/>
  <c r="K92" i="2"/>
  <c r="U69" i="2"/>
  <c r="J86" i="2"/>
  <c r="I55" i="2"/>
  <c r="H67" i="2"/>
  <c r="X91" i="2"/>
  <c r="J49" i="2"/>
  <c r="D67" i="2"/>
  <c r="R94" i="2"/>
  <c r="E73" i="2"/>
  <c r="V97" i="2"/>
  <c r="R104" i="2"/>
  <c r="U70" i="2"/>
  <c r="K77" i="2"/>
  <c r="O66" i="2"/>
  <c r="K106" i="2"/>
  <c r="J67" i="2"/>
  <c r="C108" i="2"/>
  <c r="T63" i="2"/>
  <c r="C91" i="2"/>
  <c r="AB65" i="3"/>
  <c r="AP75" i="3"/>
  <c r="AP88" i="3"/>
  <c r="AP65" i="3"/>
  <c r="AB62" i="3"/>
  <c r="AB49" i="3"/>
  <c r="AB66" i="3"/>
  <c r="AM33" i="3"/>
  <c r="O22" i="3"/>
  <c r="O39" i="3"/>
  <c r="AM16" i="3"/>
  <c r="AP10" i="3"/>
  <c r="R25" i="3"/>
  <c r="N15" i="3"/>
  <c r="W22" i="3"/>
  <c r="AE31" i="3"/>
  <c r="S12" i="3"/>
  <c r="H28" i="3"/>
  <c r="AA34" i="3"/>
  <c r="J12" i="3"/>
  <c r="AP19" i="3"/>
  <c r="Z25" i="3"/>
  <c r="G37" i="3"/>
  <c r="T33" i="3"/>
  <c r="AP36" i="3"/>
  <c r="X14" i="3"/>
  <c r="AP37" i="3"/>
  <c r="W34" i="3"/>
  <c r="S42" i="3"/>
  <c r="R15" i="3"/>
  <c r="H27" i="3"/>
  <c r="Y25" i="3"/>
  <c r="AN20" i="3"/>
  <c r="M32" i="3"/>
  <c r="C12" i="3"/>
  <c r="P22" i="3"/>
  <c r="O42" i="3"/>
  <c r="AQ36" i="3"/>
  <c r="S11" i="3"/>
  <c r="T30" i="3"/>
  <c r="AJ23" i="3"/>
  <c r="Y28" i="3"/>
  <c r="I15" i="3"/>
  <c r="AP14" i="3"/>
  <c r="Q19" i="3"/>
  <c r="E106" i="2"/>
  <c r="F40" i="2"/>
  <c r="D70" i="2"/>
  <c r="W57" i="2"/>
  <c r="R106" i="2"/>
  <c r="R110" i="2"/>
  <c r="G48" i="2"/>
  <c r="X79" i="2"/>
  <c r="H46" i="2"/>
  <c r="V105" i="2"/>
  <c r="V62" i="2"/>
  <c r="E51" i="2"/>
  <c r="W69" i="2"/>
  <c r="O63" i="2"/>
  <c r="O59" i="2"/>
  <c r="U61" i="2"/>
  <c r="O99" i="2"/>
  <c r="L104" i="2"/>
  <c r="U112" i="2"/>
  <c r="T89" i="2"/>
  <c r="D82" i="2"/>
  <c r="M75" i="2"/>
  <c r="G56" i="2"/>
  <c r="P93" i="2"/>
  <c r="S110" i="2"/>
  <c r="W76" i="2"/>
  <c r="Q60" i="2"/>
  <c r="T109" i="2"/>
  <c r="U110" i="2"/>
  <c r="D75" i="2"/>
  <c r="T74" i="2"/>
  <c r="D99" i="2"/>
  <c r="L81" i="2"/>
  <c r="K49" i="2"/>
  <c r="D108" i="2"/>
  <c r="F41" i="2"/>
  <c r="T90" i="2"/>
  <c r="E104" i="2"/>
  <c r="W59" i="2"/>
  <c r="L69" i="2"/>
  <c r="T68" i="2"/>
  <c r="X69" i="2"/>
  <c r="S93" i="2"/>
  <c r="G52" i="2"/>
  <c r="D46" i="2"/>
  <c r="C106" i="2"/>
  <c r="D71" i="2"/>
  <c r="F54" i="2"/>
  <c r="R76" i="2"/>
  <c r="E91" i="2"/>
  <c r="N69" i="2"/>
  <c r="N113" i="2"/>
  <c r="X61" i="2"/>
  <c r="Q80" i="2"/>
  <c r="S47" i="2"/>
  <c r="H68" i="2"/>
  <c r="G80" i="2"/>
  <c r="T86" i="2"/>
  <c r="H63" i="2"/>
  <c r="O88" i="2"/>
  <c r="J88" i="2"/>
  <c r="S111" i="2"/>
  <c r="T105" i="2"/>
  <c r="T70" i="2"/>
  <c r="H77" i="2"/>
  <c r="H93" i="2"/>
  <c r="G60" i="2"/>
  <c r="D107" i="2"/>
  <c r="O108" i="2"/>
  <c r="R60" i="2"/>
  <c r="AP68" i="3"/>
  <c r="C48" i="3"/>
  <c r="AB93" i="3"/>
  <c r="AP79" i="3"/>
  <c r="AP87" i="3"/>
  <c r="C49" i="3"/>
  <c r="AB76" i="3"/>
  <c r="S7" i="3"/>
  <c r="J36" i="3"/>
  <c r="AH23" i="3"/>
  <c r="AJ31" i="3"/>
  <c r="AH31" i="3"/>
  <c r="AD50" i="3"/>
  <c r="AH21" i="3"/>
  <c r="P10" i="3"/>
  <c r="H5" i="3"/>
  <c r="AJ25" i="3"/>
  <c r="D109" i="2"/>
  <c r="U84" i="2"/>
  <c r="R78" i="2"/>
  <c r="S104" i="2"/>
  <c r="O81" i="2"/>
  <c r="K45" i="2"/>
  <c r="O83" i="2"/>
  <c r="E58" i="2"/>
  <c r="E81" i="2"/>
  <c r="X110" i="2"/>
  <c r="S49" i="2"/>
  <c r="D74" i="2"/>
  <c r="R84" i="2"/>
  <c r="S45" i="2"/>
  <c r="E54" i="2"/>
  <c r="V63" i="2"/>
  <c r="T83" i="2"/>
  <c r="J58" i="2"/>
  <c r="K40" i="2"/>
  <c r="V93" i="2"/>
  <c r="K89" i="2"/>
  <c r="X48" i="2"/>
  <c r="P86" i="2"/>
  <c r="O79" i="2"/>
  <c r="K112" i="2"/>
  <c r="H80" i="2"/>
  <c r="K85" i="2"/>
  <c r="R45" i="2"/>
  <c r="S65" i="2"/>
  <c r="N54" i="2"/>
  <c r="I88" i="2"/>
  <c r="D41" i="2"/>
  <c r="W79" i="2"/>
  <c r="R40" i="2"/>
  <c r="N98" i="2"/>
  <c r="Q47" i="2"/>
  <c r="M108" i="2"/>
  <c r="F97" i="2"/>
  <c r="L78" i="2"/>
  <c r="AB61" i="3"/>
  <c r="AP66" i="3"/>
  <c r="AB90" i="3"/>
  <c r="AP63" i="3"/>
  <c r="AP94" i="3"/>
  <c r="AB86" i="3"/>
  <c r="AP60" i="3"/>
  <c r="Z30" i="3"/>
  <c r="C37" i="3"/>
  <c r="H41" i="3"/>
  <c r="AK31" i="3"/>
  <c r="X30" i="3"/>
  <c r="AN22" i="3"/>
  <c r="AG42" i="3"/>
  <c r="AN31" i="3"/>
  <c r="X12" i="3"/>
  <c r="AE32" i="3"/>
  <c r="AI16" i="3"/>
  <c r="X7" i="3"/>
  <c r="I9" i="3"/>
  <c r="AN9" i="3"/>
  <c r="AE21" i="3"/>
  <c r="AG17" i="3"/>
  <c r="H13" i="3"/>
  <c r="AD20" i="3"/>
  <c r="AI21" i="3"/>
  <c r="W29" i="3"/>
  <c r="AN12" i="3"/>
  <c r="AB38" i="3"/>
  <c r="AG28" i="3"/>
  <c r="AJ16" i="3"/>
  <c r="AG15" i="3"/>
  <c r="AB37" i="3"/>
  <c r="P8" i="3"/>
  <c r="AM12" i="3"/>
  <c r="O41" i="3"/>
  <c r="L31" i="3"/>
  <c r="I13" i="3"/>
  <c r="AI5" i="3"/>
  <c r="AM5" i="3"/>
  <c r="C17" i="3"/>
  <c r="AL22" i="3"/>
  <c r="W7" i="3"/>
  <c r="L30" i="3"/>
  <c r="R17" i="3"/>
  <c r="AP28" i="3"/>
  <c r="X38" i="3"/>
  <c r="C34" i="3"/>
  <c r="AC25" i="3"/>
  <c r="O6" i="3"/>
  <c r="R28" i="3"/>
  <c r="AH40" i="3"/>
  <c r="AG32" i="3"/>
  <c r="V27" i="3"/>
  <c r="AG30" i="3"/>
  <c r="AP31" i="3"/>
  <c r="AK36" i="3"/>
  <c r="AL15" i="3"/>
  <c r="T14" i="3"/>
  <c r="V7" i="3"/>
  <c r="X13" i="3"/>
  <c r="AO23" i="3"/>
  <c r="K24" i="3"/>
  <c r="X29" i="3"/>
  <c r="R38" i="3"/>
  <c r="V11" i="3"/>
  <c r="AQ42" i="3"/>
  <c r="AL38" i="3"/>
  <c r="P40" i="3"/>
  <c r="P17" i="3"/>
  <c r="T21" i="3"/>
  <c r="M37" i="3"/>
  <c r="J32" i="3"/>
  <c r="AQ24" i="3"/>
  <c r="J23" i="3"/>
  <c r="X32" i="3"/>
  <c r="AD25" i="3"/>
  <c r="Z20" i="3"/>
  <c r="AE36" i="3"/>
  <c r="Y8" i="3"/>
  <c r="AG31" i="3"/>
  <c r="AM34" i="3"/>
  <c r="Z32" i="3"/>
  <c r="J40" i="3"/>
  <c r="Y14" i="3"/>
  <c r="AP42" i="3"/>
  <c r="AJ35" i="3"/>
  <c r="AO35" i="3"/>
  <c r="L12" i="3"/>
  <c r="AQ31" i="3"/>
  <c r="R31" i="3"/>
  <c r="P28" i="3"/>
  <c r="C13" i="3"/>
  <c r="AG41" i="3"/>
  <c r="AQ35" i="3"/>
  <c r="S22" i="3"/>
  <c r="V35" i="3"/>
  <c r="V28" i="3"/>
  <c r="O31" i="3"/>
  <c r="O12" i="3"/>
  <c r="AE26" i="3"/>
  <c r="H8" i="3"/>
  <c r="AM6" i="3"/>
  <c r="T15" i="3"/>
  <c r="W30" i="3"/>
  <c r="AH18" i="3"/>
  <c r="AE27" i="3"/>
  <c r="AD23" i="3"/>
  <c r="O33" i="3"/>
  <c r="AE22" i="3"/>
  <c r="W14" i="3"/>
  <c r="Q17" i="3"/>
  <c r="AH20" i="3"/>
  <c r="T5" i="3"/>
  <c r="AO22" i="3"/>
  <c r="AP32" i="3"/>
  <c r="AI33" i="3"/>
  <c r="AH8" i="3"/>
  <c r="V15" i="3"/>
  <c r="K20" i="3"/>
  <c r="Z34" i="3"/>
  <c r="O17" i="3"/>
  <c r="W21" i="3"/>
  <c r="AO20" i="3"/>
  <c r="Q35" i="3"/>
  <c r="AI30" i="3"/>
  <c r="AQ8" i="3"/>
  <c r="I95" i="2"/>
  <c r="P64" i="2"/>
  <c r="D85" i="2"/>
  <c r="U75" i="2"/>
  <c r="O98" i="2"/>
  <c r="R62" i="2"/>
  <c r="D72" i="2"/>
  <c r="C89" i="2"/>
  <c r="T75" i="2"/>
  <c r="V71" i="2"/>
  <c r="U87" i="2"/>
  <c r="S107" i="2"/>
  <c r="G68" i="2"/>
  <c r="S71" i="2"/>
  <c r="L60" i="2"/>
  <c r="U60" i="2"/>
  <c r="E107" i="2"/>
  <c r="V47" i="2"/>
  <c r="I42" i="2"/>
  <c r="E88" i="2"/>
  <c r="C93" i="2"/>
  <c r="U106" i="2"/>
  <c r="H47" i="2"/>
  <c r="O111" i="2"/>
  <c r="S59" i="2"/>
  <c r="K78" i="2"/>
  <c r="T112" i="2"/>
  <c r="V68" i="2"/>
  <c r="F77" i="2"/>
  <c r="K41" i="2"/>
  <c r="S42" i="2"/>
  <c r="C66" i="2"/>
  <c r="G76" i="2"/>
  <c r="C79" i="2"/>
  <c r="O50" i="2"/>
  <c r="C95" i="2"/>
  <c r="I73" i="2"/>
  <c r="D42" i="2"/>
  <c r="X45" i="2"/>
  <c r="AB81" i="3"/>
  <c r="AB80" i="3"/>
  <c r="AB92" i="3"/>
  <c r="AB96" i="3"/>
  <c r="AB87" i="3"/>
  <c r="AB67" i="3"/>
  <c r="AP73" i="3"/>
  <c r="W5" i="3"/>
  <c r="L19" i="3"/>
  <c r="Y22" i="3"/>
  <c r="M17" i="3"/>
  <c r="M10" i="3"/>
  <c r="S16" i="3"/>
  <c r="U30" i="3"/>
  <c r="AH33" i="3"/>
  <c r="M34" i="3"/>
  <c r="C7" i="3"/>
  <c r="AH13" i="3"/>
  <c r="C38" i="3"/>
  <c r="AO7" i="3"/>
  <c r="G66" i="2"/>
  <c r="U105" i="2"/>
  <c r="S77" i="2"/>
  <c r="T67" i="2"/>
  <c r="Q87" i="2"/>
  <c r="J55" i="2"/>
  <c r="G84" i="2"/>
  <c r="R91" i="2"/>
  <c r="X72" i="2"/>
  <c r="G53" i="2"/>
  <c r="K72" i="2"/>
  <c r="L108" i="2"/>
  <c r="V50" i="2"/>
  <c r="P82" i="2"/>
  <c r="N53" i="2"/>
  <c r="D112" i="2"/>
  <c r="J87" i="2"/>
  <c r="H52" i="2"/>
  <c r="P89" i="2"/>
  <c r="E44" i="2"/>
  <c r="S75" i="2"/>
  <c r="N91" i="2"/>
  <c r="F56" i="2"/>
  <c r="C83" i="2"/>
  <c r="G49" i="2"/>
  <c r="W45" i="2"/>
  <c r="V108" i="2"/>
  <c r="G85" i="2"/>
  <c r="N110" i="2"/>
  <c r="D68" i="2"/>
  <c r="P74" i="2"/>
  <c r="T57" i="2"/>
  <c r="G55" i="2"/>
  <c r="K58" i="2"/>
  <c r="S66" i="2"/>
  <c r="S95" i="2"/>
  <c r="O109" i="2"/>
  <c r="L109" i="2"/>
  <c r="V79" i="2"/>
  <c r="AB89" i="3"/>
  <c r="AP86" i="3"/>
  <c r="AP55" i="3"/>
  <c r="AB71" i="3"/>
  <c r="AB54" i="3"/>
  <c r="AP72" i="3"/>
  <c r="O95" i="2"/>
  <c r="E52" i="2"/>
  <c r="M53" i="2"/>
  <c r="V65" i="2"/>
  <c r="F95" i="2"/>
  <c r="C49" i="2"/>
  <c r="T40" i="2"/>
  <c r="K95" i="2"/>
  <c r="D79" i="2"/>
  <c r="V89" i="2"/>
  <c r="H111" i="2"/>
  <c r="W89" i="2"/>
  <c r="P108" i="2"/>
  <c r="R80" i="2"/>
  <c r="T106" i="2"/>
  <c r="G50" i="2"/>
  <c r="K81" i="2"/>
  <c r="M83" i="2"/>
  <c r="G63" i="2"/>
  <c r="X52" i="2"/>
  <c r="C77" i="2"/>
  <c r="M109" i="2"/>
  <c r="J48" i="2"/>
  <c r="K57" i="2"/>
  <c r="Q111" i="2"/>
  <c r="H106" i="2"/>
  <c r="V77" i="2"/>
  <c r="I105" i="2"/>
  <c r="M56" i="2"/>
  <c r="H88" i="2"/>
  <c r="T49" i="2"/>
  <c r="L61" i="2"/>
  <c r="J95" i="2"/>
  <c r="F62" i="2"/>
  <c r="S54" i="2"/>
  <c r="H59" i="2"/>
  <c r="N92" i="2"/>
  <c r="E96" i="2"/>
  <c r="N77" i="2"/>
  <c r="AP84" i="3"/>
  <c r="AB55" i="3"/>
  <c r="AP59" i="3"/>
  <c r="AP91" i="3"/>
  <c r="AP95" i="3"/>
  <c r="AP77" i="3"/>
  <c r="AB84" i="3"/>
  <c r="I22" i="3"/>
  <c r="M35" i="3"/>
  <c r="AQ13" i="3"/>
  <c r="AO33" i="3"/>
  <c r="W26" i="3"/>
  <c r="AE10" i="3"/>
  <c r="AC20" i="3"/>
  <c r="AO15" i="3"/>
  <c r="AK21" i="3"/>
  <c r="AB20" i="3"/>
  <c r="AE9" i="3"/>
  <c r="M29" i="3"/>
  <c r="AD28" i="3"/>
  <c r="S33" i="3"/>
  <c r="K29" i="3"/>
  <c r="N34" i="3"/>
  <c r="AQ18" i="3"/>
  <c r="Q31" i="3"/>
  <c r="AH42" i="3"/>
  <c r="AP30" i="3"/>
  <c r="U24" i="3"/>
  <c r="H24" i="3"/>
  <c r="AL31" i="3"/>
  <c r="AM40" i="3"/>
  <c r="M39" i="3"/>
  <c r="AD38" i="3"/>
  <c r="S34" i="3"/>
  <c r="M20" i="3"/>
  <c r="AP8" i="3"/>
  <c r="C25" i="3"/>
  <c r="M9" i="3"/>
  <c r="AK24" i="3"/>
  <c r="AH11" i="3"/>
  <c r="AA6" i="3"/>
  <c r="AE19" i="3"/>
  <c r="R6" i="3"/>
  <c r="AM9" i="3"/>
  <c r="Q38" i="3"/>
  <c r="AL16" i="3"/>
  <c r="AI34" i="3"/>
  <c r="H42" i="3"/>
  <c r="C33" i="3"/>
  <c r="AI31" i="3"/>
  <c r="N32" i="3"/>
  <c r="AJ36" i="3"/>
  <c r="C8" i="3"/>
  <c r="C24" i="3"/>
  <c r="AC17" i="3"/>
  <c r="AM24" i="3"/>
  <c r="AA32" i="3"/>
  <c r="I40" i="3"/>
  <c r="AN19" i="3"/>
  <c r="AQ22" i="3"/>
  <c r="T11" i="3"/>
  <c r="AP17" i="3"/>
  <c r="I18" i="3"/>
  <c r="N30" i="3"/>
  <c r="AN29" i="3"/>
  <c r="K6" i="3"/>
  <c r="X22" i="3"/>
  <c r="AL7" i="3"/>
  <c r="AG34" i="3"/>
  <c r="AD21" i="3"/>
  <c r="AD40" i="3"/>
  <c r="K10" i="3"/>
  <c r="AO9" i="3"/>
  <c r="M8" i="3"/>
  <c r="U25" i="3"/>
  <c r="U9" i="3"/>
  <c r="U14" i="3"/>
  <c r="P15" i="3"/>
  <c r="AO12" i="3"/>
  <c r="Q30" i="3"/>
  <c r="L17" i="3"/>
  <c r="Z21" i="3"/>
  <c r="AQ26" i="3"/>
  <c r="P37" i="3"/>
  <c r="AI37" i="3"/>
  <c r="AG20" i="3"/>
  <c r="Z18" i="3"/>
  <c r="AN42" i="3"/>
  <c r="I49" i="2"/>
  <c r="G107" i="2"/>
  <c r="G73" i="2"/>
  <c r="M105" i="2"/>
  <c r="R79" i="2"/>
  <c r="X90" i="2"/>
  <c r="W62" i="2"/>
  <c r="E41" i="2"/>
  <c r="U47" i="2"/>
  <c r="R64" i="2"/>
  <c r="D91" i="2"/>
  <c r="I99" i="2"/>
  <c r="H89" i="2"/>
  <c r="M112" i="2"/>
  <c r="E98" i="2"/>
  <c r="F112" i="2"/>
  <c r="E105" i="2"/>
  <c r="K96" i="2"/>
  <c r="S41" i="2"/>
  <c r="W78" i="2"/>
  <c r="O64" i="2"/>
  <c r="C75" i="2"/>
  <c r="S113" i="2"/>
  <c r="F58" i="2"/>
  <c r="P58" i="2"/>
  <c r="Q72" i="2"/>
  <c r="C78" i="2"/>
  <c r="G74" i="2"/>
  <c r="D106" i="2"/>
  <c r="J90" i="2"/>
  <c r="E112" i="2"/>
  <c r="Q44" i="2"/>
  <c r="U85" i="2"/>
  <c r="U108" i="2"/>
  <c r="X109" i="2"/>
  <c r="N61" i="2"/>
  <c r="T110" i="2"/>
  <c r="X84" i="2"/>
  <c r="U113" i="2"/>
  <c r="AB88" i="3"/>
  <c r="AB48" i="3"/>
  <c r="AP71" i="3"/>
  <c r="AP58" i="3"/>
  <c r="AP74" i="3"/>
  <c r="AP89" i="3"/>
  <c r="AB95" i="3"/>
  <c r="K13" i="3"/>
  <c r="AJ38" i="3"/>
  <c r="P39" i="3"/>
  <c r="AP25" i="3"/>
  <c r="T24" i="3"/>
  <c r="Y40" i="3"/>
  <c r="O21" i="3"/>
  <c r="L25" i="3"/>
  <c r="AD35" i="3"/>
  <c r="AH16" i="3"/>
  <c r="I19" i="3"/>
  <c r="K40" i="3"/>
  <c r="I36" i="3"/>
  <c r="N14" i="3"/>
  <c r="J37" i="3"/>
  <c r="AL30" i="3"/>
  <c r="L29" i="3"/>
  <c r="U11" i="3"/>
  <c r="Z11" i="3"/>
  <c r="I26" i="3"/>
  <c r="AO21" i="3"/>
  <c r="AM41" i="3"/>
  <c r="AH24" i="3"/>
  <c r="AC29" i="3"/>
  <c r="AH36" i="3"/>
  <c r="AP34" i="3"/>
  <c r="AK29" i="3"/>
  <c r="AM26" i="3"/>
  <c r="AA31" i="3"/>
  <c r="O15" i="3"/>
  <c r="R40" i="3"/>
  <c r="H21" i="3"/>
  <c r="L20" i="3"/>
  <c r="Q23" i="3"/>
  <c r="S40" i="3"/>
  <c r="AK22" i="3"/>
  <c r="AB30" i="3"/>
  <c r="AE42" i="3"/>
  <c r="W6" i="3"/>
  <c r="AC7" i="3"/>
  <c r="C15" i="3"/>
  <c r="S27" i="3"/>
  <c r="Y16" i="3"/>
  <c r="AL39" i="3"/>
  <c r="AG8" i="3"/>
  <c r="AP11" i="3"/>
  <c r="S38" i="3"/>
  <c r="AB42" i="3"/>
  <c r="C40" i="3"/>
  <c r="I21" i="3"/>
  <c r="X25" i="3"/>
  <c r="E50" i="3"/>
  <c r="L38" i="3"/>
  <c r="L36" i="3"/>
  <c r="X26" i="3"/>
  <c r="S24" i="3"/>
  <c r="AK20" i="3"/>
  <c r="Q40" i="3"/>
  <c r="AL21" i="3"/>
  <c r="AQ40" i="3"/>
  <c r="W13" i="3"/>
  <c r="Y32" i="3"/>
  <c r="AE30" i="3"/>
  <c r="AQ30" i="3"/>
  <c r="AA11" i="3"/>
  <c r="I10" i="3"/>
  <c r="Y20" i="3"/>
  <c r="AE17" i="3"/>
  <c r="R23" i="3"/>
  <c r="R21" i="3"/>
  <c r="Q14" i="3"/>
  <c r="AP20" i="3"/>
  <c r="AL25" i="3"/>
  <c r="R41" i="3"/>
  <c r="AQ27" i="3"/>
  <c r="X9" i="3"/>
  <c r="AB14" i="3"/>
  <c r="Z41" i="3"/>
  <c r="AM10" i="3"/>
  <c r="O36" i="3"/>
  <c r="Z42" i="3"/>
  <c r="Y12" i="3"/>
  <c r="Q37" i="3"/>
  <c r="C4" i="3"/>
  <c r="Y10" i="3"/>
  <c r="AP24" i="3"/>
  <c r="AP29" i="3"/>
  <c r="C10" i="3"/>
  <c r="Q20" i="3"/>
  <c r="AL14" i="3"/>
  <c r="AP27" i="3"/>
  <c r="AD34" i="3"/>
  <c r="V17" i="3"/>
  <c r="AH9" i="3"/>
  <c r="AM36" i="3"/>
  <c r="V10" i="3"/>
  <c r="C18" i="3"/>
  <c r="X41" i="3"/>
  <c r="W39" i="3"/>
  <c r="M14" i="3"/>
  <c r="J22" i="3"/>
  <c r="AJ9" i="3"/>
  <c r="V37" i="3"/>
  <c r="D94" i="2"/>
  <c r="AP82" i="3"/>
  <c r="Q34" i="3"/>
  <c r="K38" i="3"/>
  <c r="AA12" i="3"/>
  <c r="X28" i="3"/>
  <c r="X36" i="3"/>
  <c r="AI9" i="3"/>
  <c r="AK27" i="3"/>
  <c r="AA40" i="3"/>
  <c r="AH7" i="3"/>
  <c r="T28" i="3"/>
  <c r="O9" i="3"/>
  <c r="N36" i="3"/>
  <c r="T26" i="3"/>
  <c r="AL42" i="3"/>
  <c r="AP33" i="3"/>
  <c r="W10" i="3"/>
  <c r="AK13" i="3"/>
  <c r="P29" i="3"/>
  <c r="Y23" i="3"/>
  <c r="AB25" i="3"/>
  <c r="L9" i="3"/>
  <c r="AL40" i="3"/>
  <c r="J5" i="3"/>
  <c r="AH19" i="3"/>
  <c r="AJ39" i="3"/>
  <c r="R34" i="3"/>
  <c r="Q21" i="3"/>
  <c r="Q42" i="3"/>
  <c r="Y9" i="3"/>
  <c r="X39" i="3"/>
  <c r="R8" i="3"/>
  <c r="V42" i="3"/>
  <c r="C36" i="3"/>
  <c r="R19" i="3"/>
  <c r="S10" i="3"/>
  <c r="K37" i="3"/>
  <c r="AL19" i="3"/>
  <c r="AD29" i="3"/>
  <c r="AH12" i="3"/>
  <c r="Y21" i="3"/>
  <c r="M18" i="3"/>
  <c r="AA19" i="3"/>
  <c r="AO27" i="3"/>
  <c r="AE23" i="3"/>
  <c r="P42" i="3"/>
  <c r="AM7" i="3"/>
  <c r="AE37" i="3"/>
  <c r="AN21" i="3"/>
  <c r="AG5" i="3"/>
  <c r="AG33" i="3"/>
  <c r="Z39" i="3"/>
  <c r="N11" i="3"/>
  <c r="AM18" i="3"/>
  <c r="S20" i="3"/>
  <c r="H12" i="3"/>
  <c r="Q10" i="3"/>
  <c r="AH39" i="3"/>
  <c r="R7" i="3"/>
  <c r="AA26" i="3"/>
  <c r="AD31" i="3"/>
  <c r="P9" i="3"/>
  <c r="N18" i="3"/>
  <c r="U17" i="3"/>
  <c r="AG35" i="3"/>
  <c r="AK19" i="3"/>
  <c r="H22" i="3"/>
  <c r="H25" i="3"/>
  <c r="P24" i="3"/>
  <c r="T20" i="3"/>
  <c r="AO42" i="3"/>
  <c r="AN26" i="3"/>
  <c r="AB15" i="3"/>
  <c r="AM15" i="3"/>
  <c r="P33" i="3"/>
  <c r="J11" i="3"/>
  <c r="AD39" i="3"/>
  <c r="R99" i="2"/>
  <c r="AB97" i="3"/>
  <c r="I38" i="3"/>
  <c r="AP41" i="3"/>
  <c r="AM25" i="3"/>
  <c r="AM11" i="3"/>
  <c r="AE39" i="3"/>
  <c r="K35" i="3"/>
  <c r="Z28" i="3"/>
  <c r="AB18" i="3"/>
  <c r="N20" i="3"/>
  <c r="AN34" i="3"/>
  <c r="I25" i="3"/>
  <c r="Y31" i="3"/>
  <c r="V38" i="3"/>
  <c r="O19" i="3"/>
  <c r="Q22" i="3"/>
  <c r="I34" i="3"/>
  <c r="O27" i="3"/>
  <c r="AE29" i="3"/>
  <c r="AO30" i="3"/>
  <c r="AD30" i="3"/>
  <c r="J39" i="3"/>
  <c r="I11" i="3"/>
  <c r="AB40" i="3"/>
  <c r="K28" i="3"/>
  <c r="K41" i="3"/>
  <c r="Q18" i="3"/>
  <c r="Q25" i="3"/>
  <c r="V19" i="3"/>
  <c r="X42" i="3"/>
  <c r="M42" i="3"/>
  <c r="W25" i="3"/>
  <c r="D48" i="3"/>
  <c r="U32" i="3"/>
  <c r="T40" i="3"/>
  <c r="AE40" i="3"/>
  <c r="H39" i="3"/>
  <c r="V39" i="3"/>
  <c r="J26" i="3"/>
  <c r="AJ29" i="3"/>
  <c r="AN30" i="3"/>
  <c r="T27" i="3"/>
  <c r="AG25" i="3"/>
  <c r="AB29" i="3"/>
  <c r="Y36" i="3"/>
  <c r="H16" i="3"/>
  <c r="K39" i="3"/>
  <c r="AG24" i="3"/>
  <c r="AJ37" i="3"/>
  <c r="AA28" i="3"/>
  <c r="AC34" i="3"/>
  <c r="AC41" i="3"/>
  <c r="K25" i="3"/>
  <c r="AA37" i="3"/>
  <c r="AA24" i="3"/>
  <c r="AN18" i="3"/>
  <c r="AQ28" i="3"/>
  <c r="I40" i="2"/>
  <c r="AP49" i="3"/>
  <c r="S31" i="3"/>
  <c r="AI41" i="3"/>
  <c r="S32" i="3"/>
  <c r="I8" i="3"/>
  <c r="Y39" i="3"/>
  <c r="AA36" i="3"/>
  <c r="C32" i="3"/>
  <c r="AI10" i="3"/>
  <c r="AO24" i="3"/>
  <c r="AN6" i="3"/>
  <c r="AO34" i="3"/>
  <c r="AQ19" i="3"/>
  <c r="AB24" i="3"/>
  <c r="K15" i="3"/>
  <c r="AB13" i="3"/>
  <c r="M30" i="3"/>
  <c r="AJ32" i="3"/>
  <c r="L27" i="3"/>
  <c r="U26" i="3"/>
  <c r="G49" i="3"/>
  <c r="S26" i="3"/>
  <c r="L42" i="3"/>
  <c r="AK14" i="3"/>
  <c r="AB28" i="3"/>
  <c r="N7" i="3"/>
  <c r="AM35" i="3"/>
  <c r="N31" i="3"/>
  <c r="H26" i="3"/>
  <c r="AI17" i="3"/>
  <c r="U20" i="3"/>
  <c r="Q11" i="3"/>
  <c r="AK28" i="3"/>
  <c r="P14" i="3"/>
  <c r="W32" i="3"/>
  <c r="N41" i="3"/>
  <c r="G50" i="3"/>
  <c r="AD48" i="3"/>
  <c r="J20" i="3"/>
  <c r="AC28" i="3"/>
  <c r="AO36" i="3"/>
  <c r="AE15" i="3"/>
  <c r="T6" i="3"/>
  <c r="X6" i="3"/>
  <c r="G69" i="2"/>
  <c r="AB85" i="3"/>
  <c r="AQ29" i="3"/>
  <c r="AB41" i="3"/>
  <c r="N39" i="3"/>
  <c r="W19" i="3"/>
  <c r="AK17" i="3"/>
  <c r="L5" i="3"/>
  <c r="AL9" i="3"/>
  <c r="P20" i="3"/>
  <c r="N21" i="3"/>
  <c r="AL10" i="3"/>
  <c r="L16" i="3"/>
  <c r="AP15" i="3"/>
  <c r="K21" i="3"/>
  <c r="Z31" i="3"/>
  <c r="O30" i="3"/>
  <c r="W27" i="3"/>
  <c r="W41" i="3"/>
  <c r="C39" i="3"/>
  <c r="AB27" i="3"/>
  <c r="AM37" i="3"/>
  <c r="AD47" i="3"/>
  <c r="AK35" i="3"/>
  <c r="AI35" i="3"/>
  <c r="O32" i="3"/>
  <c r="U10" i="3"/>
  <c r="S5" i="3"/>
  <c r="K11" i="3"/>
  <c r="L7" i="3"/>
  <c r="AG12" i="3"/>
  <c r="D49" i="3"/>
  <c r="AH5" i="3"/>
  <c r="D47" i="3"/>
  <c r="AB32" i="3"/>
  <c r="I32" i="3"/>
  <c r="V36" i="3"/>
  <c r="Z27" i="3"/>
  <c r="W8" i="3"/>
  <c r="Q39" i="3"/>
  <c r="M7" i="3"/>
  <c r="V22" i="3"/>
  <c r="N22" i="3"/>
  <c r="N17" i="3"/>
  <c r="P12" i="3"/>
  <c r="AJ6" i="3"/>
  <c r="AJ21" i="3"/>
  <c r="L10" i="3"/>
  <c r="K63" i="2"/>
  <c r="C21" i="3"/>
  <c r="X31" i="3"/>
  <c r="Q27" i="3"/>
  <c r="I16" i="3"/>
  <c r="AH15" i="3"/>
  <c r="X10" i="3"/>
  <c r="X15" i="3"/>
  <c r="O35" i="3"/>
  <c r="C19" i="3"/>
  <c r="Y38" i="3"/>
  <c r="P6" i="3"/>
  <c r="AO11" i="3"/>
  <c r="P35" i="3"/>
  <c r="AK41" i="3"/>
  <c r="AJ11" i="3"/>
  <c r="W9" i="3"/>
  <c r="AH41" i="3"/>
  <c r="AD19" i="3"/>
  <c r="U36" i="3"/>
  <c r="C6" i="3"/>
  <c r="Z40" i="3"/>
  <c r="AN38" i="3"/>
  <c r="AD26" i="3"/>
  <c r="AI25" i="3"/>
  <c r="R27" i="3"/>
  <c r="AC21" i="3"/>
  <c r="Y35" i="3"/>
  <c r="AQ5" i="3"/>
  <c r="AA18" i="3"/>
  <c r="N16" i="3"/>
  <c r="AJ19" i="3"/>
  <c r="U38" i="3"/>
  <c r="R5" i="3"/>
  <c r="AG9" i="3"/>
  <c r="Z17" i="3"/>
  <c r="AG22" i="3"/>
  <c r="T13" i="3"/>
  <c r="AD41" i="3"/>
  <c r="J31" i="3"/>
  <c r="J14" i="3"/>
  <c r="AC16" i="3"/>
  <c r="K30" i="3"/>
  <c r="R22" i="3"/>
  <c r="N25" i="3"/>
  <c r="S18" i="3"/>
  <c r="AA15" i="3"/>
  <c r="G34" i="3"/>
  <c r="AG13" i="3"/>
  <c r="AM42" i="3"/>
  <c r="AL24" i="3"/>
  <c r="AK16" i="3"/>
  <c r="Q7" i="3"/>
  <c r="S14" i="3"/>
  <c r="N57" i="2"/>
  <c r="P32" i="3"/>
  <c r="Y17" i="3"/>
  <c r="O37" i="3"/>
  <c r="W18" i="3"/>
  <c r="AL37" i="3"/>
  <c r="R32" i="3"/>
  <c r="AC42" i="3"/>
  <c r="N10" i="3"/>
  <c r="AC13" i="3"/>
  <c r="AI38" i="3"/>
  <c r="T22" i="3"/>
  <c r="M31" i="3"/>
  <c r="AN17" i="3"/>
  <c r="I29" i="3"/>
  <c r="AO10" i="3"/>
  <c r="AG18" i="3"/>
  <c r="G39" i="3"/>
  <c r="AE38" i="3"/>
  <c r="V13" i="3"/>
  <c r="I30" i="3"/>
  <c r="AI18" i="3"/>
  <c r="AO28" i="3"/>
  <c r="AN28" i="3"/>
  <c r="AL26" i="3"/>
  <c r="W38" i="3"/>
  <c r="AI39" i="3"/>
  <c r="Q24" i="3"/>
  <c r="AA29" i="3"/>
  <c r="X8" i="3"/>
  <c r="V5" i="3"/>
  <c r="AG16" i="3"/>
  <c r="T38" i="3"/>
  <c r="Z16" i="3"/>
  <c r="AQ34" i="3"/>
  <c r="AL35" i="3"/>
  <c r="AB16" i="3"/>
  <c r="Q32" i="3"/>
  <c r="O26" i="3"/>
  <c r="AH26" i="3"/>
  <c r="K14" i="3"/>
  <c r="AK8" i="3"/>
  <c r="AN36" i="3"/>
  <c r="AI26" i="3"/>
  <c r="U40" i="3"/>
  <c r="AC15" i="3"/>
  <c r="L34" i="3"/>
  <c r="O47" i="2"/>
  <c r="AL33" i="3"/>
  <c r="Q36" i="3"/>
  <c r="H14" i="3"/>
  <c r="S35" i="3"/>
  <c r="N5" i="3"/>
  <c r="N57" i="3" s="1"/>
  <c r="AB22" i="3"/>
  <c r="V9" i="3"/>
  <c r="M22" i="3"/>
  <c r="Q29" i="3"/>
  <c r="AP26" i="3"/>
  <c r="O20" i="3"/>
  <c r="J10" i="3"/>
  <c r="S8" i="3"/>
  <c r="AL23" i="3"/>
  <c r="AK25" i="3"/>
  <c r="M41" i="3"/>
  <c r="P38" i="3"/>
  <c r="U51" i="2"/>
  <c r="N24" i="3"/>
  <c r="AK37" i="3"/>
  <c r="E47" i="3"/>
  <c r="AE25" i="3"/>
  <c r="T34" i="3"/>
  <c r="M36" i="3"/>
  <c r="J25" i="3"/>
  <c r="AE11" i="3"/>
  <c r="V29" i="3"/>
  <c r="AQ32" i="3"/>
  <c r="AC19" i="3"/>
  <c r="AJ20" i="3"/>
  <c r="AH35" i="3"/>
  <c r="AO31" i="3"/>
  <c r="U33" i="3"/>
  <c r="D50" i="3"/>
  <c r="N29" i="3"/>
  <c r="AO38" i="3"/>
  <c r="AE28" i="3"/>
  <c r="AJ28" i="3"/>
  <c r="AM23" i="3"/>
  <c r="V30" i="3"/>
  <c r="AD36" i="3"/>
  <c r="AK33" i="3"/>
  <c r="AG19" i="3"/>
  <c r="AC12" i="3"/>
  <c r="AH27" i="3"/>
  <c r="P7" i="3"/>
  <c r="H30" i="3"/>
  <c r="J24" i="3"/>
  <c r="T42" i="3"/>
  <c r="AC10" i="3"/>
  <c r="AP35" i="3"/>
  <c r="AK23" i="3"/>
  <c r="AM27" i="3"/>
  <c r="O13" i="3"/>
  <c r="K9" i="3"/>
  <c r="AP38" i="3"/>
  <c r="AB83" i="3"/>
  <c r="AN33" i="3"/>
  <c r="I23" i="3"/>
  <c r="P41" i="3"/>
  <c r="AP13" i="3"/>
  <c r="H11" i="3"/>
  <c r="P13" i="3"/>
  <c r="AP40" i="3"/>
  <c r="L6" i="3"/>
  <c r="O18" i="3"/>
  <c r="AJ15" i="3"/>
  <c r="L14" i="3"/>
  <c r="L23" i="3"/>
  <c r="AQ12" i="3"/>
  <c r="P16" i="3"/>
  <c r="L18" i="3"/>
  <c r="AA41" i="3"/>
  <c r="AL8" i="3"/>
  <c r="AA10" i="3"/>
  <c r="R9" i="3"/>
  <c r="Y33" i="3"/>
  <c r="J13" i="3"/>
  <c r="O25" i="3"/>
  <c r="W42" i="3"/>
  <c r="AA16" i="3"/>
  <c r="T37" i="3"/>
  <c r="G33" i="3"/>
  <c r="AK40" i="3"/>
  <c r="X37" i="3"/>
  <c r="AL32" i="3"/>
  <c r="Y42" i="3"/>
  <c r="AJ42" i="3"/>
  <c r="P36" i="3"/>
  <c r="K5" i="3"/>
  <c r="U13" i="3"/>
  <c r="K7" i="3"/>
  <c r="V14" i="3"/>
  <c r="K22" i="3"/>
  <c r="AH6" i="3"/>
  <c r="O34" i="3"/>
  <c r="AO40" i="3"/>
  <c r="H33" i="3"/>
  <c r="AB57" i="3"/>
  <c r="C23" i="3"/>
  <c r="Z8" i="3"/>
  <c r="AI11" i="3"/>
  <c r="K36" i="3"/>
  <c r="AM8" i="3"/>
  <c r="AM14" i="3"/>
  <c r="AM39" i="3"/>
  <c r="AA42" i="3"/>
  <c r="G32" i="3"/>
  <c r="AJ14" i="3"/>
  <c r="U12" i="3"/>
  <c r="C42" i="3"/>
  <c r="P21" i="3"/>
  <c r="AH10" i="3"/>
  <c r="E48" i="3"/>
  <c r="Q9" i="3"/>
  <c r="K18" i="3"/>
  <c r="AK10" i="3"/>
  <c r="Q41" i="3"/>
  <c r="H15" i="3"/>
  <c r="AL13" i="3"/>
  <c r="AL29" i="3"/>
  <c r="AL6" i="3"/>
  <c r="U34" i="3"/>
  <c r="W23" i="3"/>
  <c r="AN16" i="3"/>
  <c r="AI8" i="3"/>
  <c r="AP90" i="3"/>
  <c r="G36" i="3"/>
  <c r="AE24" i="3"/>
  <c r="N40" i="3"/>
  <c r="Q33" i="3"/>
  <c r="U41" i="3"/>
  <c r="Z12" i="3"/>
  <c r="C22" i="3"/>
  <c r="AN27" i="3"/>
  <c r="V33" i="3"/>
  <c r="AK11" i="3"/>
  <c r="AO32" i="3"/>
  <c r="R26" i="3"/>
  <c r="AG23" i="3"/>
  <c r="T10" i="3"/>
  <c r="AN24" i="3"/>
  <c r="AP22" i="3"/>
  <c r="Z36" i="3"/>
  <c r="R37" i="3"/>
  <c r="Z23" i="3"/>
  <c r="AO17" i="3"/>
  <c r="I24" i="3"/>
  <c r="AJ18" i="3"/>
  <c r="AO18" i="3"/>
  <c r="C20" i="3"/>
  <c r="S6" i="3"/>
  <c r="I27" i="3"/>
  <c r="AE35" i="3"/>
  <c r="L40" i="3"/>
  <c r="J28" i="3"/>
  <c r="AM19" i="3"/>
  <c r="AK26" i="3"/>
  <c r="AI13" i="3"/>
  <c r="Z14" i="3"/>
  <c r="AP57" i="3"/>
  <c r="T17" i="3"/>
  <c r="O28" i="3"/>
  <c r="L11" i="3"/>
  <c r="AE14" i="3"/>
  <c r="Y34" i="3"/>
  <c r="AA17" i="3"/>
  <c r="AC37" i="3"/>
  <c r="O8" i="3"/>
  <c r="N35" i="3"/>
  <c r="J8" i="3"/>
  <c r="Z24" i="3"/>
  <c r="AC33" i="3"/>
  <c r="AI23" i="3"/>
  <c r="R42" i="3"/>
  <c r="AA5" i="3"/>
  <c r="U6" i="3"/>
  <c r="Y7" i="3"/>
  <c r="N28" i="3"/>
  <c r="AJ12" i="3"/>
  <c r="AL12" i="3"/>
  <c r="H23" i="3"/>
  <c r="AL17" i="3"/>
  <c r="Z22" i="3"/>
  <c r="J6" i="3"/>
  <c r="N13" i="3"/>
  <c r="T9" i="3"/>
  <c r="V26" i="3"/>
  <c r="J30" i="3"/>
  <c r="AC30" i="3"/>
  <c r="Y15" i="3"/>
  <c r="AC38" i="3"/>
  <c r="N37" i="3"/>
  <c r="I31" i="3"/>
  <c r="AM38" i="3"/>
  <c r="M16" i="3"/>
  <c r="R12" i="3"/>
  <c r="AK18" i="3"/>
  <c r="V40" i="3"/>
  <c r="X23" i="3"/>
  <c r="AQ11" i="3"/>
  <c r="H63" i="3"/>
  <c r="AI76" i="3"/>
  <c r="M97" i="3"/>
  <c r="H88" i="3"/>
  <c r="O60" i="3"/>
  <c r="L80" i="3"/>
  <c r="H89" i="3"/>
  <c r="P60" i="3"/>
  <c r="J72" i="3"/>
  <c r="AC82" i="3"/>
  <c r="M87" i="3"/>
  <c r="P86" i="3"/>
  <c r="J87" i="3"/>
  <c r="S72" i="3"/>
  <c r="AC84" i="3"/>
  <c r="W87" i="3"/>
  <c r="N83" i="3"/>
  <c r="AM86" i="3"/>
  <c r="T80" i="3"/>
  <c r="AG88" i="3"/>
  <c r="R88" i="3"/>
  <c r="AN86" i="3"/>
  <c r="V55" i="3"/>
  <c r="S97" i="3"/>
  <c r="U62" i="3"/>
  <c r="AQ62" i="3"/>
  <c r="I59" i="3"/>
  <c r="AQ59" i="3"/>
  <c r="X57" i="3"/>
  <c r="AL58" i="3"/>
  <c r="T59" i="3"/>
  <c r="R95" i="3"/>
  <c r="T48" i="3"/>
  <c r="Y86" i="3"/>
  <c r="Z87" i="3"/>
  <c r="AM97" i="3"/>
  <c r="U88" i="3"/>
  <c r="AL71" i="3"/>
  <c r="R56" i="3"/>
  <c r="T79" i="3"/>
  <c r="Q62" i="3"/>
  <c r="O77" i="3"/>
  <c r="O97" i="3"/>
  <c r="AK67" i="3"/>
  <c r="AK62" i="3"/>
  <c r="AI92" i="3"/>
  <c r="AC50" i="3"/>
  <c r="Q54" i="3"/>
  <c r="Q69" i="3"/>
  <c r="AI66" i="3"/>
  <c r="Q59" i="3"/>
  <c r="AC90" i="3"/>
  <c r="AC91" i="3"/>
  <c r="V78" i="3"/>
  <c r="N76" i="3"/>
  <c r="Z67" i="3"/>
  <c r="J71" i="3"/>
  <c r="K73" i="3"/>
  <c r="W93" i="3"/>
  <c r="AK87" i="3"/>
  <c r="Q50" i="3"/>
  <c r="AL70" i="3"/>
  <c r="AH85" i="3"/>
  <c r="Q84" i="3"/>
  <c r="AC47" i="3"/>
  <c r="K87" i="3"/>
  <c r="AH91" i="3"/>
  <c r="Y65" i="3"/>
  <c r="R69" i="3"/>
  <c r="M63" i="3"/>
  <c r="O82" i="3"/>
  <c r="T88" i="3"/>
  <c r="AH65" i="3"/>
  <c r="AO55" i="3"/>
  <c r="I90" i="3"/>
  <c r="AN61" i="3"/>
  <c r="X96" i="3"/>
  <c r="AM57" i="3"/>
  <c r="U75" i="3"/>
  <c r="S74" i="3"/>
  <c r="I63" i="3"/>
  <c r="V89" i="3"/>
  <c r="L74" i="3"/>
  <c r="L85" i="3"/>
  <c r="AA77" i="3"/>
  <c r="AI62" i="3"/>
  <c r="AK84" i="3"/>
  <c r="H59" i="3"/>
  <c r="H83" i="3"/>
  <c r="L87" i="3"/>
  <c r="L71" i="3"/>
  <c r="AN93" i="3"/>
  <c r="O89" i="3"/>
  <c r="T81" i="3"/>
  <c r="AA62" i="3"/>
  <c r="AK47" i="3"/>
  <c r="AH75" i="3"/>
  <c r="K71" i="3"/>
  <c r="AQ89" i="3"/>
  <c r="T82" i="3"/>
  <c r="I61" i="3"/>
  <c r="H57" i="3"/>
  <c r="AN55" i="3"/>
  <c r="AE71" i="3"/>
  <c r="Q83" i="3"/>
  <c r="N63" i="3"/>
  <c r="U55" i="3"/>
  <c r="AH47" i="3"/>
  <c r="AJ68" i="3"/>
  <c r="R85" i="3"/>
  <c r="AJ62" i="3"/>
  <c r="K76" i="3"/>
  <c r="X64" i="3"/>
  <c r="AN56" i="3"/>
  <c r="AJ90" i="3"/>
  <c r="N55" i="3"/>
  <c r="K95" i="3"/>
  <c r="Z71" i="3"/>
  <c r="H56" i="3"/>
  <c r="AA67" i="3"/>
  <c r="J63" i="3"/>
  <c r="AC62" i="3"/>
  <c r="R57" i="3"/>
  <c r="AQ68" i="3"/>
  <c r="U70" i="3"/>
  <c r="Q95" i="3"/>
  <c r="AC49" i="3"/>
  <c r="K65" i="3"/>
  <c r="AE57" i="3"/>
  <c r="T60" i="3"/>
  <c r="AI78" i="3"/>
  <c r="AI60" i="3"/>
  <c r="H68" i="3"/>
  <c r="O96" i="3"/>
  <c r="AA65" i="3"/>
  <c r="L68" i="3"/>
  <c r="O78" i="3"/>
  <c r="O87" i="3"/>
  <c r="AE75" i="3"/>
  <c r="H82" i="3"/>
  <c r="Q82" i="3"/>
  <c r="O81" i="3"/>
  <c r="AE55" i="3"/>
  <c r="U68" i="3"/>
  <c r="T63" i="3"/>
  <c r="W55" i="3"/>
  <c r="N59" i="3"/>
  <c r="AM78" i="3"/>
  <c r="AO86" i="3"/>
  <c r="AG76" i="3"/>
  <c r="AC77" i="3"/>
  <c r="X67" i="3"/>
  <c r="AL60" i="3"/>
  <c r="S66" i="3"/>
  <c r="U64" i="3"/>
  <c r="AQ56" i="3"/>
  <c r="I97" i="3"/>
  <c r="AQ88" i="3"/>
  <c r="X93" i="3"/>
  <c r="AL87" i="3"/>
  <c r="T50" i="3"/>
  <c r="R61" i="3"/>
  <c r="AE88" i="3"/>
  <c r="O75" i="3"/>
  <c r="T62" i="3"/>
  <c r="AM68" i="3"/>
  <c r="U54" i="3"/>
  <c r="K97" i="3"/>
  <c r="I76" i="3"/>
  <c r="AL91" i="3"/>
  <c r="L90" i="3"/>
  <c r="AA60" i="3"/>
  <c r="J49" i="3"/>
  <c r="N79" i="3"/>
  <c r="N73" i="3"/>
  <c r="AM66" i="3"/>
  <c r="L75" i="3"/>
  <c r="J89" i="3"/>
  <c r="J88" i="3"/>
  <c r="L50" i="3"/>
  <c r="AO64" i="3"/>
  <c r="M62" i="3"/>
  <c r="AQ54" i="3"/>
  <c r="V70" i="3"/>
  <c r="AA47" i="3"/>
  <c r="AC72" i="3"/>
  <c r="X77" i="3"/>
  <c r="AG65" i="3"/>
  <c r="W71" i="3"/>
  <c r="AM90" i="3"/>
  <c r="J64" i="3"/>
  <c r="K84" i="3"/>
  <c r="U81" i="3"/>
  <c r="Q79" i="3"/>
  <c r="AC54" i="3"/>
  <c r="K68" i="3"/>
  <c r="AH82" i="3"/>
  <c r="Y81" i="3"/>
  <c r="R64" i="3"/>
  <c r="AL76" i="3"/>
  <c r="J55" i="3"/>
  <c r="T61" i="3"/>
  <c r="U71" i="3"/>
  <c r="V74" i="3"/>
  <c r="I67" i="3"/>
  <c r="V91" i="3"/>
  <c r="Z94" i="3"/>
  <c r="AM49" i="3"/>
  <c r="R68" i="3"/>
  <c r="AH54" i="3"/>
  <c r="W83" i="3"/>
  <c r="AL72" i="3"/>
  <c r="AM65" i="3"/>
  <c r="L55" i="3"/>
  <c r="AJ73" i="3"/>
  <c r="AI48" i="3"/>
  <c r="AK92" i="3"/>
  <c r="V68" i="3"/>
  <c r="AA78" i="3"/>
  <c r="P74" i="3"/>
  <c r="P63" i="3"/>
  <c r="T77" i="3"/>
  <c r="J65" i="3"/>
  <c r="AH78" i="3"/>
  <c r="X66" i="3"/>
  <c r="AM54" i="3"/>
  <c r="U50" i="3"/>
  <c r="S50" i="3"/>
  <c r="R65" i="3"/>
  <c r="V58" i="3"/>
  <c r="Y50" i="3"/>
  <c r="P65" i="3"/>
  <c r="P77" i="3"/>
  <c r="AE60" i="3"/>
  <c r="AN97" i="3"/>
  <c r="AK73" i="3"/>
  <c r="AC89" i="3"/>
  <c r="U89" i="3"/>
  <c r="X75" i="3"/>
  <c r="K57" i="3"/>
  <c r="AA84" i="3"/>
  <c r="W95" i="3"/>
  <c r="V75" i="3"/>
  <c r="AO57" i="3"/>
  <c r="Q49" i="3"/>
  <c r="AK88" i="3"/>
  <c r="AH97" i="3"/>
  <c r="V94" i="3"/>
  <c r="M81" i="3"/>
  <c r="Z91" i="3"/>
  <c r="AC64" i="3"/>
  <c r="AO85" i="3"/>
  <c r="I83" i="3"/>
  <c r="I95" i="3"/>
  <c r="AM83" i="3"/>
  <c r="AK77" i="3"/>
  <c r="H75" i="3"/>
  <c r="J91" i="3"/>
  <c r="AN64" i="3"/>
  <c r="P59" i="3"/>
  <c r="Q87" i="3"/>
  <c r="M96" i="3"/>
  <c r="H97" i="3"/>
  <c r="AE72" i="3"/>
  <c r="J95" i="3"/>
  <c r="O50" i="3"/>
  <c r="AJ94" i="3"/>
  <c r="Z80" i="3"/>
  <c r="AO97" i="3"/>
  <c r="W86" i="3"/>
  <c r="N77" i="3"/>
  <c r="U48" i="3"/>
  <c r="V92" i="3"/>
  <c r="AG61" i="3"/>
  <c r="V54" i="3"/>
  <c r="X59" i="3"/>
  <c r="AL83" i="3"/>
  <c r="S96" i="3"/>
  <c r="U86" i="3"/>
  <c r="AQ87" i="3"/>
  <c r="W78" i="3"/>
  <c r="R93" i="3"/>
  <c r="Z75" i="3"/>
  <c r="K90" i="3"/>
  <c r="T67" i="3"/>
  <c r="R80" i="3"/>
  <c r="AN49" i="3"/>
  <c r="Q72" i="3"/>
  <c r="AO69" i="3"/>
  <c r="AG74" i="3"/>
  <c r="R62" i="3"/>
  <c r="S80" i="3"/>
  <c r="I92" i="3"/>
  <c r="K60" i="3"/>
  <c r="AM48" i="3"/>
  <c r="L96" i="3"/>
  <c r="T74" i="3"/>
  <c r="AI82" i="3"/>
  <c r="N67" i="3"/>
  <c r="AM87" i="3"/>
  <c r="L54" i="3"/>
  <c r="AE59" i="3"/>
  <c r="AC74" i="3"/>
  <c r="L48" i="3"/>
  <c r="H87" i="3"/>
  <c r="AE89" i="3"/>
  <c r="Q67" i="3"/>
  <c r="AH89" i="3"/>
  <c r="Q47" i="3"/>
  <c r="T95" i="3"/>
  <c r="X58" i="3"/>
  <c r="Y59" i="3"/>
  <c r="W92" i="3"/>
  <c r="AM72" i="3"/>
  <c r="AE91" i="3"/>
  <c r="AG96" i="3"/>
  <c r="U73" i="3"/>
  <c r="J57" i="3"/>
  <c r="T66" i="3"/>
  <c r="K83" i="3"/>
  <c r="AH62" i="3"/>
  <c r="Y76" i="3"/>
  <c r="R59" i="3"/>
  <c r="AL95" i="3"/>
  <c r="I60" i="3"/>
  <c r="S67" i="3"/>
  <c r="O61" i="3"/>
  <c r="AM80" i="3"/>
  <c r="AK69" i="3"/>
  <c r="L66" i="3"/>
  <c r="L59" i="3"/>
  <c r="AI84" i="3"/>
  <c r="O66" i="3"/>
  <c r="J85" i="3"/>
  <c r="H58" i="3"/>
  <c r="AE84" i="3"/>
  <c r="AN71" i="3"/>
  <c r="AE79" i="3"/>
  <c r="M95" i="3"/>
  <c r="AN60" i="3"/>
  <c r="M59" i="3"/>
  <c r="AO50" i="3"/>
  <c r="W59" i="3"/>
  <c r="N71" i="3"/>
  <c r="M48" i="3"/>
  <c r="V79" i="3"/>
  <c r="S87" i="3"/>
  <c r="AG73" i="3"/>
  <c r="Z70" i="3"/>
  <c r="AL93" i="3"/>
  <c r="S73" i="3"/>
  <c r="Y96" i="3"/>
  <c r="AQ72" i="3"/>
  <c r="W75" i="3"/>
  <c r="I80" i="3"/>
  <c r="Z64" i="3"/>
  <c r="K89" i="3"/>
  <c r="AO71" i="3"/>
  <c r="I48" i="3"/>
  <c r="Q86" i="3"/>
  <c r="N50" i="3"/>
  <c r="K62" i="3"/>
  <c r="AA88" i="3"/>
  <c r="AG56" i="3"/>
  <c r="S47" i="3"/>
  <c r="M92" i="3"/>
  <c r="S69" i="3"/>
  <c r="AK93" i="3"/>
  <c r="H69" i="3"/>
  <c r="R74" i="3"/>
  <c r="AI97" i="3"/>
  <c r="AM81" i="3"/>
  <c r="L94" i="3"/>
  <c r="H85" i="3"/>
  <c r="AE68" i="3"/>
  <c r="P50" i="3"/>
  <c r="L63" i="3"/>
  <c r="J81" i="3"/>
  <c r="X89" i="3"/>
  <c r="H84" i="3"/>
  <c r="Y47" i="3"/>
  <c r="Q68" i="3"/>
  <c r="AO82" i="3"/>
  <c r="Z58" i="3"/>
  <c r="AQ94" i="3"/>
  <c r="N56" i="3"/>
  <c r="AM88" i="3"/>
  <c r="AJ47" i="3"/>
  <c r="AG85" i="3"/>
  <c r="U58" i="3"/>
  <c r="AJ59" i="3"/>
  <c r="AO62" i="3"/>
  <c r="K55" i="3"/>
  <c r="AH96" i="3"/>
  <c r="Y87" i="3"/>
  <c r="I49" i="3"/>
  <c r="K64" i="3"/>
  <c r="AJ75" i="3"/>
  <c r="AO84" i="3"/>
  <c r="X94" i="3"/>
  <c r="AQ78" i="3"/>
  <c r="AC57" i="3"/>
  <c r="N48" i="3"/>
  <c r="K91" i="3"/>
  <c r="AA85" i="3"/>
  <c r="S76" i="3"/>
  <c r="U57" i="3"/>
  <c r="S48" i="3"/>
  <c r="AH55" i="3"/>
  <c r="AI71" i="3"/>
  <c r="L93" i="3"/>
  <c r="AH49" i="3"/>
  <c r="AK97" i="3"/>
  <c r="AK54" i="3"/>
  <c r="AI94" i="3"/>
  <c r="L62" i="3"/>
  <c r="Q73" i="3"/>
  <c r="Q88" i="3"/>
  <c r="L78" i="3"/>
  <c r="AJ69" i="3"/>
  <c r="M57" i="3"/>
  <c r="AO78" i="3"/>
  <c r="M72" i="3"/>
  <c r="Q94" i="3"/>
  <c r="AH69" i="3"/>
  <c r="I58" i="3"/>
  <c r="S70" i="3"/>
  <c r="O58" i="3"/>
  <c r="AM89" i="3"/>
  <c r="O76" i="3"/>
  <c r="H60" i="3"/>
  <c r="AO88" i="3"/>
  <c r="AM58" i="3"/>
  <c r="AJ58" i="3"/>
  <c r="Y83" i="3"/>
  <c r="V47" i="3"/>
  <c r="AQ91" i="3"/>
  <c r="AN59" i="3"/>
  <c r="AK65" i="3"/>
  <c r="S63" i="3"/>
  <c r="X83" i="3"/>
  <c r="O64" i="3"/>
  <c r="AJ88" i="3"/>
  <c r="Y67" i="3"/>
  <c r="I55" i="3"/>
  <c r="V72" i="3"/>
  <c r="K92" i="3"/>
  <c r="K93" i="3"/>
  <c r="K58" i="3"/>
  <c r="AM67" i="3"/>
  <c r="AK96" i="3"/>
  <c r="H92" i="3"/>
  <c r="H76" i="3"/>
  <c r="L82" i="3"/>
  <c r="O47" i="3"/>
  <c r="J80" i="3"/>
  <c r="J56" i="3"/>
  <c r="AE85" i="3"/>
  <c r="P61" i="3"/>
  <c r="AJ67" i="3"/>
  <c r="Q75" i="3"/>
  <c r="X54" i="3"/>
  <c r="AA95" i="3"/>
  <c r="V87" i="3"/>
  <c r="W56" i="3"/>
  <c r="AK89" i="3"/>
  <c r="AA87" i="3"/>
  <c r="AL89" i="3"/>
  <c r="AH56" i="3"/>
  <c r="AG49" i="3"/>
  <c r="Z76" i="3"/>
  <c r="AL61" i="3"/>
  <c r="AH64" i="3"/>
  <c r="Y84" i="3"/>
  <c r="R54" i="3"/>
  <c r="H47" i="3"/>
  <c r="P69" i="3"/>
  <c r="AC86" i="3"/>
  <c r="S85" i="3"/>
  <c r="AO49" i="3"/>
  <c r="I77" i="3"/>
  <c r="H70" i="3"/>
  <c r="Q74" i="3"/>
  <c r="AQ58" i="3"/>
  <c r="J92" i="3"/>
  <c r="Q71" i="3"/>
  <c r="S71" i="3"/>
  <c r="K54" i="3"/>
  <c r="X80" i="3"/>
  <c r="AI87" i="3"/>
  <c r="O63" i="3"/>
  <c r="S58" i="3"/>
  <c r="AI69" i="3"/>
  <c r="M60" i="3"/>
  <c r="P88" i="3"/>
  <c r="O83" i="3"/>
  <c r="X49" i="3"/>
  <c r="H96" i="3"/>
  <c r="P84" i="3"/>
  <c r="J90" i="3"/>
  <c r="AC75" i="3"/>
  <c r="O86" i="3"/>
  <c r="AI88" i="3"/>
  <c r="J60" i="3"/>
  <c r="AO58" i="3"/>
  <c r="Z48" i="3"/>
  <c r="W89" i="3"/>
  <c r="N91" i="3"/>
  <c r="AM91" i="3"/>
  <c r="AN94" i="3"/>
  <c r="AG70" i="3"/>
  <c r="U69" i="3"/>
  <c r="AJ66" i="3"/>
  <c r="AO68" i="3"/>
  <c r="S65" i="3"/>
  <c r="AH70" i="3"/>
  <c r="Y64" i="3"/>
  <c r="I54" i="3"/>
  <c r="S93" i="3"/>
  <c r="AJ50" i="3"/>
  <c r="V61" i="3"/>
  <c r="X65" i="3"/>
  <c r="AQ82" i="3"/>
  <c r="AE90" i="3"/>
  <c r="Q97" i="3"/>
  <c r="AG95" i="3"/>
  <c r="AE56" i="3"/>
  <c r="AI75" i="3"/>
  <c r="AK68" i="3"/>
  <c r="AJ61" i="3"/>
  <c r="M94" i="3"/>
  <c r="P58" i="3"/>
  <c r="L69" i="3"/>
  <c r="AE67" i="3"/>
  <c r="AJ95" i="3"/>
  <c r="AJ72" i="3"/>
  <c r="O90" i="3"/>
  <c r="AN78" i="3"/>
  <c r="AN90" i="3"/>
  <c r="X63" i="3"/>
  <c r="AA59" i="3"/>
  <c r="K80" i="3"/>
  <c r="W96" i="3"/>
  <c r="AK85" i="3"/>
  <c r="AA76" i="3"/>
  <c r="AL96" i="3"/>
  <c r="AH66" i="3"/>
  <c r="S79" i="3"/>
  <c r="AC65" i="3"/>
  <c r="K72" i="3"/>
  <c r="AH71" i="3"/>
  <c r="Y94" i="3"/>
  <c r="R47" i="3"/>
  <c r="M69" i="3"/>
  <c r="O71" i="3"/>
  <c r="T58" i="3"/>
  <c r="AH77" i="3"/>
  <c r="V97" i="3"/>
  <c r="I57" i="3"/>
  <c r="AJ65" i="3"/>
  <c r="AJ54" i="3"/>
  <c r="W65" i="3"/>
  <c r="AN62" i="3"/>
  <c r="AJ74" i="3"/>
  <c r="AH73" i="3"/>
  <c r="Y63" i="3"/>
  <c r="AC69" i="3"/>
  <c r="AI56" i="3"/>
  <c r="AI95" i="3"/>
  <c r="L64" i="3"/>
  <c r="AI57" i="3"/>
  <c r="P87" i="3"/>
  <c r="H91" i="3"/>
  <c r="AA83" i="3"/>
  <c r="P62" i="3"/>
  <c r="O57" i="3"/>
  <c r="O48" i="3"/>
  <c r="T75" i="3"/>
  <c r="AA91" i="3"/>
  <c r="M76" i="3"/>
  <c r="O62" i="3"/>
  <c r="AE69" i="3"/>
  <c r="S95" i="3"/>
  <c r="AC71" i="3"/>
  <c r="W81" i="3"/>
  <c r="N97" i="3"/>
  <c r="AM96" i="3"/>
  <c r="Z97" i="3"/>
  <c r="AG90" i="3"/>
  <c r="R78" i="3"/>
  <c r="AJ76" i="3"/>
  <c r="V66" i="3"/>
  <c r="S75" i="3"/>
  <c r="U84" i="3"/>
  <c r="Y61" i="3"/>
  <c r="I93" i="3"/>
  <c r="AH50" i="3"/>
  <c r="AN48" i="3"/>
  <c r="AL94" i="3"/>
  <c r="Z72" i="3"/>
  <c r="AQ92" i="3"/>
  <c r="Z68" i="3"/>
  <c r="J73" i="3"/>
  <c r="W76" i="3"/>
  <c r="Z82" i="3"/>
  <c r="X86" i="3"/>
  <c r="Y69" i="3"/>
  <c r="I87" i="3"/>
  <c r="T47" i="3"/>
  <c r="AI54" i="3"/>
  <c r="P66" i="3"/>
  <c r="J70" i="3"/>
  <c r="AI96" i="3"/>
  <c r="N64" i="3"/>
  <c r="L84" i="3"/>
  <c r="P47" i="3"/>
  <c r="AN67" i="3"/>
  <c r="H67" i="3"/>
  <c r="P56" i="3"/>
  <c r="X90" i="3"/>
  <c r="AO76" i="3"/>
  <c r="Y74" i="3"/>
  <c r="AJ82" i="3"/>
  <c r="AN89" i="3"/>
  <c r="AH84" i="3"/>
  <c r="AL66" i="3"/>
  <c r="Z54" i="3"/>
  <c r="AI68" i="3"/>
  <c r="AA81" i="3"/>
  <c r="H55" i="3"/>
  <c r="V69" i="3"/>
  <c r="X97" i="3"/>
  <c r="Q93" i="3"/>
  <c r="AC79" i="3"/>
  <c r="R79" i="3"/>
  <c r="AH79" i="3"/>
  <c r="Z57" i="3"/>
  <c r="O92" i="3"/>
  <c r="AJ81" i="3"/>
  <c r="U95" i="3"/>
  <c r="AQ95" i="3"/>
  <c r="Z96" i="3"/>
  <c r="AI64" i="3"/>
  <c r="AK56" i="3"/>
  <c r="AI58" i="3"/>
  <c r="Q58" i="3"/>
  <c r="H81" i="3"/>
  <c r="O95" i="3"/>
  <c r="AN75" i="3"/>
  <c r="M61" i="3"/>
  <c r="AN96" i="3"/>
  <c r="M91" i="3"/>
  <c r="T49" i="3"/>
  <c r="N85" i="3"/>
  <c r="Z49" i="3"/>
  <c r="J48" i="3"/>
  <c r="K79" i="3"/>
  <c r="W48" i="3"/>
  <c r="AK48" i="3"/>
  <c r="J66" i="3"/>
  <c r="AL68" i="3"/>
  <c r="U60" i="3"/>
  <c r="Q76" i="3"/>
  <c r="AC76" i="3"/>
  <c r="K63" i="3"/>
  <c r="AH76" i="3"/>
  <c r="Y80" i="3"/>
  <c r="R84" i="3"/>
  <c r="AG58" i="3"/>
  <c r="J69" i="3"/>
  <c r="T54" i="3"/>
  <c r="U66" i="3"/>
  <c r="V96" i="3"/>
  <c r="I81" i="3"/>
  <c r="H77" i="3"/>
  <c r="X81" i="3"/>
  <c r="W50" i="3"/>
  <c r="AO81" i="3"/>
  <c r="AN76" i="3"/>
  <c r="AH48" i="3"/>
  <c r="AQ97" i="3"/>
  <c r="T84" i="3"/>
  <c r="AK80" i="3"/>
  <c r="H79" i="3"/>
  <c r="AI63" i="3"/>
  <c r="AI47" i="3"/>
  <c r="L88" i="3"/>
  <c r="O74" i="3"/>
  <c r="AJ70" i="3"/>
  <c r="L56" i="3"/>
  <c r="Q55" i="3"/>
  <c r="P79" i="3"/>
  <c r="H80" i="3"/>
  <c r="AE47" i="3"/>
  <c r="Q60" i="3"/>
  <c r="O84" i="3"/>
  <c r="AE49" i="3"/>
  <c r="U85" i="3"/>
  <c r="T65" i="3"/>
  <c r="W74" i="3"/>
  <c r="N84" i="3"/>
  <c r="AM75" i="3"/>
  <c r="AC58" i="3"/>
  <c r="AG47" i="3"/>
  <c r="R55" i="3"/>
  <c r="AN83" i="3"/>
  <c r="V64" i="3"/>
  <c r="S59" i="3"/>
  <c r="U67" i="3"/>
  <c r="Y89" i="3"/>
  <c r="I66" i="3"/>
  <c r="Y88" i="3"/>
  <c r="AN72" i="3"/>
  <c r="AL50" i="3"/>
  <c r="Z89" i="3"/>
  <c r="AQ81" i="3"/>
  <c r="AJ79" i="3"/>
  <c r="AN58" i="3"/>
  <c r="W80" i="3"/>
  <c r="V71" i="3"/>
  <c r="Z86" i="3"/>
  <c r="AK60" i="3"/>
  <c r="AK95" i="3"/>
  <c r="AI90" i="3"/>
  <c r="AC83" i="3"/>
  <c r="AA89" i="3"/>
  <c r="AA58" i="3"/>
  <c r="Z93" i="3"/>
  <c r="AA97" i="3"/>
  <c r="H49" i="3"/>
  <c r="N49" i="3"/>
  <c r="AM47" i="3"/>
  <c r="L92" i="3"/>
  <c r="J86" i="3"/>
  <c r="Q85" i="3"/>
  <c r="AI70" i="3"/>
  <c r="Q57" i="3"/>
  <c r="AC97" i="3"/>
  <c r="AC78" i="3"/>
  <c r="V57" i="3"/>
  <c r="M47" i="3"/>
  <c r="AC56" i="3"/>
  <c r="X47" i="3"/>
  <c r="AH72" i="3"/>
  <c r="W57" i="3"/>
  <c r="AM76" i="3"/>
  <c r="AJ97" i="3"/>
  <c r="AG67" i="3"/>
  <c r="U65" i="3"/>
  <c r="AE70" i="3"/>
  <c r="AO83" i="3"/>
  <c r="K77" i="3"/>
  <c r="AH57" i="3"/>
  <c r="Y70" i="3"/>
  <c r="R70" i="3"/>
  <c r="K61" i="3"/>
  <c r="AE92" i="3"/>
  <c r="AO79" i="3"/>
  <c r="X70" i="3"/>
  <c r="AQ80" i="3"/>
  <c r="X88" i="3"/>
  <c r="H86" i="3"/>
  <c r="AI89" i="3"/>
  <c r="N94" i="3"/>
  <c r="AM59" i="3"/>
  <c r="L61" i="3"/>
  <c r="AE80" i="3"/>
  <c r="J68" i="3"/>
  <c r="L70" i="3"/>
  <c r="AO66" i="3"/>
  <c r="M67" i="3"/>
  <c r="V56" i="3"/>
  <c r="AG62" i="3"/>
  <c r="AA93" i="3"/>
  <c r="T55" i="3"/>
  <c r="Z92" i="3"/>
  <c r="Y54" i="3"/>
  <c r="N78" i="3"/>
  <c r="AM60" i="3"/>
  <c r="AN70" i="3"/>
  <c r="AG93" i="3"/>
  <c r="U47" i="3"/>
  <c r="AJ85" i="3"/>
  <c r="AO48" i="3"/>
  <c r="S55" i="3"/>
  <c r="AH83" i="3"/>
  <c r="Y62" i="3"/>
  <c r="I64" i="3"/>
  <c r="S81" i="3"/>
  <c r="AJ83" i="3"/>
  <c r="V95" i="3"/>
  <c r="Z88" i="3"/>
  <c r="AQ86" i="3"/>
  <c r="AA80" i="3"/>
  <c r="Q48" i="3"/>
  <c r="U61" i="3"/>
  <c r="N87" i="3"/>
  <c r="AG75" i="3"/>
  <c r="AC94" i="3"/>
  <c r="Y85" i="3"/>
  <c r="AN69" i="3"/>
  <c r="AQ96" i="3"/>
  <c r="H78" i="3"/>
  <c r="P78" i="3"/>
  <c r="AM50" i="3"/>
  <c r="AK61" i="3"/>
  <c r="H66" i="3"/>
  <c r="H61" i="3"/>
  <c r="L86" i="3"/>
  <c r="L73" i="3"/>
  <c r="AJ87" i="3"/>
  <c r="AJ63" i="3"/>
  <c r="AJ93" i="3"/>
  <c r="O91" i="3"/>
  <c r="AJ84" i="3"/>
  <c r="Q63" i="3"/>
  <c r="X78" i="3"/>
  <c r="M83" i="3"/>
  <c r="AO74" i="3"/>
  <c r="W68" i="3"/>
  <c r="N88" i="3"/>
  <c r="M49" i="3"/>
  <c r="V60" i="3"/>
  <c r="AG64" i="3"/>
  <c r="AG66" i="3"/>
  <c r="X55" i="3"/>
  <c r="AL73" i="3"/>
  <c r="S56" i="3"/>
  <c r="U87" i="3"/>
  <c r="AQ79" i="3"/>
  <c r="W70" i="3"/>
  <c r="R76" i="3"/>
  <c r="Z61" i="3"/>
  <c r="K56" i="3"/>
  <c r="T70" i="3"/>
  <c r="R72" i="3"/>
  <c r="Q78" i="3"/>
  <c r="AO47" i="3"/>
  <c r="N72" i="3"/>
  <c r="AG97" i="3"/>
  <c r="AL59" i="3"/>
  <c r="AQ65" i="3"/>
  <c r="Z83" i="3"/>
  <c r="R96" i="3"/>
  <c r="M85" i="3"/>
  <c r="L81" i="3"/>
  <c r="AM82" i="3"/>
  <c r="AK72" i="3"/>
  <c r="L83" i="3"/>
  <c r="AA66" i="3"/>
  <c r="AJ80" i="3"/>
  <c r="L91" i="3"/>
  <c r="J96" i="3"/>
  <c r="J93" i="3"/>
  <c r="AQ83" i="3"/>
  <c r="AC60" i="3"/>
  <c r="W49" i="3"/>
  <c r="AG69" i="3"/>
  <c r="V83" i="3"/>
  <c r="Y57" i="3"/>
  <c r="J58" i="3"/>
  <c r="AQ74" i="3"/>
  <c r="AK63" i="3"/>
  <c r="AA73" i="3"/>
  <c r="O72" i="3"/>
  <c r="AI91" i="3"/>
  <c r="W88" i="3"/>
  <c r="AG77" i="3"/>
  <c r="S77" i="3"/>
  <c r="S68" i="3"/>
  <c r="AQ63" i="3"/>
  <c r="O80" i="3"/>
  <c r="T72" i="3"/>
  <c r="R67" i="3"/>
  <c r="I50" i="3"/>
  <c r="AI65" i="3"/>
  <c r="N69" i="3"/>
  <c r="L67" i="3"/>
  <c r="H64" i="3"/>
  <c r="AE64" i="3"/>
  <c r="AL54" i="3"/>
  <c r="L77" i="3"/>
  <c r="H62" i="3"/>
  <c r="AE82" i="3"/>
  <c r="H48" i="3"/>
  <c r="U56" i="3"/>
  <c r="Q96" i="3"/>
  <c r="AO54" i="3"/>
  <c r="Z74" i="3"/>
  <c r="I79" i="3"/>
  <c r="N47" i="3"/>
  <c r="AE61" i="3"/>
  <c r="AI85" i="3"/>
  <c r="AM84" i="3"/>
  <c r="P71" i="3"/>
  <c r="O54" i="3"/>
  <c r="X69" i="3"/>
  <c r="P92" i="3"/>
  <c r="L72" i="3"/>
  <c r="O69" i="3"/>
  <c r="X91" i="3"/>
  <c r="O88" i="3"/>
  <c r="AI74" i="3"/>
  <c r="Q70" i="3"/>
  <c r="AO59" i="3"/>
  <c r="AC68" i="3"/>
  <c r="W77" i="3"/>
  <c r="N62" i="3"/>
  <c r="AM92" i="3"/>
  <c r="AC55" i="3"/>
  <c r="AG68" i="3"/>
  <c r="R48" i="3"/>
  <c r="AN57" i="3"/>
  <c r="V80" i="3"/>
  <c r="S94" i="3"/>
  <c r="U96" i="3"/>
  <c r="Y73" i="3"/>
  <c r="I56" i="3"/>
  <c r="Y78" i="3"/>
  <c r="AN95" i="3"/>
  <c r="AL63" i="3"/>
  <c r="AC95" i="3"/>
  <c r="R63" i="3"/>
  <c r="J82" i="3"/>
  <c r="V81" i="3"/>
  <c r="J54" i="3"/>
  <c r="AK58" i="3"/>
  <c r="S88" i="3"/>
  <c r="V63" i="3"/>
  <c r="R91" i="3"/>
  <c r="AC93" i="3"/>
  <c r="I96" i="3"/>
  <c r="P82" i="3"/>
  <c r="AL62" i="3"/>
  <c r="AK74" i="3"/>
  <c r="AK83" i="3"/>
  <c r="AI73" i="3"/>
  <c r="Q56" i="3"/>
  <c r="M86" i="3"/>
  <c r="O67" i="3"/>
  <c r="T86" i="3"/>
  <c r="AA96" i="3"/>
  <c r="Z90" i="3"/>
  <c r="AA90" i="3"/>
  <c r="T64" i="3"/>
  <c r="N58" i="3"/>
  <c r="Z77" i="3"/>
  <c r="J50" i="3"/>
  <c r="K48" i="3"/>
  <c r="W60" i="3"/>
  <c r="AK82" i="3"/>
  <c r="AA61" i="3"/>
  <c r="AL92" i="3"/>
  <c r="AH67" i="3"/>
  <c r="S61" i="3"/>
  <c r="Z79" i="3"/>
  <c r="K74" i="3"/>
  <c r="AH86" i="3"/>
  <c r="Y95" i="3"/>
  <c r="R75" i="3"/>
  <c r="H95" i="3"/>
  <c r="P91" i="3"/>
  <c r="AC96" i="3"/>
  <c r="S89" i="3"/>
  <c r="AO70" i="3"/>
  <c r="I71" i="3"/>
  <c r="AE62" i="3"/>
  <c r="J61" i="3"/>
  <c r="AK50" i="3"/>
  <c r="AH81" i="3"/>
  <c r="K81" i="3"/>
  <c r="I94" i="3"/>
  <c r="AO75" i="3"/>
  <c r="I85" i="3"/>
  <c r="V82" i="3"/>
  <c r="P83" i="3"/>
  <c r="AM94" i="3"/>
  <c r="AK75" i="3"/>
  <c r="P49" i="3"/>
  <c r="P95" i="3"/>
  <c r="AK70" i="3"/>
  <c r="O73" i="3"/>
  <c r="AJ86" i="3"/>
  <c r="X95" i="3"/>
  <c r="J62" i="3"/>
  <c r="AQ90" i="3"/>
  <c r="N74" i="3"/>
  <c r="AG72" i="3"/>
  <c r="K88" i="3"/>
  <c r="AQ69" i="3"/>
  <c r="Z59" i="3"/>
  <c r="I82" i="3"/>
  <c r="AM95" i="3"/>
  <c r="Q65" i="3"/>
  <c r="X48" i="3"/>
  <c r="N60" i="3"/>
  <c r="W54" i="3"/>
  <c r="U72" i="3"/>
  <c r="AH92" i="3"/>
  <c r="P81" i="3"/>
  <c r="I91" i="3"/>
  <c r="AJ78" i="3"/>
  <c r="Z95" i="3"/>
  <c r="AN87" i="3"/>
  <c r="J67" i="3"/>
  <c r="X87" i="3"/>
  <c r="W72" i="3"/>
  <c r="V59" i="3"/>
  <c r="S64" i="3"/>
  <c r="AE77" i="3"/>
  <c r="AA68" i="3"/>
  <c r="AM70" i="3"/>
  <c r="X74" i="3"/>
  <c r="AQ50" i="3"/>
  <c r="T56" i="3"/>
  <c r="AG89" i="3"/>
  <c r="AL80" i="3"/>
  <c r="AO87" i="3"/>
  <c r="S62" i="3"/>
  <c r="R81" i="3"/>
  <c r="AJ92" i="3"/>
  <c r="AH93" i="3"/>
  <c r="AE76" i="3"/>
  <c r="Y77" i="3"/>
  <c r="AO60" i="3"/>
  <c r="AA69" i="3"/>
  <c r="AO73" i="3"/>
  <c r="U74" i="3"/>
  <c r="R86" i="3"/>
  <c r="P76" i="3"/>
  <c r="AG92" i="3"/>
  <c r="R89" i="3"/>
  <c r="AK57" i="3"/>
  <c r="P57" i="3"/>
  <c r="M71" i="3"/>
  <c r="AA50" i="3"/>
  <c r="AA54" i="3"/>
  <c r="Z78" i="3"/>
  <c r="AQ76" i="3"/>
  <c r="K50" i="3"/>
  <c r="AA71" i="3"/>
  <c r="AH80" i="3"/>
  <c r="K96" i="3"/>
  <c r="H54" i="3"/>
  <c r="AK78" i="3"/>
  <c r="AI59" i="3"/>
  <c r="M77" i="3"/>
  <c r="AI81" i="3"/>
  <c r="P64" i="3"/>
  <c r="AM79" i="3"/>
  <c r="S92" i="3"/>
  <c r="AL55" i="3"/>
  <c r="AI67" i="3"/>
  <c r="V90" i="3"/>
  <c r="AM55" i="3"/>
  <c r="Y68" i="3"/>
  <c r="AC80" i="3"/>
  <c r="N80" i="3"/>
  <c r="Y72" i="3"/>
  <c r="Z62" i="3"/>
  <c r="AQ60" i="3"/>
  <c r="H94" i="3"/>
  <c r="Y60" i="3"/>
  <c r="V93" i="3"/>
  <c r="AG82" i="3"/>
  <c r="W47" i="3"/>
  <c r="I73" i="3"/>
  <c r="N86" i="3"/>
  <c r="AC85" i="3"/>
  <c r="Q89" i="3"/>
  <c r="AH94" i="3"/>
  <c r="O70" i="3"/>
  <c r="AQ66" i="3"/>
  <c r="K70" i="3"/>
  <c r="R50" i="3"/>
  <c r="W94" i="3"/>
  <c r="Q77" i="3"/>
  <c r="AH58" i="3"/>
  <c r="Z50" i="3"/>
  <c r="AM63" i="3"/>
  <c r="AL90" i="3"/>
  <c r="U83" i="3"/>
  <c r="P67" i="3"/>
  <c r="X50" i="3"/>
  <c r="I84" i="3"/>
  <c r="L76" i="3"/>
  <c r="W91" i="3"/>
  <c r="Q92" i="3"/>
  <c r="W61" i="3"/>
  <c r="AJ71" i="3"/>
  <c r="Q64" i="3"/>
  <c r="AM77" i="3"/>
  <c r="AJ64" i="3"/>
  <c r="M78" i="3"/>
  <c r="V88" i="3"/>
  <c r="T93" i="3"/>
  <c r="P85" i="3"/>
  <c r="I74" i="3"/>
  <c r="AE87" i="3"/>
  <c r="AL48" i="3"/>
  <c r="M79" i="3"/>
  <c r="R77" i="3"/>
  <c r="AL77" i="3"/>
  <c r="P89" i="3"/>
  <c r="V62" i="3"/>
  <c r="AQ47" i="3"/>
  <c r="AQ84" i="3"/>
  <c r="P93" i="3"/>
  <c r="U77" i="3"/>
  <c r="AQ61" i="3"/>
  <c r="K67" i="3"/>
  <c r="O65" i="3"/>
  <c r="N96" i="3"/>
  <c r="U63" i="3"/>
  <c r="I47" i="3"/>
  <c r="P68" i="3"/>
  <c r="AN63" i="3"/>
  <c r="N93" i="3"/>
  <c r="H72" i="3"/>
  <c r="J79" i="3"/>
  <c r="J94" i="3"/>
  <c r="T96" i="3"/>
  <c r="T69" i="3"/>
  <c r="V86" i="3"/>
  <c r="I62" i="3"/>
  <c r="AC63" i="3"/>
  <c r="W97" i="3"/>
  <c r="U94" i="3"/>
  <c r="X56" i="3"/>
  <c r="AN88" i="3"/>
  <c r="N54" i="3"/>
  <c r="AM56" i="3"/>
  <c r="AE83" i="3"/>
  <c r="L58" i="3"/>
  <c r="AA63" i="3"/>
  <c r="R83" i="3"/>
  <c r="H93" i="3"/>
  <c r="AA86" i="3"/>
  <c r="R49" i="3"/>
  <c r="U93" i="3"/>
  <c r="AO94" i="3"/>
  <c r="AN47" i="3"/>
  <c r="N61" i="3"/>
  <c r="AC87" i="3"/>
  <c r="AC48" i="3"/>
  <c r="O55" i="3"/>
  <c r="AL69" i="3"/>
  <c r="N66" i="3"/>
  <c r="AA92" i="3"/>
  <c r="AI61" i="3"/>
  <c r="H90" i="3"/>
  <c r="AE54" i="3"/>
  <c r="U80" i="3"/>
  <c r="AA75" i="3"/>
  <c r="AL47" i="3"/>
  <c r="AN73" i="3"/>
  <c r="AJ56" i="3"/>
  <c r="I89" i="3"/>
  <c r="R94" i="3"/>
  <c r="Z66" i="3"/>
  <c r="AL88" i="3"/>
  <c r="Z47" i="3"/>
  <c r="Q81" i="3"/>
  <c r="AL85" i="3"/>
  <c r="V85" i="3"/>
  <c r="Z81" i="3"/>
  <c r="H71" i="3"/>
  <c r="L97" i="3"/>
  <c r="AE81" i="3"/>
  <c r="AE95" i="3"/>
  <c r="AO72" i="3"/>
  <c r="AO93" i="3"/>
  <c r="AL78" i="3"/>
  <c r="I69" i="3"/>
  <c r="T92" i="3"/>
  <c r="N90" i="3"/>
  <c r="Y79" i="3"/>
  <c r="AO89" i="3"/>
  <c r="AA74" i="3"/>
  <c r="AI83" i="3"/>
  <c r="L60" i="3"/>
  <c r="AJ55" i="3"/>
  <c r="P80" i="3"/>
  <c r="AA48" i="3"/>
  <c r="AO92" i="3"/>
  <c r="R97" i="3"/>
  <c r="T89" i="3"/>
  <c r="L57" i="3"/>
  <c r="M82" i="3"/>
  <c r="AE97" i="3"/>
  <c r="V50" i="3"/>
  <c r="I75" i="3"/>
  <c r="AG80" i="3"/>
  <c r="K49" i="3"/>
  <c r="N68" i="3"/>
  <c r="AN66" i="3"/>
  <c r="P55" i="3"/>
  <c r="AQ57" i="3"/>
  <c r="AN91" i="3"/>
  <c r="AL86" i="3"/>
  <c r="AO90" i="3"/>
  <c r="Y66" i="3"/>
  <c r="O59" i="3"/>
  <c r="O49" i="3"/>
  <c r="AE48" i="3"/>
  <c r="AL81" i="3"/>
  <c r="AK90" i="3"/>
  <c r="W90" i="3"/>
  <c r="U59" i="3"/>
  <c r="U49" i="3"/>
  <c r="W79" i="3"/>
  <c r="AJ57" i="3"/>
  <c r="AJ96" i="3"/>
  <c r="AH68" i="3"/>
  <c r="AN92" i="3"/>
  <c r="AO77" i="3"/>
  <c r="AM93" i="3"/>
  <c r="AJ91" i="3"/>
  <c r="AN85" i="3"/>
  <c r="AN79" i="3"/>
  <c r="V65" i="3"/>
  <c r="AL65" i="3"/>
  <c r="AL67" i="3"/>
  <c r="N65" i="3"/>
  <c r="T97" i="3"/>
  <c r="AK66" i="3"/>
  <c r="Y82" i="3"/>
  <c r="V77" i="3"/>
  <c r="T68" i="3"/>
  <c r="AL74" i="3"/>
  <c r="AG86" i="3"/>
  <c r="AC73" i="3"/>
  <c r="AE65" i="3"/>
  <c r="Z55" i="3"/>
  <c r="U79" i="3"/>
  <c r="AE74" i="3"/>
  <c r="J83" i="3"/>
  <c r="H73" i="3"/>
  <c r="M93" i="3"/>
  <c r="W67" i="3"/>
  <c r="AG59" i="3"/>
  <c r="S82" i="3"/>
  <c r="AQ70" i="3"/>
  <c r="R82" i="3"/>
  <c r="AL57" i="3"/>
  <c r="AQ77" i="3"/>
  <c r="AQ55" i="3"/>
  <c r="P97" i="3"/>
  <c r="AI79" i="3"/>
  <c r="O79" i="3"/>
  <c r="P70" i="3"/>
  <c r="O56" i="3"/>
  <c r="AN80" i="3"/>
  <c r="AL84" i="3"/>
  <c r="Y97" i="3"/>
  <c r="S86" i="3"/>
  <c r="P48" i="3"/>
  <c r="AO61" i="3"/>
  <c r="AL49" i="3"/>
  <c r="M73" i="3"/>
  <c r="M84" i="3"/>
  <c r="AH88" i="3"/>
  <c r="T78" i="3"/>
  <c r="AO80" i="3"/>
  <c r="I72" i="3"/>
  <c r="P72" i="3"/>
  <c r="N75" i="3"/>
  <c r="S60" i="3"/>
  <c r="Z85" i="3"/>
  <c r="T87" i="3"/>
  <c r="J84" i="3"/>
  <c r="U78" i="3"/>
  <c r="M90" i="3"/>
  <c r="AL97" i="3"/>
  <c r="K85" i="3"/>
  <c r="T91" i="3"/>
  <c r="AH59" i="3"/>
  <c r="AH95" i="3"/>
  <c r="S83" i="3"/>
  <c r="AA82" i="3"/>
  <c r="AQ85" i="3"/>
  <c r="AE73" i="3"/>
  <c r="T76" i="3"/>
  <c r="Q90" i="3"/>
  <c r="AC92" i="3"/>
  <c r="Y71" i="3"/>
  <c r="AO91" i="3"/>
  <c r="V49" i="3"/>
  <c r="X60" i="3"/>
  <c r="W82" i="3"/>
  <c r="AO96" i="3"/>
  <c r="AN74" i="3"/>
  <c r="AO67" i="3"/>
  <c r="Y58" i="3"/>
  <c r="L47" i="3"/>
  <c r="L65" i="3"/>
  <c r="J47" i="3"/>
  <c r="AA79" i="3"/>
  <c r="W69" i="3"/>
  <c r="AG60" i="3"/>
  <c r="S49" i="3"/>
  <c r="AQ64" i="3"/>
  <c r="R71" i="3"/>
  <c r="AG54" i="3"/>
  <c r="R92" i="3"/>
  <c r="R73" i="3"/>
  <c r="Q91" i="3"/>
  <c r="AK55" i="3"/>
  <c r="L89" i="3"/>
  <c r="P90" i="3"/>
  <c r="M68" i="3"/>
  <c r="AL82" i="3"/>
  <c r="AG48" i="3"/>
  <c r="Y55" i="3"/>
  <c r="R60" i="3"/>
  <c r="AK64" i="3"/>
  <c r="M55" i="3"/>
  <c r="AG78" i="3"/>
  <c r="AQ49" i="3"/>
  <c r="AN50" i="3"/>
  <c r="AG50" i="3"/>
  <c r="O93" i="3"/>
  <c r="AG71" i="3"/>
  <c r="X71" i="3"/>
  <c r="Q66" i="3"/>
  <c r="AK76" i="3"/>
  <c r="S84" i="3"/>
  <c r="T71" i="3"/>
  <c r="AC66" i="3"/>
  <c r="Z63" i="3"/>
  <c r="AN68" i="3"/>
  <c r="K66" i="3"/>
  <c r="AK91" i="3"/>
  <c r="M56" i="3"/>
  <c r="O68" i="3"/>
  <c r="AE78" i="3"/>
  <c r="I70" i="3"/>
  <c r="M70" i="3"/>
  <c r="O85" i="3"/>
  <c r="Z69" i="3"/>
  <c r="S91" i="3"/>
  <c r="T85" i="3"/>
  <c r="AA49" i="3"/>
  <c r="AG55" i="3"/>
  <c r="AO56" i="3"/>
  <c r="M66" i="3"/>
  <c r="AM73" i="3"/>
  <c r="AH90" i="3"/>
  <c r="V73" i="3"/>
  <c r="K78" i="3"/>
  <c r="Q80" i="3"/>
  <c r="AL75" i="3"/>
  <c r="O94" i="3"/>
  <c r="P96" i="3"/>
  <c r="L49" i="3"/>
  <c r="J78" i="3"/>
  <c r="W58" i="3"/>
  <c r="K69" i="3"/>
  <c r="AA55" i="3"/>
  <c r="AK81" i="3"/>
  <c r="X82" i="3"/>
  <c r="AC70" i="3"/>
  <c r="M89" i="3"/>
  <c r="S90" i="3"/>
  <c r="W73" i="3"/>
  <c r="W63" i="3"/>
  <c r="AM71" i="3"/>
  <c r="K75" i="3"/>
  <c r="AO63" i="3"/>
  <c r="M80" i="3"/>
  <c r="AQ67" i="3"/>
  <c r="AA57" i="3"/>
  <c r="M50" i="3"/>
  <c r="M65" i="3"/>
  <c r="AO65" i="3"/>
  <c r="W66" i="3"/>
  <c r="S78" i="3"/>
  <c r="S57" i="3"/>
  <c r="I88" i="3"/>
  <c r="R58" i="3"/>
  <c r="AG63" i="3"/>
  <c r="M75" i="3"/>
  <c r="AI55" i="3"/>
  <c r="AC88" i="3"/>
  <c r="AG57" i="3"/>
  <c r="W84" i="3"/>
  <c r="AC81" i="3"/>
  <c r="AA70" i="3"/>
  <c r="AQ75" i="3"/>
  <c r="M64" i="3"/>
  <c r="J74" i="3"/>
  <c r="Y56" i="3"/>
  <c r="AG84" i="3"/>
  <c r="V48" i="3"/>
  <c r="AK79" i="3"/>
  <c r="AE86" i="3"/>
  <c r="I65" i="3"/>
  <c r="K59" i="3"/>
  <c r="Z60" i="3"/>
  <c r="K82" i="3"/>
  <c r="AC61" i="3"/>
  <c r="N81" i="3"/>
  <c r="AN81" i="3"/>
  <c r="R87" i="3"/>
  <c r="M54" i="3"/>
  <c r="R66" i="3"/>
  <c r="AM61" i="3"/>
  <c r="S54" i="3"/>
  <c r="AL56" i="3"/>
  <c r="W85" i="3"/>
  <c r="P94" i="3"/>
  <c r="AM74" i="3"/>
  <c r="AI77" i="3"/>
  <c r="AE96" i="3"/>
  <c r="AJ60" i="3"/>
  <c r="N92" i="3"/>
  <c r="R90" i="3"/>
  <c r="U91" i="3"/>
  <c r="X62" i="3"/>
  <c r="P54" i="3"/>
  <c r="T90" i="3"/>
  <c r="Y91" i="3"/>
  <c r="AI49" i="3"/>
  <c r="Z65" i="3"/>
  <c r="N89" i="3"/>
  <c r="L79" i="3"/>
  <c r="J97" i="3"/>
  <c r="V67" i="3"/>
  <c r="K94" i="3"/>
  <c r="J59" i="3"/>
  <c r="N70" i="3"/>
  <c r="AM64" i="3"/>
  <c r="J75" i="3"/>
  <c r="M88" i="3"/>
  <c r="X76" i="3"/>
  <c r="AL79" i="3"/>
  <c r="AG94" i="3"/>
  <c r="AH87" i="3"/>
  <c r="AE94" i="3"/>
  <c r="AH60" i="3"/>
  <c r="AQ71" i="3"/>
  <c r="J76" i="3"/>
  <c r="V76" i="3"/>
  <c r="Z73" i="3"/>
  <c r="AN82" i="3"/>
  <c r="AQ73" i="3"/>
  <c r="AA94" i="3"/>
  <c r="AH63" i="3"/>
  <c r="AQ48" i="3"/>
  <c r="X61" i="3"/>
  <c r="U92" i="3"/>
  <c r="T73" i="3"/>
  <c r="AJ49" i="3"/>
  <c r="Y75" i="3"/>
  <c r="AM85" i="3"/>
  <c r="AI72" i="3"/>
  <c r="AJ77" i="3"/>
  <c r="P73" i="3"/>
  <c r="I86" i="3"/>
  <c r="AE58" i="3"/>
  <c r="AE93" i="3"/>
  <c r="AH74" i="3"/>
  <c r="I68" i="3"/>
  <c r="W64" i="3"/>
  <c r="AE50" i="3"/>
  <c r="AM69" i="3"/>
  <c r="AI80" i="3"/>
  <c r="AE66" i="3"/>
  <c r="AN54" i="3"/>
  <c r="N82" i="3"/>
  <c r="T57" i="3"/>
  <c r="U76" i="3"/>
  <c r="X84" i="3"/>
  <c r="AA64" i="3"/>
  <c r="AJ48" i="3"/>
  <c r="Q61" i="3"/>
  <c r="AK59" i="3"/>
  <c r="AN77" i="3"/>
  <c r="AM62" i="3"/>
  <c r="H65" i="3"/>
  <c r="H74" i="3"/>
  <c r="AA56" i="3"/>
  <c r="W62" i="3"/>
  <c r="X68" i="3"/>
  <c r="AH61" i="3"/>
  <c r="H50" i="3"/>
  <c r="J77" i="3"/>
  <c r="AC67" i="3"/>
  <c r="AO95" i="3"/>
  <c r="Z56" i="3"/>
  <c r="AN84" i="3"/>
  <c r="Y93" i="3"/>
  <c r="T83" i="3"/>
  <c r="AG79" i="3"/>
  <c r="L95" i="3"/>
  <c r="X85" i="3"/>
  <c r="AG91" i="3"/>
  <c r="U90" i="3"/>
  <c r="X72" i="3"/>
  <c r="Y90" i="3"/>
  <c r="U82" i="3"/>
  <c r="AQ93" i="3"/>
  <c r="K47" i="3"/>
  <c r="V84" i="3"/>
  <c r="Y48" i="3"/>
  <c r="AG81" i="3"/>
  <c r="X92" i="3"/>
  <c r="U97" i="3"/>
  <c r="Z84" i="3"/>
  <c r="N95" i="3"/>
  <c r="X79" i="3"/>
  <c r="P75" i="3"/>
  <c r="AG87" i="3"/>
  <c r="Y49" i="3"/>
  <c r="AC59" i="3"/>
  <c r="M58" i="3"/>
  <c r="T94" i="3"/>
  <c r="AJ89" i="3"/>
  <c r="AK94" i="3"/>
  <c r="AI50" i="3"/>
  <c r="M74" i="3"/>
  <c r="AK86" i="3"/>
  <c r="AL64" i="3"/>
  <c r="AG83" i="3"/>
  <c r="Y92" i="3"/>
  <c r="I78" i="3"/>
  <c r="K86" i="3"/>
  <c r="AK49" i="3"/>
  <c r="AA72" i="3"/>
  <c r="AI93" i="3" l="1"/>
  <c r="AI86" i="3"/>
  <c r="BW30" i="1"/>
  <c r="BD50" i="1"/>
  <c r="BQ40" i="1"/>
  <c r="AX29" i="1"/>
  <c r="AS35" i="1"/>
  <c r="BE39" i="1"/>
  <c r="BB62" i="1"/>
  <c r="AP23" i="1"/>
  <c r="AP246" i="1" s="1"/>
  <c r="BR36" i="1"/>
  <c r="AN50" i="1"/>
  <c r="BR29" i="1"/>
  <c r="BP29" i="1"/>
  <c r="AT47" i="1"/>
  <c r="AT209" i="1" s="1"/>
  <c r="BA23" i="1"/>
  <c r="BA246" i="1" s="1"/>
  <c r="AX66" i="1"/>
  <c r="BO50" i="1"/>
  <c r="AT61" i="1"/>
  <c r="BG36" i="1"/>
  <c r="BE60" i="1"/>
  <c r="BK38" i="1"/>
  <c r="AR30" i="1"/>
  <c r="AU47" i="1"/>
  <c r="AU209" i="1" s="1"/>
  <c r="AZ36" i="1"/>
  <c r="BV133" i="1"/>
  <c r="BW133" i="1" s="1"/>
  <c r="BF38" i="1"/>
  <c r="BQ62" i="1"/>
  <c r="AP47" i="1"/>
  <c r="BK61" i="1"/>
  <c r="AY23" i="1"/>
  <c r="AY267" i="1" s="1"/>
  <c r="AI24" i="1"/>
  <c r="BU40" i="1"/>
  <c r="BP40" i="1"/>
  <c r="BU36" i="1"/>
  <c r="BF50" i="1"/>
  <c r="AZ28" i="1"/>
  <c r="BM50" i="1"/>
  <c r="AX62" i="1"/>
  <c r="BQ30" i="1"/>
  <c r="BF29" i="1"/>
  <c r="BV141" i="1"/>
  <c r="BW141" i="1" s="1"/>
  <c r="BT35" i="1"/>
  <c r="BC50" i="1"/>
  <c r="BA60" i="1"/>
  <c r="BR23" i="1"/>
  <c r="BR246" i="1" s="1"/>
  <c r="BR54" i="1"/>
  <c r="AN39" i="1"/>
  <c r="BQ28" i="1"/>
  <c r="AQ40" i="1"/>
  <c r="BN28" i="1"/>
  <c r="AV37" i="1"/>
  <c r="AI66" i="1"/>
  <c r="BA29" i="1"/>
  <c r="BP38" i="1"/>
  <c r="AM62" i="1"/>
  <c r="BG66" i="1"/>
  <c r="BS38" i="1"/>
  <c r="BO30" i="1"/>
  <c r="AI50" i="1"/>
  <c r="BH133" i="1"/>
  <c r="BI133" i="1" s="1"/>
  <c r="AU60" i="1"/>
  <c r="BN23" i="1"/>
  <c r="BN268" i="1" s="1"/>
  <c r="BB38" i="1"/>
  <c r="BP66" i="1"/>
  <c r="BE66" i="1"/>
  <c r="BG35" i="1"/>
  <c r="BC66" i="1"/>
  <c r="AU51" i="1"/>
  <c r="BG28" i="1"/>
  <c r="AR40" i="1"/>
  <c r="AV35" i="1"/>
  <c r="BW29" i="1"/>
  <c r="AR50" i="1"/>
  <c r="AR38" i="1"/>
  <c r="BP39" i="1"/>
  <c r="AU40" i="1"/>
  <c r="AR23" i="1"/>
  <c r="AR246" i="1" s="1"/>
  <c r="AN30" i="1"/>
  <c r="AO50" i="1"/>
  <c r="BH175" i="1"/>
  <c r="BQ50" i="1"/>
  <c r="BV61" i="1"/>
  <c r="BI28" i="1"/>
  <c r="AZ66" i="1"/>
  <c r="BI29" i="1"/>
  <c r="BS50" i="1"/>
  <c r="BP47" i="1"/>
  <c r="BK47" i="1"/>
  <c r="AT54" i="1"/>
  <c r="AJ89" i="1"/>
  <c r="BN61" i="1"/>
  <c r="BP24" i="1"/>
  <c r="BB54" i="1"/>
  <c r="BK30" i="1"/>
  <c r="AP51" i="1"/>
  <c r="AZ60" i="1"/>
  <c r="BK51" i="1"/>
  <c r="T165" i="1"/>
  <c r="BQ51" i="1"/>
  <c r="BR50" i="1"/>
  <c r="AP28" i="1"/>
  <c r="AU24" i="1"/>
  <c r="BV62" i="1"/>
  <c r="AW54" i="1"/>
  <c r="AY61" i="1"/>
  <c r="AN38" i="1"/>
  <c r="N139" i="1"/>
  <c r="AR60" i="1"/>
  <c r="BI39" i="1"/>
  <c r="BO62" i="1"/>
  <c r="AQ38" i="1"/>
  <c r="BN62" i="1"/>
  <c r="AU62" i="1"/>
  <c r="BH35" i="1"/>
  <c r="BR61" i="1"/>
  <c r="BW60" i="1"/>
  <c r="BF35" i="1"/>
  <c r="BM35" i="1"/>
  <c r="BG54" i="1"/>
  <c r="BR62" i="1"/>
  <c r="BT47" i="1"/>
  <c r="BU47" i="1"/>
  <c r="BO40" i="1"/>
  <c r="BM40" i="1"/>
  <c r="BU28" i="1"/>
  <c r="AO54" i="1"/>
  <c r="BT36" i="1"/>
  <c r="AT28" i="1"/>
  <c r="BI66" i="1"/>
  <c r="BC40" i="1"/>
  <c r="BE36" i="1"/>
  <c r="M170" i="1"/>
  <c r="AY38" i="1"/>
  <c r="BQ35" i="1"/>
  <c r="BS66" i="1"/>
  <c r="AM60" i="1"/>
  <c r="BG39" i="1"/>
  <c r="AY40" i="1"/>
  <c r="AT51" i="1"/>
  <c r="BI35" i="1"/>
  <c r="AP38" i="1"/>
  <c r="BF36" i="1"/>
  <c r="AT35" i="1"/>
  <c r="BG40" i="1"/>
  <c r="BE61" i="1"/>
  <c r="BI37" i="1"/>
  <c r="BO51" i="1"/>
  <c r="BJ62" i="1"/>
  <c r="AI23" i="1"/>
  <c r="BP30" i="1"/>
  <c r="AV61" i="1"/>
  <c r="BU30" i="1"/>
  <c r="AV23" i="1"/>
  <c r="AV246" i="1" s="1"/>
  <c r="AU61" i="1"/>
  <c r="BD39" i="1"/>
  <c r="BD28" i="1"/>
  <c r="BN39" i="1"/>
  <c r="AO35" i="1"/>
  <c r="AI37" i="1"/>
  <c r="J147" i="1"/>
  <c r="AR28" i="1"/>
  <c r="BP37" i="1"/>
  <c r="BP23" i="1"/>
  <c r="BP246" i="1" s="1"/>
  <c r="AV29" i="1"/>
  <c r="AT36" i="1"/>
  <c r="AJ88" i="1"/>
  <c r="BM29" i="1"/>
  <c r="AQ30" i="1"/>
  <c r="BA28" i="1"/>
  <c r="BO61" i="1"/>
  <c r="BQ61" i="1"/>
  <c r="AQ37" i="1"/>
  <c r="BV39" i="1"/>
  <c r="AR35" i="1"/>
  <c r="BR28" i="1"/>
  <c r="AT37" i="1"/>
  <c r="AV24" i="1"/>
  <c r="BQ36" i="1"/>
  <c r="BW54" i="1"/>
  <c r="BH162" i="1"/>
  <c r="BI162" i="1" s="1"/>
  <c r="BD23" i="1"/>
  <c r="AZ23" i="1"/>
  <c r="BK39" i="1"/>
  <c r="BI47" i="1"/>
  <c r="AP24" i="1"/>
  <c r="AP25" i="1" s="1"/>
  <c r="AM89" i="1"/>
  <c r="AV38" i="1"/>
  <c r="BQ47" i="1"/>
  <c r="BQ209" i="1" s="1"/>
  <c r="AW30" i="1"/>
  <c r="BA24" i="1"/>
  <c r="BA25" i="1" s="1"/>
  <c r="BO36" i="1"/>
  <c r="AN62" i="1"/>
  <c r="BS61" i="1"/>
  <c r="BH47" i="1"/>
  <c r="BH209" i="1" s="1"/>
  <c r="BQ38" i="1"/>
  <c r="AR66" i="1"/>
  <c r="AY62" i="1"/>
  <c r="AM88" i="1"/>
  <c r="BA62" i="1"/>
  <c r="AQ39" i="1"/>
  <c r="BU60" i="1"/>
  <c r="BT23" i="1"/>
  <c r="BO28" i="1"/>
  <c r="BV88" i="1"/>
  <c r="BW47" i="1"/>
  <c r="BW209" i="1" s="1"/>
  <c r="BT40" i="1"/>
  <c r="AQ51" i="1"/>
  <c r="BI60" i="1"/>
  <c r="BG47" i="1"/>
  <c r="AN35" i="1"/>
  <c r="BH54" i="1"/>
  <c r="BM51" i="1"/>
  <c r="BP54" i="1"/>
  <c r="AP62" i="1"/>
  <c r="BC51" i="1"/>
  <c r="AS66" i="1"/>
  <c r="BD66" i="1"/>
  <c r="AW51" i="1"/>
  <c r="AW40" i="1"/>
  <c r="AQ47" i="1"/>
  <c r="AO30" i="1"/>
  <c r="BK54" i="1"/>
  <c r="AO60" i="1"/>
  <c r="AO51" i="1"/>
  <c r="BT60" i="1"/>
  <c r="AT24" i="1"/>
  <c r="BH40" i="1"/>
  <c r="BF47" i="1"/>
  <c r="AQ61" i="1"/>
  <c r="BS30" i="1"/>
  <c r="BS51" i="1"/>
  <c r="AP30" i="1"/>
  <c r="BS39" i="1"/>
  <c r="BH39" i="1"/>
  <c r="BT62" i="1"/>
  <c r="BU66" i="1"/>
  <c r="AZ24" i="1"/>
  <c r="AN51" i="1"/>
  <c r="BM61" i="1"/>
  <c r="BA36" i="1"/>
  <c r="AT40" i="1"/>
  <c r="BG62" i="1"/>
  <c r="AW28" i="1"/>
  <c r="AN29" i="1"/>
  <c r="AY24" i="1"/>
  <c r="BS40" i="1"/>
  <c r="AT30" i="1"/>
  <c r="BT37" i="1"/>
  <c r="AV66" i="1"/>
  <c r="BK50" i="1"/>
  <c r="BK52" i="1" s="1"/>
  <c r="AS40" i="1"/>
  <c r="BE37" i="1"/>
  <c r="BN29" i="1"/>
  <c r="BJ54" i="1"/>
  <c r="AY28" i="1"/>
  <c r="BB66" i="1"/>
  <c r="AW66" i="1"/>
  <c r="AW37" i="1"/>
  <c r="AX60" i="1"/>
  <c r="BH51" i="1"/>
  <c r="BE50" i="1"/>
  <c r="AV54" i="1"/>
  <c r="BC28" i="1"/>
  <c r="BR66" i="1"/>
  <c r="AZ62" i="1"/>
  <c r="AZ47" i="1"/>
  <c r="BD47" i="1"/>
  <c r="BD209" i="1" s="1"/>
  <c r="BG29" i="1"/>
  <c r="AW60" i="1"/>
  <c r="BV160" i="1"/>
  <c r="AS38" i="1"/>
  <c r="AI40" i="1"/>
  <c r="BB28" i="1"/>
  <c r="BB36" i="1"/>
  <c r="BJ60" i="1"/>
  <c r="BR38" i="1"/>
  <c r="AW24" i="1"/>
  <c r="AI28" i="1"/>
  <c r="BV54" i="1"/>
  <c r="BE28" i="1"/>
  <c r="BE29" i="1"/>
  <c r="BF66" i="1"/>
  <c r="BS28" i="1"/>
  <c r="BH38" i="1"/>
  <c r="BR51" i="1"/>
  <c r="BR267" i="1" s="1"/>
  <c r="BV24" i="1"/>
  <c r="AW38" i="1"/>
  <c r="AX37" i="1"/>
  <c r="AX50" i="1"/>
  <c r="BK36" i="1"/>
  <c r="BE24" i="1"/>
  <c r="AO28" i="1"/>
  <c r="BG30" i="1"/>
  <c r="BR37" i="1"/>
  <c r="BQ24" i="1"/>
  <c r="BD62" i="1"/>
  <c r="AK89" i="1"/>
  <c r="BD51" i="1"/>
  <c r="AO37" i="1"/>
  <c r="BH66" i="1"/>
  <c r="BV30" i="1"/>
  <c r="BE35" i="1"/>
  <c r="AI39" i="1"/>
  <c r="BC23" i="1"/>
  <c r="BK66" i="1"/>
  <c r="AW50" i="1"/>
  <c r="AR24" i="1"/>
  <c r="AR25" i="1" s="1"/>
  <c r="AN37" i="1"/>
  <c r="AU39" i="1"/>
  <c r="BS62" i="1"/>
  <c r="BQ54" i="1"/>
  <c r="BV60" i="1"/>
  <c r="BI54" i="1"/>
  <c r="BU37" i="1"/>
  <c r="AO62" i="1"/>
  <c r="BF30" i="1"/>
  <c r="BA30" i="1"/>
  <c r="AR54" i="1"/>
  <c r="AT38" i="1"/>
  <c r="BN35" i="1"/>
  <c r="BJ61" i="1"/>
  <c r="AR51" i="1"/>
  <c r="AR267" i="1" s="1"/>
  <c r="AU37" i="1"/>
  <c r="BV51" i="1"/>
  <c r="BH179" i="1"/>
  <c r="BI179" i="1" s="1"/>
  <c r="BV168" i="1"/>
  <c r="BV152" i="1"/>
  <c r="BW152" i="1" s="1"/>
  <c r="BV134" i="1"/>
  <c r="BH142" i="1"/>
  <c r="BI142" i="1" s="1"/>
  <c r="T89" i="1"/>
  <c r="S82" i="1"/>
  <c r="T94" i="1"/>
  <c r="T185" i="1"/>
  <c r="D88" i="1"/>
  <c r="C92" i="1"/>
  <c r="B175" i="1"/>
  <c r="P157" i="1"/>
  <c r="R89" i="1"/>
  <c r="B174" i="1"/>
  <c r="N148" i="1"/>
  <c r="V175" i="1"/>
  <c r="R132" i="1"/>
  <c r="D79" i="1"/>
  <c r="E88" i="1"/>
  <c r="L88" i="1"/>
  <c r="Q148" i="1"/>
  <c r="T139" i="1"/>
  <c r="D132" i="1"/>
  <c r="Q161" i="1"/>
  <c r="F158" i="1"/>
  <c r="F93" i="1"/>
  <c r="H178" i="1"/>
  <c r="BT66" i="1"/>
  <c r="BF40" i="1"/>
  <c r="BM24" i="1"/>
  <c r="BW62" i="1"/>
  <c r="BF37" i="1"/>
  <c r="AR36" i="1"/>
  <c r="BU29" i="1"/>
  <c r="AV39" i="1"/>
  <c r="BA38" i="1"/>
  <c r="BA51" i="1"/>
  <c r="BA267" i="1" s="1"/>
  <c r="AQ28" i="1"/>
  <c r="BJ37" i="1"/>
  <c r="BJ41" i="1" s="1"/>
  <c r="BM60" i="1"/>
  <c r="AQ23" i="1"/>
  <c r="BT54" i="1"/>
  <c r="AO40" i="1"/>
  <c r="BV36" i="1"/>
  <c r="AZ30" i="1"/>
  <c r="BI36" i="1"/>
  <c r="AN66" i="1"/>
  <c r="BO60" i="1"/>
  <c r="BR35" i="1"/>
  <c r="BR41" i="1" s="1"/>
  <c r="AX23" i="1"/>
  <c r="BG23" i="1"/>
  <c r="BN30" i="1"/>
  <c r="AI51" i="1"/>
  <c r="AI52" i="1" s="1"/>
  <c r="BV23" i="1"/>
  <c r="AS24" i="1"/>
  <c r="AY60" i="1"/>
  <c r="BN66" i="1"/>
  <c r="BW40" i="1"/>
  <c r="AT60" i="1"/>
  <c r="AQ54" i="1"/>
  <c r="BJ47" i="1"/>
  <c r="AS54" i="1"/>
  <c r="BH24" i="1"/>
  <c r="BQ37" i="1"/>
  <c r="BU39" i="1"/>
  <c r="BI24" i="1"/>
  <c r="BK28" i="1"/>
  <c r="BC62" i="1"/>
  <c r="AS61" i="1"/>
  <c r="BH161" i="1"/>
  <c r="BI161" i="1" s="1"/>
  <c r="BV155" i="1"/>
  <c r="BW155" i="1" s="1"/>
  <c r="BX217" i="1" s="1"/>
  <c r="BV179" i="1"/>
  <c r="BW179" i="1" s="1"/>
  <c r="BV169" i="1"/>
  <c r="BW169" i="1" s="1"/>
  <c r="BV161" i="1"/>
  <c r="BW161" i="1" s="1"/>
  <c r="M160" i="1"/>
  <c r="M195" i="1" s="1"/>
  <c r="R168" i="1"/>
  <c r="R198" i="1" s="1"/>
  <c r="I186" i="1"/>
  <c r="S178" i="1"/>
  <c r="L142" i="1"/>
  <c r="U160" i="1"/>
  <c r="U195" i="1" s="1"/>
  <c r="G92" i="1"/>
  <c r="J170" i="1"/>
  <c r="I140" i="1"/>
  <c r="B160" i="1"/>
  <c r="B195" i="1" s="1"/>
  <c r="W166" i="1"/>
  <c r="F147" i="1"/>
  <c r="L179" i="1"/>
  <c r="F164" i="1"/>
  <c r="S92" i="1"/>
  <c r="Q162" i="1"/>
  <c r="O94" i="1"/>
  <c r="C161" i="1"/>
  <c r="J186" i="1"/>
  <c r="B178" i="1"/>
  <c r="E186" i="1"/>
  <c r="D166" i="1"/>
  <c r="N186" i="1"/>
  <c r="BV150" i="1"/>
  <c r="BW150" i="1" s="1"/>
  <c r="BH168" i="1"/>
  <c r="U161" i="1"/>
  <c r="R186" i="1"/>
  <c r="S170" i="1"/>
  <c r="C151" i="1"/>
  <c r="M82" i="1"/>
  <c r="F185" i="1"/>
  <c r="U94" i="1"/>
  <c r="V137" i="1"/>
  <c r="F178" i="1"/>
  <c r="B179" i="1"/>
  <c r="E142" i="1"/>
  <c r="R174" i="1"/>
  <c r="G166" i="1"/>
  <c r="I141" i="1"/>
  <c r="I169" i="1" s="1"/>
  <c r="C88" i="1"/>
  <c r="U164" i="1"/>
  <c r="K94" i="1"/>
  <c r="J157" i="1"/>
  <c r="W157" i="1"/>
  <c r="P141" i="1"/>
  <c r="P169" i="1" s="1"/>
  <c r="S152" i="1"/>
  <c r="R160" i="1"/>
  <c r="R195" i="1" s="1"/>
  <c r="AS60" i="1"/>
  <c r="AY35" i="1"/>
  <c r="AS28" i="1"/>
  <c r="AS36" i="1"/>
  <c r="BH167" i="1"/>
  <c r="BI167" i="1" s="1"/>
  <c r="BH178" i="1"/>
  <c r="BI178" i="1" s="1"/>
  <c r="BH170" i="1"/>
  <c r="BI170" i="1" s="1"/>
  <c r="BH174" i="1"/>
  <c r="BH159" i="1"/>
  <c r="W137" i="1"/>
  <c r="C133" i="1"/>
  <c r="H158" i="1"/>
  <c r="B186" i="1"/>
  <c r="N164" i="1"/>
  <c r="B161" i="1"/>
  <c r="F159" i="1"/>
  <c r="F194" i="1" s="1"/>
  <c r="R133" i="1"/>
  <c r="J132" i="1"/>
  <c r="E160" i="1"/>
  <c r="E195" i="1" s="1"/>
  <c r="U151" i="1"/>
  <c r="S88" i="1"/>
  <c r="J175" i="1"/>
  <c r="G139" i="1"/>
  <c r="T92" i="1"/>
  <c r="B187" i="1"/>
  <c r="H133" i="1"/>
  <c r="U139" i="1"/>
  <c r="D93" i="1"/>
  <c r="R155" i="1"/>
  <c r="F151" i="1"/>
  <c r="R93" i="1"/>
  <c r="T141" i="1"/>
  <c r="T169" i="1" s="1"/>
  <c r="U155" i="1"/>
  <c r="S174" i="1"/>
  <c r="C157" i="1"/>
  <c r="T174" i="1"/>
  <c r="C185" i="1"/>
  <c r="O148" i="1"/>
  <c r="H186" i="1"/>
  <c r="BW23" i="1"/>
  <c r="BW7" i="1" s="1"/>
  <c r="AW61" i="1"/>
  <c r="BU24" i="1"/>
  <c r="BC37" i="1"/>
  <c r="AU36" i="1"/>
  <c r="BF60" i="1"/>
  <c r="AQ24" i="1"/>
  <c r="BB39" i="1"/>
  <c r="BN24" i="1"/>
  <c r="AW36" i="1"/>
  <c r="BC38" i="1"/>
  <c r="BJ50" i="1"/>
  <c r="BN40" i="1"/>
  <c r="AZ39" i="1"/>
  <c r="BS23" i="1"/>
  <c r="BS246" i="1" s="1"/>
  <c r="BK62" i="1"/>
  <c r="AU29" i="1"/>
  <c r="BB47" i="1"/>
  <c r="BB61" i="1"/>
  <c r="BW61" i="1"/>
  <c r="AV47" i="1"/>
  <c r="AV209" i="1" s="1"/>
  <c r="AR29" i="1"/>
  <c r="BU61" i="1"/>
  <c r="BP61" i="1"/>
  <c r="BV66" i="1"/>
  <c r="BE38" i="1"/>
  <c r="BS60" i="1"/>
  <c r="BF24" i="1"/>
  <c r="BJ51" i="1"/>
  <c r="BJ267" i="1" s="1"/>
  <c r="AP50" i="1"/>
  <c r="AZ37" i="1"/>
  <c r="AV36" i="1"/>
  <c r="BW66" i="1"/>
  <c r="BB30" i="1"/>
  <c r="BD54" i="1"/>
  <c r="BU50" i="1"/>
  <c r="AZ38" i="1"/>
  <c r="BR39" i="1"/>
  <c r="AX47" i="1"/>
  <c r="AX209" i="1" s="1"/>
  <c r="AU23" i="1"/>
  <c r="AU246" i="1" s="1"/>
  <c r="BI51" i="1"/>
  <c r="AI60" i="1"/>
  <c r="BV47" i="1"/>
  <c r="BV209" i="1" s="1"/>
  <c r="AX36" i="1"/>
  <c r="AI36" i="1"/>
  <c r="BS29" i="1"/>
  <c r="BM39" i="1"/>
  <c r="BP35" i="1"/>
  <c r="BM47" i="1"/>
  <c r="BM218" i="1" s="1"/>
  <c r="BM216" i="1" s="1"/>
  <c r="BT29" i="1"/>
  <c r="BC54" i="1"/>
  <c r="BO37" i="1"/>
  <c r="BJ24" i="1"/>
  <c r="BJ25" i="1" s="1"/>
  <c r="BJ31" i="1" s="1"/>
  <c r="BM36" i="1"/>
  <c r="BK37" i="1"/>
  <c r="BO35" i="1"/>
  <c r="BD29" i="1"/>
  <c r="BM66" i="1"/>
  <c r="BV137" i="1"/>
  <c r="BW137" i="1" s="1"/>
  <c r="BV140" i="1"/>
  <c r="BW140" i="1" s="1"/>
  <c r="BH141" i="1"/>
  <c r="BI141" i="1" s="1"/>
  <c r="BV166" i="1"/>
  <c r="BW166" i="1" s="1"/>
  <c r="K175" i="1"/>
  <c r="L94" i="1"/>
  <c r="P139" i="1"/>
  <c r="V161" i="1"/>
  <c r="C132" i="1"/>
  <c r="M168" i="1"/>
  <c r="M198" i="1" s="1"/>
  <c r="Q137" i="1"/>
  <c r="J185" i="1"/>
  <c r="G162" i="1"/>
  <c r="J88" i="1"/>
  <c r="N161" i="1"/>
  <c r="O150" i="1"/>
  <c r="O146" i="1" s="1"/>
  <c r="W140" i="1"/>
  <c r="U187" i="1"/>
  <c r="S179" i="1"/>
  <c r="U147" i="1"/>
  <c r="D168" i="1"/>
  <c r="D198" i="1" s="1"/>
  <c r="R137" i="1"/>
  <c r="R178" i="1"/>
  <c r="W82" i="1"/>
  <c r="N179" i="1"/>
  <c r="J137" i="1"/>
  <c r="Q175" i="1"/>
  <c r="BP51" i="1"/>
  <c r="AV28" i="1"/>
  <c r="BN37" i="1"/>
  <c r="BJ89" i="1"/>
  <c r="BN50" i="1"/>
  <c r="AI88" i="1"/>
  <c r="BV167" i="1"/>
  <c r="BW167" i="1" s="1"/>
  <c r="BV158" i="1"/>
  <c r="BW158" i="1" s="1"/>
  <c r="BV146" i="1"/>
  <c r="N94" i="1"/>
  <c r="C93" i="1"/>
  <c r="G187" i="1"/>
  <c r="G160" i="1"/>
  <c r="G195" i="1" s="1"/>
  <c r="G147" i="1"/>
  <c r="S150" i="1"/>
  <c r="S146" i="1" s="1"/>
  <c r="F162" i="1"/>
  <c r="G151" i="1"/>
  <c r="R139" i="1"/>
  <c r="P162" i="1"/>
  <c r="M89" i="1"/>
  <c r="Q159" i="1"/>
  <c r="Q194" i="1" s="1"/>
  <c r="E168" i="1"/>
  <c r="E198" i="1" s="1"/>
  <c r="C155" i="1"/>
  <c r="B92" i="1"/>
  <c r="F166" i="1"/>
  <c r="R187" i="1"/>
  <c r="S151" i="1"/>
  <c r="D78" i="1"/>
  <c r="E132" i="1"/>
  <c r="C94" i="1"/>
  <c r="J178" i="1"/>
  <c r="C174" i="1"/>
  <c r="T82" i="1"/>
  <c r="V159" i="1"/>
  <c r="V194" i="1" s="1"/>
  <c r="R82" i="1"/>
  <c r="O187" i="1"/>
  <c r="F142" i="1"/>
  <c r="L174" i="1"/>
  <c r="T88" i="1"/>
  <c r="N147" i="1"/>
  <c r="D165" i="1"/>
  <c r="W161" i="1"/>
  <c r="F140" i="1"/>
  <c r="Q82" i="1"/>
  <c r="Q92" i="1"/>
  <c r="V170" i="1"/>
  <c r="D92" i="1"/>
  <c r="BV38" i="1"/>
  <c r="AO39" i="1"/>
  <c r="BE47" i="1"/>
  <c r="BE209" i="1" s="1"/>
  <c r="BP50" i="1"/>
  <c r="AY30" i="1"/>
  <c r="AU66" i="1"/>
  <c r="AI29" i="1"/>
  <c r="BT24" i="1"/>
  <c r="BE51" i="1"/>
  <c r="AX39" i="1"/>
  <c r="AY66" i="1"/>
  <c r="BC60" i="1"/>
  <c r="BD38" i="1"/>
  <c r="BF51" i="1"/>
  <c r="AP29" i="1"/>
  <c r="BG60" i="1"/>
  <c r="AN47" i="1"/>
  <c r="AY29" i="1"/>
  <c r="AT39" i="1"/>
  <c r="AX51" i="1"/>
  <c r="BV28" i="1"/>
  <c r="BS35" i="1"/>
  <c r="BH166" i="1"/>
  <c r="BI166" i="1" s="1"/>
  <c r="BH88" i="1"/>
  <c r="BH139" i="1"/>
  <c r="BI139" i="1" s="1"/>
  <c r="BV165" i="1"/>
  <c r="BW165" i="1" s="1"/>
  <c r="BV142" i="1"/>
  <c r="BW142" i="1" s="1"/>
  <c r="BH165" i="1"/>
  <c r="BI165" i="1" s="1"/>
  <c r="S147" i="1"/>
  <c r="B94" i="1"/>
  <c r="I152" i="1"/>
  <c r="J92" i="1"/>
  <c r="J160" i="1"/>
  <c r="J195" i="1" s="1"/>
  <c r="D158" i="1"/>
  <c r="C152" i="1"/>
  <c r="I178" i="1"/>
  <c r="G152" i="1"/>
  <c r="I150" i="1"/>
  <c r="I146" i="1" s="1"/>
  <c r="E93" i="1"/>
  <c r="V92" i="1"/>
  <c r="K170" i="1"/>
  <c r="S140" i="1"/>
  <c r="N141" i="1"/>
  <c r="N169" i="1" s="1"/>
  <c r="V174" i="1"/>
  <c r="C137" i="1"/>
  <c r="F139" i="1"/>
  <c r="K187" i="1"/>
  <c r="BS54" i="1"/>
  <c r="AY37" i="1"/>
  <c r="BI23" i="1"/>
  <c r="AI61" i="1"/>
  <c r="BM54" i="1"/>
  <c r="AP61" i="1"/>
  <c r="AX35" i="1"/>
  <c r="AI35" i="1"/>
  <c r="BD30" i="1"/>
  <c r="AX30" i="1"/>
  <c r="BM38" i="1"/>
  <c r="AQ60" i="1"/>
  <c r="AZ54" i="1"/>
  <c r="BC24" i="1"/>
  <c r="AQ36" i="1"/>
  <c r="BC36" i="1"/>
  <c r="BG24" i="1"/>
  <c r="AY54" i="1"/>
  <c r="BE62" i="1"/>
  <c r="BP62" i="1"/>
  <c r="AI38" i="1"/>
  <c r="BS36" i="1"/>
  <c r="BO24" i="1"/>
  <c r="AV50" i="1"/>
  <c r="AX28" i="1"/>
  <c r="AT66" i="1"/>
  <c r="BK24" i="1"/>
  <c r="BO66" i="1"/>
  <c r="AN40" i="1"/>
  <c r="BH62" i="1"/>
  <c r="BW37" i="1"/>
  <c r="BQ60" i="1"/>
  <c r="AX38" i="1"/>
  <c r="BA47" i="1"/>
  <c r="BM37" i="1"/>
  <c r="AQ66" i="1"/>
  <c r="BB51" i="1"/>
  <c r="AS62" i="1"/>
  <c r="AY36" i="1"/>
  <c r="BT50" i="1"/>
  <c r="BB60" i="1"/>
  <c r="AQ50" i="1"/>
  <c r="AW62" i="1"/>
  <c r="BT61" i="1"/>
  <c r="BF61" i="1"/>
  <c r="BH50" i="1"/>
  <c r="BC39" i="1"/>
  <c r="BO39" i="1"/>
  <c r="AS39" i="1"/>
  <c r="AV51" i="1"/>
  <c r="BD60" i="1"/>
  <c r="AS30" i="1"/>
  <c r="BE23" i="1"/>
  <c r="BE246" i="1" s="1"/>
  <c r="AV60" i="1"/>
  <c r="BF23" i="1"/>
  <c r="AT62" i="1"/>
  <c r="BI40" i="1"/>
  <c r="BV29" i="1"/>
  <c r="AI47" i="1"/>
  <c r="BH169" i="1"/>
  <c r="BI169" i="1" s="1"/>
  <c r="BV139" i="1"/>
  <c r="BV178" i="1"/>
  <c r="BW178" i="1" s="1"/>
  <c r="B147" i="1"/>
  <c r="L139" i="1"/>
  <c r="W185" i="1"/>
  <c r="F165" i="1"/>
  <c r="V166" i="1"/>
  <c r="B165" i="1"/>
  <c r="Q151" i="1"/>
  <c r="F152" i="1"/>
  <c r="P133" i="1"/>
  <c r="C160" i="1"/>
  <c r="C195" i="1" s="1"/>
  <c r="L93" i="1"/>
  <c r="I148" i="1"/>
  <c r="S141" i="1"/>
  <c r="S169" i="1" s="1"/>
  <c r="K142" i="1"/>
  <c r="C141" i="1"/>
  <c r="C169" i="1" s="1"/>
  <c r="L132" i="1"/>
  <c r="J133" i="1"/>
  <c r="E141" i="1"/>
  <c r="E169" i="1" s="1"/>
  <c r="L159" i="1"/>
  <c r="L194" i="1" s="1"/>
  <c r="V147" i="1"/>
  <c r="D186" i="1"/>
  <c r="BW36" i="1"/>
  <c r="BA35" i="1"/>
  <c r="BW28" i="1"/>
  <c r="AV62" i="1"/>
  <c r="BJ66" i="1"/>
  <c r="AU38" i="1"/>
  <c r="BW51" i="1"/>
  <c r="AI54" i="1"/>
  <c r="BA40" i="1"/>
  <c r="AT23" i="1"/>
  <c r="BQ66" i="1"/>
  <c r="AW23" i="1"/>
  <c r="BB23" i="1"/>
  <c r="BH61" i="1"/>
  <c r="BI62" i="1"/>
  <c r="AV30" i="1"/>
  <c r="BA50" i="1"/>
  <c r="BG50" i="1"/>
  <c r="BV40" i="1"/>
  <c r="BR60" i="1"/>
  <c r="AO38" i="1"/>
  <c r="BN54" i="1"/>
  <c r="BC30" i="1"/>
  <c r="AS23" i="1"/>
  <c r="BM23" i="1"/>
  <c r="BU51" i="1"/>
  <c r="BT38" i="1"/>
  <c r="AZ35" i="1"/>
  <c r="AP39" i="1"/>
  <c r="BH29" i="1"/>
  <c r="BK40" i="1"/>
  <c r="BH28" i="1"/>
  <c r="BM62" i="1"/>
  <c r="AP40" i="1"/>
  <c r="BU38" i="1"/>
  <c r="AS51" i="1"/>
  <c r="BD35" i="1"/>
  <c r="AM61" i="1"/>
  <c r="AS50" i="1"/>
  <c r="BV50" i="1"/>
  <c r="BN36" i="1"/>
  <c r="AX61" i="1"/>
  <c r="AM66" i="1"/>
  <c r="AK88" i="1"/>
  <c r="AP35" i="1"/>
  <c r="AN36" i="1"/>
  <c r="AZ50" i="1"/>
  <c r="BH132" i="1"/>
  <c r="BI132" i="1" s="1"/>
  <c r="BV159" i="1"/>
  <c r="BH150" i="1"/>
  <c r="BI150" i="1" s="1"/>
  <c r="B142" i="1"/>
  <c r="J148" i="1"/>
  <c r="U137" i="1"/>
  <c r="M152" i="1"/>
  <c r="S166" i="1"/>
  <c r="B162" i="1"/>
  <c r="S187" i="1"/>
  <c r="Q158" i="1"/>
  <c r="M178" i="1"/>
  <c r="Q155" i="1"/>
  <c r="J155" i="1"/>
  <c r="K162" i="1"/>
  <c r="D151" i="1"/>
  <c r="B146" i="1"/>
  <c r="D94" i="1"/>
  <c r="M166" i="1"/>
  <c r="C168" i="1"/>
  <c r="C198" i="1" s="1"/>
  <c r="P187" i="1"/>
  <c r="H142" i="1"/>
  <c r="V179" i="1"/>
  <c r="S133" i="1"/>
  <c r="E89" i="1"/>
  <c r="BD37" i="1"/>
  <c r="BK23" i="1"/>
  <c r="AO66" i="1"/>
  <c r="BW38" i="1"/>
  <c r="BP60" i="1"/>
  <c r="AP36" i="1"/>
  <c r="AI30" i="1"/>
  <c r="BW24" i="1"/>
  <c r="BV37" i="1"/>
  <c r="AQ62" i="1"/>
  <c r="AS37" i="1"/>
  <c r="AT29" i="1"/>
  <c r="AQ35" i="1"/>
  <c r="BU62" i="1"/>
  <c r="BQ39" i="1"/>
  <c r="BR30" i="1"/>
  <c r="BU23" i="1"/>
  <c r="AY47" i="1"/>
  <c r="BK35" i="1"/>
  <c r="BO54" i="1"/>
  <c r="BP28" i="1"/>
  <c r="BS47" i="1"/>
  <c r="BS209" i="1" s="1"/>
  <c r="AS47" i="1"/>
  <c r="BQ23" i="1"/>
  <c r="BA54" i="1"/>
  <c r="BR40" i="1"/>
  <c r="BT28" i="1"/>
  <c r="AO24" i="1"/>
  <c r="BA61" i="1"/>
  <c r="AU28" i="1"/>
  <c r="BG38" i="1"/>
  <c r="AW47" i="1"/>
  <c r="BN60" i="1"/>
  <c r="AP54" i="1"/>
  <c r="AY50" i="1"/>
  <c r="BI38" i="1"/>
  <c r="BU54" i="1"/>
  <c r="AP37" i="1"/>
  <c r="AO61" i="1"/>
  <c r="BS24" i="1"/>
  <c r="BH23" i="1"/>
  <c r="AN61" i="1"/>
  <c r="AR62" i="1"/>
  <c r="BW50" i="1"/>
  <c r="AR47" i="1"/>
  <c r="AR209" i="1" s="1"/>
  <c r="AV40" i="1"/>
  <c r="BH37" i="1"/>
  <c r="AP60" i="1"/>
  <c r="BH30" i="1"/>
  <c r="BV35" i="1"/>
  <c r="BB40" i="1"/>
  <c r="BN38" i="1"/>
  <c r="AZ61" i="1"/>
  <c r="BE40" i="1"/>
  <c r="BC29" i="1"/>
  <c r="BH60" i="1"/>
  <c r="AN23" i="1"/>
  <c r="BB29" i="1"/>
  <c r="AW35" i="1"/>
  <c r="BF39" i="1"/>
  <c r="BQ29" i="1"/>
  <c r="BF28" i="1"/>
  <c r="AZ51" i="1"/>
  <c r="AX40" i="1"/>
  <c r="BB35" i="1"/>
  <c r="AN24" i="1"/>
  <c r="BH164" i="1"/>
  <c r="BI164" i="1" s="1"/>
  <c r="BV174" i="1"/>
  <c r="BH134" i="1"/>
  <c r="U186" i="1"/>
  <c r="F179" i="1"/>
  <c r="U179" i="1"/>
  <c r="D160" i="1"/>
  <c r="D195" i="1" s="1"/>
  <c r="H161" i="1"/>
  <c r="C89" i="1"/>
  <c r="L152" i="1"/>
  <c r="J179" i="1"/>
  <c r="W162" i="1"/>
  <c r="W150" i="1"/>
  <c r="W146" i="1" s="1"/>
  <c r="T134" i="1"/>
  <c r="H165" i="1"/>
  <c r="L147" i="1"/>
  <c r="L165" i="1"/>
  <c r="Q134" i="1"/>
  <c r="K148" i="1"/>
  <c r="P93" i="1"/>
  <c r="M186" i="1"/>
  <c r="M134" i="1"/>
  <c r="J165" i="1"/>
  <c r="T152" i="1"/>
  <c r="V186" i="1"/>
  <c r="I174" i="1"/>
  <c r="I175" i="1"/>
  <c r="I176" i="1" s="1"/>
  <c r="J224" i="1" s="1"/>
  <c r="I142" i="1"/>
  <c r="BF62" i="1"/>
  <c r="BC35" i="1"/>
  <c r="BM30" i="1"/>
  <c r="BG61" i="1"/>
  <c r="AI62" i="1"/>
  <c r="BO38" i="1"/>
  <c r="BK29" i="1"/>
  <c r="BW35" i="1"/>
  <c r="BI61" i="1"/>
  <c r="BB50" i="1"/>
  <c r="BJ88" i="1"/>
  <c r="BD24" i="1"/>
  <c r="BD40" i="1"/>
  <c r="AN54" i="1"/>
  <c r="BH36" i="1"/>
  <c r="BA66" i="1"/>
  <c r="AY51" i="1"/>
  <c r="AR61" i="1"/>
  <c r="BB24" i="1"/>
  <c r="AR37" i="1"/>
  <c r="BT39" i="1"/>
  <c r="AO36" i="1"/>
  <c r="AY39" i="1"/>
  <c r="AT50" i="1"/>
  <c r="BI30" i="1"/>
  <c r="AZ40" i="1"/>
  <c r="BB37" i="1"/>
  <c r="AQ29" i="1"/>
  <c r="BT30" i="1"/>
  <c r="BE54" i="1"/>
  <c r="BR47" i="1"/>
  <c r="BD36" i="1"/>
  <c r="AW29" i="1"/>
  <c r="AO29" i="1"/>
  <c r="AR39" i="1"/>
  <c r="AW39" i="1"/>
  <c r="BW39" i="1"/>
  <c r="BN51" i="1"/>
  <c r="BN47" i="1"/>
  <c r="AS29" i="1"/>
  <c r="BU35" i="1"/>
  <c r="AO23" i="1"/>
  <c r="AN28" i="1"/>
  <c r="BF54" i="1"/>
  <c r="AZ29" i="1"/>
  <c r="BC61" i="1"/>
  <c r="BI50" i="1"/>
  <c r="BO47" i="1"/>
  <c r="BO209" i="1" s="1"/>
  <c r="AU30" i="1"/>
  <c r="BG37" i="1"/>
  <c r="AX24" i="1"/>
  <c r="BM28" i="1"/>
  <c r="AU35" i="1"/>
  <c r="BT51" i="1"/>
  <c r="AP66" i="1"/>
  <c r="BE30" i="1"/>
  <c r="BS37" i="1"/>
  <c r="BK60" i="1"/>
  <c r="BD61" i="1"/>
  <c r="BA39" i="1"/>
  <c r="BG51" i="1"/>
  <c r="AO47" i="1"/>
  <c r="BR24" i="1"/>
  <c r="BP36" i="1"/>
  <c r="BO23" i="1"/>
  <c r="BO246" i="1" s="1"/>
  <c r="BH152" i="1"/>
  <c r="BI152" i="1" s="1"/>
  <c r="BH147" i="1"/>
  <c r="BV162" i="1"/>
  <c r="BW162" i="1" s="1"/>
  <c r="BH140" i="1"/>
  <c r="BI140" i="1" s="1"/>
  <c r="BV157" i="1"/>
  <c r="BW157" i="1" s="1"/>
  <c r="BH155" i="1"/>
  <c r="BI155" i="1" s="1"/>
  <c r="BJ217" i="1" s="1"/>
  <c r="BV132" i="1"/>
  <c r="BW132" i="1" s="1"/>
  <c r="D133" i="1"/>
  <c r="W151" i="1"/>
  <c r="W168" i="1"/>
  <c r="F175" i="1"/>
  <c r="W175" i="1"/>
  <c r="O166" i="1"/>
  <c r="I165" i="1"/>
  <c r="B78" i="1"/>
  <c r="G133" i="1"/>
  <c r="H137" i="1"/>
  <c r="L161" i="1"/>
  <c r="M92" i="1"/>
  <c r="D164" i="1"/>
  <c r="P174" i="1"/>
  <c r="P176" i="1" s="1"/>
  <c r="Q224" i="1" s="1"/>
  <c r="O134" i="1"/>
  <c r="I159" i="1"/>
  <c r="I194" i="1" s="1"/>
  <c r="F82" i="1"/>
  <c r="L150" i="1"/>
  <c r="L146" i="1" s="1"/>
  <c r="W94" i="1"/>
  <c r="J166" i="1"/>
  <c r="N151" i="1"/>
  <c r="L185" i="1"/>
  <c r="BH146" i="1"/>
  <c r="M139" i="1"/>
  <c r="T148" i="1"/>
  <c r="D175" i="1"/>
  <c r="M147" i="1"/>
  <c r="D141" i="1"/>
  <c r="D169" i="1" s="1"/>
  <c r="O140" i="1"/>
  <c r="J158" i="1"/>
  <c r="H174" i="1"/>
  <c r="E137" i="1"/>
  <c r="Q93" i="1"/>
  <c r="R142" i="1"/>
  <c r="D89" i="1"/>
  <c r="L151" i="1"/>
  <c r="W141" i="1"/>
  <c r="W169" i="1" s="1"/>
  <c r="R179" i="1"/>
  <c r="M161" i="1"/>
  <c r="C78" i="1"/>
  <c r="D142" i="1"/>
  <c r="W93" i="1"/>
  <c r="W142" i="1"/>
  <c r="H134" i="1"/>
  <c r="E134" i="1"/>
  <c r="T160" i="1"/>
  <c r="T195" i="1" s="1"/>
  <c r="S132" i="1"/>
  <c r="V152" i="1"/>
  <c r="P161" i="1"/>
  <c r="W165" i="1"/>
  <c r="G161" i="1"/>
  <c r="T179" i="1"/>
  <c r="J152" i="1"/>
  <c r="H139" i="1"/>
  <c r="E151" i="1"/>
  <c r="C159" i="1"/>
  <c r="C194" i="1" s="1"/>
  <c r="W89" i="1"/>
  <c r="T175" i="1"/>
  <c r="D152" i="1"/>
  <c r="E157" i="1"/>
  <c r="G132" i="1"/>
  <c r="R94" i="1"/>
  <c r="H93" i="1"/>
  <c r="G186" i="1"/>
  <c r="P151" i="1"/>
  <c r="O141" i="1"/>
  <c r="O169" i="1" s="1"/>
  <c r="I170" i="1"/>
  <c r="I139" i="1"/>
  <c r="B155" i="1"/>
  <c r="C217" i="1" s="1"/>
  <c r="B157" i="1"/>
  <c r="E155" i="1"/>
  <c r="I162" i="1"/>
  <c r="H159" i="1"/>
  <c r="H194" i="1" s="1"/>
  <c r="R150" i="1"/>
  <c r="R146" i="1" s="1"/>
  <c r="V158" i="1"/>
  <c r="H179" i="1"/>
  <c r="G88" i="1"/>
  <c r="C164" i="1"/>
  <c r="N168" i="1"/>
  <c r="N198" i="1" s="1"/>
  <c r="W164" i="1"/>
  <c r="Q186" i="1"/>
  <c r="I164" i="1"/>
  <c r="J159" i="1"/>
  <c r="J194" i="1" s="1"/>
  <c r="N132" i="1"/>
  <c r="L82" i="1"/>
  <c r="U93" i="1"/>
  <c r="W158" i="1"/>
  <c r="K186" i="1"/>
  <c r="L187" i="1"/>
  <c r="H94" i="1"/>
  <c r="L140" i="1"/>
  <c r="S137" i="1"/>
  <c r="T170" i="1"/>
  <c r="V140" i="1"/>
  <c r="K137" i="1"/>
  <c r="G185" i="1"/>
  <c r="Q165" i="1"/>
  <c r="O139" i="1"/>
  <c r="L175" i="1"/>
  <c r="J141" i="1"/>
  <c r="J169" i="1" s="1"/>
  <c r="B133" i="1"/>
  <c r="D161" i="1"/>
  <c r="L137" i="1"/>
  <c r="U162" i="1"/>
  <c r="U158" i="1"/>
  <c r="C82" i="1"/>
  <c r="K164" i="1"/>
  <c r="Q142" i="1"/>
  <c r="W187" i="1"/>
  <c r="T151" i="1"/>
  <c r="O93" i="1"/>
  <c r="E170" i="1"/>
  <c r="K88" i="1"/>
  <c r="D148" i="1"/>
  <c r="H162" i="1"/>
  <c r="U174" i="1"/>
  <c r="M164" i="1"/>
  <c r="H92" i="1"/>
  <c r="O151" i="1"/>
  <c r="Q150" i="1"/>
  <c r="Q146" i="1" s="1"/>
  <c r="J164" i="1"/>
  <c r="H175" i="1"/>
  <c r="M148" i="1"/>
  <c r="E164" i="1"/>
  <c r="C175" i="1"/>
  <c r="C162" i="1"/>
  <c r="K150" i="1"/>
  <c r="K146" i="1" s="1"/>
  <c r="N160" i="1"/>
  <c r="N195" i="1" s="1"/>
  <c r="B166" i="1"/>
  <c r="L157" i="1"/>
  <c r="Q157" i="1"/>
  <c r="W159" i="1"/>
  <c r="G155" i="1"/>
  <c r="R157" i="1"/>
  <c r="I158" i="1"/>
  <c r="Q179" i="1"/>
  <c r="Q89" i="1"/>
  <c r="V162" i="1"/>
  <c r="N150" i="1"/>
  <c r="N146" i="1" s="1"/>
  <c r="E165" i="1"/>
  <c r="D155" i="1"/>
  <c r="D217" i="1" s="1"/>
  <c r="T147" i="1"/>
  <c r="I161" i="1"/>
  <c r="I147" i="1"/>
  <c r="V93" i="1"/>
  <c r="D185" i="1"/>
  <c r="K160" i="1"/>
  <c r="K195" i="1" s="1"/>
  <c r="S162" i="1"/>
  <c r="M157" i="1"/>
  <c r="V151" i="1"/>
  <c r="R147" i="1"/>
  <c r="V141" i="1"/>
  <c r="V169" i="1" s="1"/>
  <c r="P159" i="1"/>
  <c r="P194" i="1" s="1"/>
  <c r="K165" i="1"/>
  <c r="H89" i="1"/>
  <c r="N175" i="1"/>
  <c r="S164" i="1"/>
  <c r="C147" i="1"/>
  <c r="M88" i="1"/>
  <c r="S186" i="1"/>
  <c r="S134" i="1"/>
  <c r="L170" i="1"/>
  <c r="C146" i="1"/>
  <c r="O147" i="1"/>
  <c r="D150" i="1"/>
  <c r="S175" i="1"/>
  <c r="D146" i="1"/>
  <c r="V187" i="1"/>
  <c r="V94" i="1"/>
  <c r="T157" i="1"/>
  <c r="W179" i="1"/>
  <c r="I134" i="1"/>
  <c r="J168" i="1"/>
  <c r="J198" i="1" s="1"/>
  <c r="R92" i="1"/>
  <c r="S94" i="1"/>
  <c r="L155" i="1"/>
  <c r="U152" i="1"/>
  <c r="O164" i="1"/>
  <c r="E187" i="1"/>
  <c r="R148" i="1"/>
  <c r="O137" i="1"/>
  <c r="K152" i="1"/>
  <c r="W88" i="1"/>
  <c r="O160" i="1"/>
  <c r="O195" i="1" s="1"/>
  <c r="D140" i="1"/>
  <c r="F148" i="1"/>
  <c r="F150" i="1"/>
  <c r="F146" i="1" s="1"/>
  <c r="N152" i="1"/>
  <c r="H82" i="1"/>
  <c r="P150" i="1"/>
  <c r="P146" i="1" s="1"/>
  <c r="I160" i="1"/>
  <c r="I195" i="1" s="1"/>
  <c r="D162" i="1"/>
  <c r="F141" i="1"/>
  <c r="F169" i="1" s="1"/>
  <c r="S155" i="1"/>
  <c r="S142" i="1"/>
  <c r="H141" i="1"/>
  <c r="H169" i="1" s="1"/>
  <c r="E161" i="1"/>
  <c r="L186" i="1"/>
  <c r="L134" i="1"/>
  <c r="D187" i="1"/>
  <c r="U142" i="1"/>
  <c r="V132" i="1"/>
  <c r="I133" i="1"/>
  <c r="D179" i="1"/>
  <c r="J140" i="1"/>
  <c r="N82" i="1"/>
  <c r="K161" i="1"/>
  <c r="M94" i="1"/>
  <c r="I151" i="1"/>
  <c r="W133" i="1"/>
  <c r="G142" i="1"/>
  <c r="H150" i="1"/>
  <c r="H146" i="1" s="1"/>
  <c r="Q88" i="1"/>
  <c r="C150" i="1"/>
  <c r="V168" i="1"/>
  <c r="V198" i="1" s="1"/>
  <c r="V133" i="1"/>
  <c r="Q147" i="1"/>
  <c r="B139" i="1"/>
  <c r="E178" i="1"/>
  <c r="Q141" i="1"/>
  <c r="Q169" i="1" s="1"/>
  <c r="O132" i="1"/>
  <c r="K132" i="1"/>
  <c r="E92" i="1"/>
  <c r="N92" i="1"/>
  <c r="R161" i="1"/>
  <c r="E133" i="1"/>
  <c r="H160" i="1"/>
  <c r="H195" i="1" s="1"/>
  <c r="R134" i="1"/>
  <c r="K140" i="1"/>
  <c r="O133" i="1"/>
  <c r="Q140" i="1"/>
  <c r="J94" i="1"/>
  <c r="U157" i="1"/>
  <c r="B152" i="1"/>
  <c r="I187" i="1"/>
  <c r="P147" i="1"/>
  <c r="H185" i="1"/>
  <c r="I155" i="1"/>
  <c r="G82" i="1"/>
  <c r="U178" i="1"/>
  <c r="E94" i="1"/>
  <c r="B132" i="1"/>
  <c r="M137" i="1"/>
  <c r="P185" i="1"/>
  <c r="F155" i="1"/>
  <c r="T162" i="1"/>
  <c r="O159" i="1"/>
  <c r="O194" i="1" s="1"/>
  <c r="S159" i="1"/>
  <c r="S194" i="1" s="1"/>
  <c r="O179" i="1"/>
  <c r="R162" i="1"/>
  <c r="N89" i="1"/>
  <c r="W174" i="1"/>
  <c r="G148" i="1"/>
  <c r="S160" i="1"/>
  <c r="S195" i="1" s="1"/>
  <c r="S148" i="1"/>
  <c r="D82" i="1"/>
  <c r="K185" i="1"/>
  <c r="M165" i="1"/>
  <c r="N140" i="1"/>
  <c r="Q152" i="1"/>
  <c r="U92" i="1"/>
  <c r="G93" i="1"/>
  <c r="W186" i="1"/>
  <c r="B137" i="1"/>
  <c r="R151" i="1"/>
  <c r="F88" i="1"/>
  <c r="G141" i="1"/>
  <c r="G169" i="1" s="1"/>
  <c r="K82" i="1"/>
  <c r="U82" i="1"/>
  <c r="V142" i="1"/>
  <c r="Q185" i="1"/>
  <c r="C79" i="1"/>
  <c r="P186" i="1"/>
  <c r="L89" i="1"/>
  <c r="T142" i="1"/>
  <c r="R88" i="1"/>
  <c r="P160" i="1"/>
  <c r="P195" i="1" s="1"/>
  <c r="E166" i="1"/>
  <c r="V160" i="1"/>
  <c r="V195" i="1" s="1"/>
  <c r="P178" i="1"/>
  <c r="C170" i="1"/>
  <c r="P152" i="1"/>
  <c r="U134" i="1"/>
  <c r="M175" i="1"/>
  <c r="K166" i="1"/>
  <c r="B185" i="1"/>
  <c r="B188" i="1" s="1"/>
  <c r="R185" i="1"/>
  <c r="J161" i="1"/>
  <c r="E162" i="1"/>
  <c r="R165" i="1"/>
  <c r="J187" i="1"/>
  <c r="F160" i="1"/>
  <c r="F195" i="1" s="1"/>
  <c r="J150" i="1"/>
  <c r="J146" i="1" s="1"/>
  <c r="D147" i="1"/>
  <c r="R152" i="1"/>
  <c r="O158" i="1"/>
  <c r="F157" i="1"/>
  <c r="D174" i="1"/>
  <c r="O165" i="1"/>
  <c r="G165" i="1"/>
  <c r="T178" i="1"/>
  <c r="P134" i="1"/>
  <c r="J89" i="1"/>
  <c r="U159" i="1"/>
  <c r="U194" i="1" s="1"/>
  <c r="G157" i="1"/>
  <c r="E140" i="1"/>
  <c r="S93" i="1"/>
  <c r="P92" i="1"/>
  <c r="Q160" i="1"/>
  <c r="Q195" i="1" s="1"/>
  <c r="C166" i="1"/>
  <c r="M159" i="1"/>
  <c r="M194" i="1" s="1"/>
  <c r="U89" i="1"/>
  <c r="V139" i="1"/>
  <c r="R175" i="1"/>
  <c r="R176" i="1" s="1"/>
  <c r="K89" i="1"/>
  <c r="K157" i="1"/>
  <c r="J162" i="1"/>
  <c r="L168" i="1"/>
  <c r="L198" i="1" s="1"/>
  <c r="V155" i="1"/>
  <c r="V89" i="1"/>
  <c r="M93" i="1"/>
  <c r="O155" i="1"/>
  <c r="O152" i="1"/>
  <c r="C179" i="1"/>
  <c r="F137" i="1"/>
  <c r="N178" i="1"/>
  <c r="W178" i="1"/>
  <c r="N159" i="1"/>
  <c r="N194" i="1" s="1"/>
  <c r="H152" i="1"/>
  <c r="F92" i="1"/>
  <c r="I88" i="1"/>
  <c r="K174" i="1"/>
  <c r="I93" i="1"/>
  <c r="T133" i="1"/>
  <c r="T161" i="1"/>
  <c r="J93" i="1"/>
  <c r="O185" i="1"/>
  <c r="P179" i="1"/>
  <c r="J174" i="1"/>
  <c r="J176" i="1" s="1"/>
  <c r="K224" i="1" s="1"/>
  <c r="N142" i="1"/>
  <c r="L92" i="1"/>
  <c r="AX54" i="1"/>
  <c r="BV147" i="1"/>
  <c r="BH148" i="1"/>
  <c r="BV170" i="1"/>
  <c r="BW170" i="1" s="1"/>
  <c r="BH89" i="1"/>
  <c r="BV175" i="1"/>
  <c r="BH157" i="1"/>
  <c r="BI157" i="1" s="1"/>
  <c r="BV148" i="1"/>
  <c r="B141" i="1"/>
  <c r="B169" i="1" s="1"/>
  <c r="L133" i="1"/>
  <c r="V88" i="1"/>
  <c r="P165" i="1"/>
  <c r="P158" i="1"/>
  <c r="O142" i="1"/>
  <c r="F133" i="1"/>
  <c r="O170" i="1"/>
  <c r="C142" i="1"/>
  <c r="P164" i="1"/>
  <c r="V150" i="1"/>
  <c r="V146" i="1" s="1"/>
  <c r="N166" i="1"/>
  <c r="V82" i="1"/>
  <c r="W134" i="1"/>
  <c r="F168" i="1"/>
  <c r="F198" i="1" s="1"/>
  <c r="E148" i="1"/>
  <c r="C186" i="1"/>
  <c r="M150" i="1"/>
  <c r="M146" i="1" s="1"/>
  <c r="J151" i="1"/>
  <c r="I89" i="1"/>
  <c r="B79" i="1"/>
  <c r="N165" i="1"/>
  <c r="S139" i="1"/>
  <c r="Q187" i="1"/>
  <c r="F187" i="1"/>
  <c r="R140" i="1"/>
  <c r="T158" i="1"/>
  <c r="B170" i="1"/>
  <c r="E150" i="1"/>
  <c r="E146" i="1" s="1"/>
  <c r="S161" i="1"/>
  <c r="B134" i="1"/>
  <c r="V178" i="1"/>
  <c r="F170" i="1"/>
  <c r="T137" i="1"/>
  <c r="W139" i="1"/>
  <c r="O157" i="1"/>
  <c r="Q170" i="1"/>
  <c r="G150" i="1"/>
  <c r="G146" i="1" s="1"/>
  <c r="T155" i="1"/>
  <c r="U217" i="1" s="1"/>
  <c r="R158" i="1"/>
  <c r="D134" i="1"/>
  <c r="N170" i="1"/>
  <c r="I166" i="1"/>
  <c r="O161" i="1"/>
  <c r="H132" i="1"/>
  <c r="I132" i="1"/>
  <c r="N93" i="1"/>
  <c r="G89" i="1"/>
  <c r="P94" i="1"/>
  <c r="R170" i="1"/>
  <c r="N158" i="1"/>
  <c r="W92" i="1"/>
  <c r="U185" i="1"/>
  <c r="C187" i="1"/>
  <c r="W155" i="1"/>
  <c r="X217" i="1" s="1"/>
  <c r="T168" i="1"/>
  <c r="T198" i="1" s="1"/>
  <c r="F134" i="1"/>
  <c r="K168" i="1"/>
  <c r="K198" i="1" s="1"/>
  <c r="U133" i="1"/>
  <c r="I168" i="1"/>
  <c r="I198" i="1" s="1"/>
  <c r="H187" i="1"/>
  <c r="L148" i="1"/>
  <c r="G170" i="1"/>
  <c r="V148" i="1"/>
  <c r="B82" i="1"/>
  <c r="O178" i="1"/>
  <c r="C134" i="1"/>
  <c r="C158" i="1"/>
  <c r="M174" i="1"/>
  <c r="I185" i="1"/>
  <c r="C148" i="1"/>
  <c r="B151" i="1"/>
  <c r="N162" i="1"/>
  <c r="P88" i="1"/>
  <c r="K158" i="1"/>
  <c r="K178" i="1"/>
  <c r="P148" i="1"/>
  <c r="Q139" i="1"/>
  <c r="R159" i="1"/>
  <c r="R194" i="1" s="1"/>
  <c r="D170" i="1"/>
  <c r="N137" i="1"/>
  <c r="K159" i="1"/>
  <c r="K194" i="1" s="1"/>
  <c r="T164" i="1"/>
  <c r="G158" i="1"/>
  <c r="U168" i="1"/>
  <c r="U198" i="1" s="1"/>
  <c r="H147" i="1"/>
  <c r="L178" i="1"/>
  <c r="V185" i="1"/>
  <c r="P140" i="1"/>
  <c r="Q174" i="1"/>
  <c r="Q176" i="1" s="1"/>
  <c r="I82" i="1"/>
  <c r="C178" i="1"/>
  <c r="Q94" i="1"/>
  <c r="V157" i="1"/>
  <c r="S185" i="1"/>
  <c r="J139" i="1"/>
  <c r="U165" i="1"/>
  <c r="M140" i="1"/>
  <c r="U175" i="1"/>
  <c r="O88" i="1"/>
  <c r="D139" i="1"/>
  <c r="S157" i="1"/>
  <c r="E179" i="1"/>
  <c r="D178" i="1"/>
  <c r="K151" i="1"/>
  <c r="B158" i="1"/>
  <c r="W170" i="1"/>
  <c r="F89" i="1"/>
  <c r="C140" i="1"/>
  <c r="S165" i="1"/>
  <c r="H168" i="1"/>
  <c r="H198" i="1" s="1"/>
  <c r="U141" i="1"/>
  <c r="U169" i="1" s="1"/>
  <c r="L162" i="1"/>
  <c r="H140" i="1"/>
  <c r="L141" i="1"/>
  <c r="L169" i="1" s="1"/>
  <c r="B164" i="1"/>
  <c r="H151" i="1"/>
  <c r="G174" i="1"/>
  <c r="K93" i="1"/>
  <c r="M151" i="1"/>
  <c r="S158" i="1"/>
  <c r="H148" i="1"/>
  <c r="F94" i="1"/>
  <c r="H170" i="1"/>
  <c r="G134" i="1"/>
  <c r="P89" i="1"/>
  <c r="T166" i="1"/>
  <c r="G179" i="1"/>
  <c r="M179" i="1"/>
  <c r="L158" i="1"/>
  <c r="H88" i="1"/>
  <c r="P132" i="1"/>
  <c r="R164" i="1"/>
  <c r="M158" i="1"/>
  <c r="J82" i="1"/>
  <c r="L166" i="1"/>
  <c r="H164" i="1"/>
  <c r="I92" i="1"/>
  <c r="U140" i="1"/>
  <c r="L160" i="1"/>
  <c r="L195" i="1" s="1"/>
  <c r="O162" i="1"/>
  <c r="K155" i="1"/>
  <c r="K139" i="1"/>
  <c r="E159" i="1"/>
  <c r="E194" i="1" s="1"/>
  <c r="N185" i="1"/>
  <c r="M132" i="1"/>
  <c r="O174" i="1"/>
  <c r="S168" i="1"/>
  <c r="S198" i="1" s="1"/>
  <c r="O92" i="1"/>
  <c r="O168" i="1"/>
  <c r="O198" i="1" s="1"/>
  <c r="N134" i="1"/>
  <c r="T140" i="1"/>
  <c r="Q133" i="1"/>
  <c r="P155" i="1"/>
  <c r="I179" i="1"/>
  <c r="V134" i="1"/>
  <c r="E147" i="1"/>
  <c r="H155" i="1"/>
  <c r="I217" i="1" s="1"/>
  <c r="T159" i="1"/>
  <c r="T194" i="1" s="1"/>
  <c r="N174" i="1"/>
  <c r="U148" i="1"/>
  <c r="E82" i="1"/>
  <c r="M142" i="1"/>
  <c r="P82" i="1"/>
  <c r="Q166" i="1"/>
  <c r="M185" i="1"/>
  <c r="Q132" i="1"/>
  <c r="Q135" i="1" s="1"/>
  <c r="E158" i="1"/>
  <c r="R141" i="1"/>
  <c r="R169" i="1" s="1"/>
  <c r="F174" i="1"/>
  <c r="F176" i="1" s="1"/>
  <c r="V164" i="1"/>
  <c r="P137" i="1"/>
  <c r="M141" i="1"/>
  <c r="U170" i="1"/>
  <c r="AU54" i="1"/>
  <c r="BC47" i="1"/>
  <c r="BC209" i="1" s="1"/>
  <c r="AU50" i="1"/>
  <c r="BA37" i="1"/>
  <c r="BO29" i="1"/>
  <c r="AN60" i="1"/>
  <c r="BV164" i="1"/>
  <c r="BW164" i="1" s="1"/>
  <c r="BV89" i="1"/>
  <c r="BH160" i="1"/>
  <c r="BH195" i="1" s="1"/>
  <c r="BI195" i="1" s="1"/>
  <c r="BH158" i="1"/>
  <c r="BI158" i="1" s="1"/>
  <c r="BH137" i="1"/>
  <c r="BI137" i="1" s="1"/>
  <c r="K179" i="1"/>
  <c r="E152" i="1"/>
  <c r="Q164" i="1"/>
  <c r="G159" i="1"/>
  <c r="G194" i="1" s="1"/>
  <c r="T93" i="1"/>
  <c r="F161" i="1"/>
  <c r="G137" i="1"/>
  <c r="I137" i="1"/>
  <c r="K133" i="1"/>
  <c r="O82" i="1"/>
  <c r="M155" i="1"/>
  <c r="K92" i="1"/>
  <c r="T150" i="1"/>
  <c r="T146" i="1" s="1"/>
  <c r="E185" i="1"/>
  <c r="G94" i="1"/>
  <c r="R166" i="1"/>
  <c r="T187" i="1"/>
  <c r="M133" i="1"/>
  <c r="M135" i="1" s="1"/>
  <c r="M190" i="1" s="1"/>
  <c r="N88" i="1"/>
  <c r="N187" i="1"/>
  <c r="D157" i="1"/>
  <c r="B168" i="1"/>
  <c r="B198" i="1" s="1"/>
  <c r="U88" i="1"/>
  <c r="U132" i="1"/>
  <c r="T186" i="1"/>
  <c r="B150" i="1"/>
  <c r="V165" i="1"/>
  <c r="W152" i="1"/>
  <c r="B93" i="1"/>
  <c r="Q178" i="1"/>
  <c r="F186" i="1"/>
  <c r="N157" i="1"/>
  <c r="M162" i="1"/>
  <c r="G164" i="1"/>
  <c r="I94" i="1"/>
  <c r="H157" i="1"/>
  <c r="B148" i="1"/>
  <c r="U150" i="1"/>
  <c r="U146" i="1" s="1"/>
  <c r="O175" i="1"/>
  <c r="B159" i="1"/>
  <c r="B194" i="1" s="1"/>
  <c r="N133" i="1"/>
  <c r="K134" i="1"/>
  <c r="U166" i="1"/>
  <c r="P166" i="1"/>
  <c r="N155" i="1"/>
  <c r="T132" i="1"/>
  <c r="H166" i="1"/>
  <c r="W148" i="1"/>
  <c r="G175" i="1"/>
  <c r="L164" i="1"/>
  <c r="M187" i="1"/>
  <c r="B140" i="1"/>
  <c r="G140" i="1"/>
  <c r="I157" i="1"/>
  <c r="E175" i="1"/>
  <c r="E176" i="1" s="1"/>
  <c r="F224" i="1" s="1"/>
  <c r="D159" i="1"/>
  <c r="D194" i="1" s="1"/>
  <c r="K141" i="1"/>
  <c r="K169" i="1" s="1"/>
  <c r="S89" i="1"/>
  <c r="E139" i="1"/>
  <c r="K147" i="1"/>
  <c r="C165" i="1"/>
  <c r="W160" i="1"/>
  <c r="O186" i="1"/>
  <c r="O89" i="1"/>
  <c r="F132" i="1"/>
  <c r="J142" i="1"/>
  <c r="AX155" i="1"/>
  <c r="AY155" i="1" s="1"/>
  <c r="AZ168" i="1"/>
  <c r="BR141" i="1"/>
  <c r="BS141" i="1" s="1"/>
  <c r="AZ169" i="1"/>
  <c r="BA169" i="1" s="1"/>
  <c r="BT146" i="1"/>
  <c r="BP170" i="1"/>
  <c r="BQ170" i="1" s="1"/>
  <c r="BP88" i="1"/>
  <c r="BF140" i="1"/>
  <c r="BG140" i="1" s="1"/>
  <c r="AP161" i="1"/>
  <c r="AQ161" i="1" s="1"/>
  <c r="BI88" i="1"/>
  <c r="AX159" i="1"/>
  <c r="BR174" i="1"/>
  <c r="BF89" i="1"/>
  <c r="AZ167" i="1"/>
  <c r="BA167" i="1" s="1"/>
  <c r="BD150" i="1"/>
  <c r="BE150" i="1" s="1"/>
  <c r="AZ132" i="1"/>
  <c r="BA132" i="1" s="1"/>
  <c r="BN179" i="1"/>
  <c r="BO179" i="1" s="1"/>
  <c r="BF162" i="1"/>
  <c r="BG162" i="1" s="1"/>
  <c r="BT166" i="1"/>
  <c r="BU166" i="1" s="1"/>
  <c r="BN134" i="1"/>
  <c r="AX133" i="1"/>
  <c r="AY133" i="1" s="1"/>
  <c r="BW89" i="1"/>
  <c r="BN141" i="1"/>
  <c r="BO141" i="1" s="1"/>
  <c r="AX166" i="1"/>
  <c r="AY166" i="1" s="1"/>
  <c r="AP140" i="1"/>
  <c r="AQ140" i="1" s="1"/>
  <c r="AT146" i="1"/>
  <c r="AZ146" i="1"/>
  <c r="BF169" i="1"/>
  <c r="BG169" i="1" s="1"/>
  <c r="BR142" i="1"/>
  <c r="BS142" i="1" s="1"/>
  <c r="BD162" i="1"/>
  <c r="BE162" i="1" s="1"/>
  <c r="AP158" i="1"/>
  <c r="AQ158" i="1" s="1"/>
  <c r="AV150" i="1"/>
  <c r="AW150" i="1" s="1"/>
  <c r="BB150" i="1"/>
  <c r="BC150" i="1" s="1"/>
  <c r="AN132" i="1"/>
  <c r="AR179" i="1"/>
  <c r="AS179" i="1" s="1"/>
  <c r="AQ88" i="1"/>
  <c r="AT166" i="1"/>
  <c r="AU166" i="1" s="1"/>
  <c r="AX89" i="1"/>
  <c r="BA88" i="1"/>
  <c r="BF166" i="1"/>
  <c r="BG166" i="1" s="1"/>
  <c r="BN137" i="1"/>
  <c r="BO137" i="1" s="1"/>
  <c r="BP142" i="1"/>
  <c r="BQ142" i="1" s="1"/>
  <c r="BF139" i="1"/>
  <c r="BG139" i="1" s="1"/>
  <c r="BF178" i="1"/>
  <c r="BG178" i="1" s="1"/>
  <c r="AZ175" i="1"/>
  <c r="AW88" i="1"/>
  <c r="BP141" i="1"/>
  <c r="BQ141" i="1" s="1"/>
  <c r="BD167" i="1"/>
  <c r="BE167" i="1" s="1"/>
  <c r="BG88" i="1"/>
  <c r="AZ157" i="1"/>
  <c r="BA157" i="1" s="1"/>
  <c r="BD175" i="1"/>
  <c r="BT132" i="1"/>
  <c r="BU132" i="1" s="1"/>
  <c r="BN167" i="1"/>
  <c r="BO167" i="1" s="1"/>
  <c r="BD164" i="1"/>
  <c r="BE164" i="1" s="1"/>
  <c r="BT167" i="1"/>
  <c r="BU167" i="1" s="1"/>
  <c r="BM89" i="1"/>
  <c r="BN142" i="1"/>
  <c r="BO142" i="1" s="1"/>
  <c r="BR147" i="1"/>
  <c r="BP159" i="1"/>
  <c r="AT174" i="1"/>
  <c r="BF179" i="1"/>
  <c r="BG179" i="1" s="1"/>
  <c r="AZ150" i="1"/>
  <c r="BA150" i="1" s="1"/>
  <c r="BT161" i="1"/>
  <c r="BU161" i="1" s="1"/>
  <c r="BP139" i="1"/>
  <c r="BQ139" i="1" s="1"/>
  <c r="BP157" i="1"/>
  <c r="BQ157" i="1" s="1"/>
  <c r="BT89" i="1"/>
  <c r="AR158" i="1"/>
  <c r="AS158" i="1" s="1"/>
  <c r="BF133" i="1"/>
  <c r="BG133" i="1" s="1"/>
  <c r="AX88" i="1"/>
  <c r="AX162" i="1"/>
  <c r="AY162" i="1" s="1"/>
  <c r="AX167" i="1"/>
  <c r="AY167" i="1" s="1"/>
  <c r="BB139" i="1"/>
  <c r="BF132" i="1"/>
  <c r="BG132" i="1" s="1"/>
  <c r="AZ162" i="1"/>
  <c r="BA162" i="1" s="1"/>
  <c r="BP146" i="1"/>
  <c r="AV159" i="1"/>
  <c r="BW88" i="1"/>
  <c r="BN170" i="1"/>
  <c r="BO170" i="1" s="1"/>
  <c r="BR164" i="1"/>
  <c r="BS164" i="1" s="1"/>
  <c r="BP134" i="1"/>
  <c r="BR88" i="1"/>
  <c r="BB89" i="1"/>
  <c r="BD89" i="1"/>
  <c r="AT140" i="1"/>
  <c r="AU140" i="1" s="1"/>
  <c r="BN140" i="1"/>
  <c r="BO140" i="1" s="1"/>
  <c r="BB161" i="1"/>
  <c r="BC161" i="1" s="1"/>
  <c r="BF147" i="1"/>
  <c r="AT137" i="1"/>
  <c r="AU137" i="1" s="1"/>
  <c r="BB147" i="1"/>
  <c r="AN137" i="1"/>
  <c r="AO137" i="1" s="1"/>
  <c r="BB141" i="1"/>
  <c r="BC141" i="1" s="1"/>
  <c r="BP155" i="1"/>
  <c r="BQ155" i="1" s="1"/>
  <c r="AP155" i="1"/>
  <c r="AV155" i="1"/>
  <c r="AV165" i="1"/>
  <c r="AW165" i="1" s="1"/>
  <c r="AN133" i="1"/>
  <c r="AO133" i="1" s="1"/>
  <c r="AN89" i="1"/>
  <c r="BE89" i="1"/>
  <c r="AX137" i="1"/>
  <c r="AY137" i="1" s="1"/>
  <c r="AX175" i="1"/>
  <c r="BB134" i="1"/>
  <c r="AZ160" i="1"/>
  <c r="BT159" i="1"/>
  <c r="AP134" i="1"/>
  <c r="BR166" i="1"/>
  <c r="BS166" i="1" s="1"/>
  <c r="AT148" i="1"/>
  <c r="AX165" i="1"/>
  <c r="AY165" i="1" s="1"/>
  <c r="BN161" i="1"/>
  <c r="BO161" i="1" s="1"/>
  <c r="BN147" i="1"/>
  <c r="AY89" i="1"/>
  <c r="BR159" i="1"/>
  <c r="BB175" i="1"/>
  <c r="BD146" i="1"/>
  <c r="BT168" i="1"/>
  <c r="BA89" i="1"/>
  <c r="BR161" i="1"/>
  <c r="BS161" i="1" s="1"/>
  <c r="BB142" i="1"/>
  <c r="BC142" i="1" s="1"/>
  <c r="BP160" i="1"/>
  <c r="AT159" i="1"/>
  <c r="BC88" i="1"/>
  <c r="BD166" i="1"/>
  <c r="BE166" i="1" s="1"/>
  <c r="BR160" i="1"/>
  <c r="BT174" i="1"/>
  <c r="AV164" i="1"/>
  <c r="AW164" i="1" s="1"/>
  <c r="BN157" i="1"/>
  <c r="BO157" i="1" s="1"/>
  <c r="AZ159" i="1"/>
  <c r="AP139" i="1"/>
  <c r="AQ139" i="1" s="1"/>
  <c r="BP132" i="1"/>
  <c r="BQ132" i="1" s="1"/>
  <c r="BD141" i="1"/>
  <c r="BE141" i="1" s="1"/>
  <c r="BP147" i="1"/>
  <c r="AP165" i="1"/>
  <c r="AQ165" i="1" s="1"/>
  <c r="BD179" i="1"/>
  <c r="BE179" i="1" s="1"/>
  <c r="AV174" i="1"/>
  <c r="AV132" i="1"/>
  <c r="AW132" i="1" s="1"/>
  <c r="AR134" i="1"/>
  <c r="AR157" i="1"/>
  <c r="AS157" i="1" s="1"/>
  <c r="AZ155" i="1"/>
  <c r="BA155" i="1" s="1"/>
  <c r="AP178" i="1"/>
  <c r="AQ178" i="1" s="1"/>
  <c r="AP157" i="1"/>
  <c r="AN152" i="1"/>
  <c r="AO152" i="1" s="1"/>
  <c r="AV140" i="1"/>
  <c r="AW140" i="1" s="1"/>
  <c r="AV141" i="1"/>
  <c r="AW141" i="1" s="1"/>
  <c r="AR169" i="1"/>
  <c r="AS169" i="1" s="1"/>
  <c r="AV148" i="1"/>
  <c r="AR133" i="1"/>
  <c r="AS133" i="1" s="1"/>
  <c r="AR167" i="1"/>
  <c r="AS167" i="1" s="1"/>
  <c r="BP174" i="1"/>
  <c r="AN165" i="1"/>
  <c r="AO165" i="1" s="1"/>
  <c r="AR139" i="1"/>
  <c r="AN175" i="1"/>
  <c r="AV179" i="1"/>
  <c r="AW179" i="1" s="1"/>
  <c r="AR168" i="1"/>
  <c r="AN141" i="1"/>
  <c r="AO141" i="1" s="1"/>
  <c r="AR137" i="1"/>
  <c r="AS137" i="1" s="1"/>
  <c r="AR161" i="1"/>
  <c r="AS161" i="1" s="1"/>
  <c r="BB146" i="1"/>
  <c r="AV88" i="1"/>
  <c r="AU88" i="1"/>
  <c r="AR175" i="1"/>
  <c r="AV168" i="1"/>
  <c r="AT164" i="1"/>
  <c r="AU164" i="1" s="1"/>
  <c r="AT168" i="1"/>
  <c r="AR88" i="1"/>
  <c r="BO89" i="1"/>
  <c r="BT155" i="1"/>
  <c r="AP148" i="1"/>
  <c r="BF165" i="1"/>
  <c r="BG165" i="1" s="1"/>
  <c r="BN88" i="1"/>
  <c r="AV175" i="1"/>
  <c r="AR159" i="1"/>
  <c r="BP164" i="1"/>
  <c r="BQ164" i="1" s="1"/>
  <c r="AV166" i="1"/>
  <c r="AW166" i="1" s="1"/>
  <c r="BT142" i="1"/>
  <c r="BU142" i="1" s="1"/>
  <c r="AR162" i="1"/>
  <c r="AS162" i="1" s="1"/>
  <c r="BB160" i="1"/>
  <c r="AT133" i="1"/>
  <c r="AU133" i="1" s="1"/>
  <c r="BO88" i="1"/>
  <c r="AX178" i="1"/>
  <c r="AY178" i="1" s="1"/>
  <c r="BB155" i="1"/>
  <c r="BC155" i="1" s="1"/>
  <c r="BD132" i="1"/>
  <c r="BR150" i="1"/>
  <c r="BS150" i="1" s="1"/>
  <c r="BB168" i="1"/>
  <c r="BF175" i="1"/>
  <c r="BP168" i="1"/>
  <c r="AX170" i="1"/>
  <c r="AY170" i="1" s="1"/>
  <c r="BN174" i="1"/>
  <c r="AZ141" i="1"/>
  <c r="BA141" i="1" s="1"/>
  <c r="AX146" i="1"/>
  <c r="BN159" i="1"/>
  <c r="BR133" i="1"/>
  <c r="BS133" i="1" s="1"/>
  <c r="BF160" i="1"/>
  <c r="BS88" i="1"/>
  <c r="BQ89" i="1"/>
  <c r="AT150" i="1"/>
  <c r="AU150" i="1" s="1"/>
  <c r="AT141" i="1"/>
  <c r="AU141" i="1" s="1"/>
  <c r="AZ137" i="1"/>
  <c r="BA137" i="1" s="1"/>
  <c r="BD178" i="1"/>
  <c r="BE178" i="1" s="1"/>
  <c r="BD137" i="1"/>
  <c r="BE137" i="1" s="1"/>
  <c r="BT134" i="1"/>
  <c r="BB169" i="1"/>
  <c r="BC169" i="1" s="1"/>
  <c r="BF146" i="1"/>
  <c r="AX134" i="1"/>
  <c r="AX150" i="1"/>
  <c r="AY150" i="1" s="1"/>
  <c r="AX160" i="1"/>
  <c r="AZ148" i="1"/>
  <c r="AZ170" i="1"/>
  <c r="BA170" i="1" s="1"/>
  <c r="BF168" i="1"/>
  <c r="BF150" i="1"/>
  <c r="BG150" i="1" s="1"/>
  <c r="BD165" i="1"/>
  <c r="BE165" i="1" s="1"/>
  <c r="BN165" i="1"/>
  <c r="BO165" i="1" s="1"/>
  <c r="AQ89" i="1"/>
  <c r="BR89" i="1"/>
  <c r="AZ142" i="1"/>
  <c r="BA142" i="1" s="1"/>
  <c r="BD161" i="1"/>
  <c r="BE161" i="1" s="1"/>
  <c r="BD139" i="1"/>
  <c r="BE139" i="1" s="1"/>
  <c r="BT150" i="1"/>
  <c r="BU150" i="1" s="1"/>
  <c r="BP89" i="1"/>
  <c r="AV169" i="1"/>
  <c r="AW169" i="1" s="1"/>
  <c r="BN89" i="1"/>
  <c r="BR179" i="1"/>
  <c r="BS179" i="1" s="1"/>
  <c r="AN179" i="1"/>
  <c r="AO179" i="1" s="1"/>
  <c r="AT165" i="1"/>
  <c r="AO88" i="1"/>
  <c r="AX164" i="1"/>
  <c r="AX147" i="1"/>
  <c r="AX152" i="1"/>
  <c r="AY152" i="1" s="1"/>
  <c r="BE88" i="1"/>
  <c r="BN148" i="1"/>
  <c r="BN178" i="1"/>
  <c r="BO178" i="1" s="1"/>
  <c r="BN139" i="1"/>
  <c r="BN160" i="1"/>
  <c r="BN169" i="1"/>
  <c r="BO169" i="1" s="1"/>
  <c r="AY88" i="1"/>
  <c r="BR157" i="1"/>
  <c r="BS157" i="1" s="1"/>
  <c r="BB164" i="1"/>
  <c r="BC164" i="1" s="1"/>
  <c r="BB166" i="1"/>
  <c r="BC166" i="1" s="1"/>
  <c r="AZ166" i="1"/>
  <c r="BA166" i="1" s="1"/>
  <c r="BF157" i="1"/>
  <c r="BG157" i="1" s="1"/>
  <c r="BD160" i="1"/>
  <c r="BT169" i="1"/>
  <c r="BU169" i="1" s="1"/>
  <c r="BT175" i="1"/>
  <c r="BP158" i="1"/>
  <c r="BQ158" i="1" s="1"/>
  <c r="BP166" i="1"/>
  <c r="BQ166" i="1" s="1"/>
  <c r="AP133" i="1"/>
  <c r="AQ133" i="1" s="1"/>
  <c r="AZ133" i="1"/>
  <c r="BA133" i="1" s="1"/>
  <c r="AX141" i="1"/>
  <c r="AY141" i="1" s="1"/>
  <c r="AX157" i="1"/>
  <c r="AY157" i="1" s="1"/>
  <c r="BN162" i="1"/>
  <c r="BO162" i="1" s="1"/>
  <c r="BR148" i="1"/>
  <c r="BR170" i="1"/>
  <c r="BS170" i="1" s="1"/>
  <c r="BR165" i="1"/>
  <c r="BS165" i="1" s="1"/>
  <c r="BB137" i="1"/>
  <c r="BC137" i="1" s="1"/>
  <c r="AZ147" i="1"/>
  <c r="AP164" i="1"/>
  <c r="AQ164" i="1" s="1"/>
  <c r="AW89" i="1"/>
  <c r="AS88" i="1"/>
  <c r="AT142" i="1"/>
  <c r="AU142" i="1" s="1"/>
  <c r="AT160" i="1"/>
  <c r="AT170" i="1"/>
  <c r="AU170" i="1" s="1"/>
  <c r="AT161" i="1"/>
  <c r="AU161" i="1" s="1"/>
  <c r="AT169" i="1"/>
  <c r="AU169" i="1" s="1"/>
  <c r="AT132" i="1"/>
  <c r="BB165" i="1"/>
  <c r="BC165" i="1" s="1"/>
  <c r="AZ178" i="1"/>
  <c r="BA178" i="1" s="1"/>
  <c r="AZ165" i="1"/>
  <c r="BA165" i="1" s="1"/>
  <c r="BF134" i="1"/>
  <c r="BD134" i="1"/>
  <c r="BD155" i="1"/>
  <c r="BE155" i="1" s="1"/>
  <c r="AP89" i="1"/>
  <c r="BG89" i="1"/>
  <c r="BF137" i="1"/>
  <c r="BG137" i="1" s="1"/>
  <c r="AZ179" i="1"/>
  <c r="BA179" i="1" s="1"/>
  <c r="BF155" i="1"/>
  <c r="BG155" i="1" s="1"/>
  <c r="BD157" i="1"/>
  <c r="BE157" i="1" s="1"/>
  <c r="BP137" i="1"/>
  <c r="BQ137" i="1" s="1"/>
  <c r="BK88" i="1"/>
  <c r="AP137" i="1"/>
  <c r="AQ137" i="1" s="1"/>
  <c r="AT158" i="1"/>
  <c r="AU158" i="1" s="1"/>
  <c r="AT134" i="1"/>
  <c r="BN168" i="1"/>
  <c r="BB148" i="1"/>
  <c r="BB157" i="1"/>
  <c r="BC157" i="1" s="1"/>
  <c r="AZ164" i="1"/>
  <c r="BA164" i="1" s="1"/>
  <c r="BP161" i="1"/>
  <c r="BQ161" i="1" s="1"/>
  <c r="AN161" i="1"/>
  <c r="AO161" i="1" s="1"/>
  <c r="BT160" i="1"/>
  <c r="BD168" i="1"/>
  <c r="BF141" i="1"/>
  <c r="BG141" i="1" s="1"/>
  <c r="BT165" i="1"/>
  <c r="BU165" i="1" s="1"/>
  <c r="AN174" i="1"/>
  <c r="AZ152" i="1"/>
  <c r="BA152" i="1" s="1"/>
  <c r="AP141" i="1"/>
  <c r="AQ141" i="1" s="1"/>
  <c r="AP159" i="1"/>
  <c r="AN167" i="1"/>
  <c r="AO167" i="1" s="1"/>
  <c r="BP140" i="1"/>
  <c r="BQ140" i="1" s="1"/>
  <c r="AV161" i="1"/>
  <c r="AW161" i="1" s="1"/>
  <c r="AR140" i="1"/>
  <c r="AS140" i="1" s="1"/>
  <c r="AR89" i="1"/>
  <c r="BT162" i="1"/>
  <c r="BU162" i="1" s="1"/>
  <c r="BP167" i="1"/>
  <c r="BQ167" i="1" s="1"/>
  <c r="AN178" i="1"/>
  <c r="AO178" i="1" s="1"/>
  <c r="AV89" i="1"/>
  <c r="AP142" i="1"/>
  <c r="AQ142" i="1" s="1"/>
  <c r="AV133" i="1"/>
  <c r="AW133" i="1" s="1"/>
  <c r="AV178" i="1"/>
  <c r="AW178" i="1" s="1"/>
  <c r="AR132" i="1"/>
  <c r="AV139" i="1"/>
  <c r="BD88" i="1"/>
  <c r="AP168" i="1"/>
  <c r="BP148" i="1"/>
  <c r="AN162" i="1"/>
  <c r="AO162" i="1" s="1"/>
  <c r="AR152" i="1"/>
  <c r="AS152" i="1" s="1"/>
  <c r="BI89" i="1"/>
  <c r="AS89" i="1"/>
  <c r="AR165" i="1"/>
  <c r="AS165" i="1" s="1"/>
  <c r="AP175" i="1"/>
  <c r="AN169" i="1"/>
  <c r="AO169" i="1" s="1"/>
  <c r="AV142" i="1"/>
  <c r="AW142" i="1" s="1"/>
  <c r="BP169" i="1"/>
  <c r="BQ169" i="1" s="1"/>
  <c r="AN166" i="1"/>
  <c r="AO166" i="1" s="1"/>
  <c r="AN150" i="1"/>
  <c r="AO150" i="1" s="1"/>
  <c r="AR142" i="1"/>
  <c r="AS142" i="1" s="1"/>
  <c r="AV167" i="1"/>
  <c r="AW167" i="1" s="1"/>
  <c r="BQ88" i="1"/>
  <c r="BS89" i="1"/>
  <c r="AR164" i="1"/>
  <c r="AS164" i="1" s="1"/>
  <c r="AP88" i="1"/>
  <c r="BR139" i="1"/>
  <c r="BS139" i="1" s="1"/>
  <c r="AV157" i="1"/>
  <c r="AW157" i="1" s="1"/>
  <c r="AN158" i="1"/>
  <c r="AO158" i="1" s="1"/>
  <c r="AN147" i="1"/>
  <c r="AR178" i="1"/>
  <c r="AS178" i="1" s="1"/>
  <c r="AV160" i="1"/>
  <c r="AN157" i="1"/>
  <c r="AR141" i="1"/>
  <c r="AS141" i="1" s="1"/>
  <c r="AX168" i="1"/>
  <c r="BB88" i="1"/>
  <c r="AZ161" i="1"/>
  <c r="BA161" i="1" s="1"/>
  <c r="BD174" i="1"/>
  <c r="BR169" i="1"/>
  <c r="BS169" i="1" s="1"/>
  <c r="BT147" i="1"/>
  <c r="BK89" i="1"/>
  <c r="AX132" i="1"/>
  <c r="AX169" i="1"/>
  <c r="AY169" i="1" s="1"/>
  <c r="BB140" i="1"/>
  <c r="BC140" i="1" s="1"/>
  <c r="BF159" i="1"/>
  <c r="BT140" i="1"/>
  <c r="BU140" i="1" s="1"/>
  <c r="AX139" i="1"/>
  <c r="BR155" i="1"/>
  <c r="BT139" i="1"/>
  <c r="AP170" i="1"/>
  <c r="AQ170" i="1" s="1"/>
  <c r="AT179" i="1"/>
  <c r="AU179" i="1" s="1"/>
  <c r="AT167" i="1"/>
  <c r="AU167" i="1" s="1"/>
  <c r="BC89" i="1"/>
  <c r="AZ139" i="1"/>
  <c r="BA139" i="1" s="1"/>
  <c r="BF167" i="1"/>
  <c r="BG167" i="1" s="1"/>
  <c r="BD159" i="1"/>
  <c r="AT89" i="1"/>
  <c r="BB159" i="1"/>
  <c r="BT170" i="1"/>
  <c r="BU170" i="1" s="1"/>
  <c r="BB162" i="1"/>
  <c r="BC162" i="1" s="1"/>
  <c r="AN155" i="1"/>
  <c r="BP165" i="1"/>
  <c r="BQ165" i="1" s="1"/>
  <c r="AN148" i="1"/>
  <c r="BT88" i="1"/>
  <c r="AP160" i="1"/>
  <c r="AV146" i="1"/>
  <c r="BD142" i="1"/>
  <c r="BE142" i="1" s="1"/>
  <c r="AX174" i="1"/>
  <c r="AX179" i="1"/>
  <c r="AY179" i="1" s="1"/>
  <c r="AX140" i="1"/>
  <c r="AY140" i="1" s="1"/>
  <c r="BB178" i="1"/>
  <c r="BC178" i="1" s="1"/>
  <c r="BU88" i="1"/>
  <c r="AZ89" i="1"/>
  <c r="BF161" i="1"/>
  <c r="BG161" i="1" s="1"/>
  <c r="BF142" i="1"/>
  <c r="BG142" i="1" s="1"/>
  <c r="BD148" i="1"/>
  <c r="BN155" i="1"/>
  <c r="BR167" i="1"/>
  <c r="BS167" i="1" s="1"/>
  <c r="BR134" i="1"/>
  <c r="BR140" i="1"/>
  <c r="BS140" i="1" s="1"/>
  <c r="BR132" i="1"/>
  <c r="BB179" i="1"/>
  <c r="BC179" i="1" s="1"/>
  <c r="AZ134" i="1"/>
  <c r="BF164" i="1"/>
  <c r="BG164" i="1" s="1"/>
  <c r="BD133" i="1"/>
  <c r="BE133" i="1" s="1"/>
  <c r="BT179" i="1"/>
  <c r="BU179" i="1" s="1"/>
  <c r="BP175" i="1"/>
  <c r="AP147" i="1"/>
  <c r="AV147" i="1"/>
  <c r="BN146" i="1"/>
  <c r="BR162" i="1"/>
  <c r="BS162" i="1" s="1"/>
  <c r="AX148" i="1"/>
  <c r="AX161" i="1"/>
  <c r="AY161" i="1" s="1"/>
  <c r="BN175" i="1"/>
  <c r="BN133" i="1"/>
  <c r="BO133" i="1" s="1"/>
  <c r="BN164" i="1"/>
  <c r="BO164" i="1" s="1"/>
  <c r="BR175" i="1"/>
  <c r="BR137" i="1"/>
  <c r="BS137" i="1" s="1"/>
  <c r="BB174" i="1"/>
  <c r="BF148" i="1"/>
  <c r="BT133" i="1"/>
  <c r="BU133" i="1" s="1"/>
  <c r="BP178" i="1"/>
  <c r="BQ178" i="1" s="1"/>
  <c r="BP162" i="1"/>
  <c r="BQ162" i="1" s="1"/>
  <c r="BM88" i="1"/>
  <c r="AX142" i="1"/>
  <c r="AY142" i="1" s="1"/>
  <c r="BN166" i="1"/>
  <c r="BO166" i="1" s="1"/>
  <c r="BN132" i="1"/>
  <c r="BO132" i="1" s="1"/>
  <c r="BR146" i="1"/>
  <c r="BR178" i="1"/>
  <c r="BS178" i="1" s="1"/>
  <c r="BR168" i="1"/>
  <c r="BB170" i="1"/>
  <c r="BC170" i="1" s="1"/>
  <c r="AZ174" i="1"/>
  <c r="BD170" i="1"/>
  <c r="BE170" i="1" s="1"/>
  <c r="BT148" i="1"/>
  <c r="AP166" i="1"/>
  <c r="AQ166" i="1" s="1"/>
  <c r="AT155" i="1"/>
  <c r="AU155" i="1" s="1"/>
  <c r="AT175" i="1"/>
  <c r="AT139" i="1"/>
  <c r="AU139" i="1" s="1"/>
  <c r="AT157" i="1"/>
  <c r="BN150" i="1"/>
  <c r="BO150" i="1" s="1"/>
  <c r="BB167" i="1"/>
  <c r="BC167" i="1" s="1"/>
  <c r="BU89" i="1"/>
  <c r="AZ140" i="1"/>
  <c r="BA140" i="1" s="1"/>
  <c r="BF170" i="1"/>
  <c r="BG170" i="1" s="1"/>
  <c r="BP133" i="1"/>
  <c r="BQ133" i="1" s="1"/>
  <c r="BF174" i="1"/>
  <c r="BF88" i="1"/>
  <c r="BD140" i="1"/>
  <c r="BE140" i="1" s="1"/>
  <c r="BT137" i="1"/>
  <c r="BU137" i="1" s="1"/>
  <c r="AP167" i="1"/>
  <c r="AQ167" i="1" s="1"/>
  <c r="AT178" i="1"/>
  <c r="AU178" i="1" s="1"/>
  <c r="AT162" i="1"/>
  <c r="AU162" i="1" s="1"/>
  <c r="BT141" i="1"/>
  <c r="BU141" i="1" s="1"/>
  <c r="AU89" i="1"/>
  <c r="BB133" i="1"/>
  <c r="BC133" i="1" s="1"/>
  <c r="AZ88" i="1"/>
  <c r="BT157" i="1"/>
  <c r="BU157" i="1" s="1"/>
  <c r="AP179" i="1"/>
  <c r="AQ179" i="1" s="1"/>
  <c r="BB132" i="1"/>
  <c r="AN160" i="1"/>
  <c r="BD169" i="1"/>
  <c r="BE169" i="1" s="1"/>
  <c r="BT178" i="1"/>
  <c r="BU178" i="1" s="1"/>
  <c r="BP150" i="1"/>
  <c r="BQ150" i="1" s="1"/>
  <c r="AP150" i="1"/>
  <c r="AQ150" i="1" s="1"/>
  <c r="AN139" i="1"/>
  <c r="BP179" i="1"/>
  <c r="BQ179" i="1" s="1"/>
  <c r="AP132" i="1"/>
  <c r="AQ132" i="1" s="1"/>
  <c r="AN134" i="1"/>
  <c r="AV137" i="1"/>
  <c r="AW137" i="1" s="1"/>
  <c r="AR150" i="1"/>
  <c r="AS150" i="1" s="1"/>
  <c r="AR155" i="1"/>
  <c r="AS155" i="1" s="1"/>
  <c r="AR148" i="1"/>
  <c r="AP174" i="1"/>
  <c r="AP162" i="1"/>
  <c r="AQ162" i="1" s="1"/>
  <c r="AN168" i="1"/>
  <c r="AV170" i="1"/>
  <c r="AW170" i="1" s="1"/>
  <c r="AP146" i="1"/>
  <c r="AR147" i="1"/>
  <c r="AR146" i="1"/>
  <c r="AR174" i="1"/>
  <c r="BD147" i="1"/>
  <c r="AN159" i="1"/>
  <c r="AV134" i="1"/>
  <c r="AR160" i="1"/>
  <c r="BT164" i="1"/>
  <c r="BU164" i="1" s="1"/>
  <c r="AN164" i="1"/>
  <c r="AO164" i="1" s="1"/>
  <c r="AR170" i="1"/>
  <c r="AS170" i="1" s="1"/>
  <c r="AP169" i="1"/>
  <c r="AQ169" i="1" s="1"/>
  <c r="AN142" i="1"/>
  <c r="AO142" i="1" s="1"/>
  <c r="AN170" i="1"/>
  <c r="AO170" i="1" s="1"/>
  <c r="AR166" i="1"/>
  <c r="AS166" i="1" s="1"/>
  <c r="AN146" i="1"/>
  <c r="AT147" i="1"/>
  <c r="AT88" i="1"/>
  <c r="AN88" i="1"/>
  <c r="AN140" i="1"/>
  <c r="AO140" i="1" s="1"/>
  <c r="AO89" i="1"/>
  <c r="AV162" i="1"/>
  <c r="AW162" i="1" s="1"/>
  <c r="AV152" i="1"/>
  <c r="AW152" i="1" s="1"/>
  <c r="AV158" i="1"/>
  <c r="AP152" i="1"/>
  <c r="AQ152" i="1" s="1"/>
  <c r="BF152" i="1"/>
  <c r="BG152" i="1" s="1"/>
  <c r="AT152" i="1"/>
  <c r="AU152" i="1" s="1"/>
  <c r="BP152" i="1"/>
  <c r="BQ152" i="1" s="1"/>
  <c r="BD152" i="1"/>
  <c r="BE152" i="1" s="1"/>
  <c r="BN152" i="1"/>
  <c r="BO152" i="1" s="1"/>
  <c r="BR152" i="1"/>
  <c r="BS152" i="1" s="1"/>
  <c r="BT152" i="1"/>
  <c r="BU152" i="1" s="1"/>
  <c r="BB152" i="1"/>
  <c r="BC152" i="1" s="1"/>
  <c r="BT158" i="1"/>
  <c r="BB158" i="1"/>
  <c r="BF158" i="1"/>
  <c r="AX158" i="1"/>
  <c r="BD158" i="1"/>
  <c r="AZ158" i="1"/>
  <c r="BR158" i="1"/>
  <c r="BN158" i="1"/>
  <c r="BB209" i="1"/>
  <c r="BR209" i="1"/>
  <c r="BW246" i="1"/>
  <c r="BN48" i="1"/>
  <c r="BN209" i="1"/>
  <c r="AO246" i="1"/>
  <c r="BJ32" i="1"/>
  <c r="CQ149" i="1"/>
  <c r="DB92" i="1"/>
  <c r="CY80" i="1"/>
  <c r="CZ78" i="1"/>
  <c r="BU267" i="1" l="1"/>
  <c r="BH176" i="1"/>
  <c r="BP267" i="1"/>
  <c r="BT25" i="1"/>
  <c r="BT15" i="1"/>
  <c r="AM63" i="1"/>
  <c r="BV15" i="1"/>
  <c r="AN41" i="1"/>
  <c r="BV194" i="1"/>
  <c r="BW194" i="1" s="1"/>
  <c r="N149" i="1"/>
  <c r="L188" i="1"/>
  <c r="D188" i="1"/>
  <c r="O135" i="1"/>
  <c r="O69" i="1" s="1"/>
  <c r="BV149" i="1"/>
  <c r="U149" i="1"/>
  <c r="O217" i="1"/>
  <c r="W149" i="1"/>
  <c r="K149" i="1"/>
  <c r="AR198" i="1"/>
  <c r="AR194" i="1"/>
  <c r="AS194" i="1" s="1"/>
  <c r="BP198" i="1"/>
  <c r="BQ198" i="1" s="1"/>
  <c r="AQ209" i="1"/>
  <c r="BT246" i="1"/>
  <c r="AP198" i="1"/>
  <c r="AQ198" i="1" s="1"/>
  <c r="AP267" i="1"/>
  <c r="AP209" i="1"/>
  <c r="AP268" i="1"/>
  <c r="AI197" i="1"/>
  <c r="BN267" i="1"/>
  <c r="BR25" i="1"/>
  <c r="AI25" i="1"/>
  <c r="AL113" i="1"/>
  <c r="AL114" i="1" s="1"/>
  <c r="AL119" i="1" s="1"/>
  <c r="BP25" i="1"/>
  <c r="AU25" i="1"/>
  <c r="AI195" i="1"/>
  <c r="BP268" i="1"/>
  <c r="BP209" i="1"/>
  <c r="AU268" i="1"/>
  <c r="BT209" i="1"/>
  <c r="BU209" i="1"/>
  <c r="BK209" i="1"/>
  <c r="BK48" i="1"/>
  <c r="BK218" i="1"/>
  <c r="BK216" i="1" s="1"/>
  <c r="AV25" i="1"/>
  <c r="BI209" i="1"/>
  <c r="AU267" i="1"/>
  <c r="AI194" i="1"/>
  <c r="AI246" i="1"/>
  <c r="BZ113" i="1"/>
  <c r="BZ114" i="1" s="1"/>
  <c r="AY246" i="1"/>
  <c r="BN246" i="1"/>
  <c r="N188" i="1"/>
  <c r="AS267" i="1"/>
  <c r="BO25" i="1"/>
  <c r="BP27" i="1" s="1"/>
  <c r="BS267" i="1"/>
  <c r="H149" i="1"/>
  <c r="U176" i="1"/>
  <c r="V224" i="1" s="1"/>
  <c r="H135" i="1"/>
  <c r="D171" i="1"/>
  <c r="BQ41" i="1"/>
  <c r="AY25" i="1"/>
  <c r="BH267" i="1"/>
  <c r="BN25" i="1"/>
  <c r="BM209" i="1"/>
  <c r="BN195" i="1"/>
  <c r="BO195" i="1" s="1"/>
  <c r="B149" i="1"/>
  <c r="BM41" i="1"/>
  <c r="S217" i="1"/>
  <c r="BM48" i="1"/>
  <c r="P188" i="1"/>
  <c r="S171" i="1"/>
  <c r="BW267" i="1"/>
  <c r="C176" i="1"/>
  <c r="T176" i="1"/>
  <c r="U224" i="1" s="1"/>
  <c r="BN194" i="1"/>
  <c r="BO194" i="1" s="1"/>
  <c r="L171" i="1"/>
  <c r="O176" i="1"/>
  <c r="P224" i="1" s="1"/>
  <c r="V135" i="1"/>
  <c r="M217" i="1"/>
  <c r="V188" i="1"/>
  <c r="G188" i="1"/>
  <c r="B80" i="1"/>
  <c r="AU41" i="1"/>
  <c r="H176" i="1"/>
  <c r="I224" i="1" s="1"/>
  <c r="J217" i="1"/>
  <c r="BD41" i="1"/>
  <c r="S176" i="1"/>
  <c r="T224" i="1" s="1"/>
  <c r="J135" i="1"/>
  <c r="BH198" i="1"/>
  <c r="BI198" i="1" s="1"/>
  <c r="AO267" i="1"/>
  <c r="BO267" i="1"/>
  <c r="BD25" i="1"/>
  <c r="BT41" i="1"/>
  <c r="BT42" i="1" s="1"/>
  <c r="AO41" i="1"/>
  <c r="AW113" i="1"/>
  <c r="AW114" i="1" s="1"/>
  <c r="F188" i="1"/>
  <c r="AS41" i="1"/>
  <c r="BH194" i="1"/>
  <c r="BI194" i="1" s="1"/>
  <c r="BI267" i="1"/>
  <c r="BF267" i="1"/>
  <c r="BB267" i="1"/>
  <c r="AQ41" i="1"/>
  <c r="AO25" i="1"/>
  <c r="BS25" i="1"/>
  <c r="BH41" i="1"/>
  <c r="AN268" i="1"/>
  <c r="AZ267" i="1"/>
  <c r="BU41" i="1"/>
  <c r="H188" i="1"/>
  <c r="K188" i="1"/>
  <c r="Q188" i="1"/>
  <c r="C80" i="1"/>
  <c r="M176" i="1"/>
  <c r="R188" i="1"/>
  <c r="R171" i="1"/>
  <c r="J188" i="1"/>
  <c r="O163" i="1"/>
  <c r="O197" i="1" s="1"/>
  <c r="O196" i="1" s="1"/>
  <c r="D176" i="1"/>
  <c r="O171" i="1"/>
  <c r="P135" i="1"/>
  <c r="G163" i="1"/>
  <c r="G197" i="1" s="1"/>
  <c r="G196" i="1" s="1"/>
  <c r="T149" i="1"/>
  <c r="T48" i="1" s="1"/>
  <c r="O188" i="1"/>
  <c r="F135" i="1"/>
  <c r="AZ198" i="1"/>
  <c r="BA198" i="1" s="1"/>
  <c r="AX194" i="1"/>
  <c r="AY194" i="1" s="1"/>
  <c r="BN198" i="1"/>
  <c r="BO198" i="1" s="1"/>
  <c r="BT195" i="1"/>
  <c r="BU195" i="1" s="1"/>
  <c r="H217" i="1"/>
  <c r="G217" i="1"/>
  <c r="BV195" i="1"/>
  <c r="BW195" i="1" s="1"/>
  <c r="BV267" i="1"/>
  <c r="BV198" i="1"/>
  <c r="BW198" i="1" s="1"/>
  <c r="BW25" i="1"/>
  <c r="BW15" i="1"/>
  <c r="P149" i="1"/>
  <c r="BH217" i="1"/>
  <c r="AZ41" i="1"/>
  <c r="BP41" i="1"/>
  <c r="BM52" i="1"/>
  <c r="BS41" i="1"/>
  <c r="BK267" i="1"/>
  <c r="BI41" i="1"/>
  <c r="BT268" i="1"/>
  <c r="AY41" i="1"/>
  <c r="BG41" i="1"/>
  <c r="AT41" i="1"/>
  <c r="BA41" i="1"/>
  <c r="BE41" i="1"/>
  <c r="AW25" i="1"/>
  <c r="B176" i="1"/>
  <c r="C224" i="1" s="1"/>
  <c r="BF41" i="1"/>
  <c r="J163" i="1"/>
  <c r="AP41" i="1"/>
  <c r="J149" i="1"/>
  <c r="G143" i="1"/>
  <c r="R217" i="1"/>
  <c r="BC41" i="1"/>
  <c r="BB41" i="1"/>
  <c r="BF25" i="1"/>
  <c r="AV41" i="1"/>
  <c r="AX41" i="1"/>
  <c r="BK41" i="1"/>
  <c r="BO41" i="1"/>
  <c r="BN41" i="1"/>
  <c r="G149" i="1"/>
  <c r="S149" i="1"/>
  <c r="R143" i="1"/>
  <c r="L176" i="1"/>
  <c r="AX267" i="1"/>
  <c r="I149" i="1"/>
  <c r="V176" i="1"/>
  <c r="W224" i="1" s="1"/>
  <c r="AI41" i="1"/>
  <c r="I143" i="1"/>
  <c r="BW41" i="1"/>
  <c r="AR41" i="1"/>
  <c r="AR42" i="1" s="1"/>
  <c r="AW41" i="1"/>
  <c r="J171" i="1"/>
  <c r="S135" i="1"/>
  <c r="E163" i="1"/>
  <c r="E217" i="1"/>
  <c r="Q143" i="1"/>
  <c r="Q183" i="1" s="1"/>
  <c r="Q124" i="1" s="1"/>
  <c r="Q149" i="1"/>
  <c r="Q163" i="1"/>
  <c r="E171" i="1"/>
  <c r="D149" i="1"/>
  <c r="F149" i="1"/>
  <c r="F153" i="1" s="1"/>
  <c r="P217" i="1"/>
  <c r="K176" i="1"/>
  <c r="BV176" i="1"/>
  <c r="P171" i="1"/>
  <c r="P200" i="1" s="1"/>
  <c r="P199" i="1" s="1"/>
  <c r="V149" i="1"/>
  <c r="M149" i="1"/>
  <c r="N171" i="1"/>
  <c r="N200" i="1" s="1"/>
  <c r="N199" i="1" s="1"/>
  <c r="E149" i="1"/>
  <c r="B135" i="1"/>
  <c r="W143" i="1"/>
  <c r="X264" i="1" s="1"/>
  <c r="X266" i="1" s="1"/>
  <c r="T217" i="1"/>
  <c r="I171" i="1"/>
  <c r="I188" i="1"/>
  <c r="C149" i="1"/>
  <c r="V163" i="1"/>
  <c r="V197" i="1" s="1"/>
  <c r="V196" i="1" s="1"/>
  <c r="S188" i="1"/>
  <c r="D143" i="1"/>
  <c r="D183" i="1" s="1"/>
  <c r="D124" i="1" s="1"/>
  <c r="G176" i="1"/>
  <c r="G183" i="1" s="1"/>
  <c r="G124" i="1" s="1"/>
  <c r="G135" i="1"/>
  <c r="H171" i="1"/>
  <c r="H200" i="1" s="1"/>
  <c r="H199" i="1" s="1"/>
  <c r="U143" i="1"/>
  <c r="L217" i="1"/>
  <c r="K143" i="1"/>
  <c r="T143" i="1"/>
  <c r="Q217" i="1"/>
  <c r="M188" i="1"/>
  <c r="U171" i="1"/>
  <c r="Q171" i="1"/>
  <c r="F163" i="1"/>
  <c r="N217" i="1"/>
  <c r="B143" i="1"/>
  <c r="I163" i="1"/>
  <c r="I197" i="1" s="1"/>
  <c r="I196" i="1" s="1"/>
  <c r="J143" i="1"/>
  <c r="BP194" i="1"/>
  <c r="BQ194" i="1" s="1"/>
  <c r="AZ195" i="1"/>
  <c r="BA195" i="1" s="1"/>
  <c r="BT194" i="1"/>
  <c r="BU194" i="1" s="1"/>
  <c r="BT198" i="1"/>
  <c r="BU198" i="1" s="1"/>
  <c r="BP195" i="1"/>
  <c r="BQ195" i="1" s="1"/>
  <c r="AZ194" i="1"/>
  <c r="BA194" i="1" s="1"/>
  <c r="BB195" i="1"/>
  <c r="BC195" i="1" s="1"/>
  <c r="BB198" i="1"/>
  <c r="BC198" i="1" s="1"/>
  <c r="BF195" i="1"/>
  <c r="BG195" i="1" s="1"/>
  <c r="AX195" i="1"/>
  <c r="AY195" i="1" s="1"/>
  <c r="BF198" i="1"/>
  <c r="BG198" i="1" s="1"/>
  <c r="AV195" i="1"/>
  <c r="AW195" i="1" s="1"/>
  <c r="AX198" i="1"/>
  <c r="AY198" i="1" s="1"/>
  <c r="BF194" i="1"/>
  <c r="BG194" i="1" s="1"/>
  <c r="BB194" i="1"/>
  <c r="BC194" i="1" s="1"/>
  <c r="AN195" i="1"/>
  <c r="AO195" i="1" s="1"/>
  <c r="AN198" i="1"/>
  <c r="AO198" i="1" s="1"/>
  <c r="BV41" i="1"/>
  <c r="AI200" i="1"/>
  <c r="AI198" i="1"/>
  <c r="BC113" i="1"/>
  <c r="BC114" i="1" s="1"/>
  <c r="AZ246" i="1"/>
  <c r="AZ25" i="1"/>
  <c r="BT267" i="1"/>
  <c r="BV113" i="1"/>
  <c r="BV114" i="1" s="1"/>
  <c r="BW113" i="1"/>
  <c r="BW114" i="1" s="1"/>
  <c r="BG209" i="1"/>
  <c r="BG268" i="1"/>
  <c r="BF209" i="1"/>
  <c r="BF268" i="1"/>
  <c r="AZ268" i="1"/>
  <c r="AZ209" i="1"/>
  <c r="BC246" i="1"/>
  <c r="BC25" i="1"/>
  <c r="BC267" i="1"/>
  <c r="BJ43" i="1"/>
  <c r="BJ42" i="1"/>
  <c r="AQ246" i="1"/>
  <c r="AQ25" i="1"/>
  <c r="AQ268" i="1"/>
  <c r="AS113" i="1"/>
  <c r="AS114" i="1" s="1"/>
  <c r="AQ267" i="1"/>
  <c r="AR113" i="1"/>
  <c r="AR114" i="1" s="1"/>
  <c r="AX246" i="1"/>
  <c r="AX25" i="1"/>
  <c r="AX268" i="1"/>
  <c r="BA113" i="1"/>
  <c r="BA114" i="1" s="1"/>
  <c r="BG267" i="1"/>
  <c r="BG246" i="1"/>
  <c r="BJ113" i="1"/>
  <c r="BJ114" i="1" s="1"/>
  <c r="BG25" i="1"/>
  <c r="BV268" i="1"/>
  <c r="BV25" i="1"/>
  <c r="BY113" i="1"/>
  <c r="BY114" i="1" s="1"/>
  <c r="BJ268" i="1"/>
  <c r="BJ209" i="1"/>
  <c r="AN48" i="1"/>
  <c r="AN209" i="1"/>
  <c r="BI246" i="1"/>
  <c r="BI268" i="1"/>
  <c r="BL113" i="1"/>
  <c r="BL114" i="1" s="1"/>
  <c r="BI25" i="1"/>
  <c r="BA268" i="1"/>
  <c r="BA209" i="1"/>
  <c r="BI113" i="1"/>
  <c r="BI114" i="1" s="1"/>
  <c r="BF246" i="1"/>
  <c r="AI209" i="1"/>
  <c r="AI48" i="1"/>
  <c r="AI218" i="1"/>
  <c r="AI216" i="1" s="1"/>
  <c r="BW139" i="1"/>
  <c r="BW143" i="1" s="1"/>
  <c r="BV143" i="1"/>
  <c r="AZ113" i="1"/>
  <c r="AZ114" i="1" s="1"/>
  <c r="AW246" i="1"/>
  <c r="AY113" i="1"/>
  <c r="AY114" i="1" s="1"/>
  <c r="AW267" i="1"/>
  <c r="BB268" i="1"/>
  <c r="BB113" i="1"/>
  <c r="BB114" i="1" s="1"/>
  <c r="BD113" i="1"/>
  <c r="BD114" i="1" s="1"/>
  <c r="BB246" i="1"/>
  <c r="BB25" i="1"/>
  <c r="BE113" i="1"/>
  <c r="BE114" i="1" s="1"/>
  <c r="AS246" i="1"/>
  <c r="AS25" i="1"/>
  <c r="BP113" i="1"/>
  <c r="BP114" i="1" s="1"/>
  <c r="BM246" i="1"/>
  <c r="BO113" i="1"/>
  <c r="BO114" i="1" s="1"/>
  <c r="BM268" i="1"/>
  <c r="BM25" i="1"/>
  <c r="BM267" i="1"/>
  <c r="BN113" i="1"/>
  <c r="BN114" i="1" s="1"/>
  <c r="BK268" i="1"/>
  <c r="BK246" i="1"/>
  <c r="BM113" i="1"/>
  <c r="BM114" i="1" s="1"/>
  <c r="BK25" i="1"/>
  <c r="BU246" i="1"/>
  <c r="BU25" i="1"/>
  <c r="BX113" i="1"/>
  <c r="BX114" i="1" s="1"/>
  <c r="BU268" i="1"/>
  <c r="AY209" i="1"/>
  <c r="AY268" i="1"/>
  <c r="AS209" i="1"/>
  <c r="AS268" i="1"/>
  <c r="BQ113" i="1"/>
  <c r="BQ114" i="1" s="1"/>
  <c r="BQ268" i="1"/>
  <c r="BQ246" i="1"/>
  <c r="BQ25" i="1"/>
  <c r="BQ267" i="1"/>
  <c r="AW209" i="1"/>
  <c r="AW268" i="1"/>
  <c r="BH246" i="1"/>
  <c r="BH25" i="1"/>
  <c r="BK113" i="1"/>
  <c r="BK114" i="1" s="1"/>
  <c r="BH268" i="1"/>
  <c r="AO209" i="1"/>
  <c r="AO268" i="1"/>
  <c r="BH163" i="1"/>
  <c r="BH197" i="1" s="1"/>
  <c r="N135" i="1"/>
  <c r="I135" i="1"/>
  <c r="BH113" i="1"/>
  <c r="BH114" i="1" s="1"/>
  <c r="BV31" i="1"/>
  <c r="BR113" i="1"/>
  <c r="BR114" i="1" s="1"/>
  <c r="BD198" i="1"/>
  <c r="BE198" i="1" s="1"/>
  <c r="BD195" i="1"/>
  <c r="BE195" i="1" s="1"/>
  <c r="AT194" i="1"/>
  <c r="AU194" i="1" s="1"/>
  <c r="BF113" i="1"/>
  <c r="BF114" i="1" s="1"/>
  <c r="AT268" i="1"/>
  <c r="AT25" i="1"/>
  <c r="BW268" i="1"/>
  <c r="B171" i="1"/>
  <c r="B200" i="1" s="1"/>
  <c r="B199" i="1" s="1"/>
  <c r="C163" i="1"/>
  <c r="U163" i="1"/>
  <c r="L163" i="1"/>
  <c r="BA31" i="1"/>
  <c r="T171" i="1"/>
  <c r="C135" i="1"/>
  <c r="S163" i="1"/>
  <c r="S197" i="1" s="1"/>
  <c r="S196" i="1" s="1"/>
  <c r="W217" i="1"/>
  <c r="N143" i="1"/>
  <c r="BO268" i="1"/>
  <c r="BD267" i="1"/>
  <c r="E188" i="1"/>
  <c r="W188" i="1"/>
  <c r="AN194" i="1"/>
  <c r="AO194" i="1" s="1"/>
  <c r="F217" i="1"/>
  <c r="H163" i="1"/>
  <c r="U135" i="1"/>
  <c r="M143" i="1"/>
  <c r="P143" i="1"/>
  <c r="U188" i="1"/>
  <c r="D135" i="1"/>
  <c r="C188" i="1"/>
  <c r="P163" i="1"/>
  <c r="K135" i="1"/>
  <c r="D163" i="1"/>
  <c r="C171" i="1"/>
  <c r="H143" i="1"/>
  <c r="L149" i="1"/>
  <c r="L48" i="1" s="1"/>
  <c r="F143" i="1"/>
  <c r="F171" i="1"/>
  <c r="F200" i="1" s="1"/>
  <c r="F199" i="1" s="1"/>
  <c r="O149" i="1"/>
  <c r="R135" i="1"/>
  <c r="D80" i="1"/>
  <c r="AU113" i="1"/>
  <c r="AU114" i="1" s="1"/>
  <c r="BV135" i="1"/>
  <c r="BV107" i="1" s="1"/>
  <c r="BW217" i="1"/>
  <c r="BE268" i="1"/>
  <c r="AN113" i="1"/>
  <c r="AN114" i="1" s="1"/>
  <c r="BR268" i="1"/>
  <c r="BE25" i="1"/>
  <c r="BV163" i="1"/>
  <c r="BV197" i="1" s="1"/>
  <c r="BG113" i="1"/>
  <c r="BG114" i="1" s="1"/>
  <c r="BG117" i="1" s="1"/>
  <c r="BH143" i="1"/>
  <c r="AP195" i="1"/>
  <c r="AQ195" i="1" s="1"/>
  <c r="AT195" i="1"/>
  <c r="AU195" i="1" s="1"/>
  <c r="AT198" i="1"/>
  <c r="AU198" i="1" s="1"/>
  <c r="K163" i="1"/>
  <c r="E143" i="1"/>
  <c r="N176" i="1"/>
  <c r="B163" i="1"/>
  <c r="BD194" i="1"/>
  <c r="BE194" i="1" s="1"/>
  <c r="BI217" i="1"/>
  <c r="BC268" i="1"/>
  <c r="AV113" i="1"/>
  <c r="AV114" i="1" s="1"/>
  <c r="AN246" i="1"/>
  <c r="AX113" i="1"/>
  <c r="AX114" i="1" s="1"/>
  <c r="BT113" i="1"/>
  <c r="BT114" i="1" s="1"/>
  <c r="BD246" i="1"/>
  <c r="BI143" i="1"/>
  <c r="AP194" i="1"/>
  <c r="AQ194" i="1" s="1"/>
  <c r="N163" i="1"/>
  <c r="T135" i="1"/>
  <c r="G171" i="1"/>
  <c r="AV268" i="1"/>
  <c r="AP113" i="1"/>
  <c r="AP114" i="1" s="1"/>
  <c r="AN25" i="1"/>
  <c r="AT113" i="1"/>
  <c r="AT114" i="1" s="1"/>
  <c r="BD268" i="1"/>
  <c r="BH171" i="1"/>
  <c r="BH200" i="1" s="1"/>
  <c r="AV198" i="1"/>
  <c r="AW198" i="1" s="1"/>
  <c r="AV194" i="1"/>
  <c r="AW194" i="1" s="1"/>
  <c r="BH149" i="1"/>
  <c r="BI48" i="1" s="1"/>
  <c r="T188" i="1"/>
  <c r="AQ113" i="1"/>
  <c r="AQ114" i="1" s="1"/>
  <c r="AO113" i="1"/>
  <c r="AO114" i="1" s="1"/>
  <c r="BS268" i="1"/>
  <c r="AV267" i="1"/>
  <c r="AT267" i="1"/>
  <c r="BU113" i="1"/>
  <c r="BU114" i="1" s="1"/>
  <c r="BS113" i="1"/>
  <c r="BS114" i="1" s="1"/>
  <c r="AT246" i="1"/>
  <c r="AN267" i="1"/>
  <c r="BR198" i="1"/>
  <c r="BS198" i="1" s="1"/>
  <c r="BR194" i="1"/>
  <c r="BS194" i="1" s="1"/>
  <c r="BV171" i="1"/>
  <c r="BV200" i="1" s="1"/>
  <c r="V171" i="1"/>
  <c r="V200" i="1" s="1"/>
  <c r="BE267" i="1"/>
  <c r="AR268" i="1"/>
  <c r="BH135" i="1"/>
  <c r="BR195" i="1"/>
  <c r="BS195" i="1" s="1"/>
  <c r="M169" i="1"/>
  <c r="M171" i="1" s="1"/>
  <c r="L143" i="1"/>
  <c r="V143" i="1"/>
  <c r="V52" i="1" s="1"/>
  <c r="S143" i="1"/>
  <c r="C143" i="1"/>
  <c r="E135" i="1"/>
  <c r="E190" i="1" s="1"/>
  <c r="K171" i="1"/>
  <c r="K217" i="1"/>
  <c r="BV246" i="1"/>
  <c r="BV7" i="1"/>
  <c r="BU15" i="1"/>
  <c r="V217" i="1"/>
  <c r="L135" i="1"/>
  <c r="R163" i="1"/>
  <c r="R149" i="1"/>
  <c r="T163" i="1"/>
  <c r="O143" i="1"/>
  <c r="O52" i="1" s="1"/>
  <c r="M163" i="1"/>
  <c r="M197" i="1" s="1"/>
  <c r="M196" i="1" s="1"/>
  <c r="BS15" i="1"/>
  <c r="M69" i="1"/>
  <c r="AR149" i="1"/>
  <c r="AS149" i="1" s="1"/>
  <c r="G224" i="1"/>
  <c r="R224" i="1"/>
  <c r="Q263" i="1"/>
  <c r="BD176" i="1"/>
  <c r="BE224" i="1" s="1"/>
  <c r="Q69" i="1"/>
  <c r="Q190" i="1"/>
  <c r="S224" i="1"/>
  <c r="AN176" i="1"/>
  <c r="AO224" i="1" s="1"/>
  <c r="AV176" i="1"/>
  <c r="AW224" i="1" s="1"/>
  <c r="BN176" i="1"/>
  <c r="BO224" i="1" s="1"/>
  <c r="BR149" i="1"/>
  <c r="AX176" i="1"/>
  <c r="AY224" i="1" s="1"/>
  <c r="BS143" i="1"/>
  <c r="L52" i="1"/>
  <c r="AZ149" i="1"/>
  <c r="BP149" i="1"/>
  <c r="BT176" i="1"/>
  <c r="BU224" i="1" s="1"/>
  <c r="BP176" i="1"/>
  <c r="BQ224" i="1" s="1"/>
  <c r="BB176" i="1"/>
  <c r="AZ176" i="1"/>
  <c r="BA224" i="1" s="1"/>
  <c r="BE143" i="1"/>
  <c r="AR176" i="1"/>
  <c r="AS224" i="1" s="1"/>
  <c r="AQ155" i="1"/>
  <c r="AW155" i="1"/>
  <c r="AQ157" i="1"/>
  <c r="AP163" i="1"/>
  <c r="AP197" i="1" s="1"/>
  <c r="AS139" i="1"/>
  <c r="AS143" i="1" s="1"/>
  <c r="AR143" i="1"/>
  <c r="AU132" i="1"/>
  <c r="AT135" i="1"/>
  <c r="AT107" i="1" s="1"/>
  <c r="AS132" i="1"/>
  <c r="AR135" i="1"/>
  <c r="AX135" i="1"/>
  <c r="AY132" i="1"/>
  <c r="AY139" i="1"/>
  <c r="AY143" i="1" s="1"/>
  <c r="AX143" i="1"/>
  <c r="BO155" i="1"/>
  <c r="BN217" i="1"/>
  <c r="BT149" i="1"/>
  <c r="AT149" i="1"/>
  <c r="BF176" i="1"/>
  <c r="BG224" i="1" s="1"/>
  <c r="BF149" i="1"/>
  <c r="AV149" i="1"/>
  <c r="BD149" i="1"/>
  <c r="AP149" i="1"/>
  <c r="AU157" i="1"/>
  <c r="AT163" i="1"/>
  <c r="BC132" i="1"/>
  <c r="BB135" i="1"/>
  <c r="BB107" i="1" s="1"/>
  <c r="AO139" i="1"/>
  <c r="AO143" i="1" s="1"/>
  <c r="AN143" i="1"/>
  <c r="AR195" i="1"/>
  <c r="AS195" i="1" s="1"/>
  <c r="AR163" i="1"/>
  <c r="AR197" i="1" s="1"/>
  <c r="AO132" i="1"/>
  <c r="AN135" i="1"/>
  <c r="BC139" i="1"/>
  <c r="BC143" i="1" s="1"/>
  <c r="BB143" i="1"/>
  <c r="BU155" i="1"/>
  <c r="BV217" i="1" s="1"/>
  <c r="BE132" i="1"/>
  <c r="BD135" i="1"/>
  <c r="AU165" i="1"/>
  <c r="AT171" i="1"/>
  <c r="AT200" i="1" s="1"/>
  <c r="AY164" i="1"/>
  <c r="AX171" i="1"/>
  <c r="AX200" i="1" s="1"/>
  <c r="BO139" i="1"/>
  <c r="BO143" i="1" s="1"/>
  <c r="BN143" i="1"/>
  <c r="AW139" i="1"/>
  <c r="AW143" i="1" s="1"/>
  <c r="AV143" i="1"/>
  <c r="AO157" i="1"/>
  <c r="AN163" i="1"/>
  <c r="BS155" i="1"/>
  <c r="BR217" i="1"/>
  <c r="BU139" i="1"/>
  <c r="BU143" i="1" s="1"/>
  <c r="BT143" i="1"/>
  <c r="AO155" i="1"/>
  <c r="AN217" i="1"/>
  <c r="BS132" i="1"/>
  <c r="BR135" i="1"/>
  <c r="BR107" i="1" s="1"/>
  <c r="BF217" i="1"/>
  <c r="AQ143" i="1"/>
  <c r="AT217" i="1"/>
  <c r="AN149" i="1"/>
  <c r="AP176" i="1"/>
  <c r="BT171" i="1"/>
  <c r="BT200" i="1" s="1"/>
  <c r="BN149" i="1"/>
  <c r="AX149" i="1"/>
  <c r="BB149" i="1"/>
  <c r="AT176" i="1"/>
  <c r="AU224" i="1" s="1"/>
  <c r="AZ135" i="1"/>
  <c r="BR176" i="1"/>
  <c r="AR171" i="1"/>
  <c r="BN135" i="1"/>
  <c r="AS217" i="1"/>
  <c r="BP171" i="1"/>
  <c r="BP200" i="1" s="1"/>
  <c r="BT135" i="1"/>
  <c r="BF143" i="1"/>
  <c r="BE217" i="1"/>
  <c r="BR171" i="1"/>
  <c r="BR200" i="1" s="1"/>
  <c r="BP163" i="1"/>
  <c r="BP197" i="1" s="1"/>
  <c r="AZ143" i="1"/>
  <c r="BQ217" i="1"/>
  <c r="BB171" i="1"/>
  <c r="BB200" i="1" s="1"/>
  <c r="AP143" i="1"/>
  <c r="AP135" i="1"/>
  <c r="AP107" i="1" s="1"/>
  <c r="BD171" i="1"/>
  <c r="BD200" i="1" s="1"/>
  <c r="BP135" i="1"/>
  <c r="BP107" i="1" s="1"/>
  <c r="BP109" i="1" s="1"/>
  <c r="BN171" i="1"/>
  <c r="BN200" i="1" s="1"/>
  <c r="AN171" i="1"/>
  <c r="AN200" i="1" s="1"/>
  <c r="BP143" i="1"/>
  <c r="BG143" i="1"/>
  <c r="BA143" i="1"/>
  <c r="AT143" i="1"/>
  <c r="AP171" i="1"/>
  <c r="BF171" i="1"/>
  <c r="BF200" i="1" s="1"/>
  <c r="AV171" i="1"/>
  <c r="AV200" i="1" s="1"/>
  <c r="BF135" i="1"/>
  <c r="BQ143" i="1"/>
  <c r="BR143" i="1"/>
  <c r="BD143" i="1"/>
  <c r="AZ171" i="1"/>
  <c r="AZ200" i="1" s="1"/>
  <c r="AV135" i="1"/>
  <c r="AU143" i="1"/>
  <c r="AW158" i="1"/>
  <c r="AV163" i="1"/>
  <c r="BC158" i="1"/>
  <c r="BB163" i="1"/>
  <c r="BG158" i="1"/>
  <c r="BF163" i="1"/>
  <c r="BE158" i="1"/>
  <c r="BD163" i="1"/>
  <c r="BO158" i="1"/>
  <c r="BN163" i="1"/>
  <c r="BU158" i="1"/>
  <c r="BT163" i="1"/>
  <c r="AY158" i="1"/>
  <c r="AX163" i="1"/>
  <c r="BS158" i="1"/>
  <c r="BR163" i="1"/>
  <c r="BA158" i="1"/>
  <c r="AZ163" i="1"/>
  <c r="AU217" i="1"/>
  <c r="AV217" i="1"/>
  <c r="BB217" i="1"/>
  <c r="BA217" i="1"/>
  <c r="AY217" i="1"/>
  <c r="AZ217" i="1"/>
  <c r="BK27" i="1"/>
  <c r="AS27" i="1"/>
  <c r="AT27" i="1"/>
  <c r="AQ27" i="1"/>
  <c r="AP31" i="1"/>
  <c r="AP26" i="1"/>
  <c r="BQ26" i="1"/>
  <c r="BM240" i="1"/>
  <c r="BM26" i="1"/>
  <c r="BC217" i="1"/>
  <c r="BD217" i="1"/>
  <c r="BU31" i="1"/>
  <c r="BM31" i="1"/>
  <c r="BM27" i="1"/>
  <c r="AR31" i="1"/>
  <c r="BG217" i="1"/>
  <c r="BP26" i="1"/>
  <c r="BN26" i="1"/>
  <c r="AO26" i="1"/>
  <c r="AV26" i="1"/>
  <c r="CQ153" i="1"/>
  <c r="CR47" i="1"/>
  <c r="AE92" i="1"/>
  <c r="AB140" i="1"/>
  <c r="AB143" i="1" s="1"/>
  <c r="AB264" i="1" s="1"/>
  <c r="AD157" i="1"/>
  <c r="CZ80" i="1"/>
  <c r="DA78" i="1"/>
  <c r="BP42" i="1" l="1"/>
  <c r="BS42" i="1"/>
  <c r="AV42" i="1"/>
  <c r="BN42" i="1"/>
  <c r="AI42" i="1"/>
  <c r="N153" i="1"/>
  <c r="BH196" i="1"/>
  <c r="J222" i="1"/>
  <c r="H211" i="1"/>
  <c r="M183" i="1"/>
  <c r="M124" i="1" s="1"/>
  <c r="Q211" i="1"/>
  <c r="K222" i="1"/>
  <c r="D212" i="1"/>
  <c r="BV196" i="1"/>
  <c r="N172" i="1"/>
  <c r="N180" i="1" s="1"/>
  <c r="BH199" i="1"/>
  <c r="O190" i="1"/>
  <c r="H69" i="1"/>
  <c r="H190" i="1"/>
  <c r="B81" i="1"/>
  <c r="B122" i="1"/>
  <c r="B123" i="1"/>
  <c r="M212" i="1"/>
  <c r="K212" i="1"/>
  <c r="F48" i="1"/>
  <c r="T183" i="1"/>
  <c r="T124" i="1" s="1"/>
  <c r="H263" i="1"/>
  <c r="N48" i="1"/>
  <c r="D221" i="1"/>
  <c r="P212" i="1"/>
  <c r="T153" i="1"/>
  <c r="T259" i="1" s="1"/>
  <c r="B153" i="1"/>
  <c r="B48" i="1"/>
  <c r="C122" i="1"/>
  <c r="C81" i="1"/>
  <c r="C84" i="1" s="1"/>
  <c r="C123" i="1"/>
  <c r="N224" i="1"/>
  <c r="M263" i="1"/>
  <c r="U153" i="1"/>
  <c r="U48" i="1"/>
  <c r="F263" i="1"/>
  <c r="F190" i="1"/>
  <c r="F69" i="1"/>
  <c r="J52" i="1"/>
  <c r="J183" i="1"/>
  <c r="J124" i="1" s="1"/>
  <c r="J211" i="1"/>
  <c r="J197" i="1"/>
  <c r="J196" i="1" s="1"/>
  <c r="S200" i="1"/>
  <c r="P153" i="1"/>
  <c r="P48" i="1"/>
  <c r="H153" i="1"/>
  <c r="H48" i="1"/>
  <c r="S212" i="1"/>
  <c r="E224" i="1"/>
  <c r="J263" i="1"/>
  <c r="J144" i="1"/>
  <c r="J70" i="1" s="1"/>
  <c r="G153" i="1"/>
  <c r="G48" i="1"/>
  <c r="I48" i="1"/>
  <c r="I153" i="1"/>
  <c r="H264" i="1"/>
  <c r="H266" i="1" s="1"/>
  <c r="E48" i="1"/>
  <c r="E153" i="1"/>
  <c r="J190" i="1"/>
  <c r="J69" i="1"/>
  <c r="D48" i="1"/>
  <c r="D153" i="1"/>
  <c r="L200" i="1"/>
  <c r="L199" i="1" s="1"/>
  <c r="K263" i="1"/>
  <c r="B190" i="1"/>
  <c r="B69" i="1"/>
  <c r="B263" i="1"/>
  <c r="T52" i="1"/>
  <c r="B52" i="1"/>
  <c r="B183" i="1"/>
  <c r="B124" i="1" s="1"/>
  <c r="B144" i="1"/>
  <c r="B70" i="1" s="1"/>
  <c r="K264" i="1"/>
  <c r="K266" i="1" s="1"/>
  <c r="K221" i="1"/>
  <c r="K52" i="1"/>
  <c r="K69" i="1"/>
  <c r="K190" i="1"/>
  <c r="D224" i="1"/>
  <c r="C263" i="1"/>
  <c r="AI201" i="1"/>
  <c r="M153" i="1"/>
  <c r="M48" i="1"/>
  <c r="S222" i="1"/>
  <c r="S69" i="1"/>
  <c r="Q197" i="1"/>
  <c r="Q196" i="1" s="1"/>
  <c r="J172" i="1"/>
  <c r="I52" i="1"/>
  <c r="J221" i="1"/>
  <c r="K48" i="1"/>
  <c r="K153" i="1"/>
  <c r="D200" i="1"/>
  <c r="E212" i="1"/>
  <c r="W153" i="1"/>
  <c r="X218" i="1" s="1"/>
  <c r="X216" i="1" s="1"/>
  <c r="W48" i="1"/>
  <c r="V263" i="1"/>
  <c r="J200" i="1"/>
  <c r="Q222" i="1"/>
  <c r="I144" i="1"/>
  <c r="I70" i="1" s="1"/>
  <c r="P190" i="1"/>
  <c r="G144" i="1"/>
  <c r="G70" i="1" s="1"/>
  <c r="G52" i="1"/>
  <c r="U221" i="1"/>
  <c r="U183" i="1"/>
  <c r="U124" i="1" s="1"/>
  <c r="U52" i="1"/>
  <c r="S263" i="1"/>
  <c r="S190" i="1"/>
  <c r="R264" i="1"/>
  <c r="R266" i="1" s="1"/>
  <c r="I172" i="1"/>
  <c r="I212" i="1"/>
  <c r="I200" i="1"/>
  <c r="J212" i="1"/>
  <c r="Q200" i="1"/>
  <c r="Q172" i="1"/>
  <c r="Q212" i="1"/>
  <c r="R212" i="1"/>
  <c r="T197" i="1"/>
  <c r="N144" i="1"/>
  <c r="N70" i="1" s="1"/>
  <c r="N52" i="1"/>
  <c r="L183" i="1"/>
  <c r="L124" i="1" s="1"/>
  <c r="L264" i="1"/>
  <c r="L266" i="1" s="1"/>
  <c r="L221" i="1"/>
  <c r="P222" i="1"/>
  <c r="P69" i="1"/>
  <c r="P263" i="1"/>
  <c r="M224" i="1"/>
  <c r="L263" i="1"/>
  <c r="V69" i="1"/>
  <c r="V190" i="1"/>
  <c r="Q144" i="1"/>
  <c r="Q70" i="1" s="1"/>
  <c r="R221" i="1"/>
  <c r="Q52" i="1"/>
  <c r="E200" i="1"/>
  <c r="E172" i="1"/>
  <c r="O200" i="1"/>
  <c r="O212" i="1"/>
  <c r="U200" i="1"/>
  <c r="U172" i="1"/>
  <c r="M144" i="1"/>
  <c r="M70" i="1" s="1"/>
  <c r="R200" i="1"/>
  <c r="BT199" i="1"/>
  <c r="BP199" i="1"/>
  <c r="BB199" i="1"/>
  <c r="AZ42" i="1"/>
  <c r="BK42" i="1"/>
  <c r="AW42" i="1"/>
  <c r="BL27" i="1"/>
  <c r="BK31" i="1"/>
  <c r="AM67" i="1"/>
  <c r="AM134" i="1"/>
  <c r="AM135" i="1" s="1"/>
  <c r="AM144" i="1" s="1"/>
  <c r="AM208" i="1"/>
  <c r="AM210" i="1" s="1"/>
  <c r="AM81" i="1"/>
  <c r="AM84" i="1" s="1"/>
  <c r="AT42" i="1"/>
  <c r="AY42" i="1"/>
  <c r="AZ27" i="1"/>
  <c r="AY31" i="1"/>
  <c r="BA42" i="1"/>
  <c r="BQ42" i="1"/>
  <c r="AP42" i="1"/>
  <c r="AQ203" i="1"/>
  <c r="BM42" i="1"/>
  <c r="BU26" i="1"/>
  <c r="BQ31" i="1"/>
  <c r="BQ43" i="1" s="1"/>
  <c r="BQ27" i="1"/>
  <c r="BU42" i="1"/>
  <c r="AS198" i="1"/>
  <c r="BR42" i="1"/>
  <c r="N73" i="1"/>
  <c r="AL259" i="1"/>
  <c r="AJ27" i="1"/>
  <c r="AM26" i="1"/>
  <c r="AL240" i="1"/>
  <c r="AI31" i="1"/>
  <c r="BP31" i="1"/>
  <c r="AY26" i="1"/>
  <c r="AU31" i="1"/>
  <c r="AU42" i="1"/>
  <c r="BS31" i="1"/>
  <c r="BT27" i="1"/>
  <c r="BR31" i="1"/>
  <c r="BT203" i="1"/>
  <c r="AI196" i="1"/>
  <c r="AP27" i="1"/>
  <c r="AL117" i="1"/>
  <c r="AL118" i="1"/>
  <c r="BN31" i="1"/>
  <c r="BR26" i="1"/>
  <c r="BZ118" i="1"/>
  <c r="BZ117" i="1"/>
  <c r="BZ119" i="1"/>
  <c r="AP203" i="1"/>
  <c r="BX26" i="1"/>
  <c r="BT31" i="1"/>
  <c r="AO31" i="1"/>
  <c r="BI224" i="1"/>
  <c r="AO42" i="1"/>
  <c r="AV31" i="1"/>
  <c r="AW27" i="1"/>
  <c r="BT26" i="1"/>
  <c r="AV27" i="1"/>
  <c r="BV153" i="1"/>
  <c r="BW48" i="1"/>
  <c r="BW149" i="1"/>
  <c r="AW117" i="1"/>
  <c r="AW119" i="1"/>
  <c r="AW118" i="1"/>
  <c r="K183" i="1"/>
  <c r="K124" i="1" s="1"/>
  <c r="W52" i="1"/>
  <c r="O263" i="1"/>
  <c r="BC42" i="1"/>
  <c r="BS26" i="1"/>
  <c r="BP196" i="1"/>
  <c r="G263" i="1"/>
  <c r="L224" i="1"/>
  <c r="BO42" i="1"/>
  <c r="H224" i="1"/>
  <c r="BO27" i="1"/>
  <c r="BO31" i="1"/>
  <c r="AX42" i="1"/>
  <c r="BS203" i="1"/>
  <c r="AZ199" i="1"/>
  <c r="O172" i="1"/>
  <c r="BH42" i="1"/>
  <c r="X221" i="1"/>
  <c r="AI199" i="1"/>
  <c r="U264" i="1"/>
  <c r="U266" i="1" s="1"/>
  <c r="BF42" i="1"/>
  <c r="BB42" i="1"/>
  <c r="BI42" i="1"/>
  <c r="AX199" i="1"/>
  <c r="O221" i="1"/>
  <c r="BR199" i="1"/>
  <c r="AR43" i="1"/>
  <c r="AR44" i="1" s="1"/>
  <c r="BG240" i="1"/>
  <c r="BH26" i="1"/>
  <c r="BD31" i="1"/>
  <c r="BE27" i="1"/>
  <c r="BD42" i="1"/>
  <c r="BD203" i="1"/>
  <c r="BS27" i="1"/>
  <c r="BU240" i="1"/>
  <c r="AW31" i="1"/>
  <c r="AX27" i="1"/>
  <c r="AZ240" i="1"/>
  <c r="AX240" i="1"/>
  <c r="AW203" i="1"/>
  <c r="AY240" i="1"/>
  <c r="Q73" i="1"/>
  <c r="BA26" i="1"/>
  <c r="J153" i="1"/>
  <c r="J48" i="1"/>
  <c r="BI240" i="1"/>
  <c r="BJ26" i="1"/>
  <c r="BG27" i="1"/>
  <c r="BF31" i="1"/>
  <c r="BF43" i="1" s="1"/>
  <c r="S153" i="1"/>
  <c r="S48" i="1"/>
  <c r="R52" i="1"/>
  <c r="R183" i="1"/>
  <c r="R124" i="1" s="1"/>
  <c r="I183" i="1"/>
  <c r="I124" i="1" s="1"/>
  <c r="J264" i="1"/>
  <c r="J266" i="1" s="1"/>
  <c r="E197" i="1"/>
  <c r="E196" i="1" s="1"/>
  <c r="F211" i="1"/>
  <c r="C153" i="1"/>
  <c r="C48" i="1"/>
  <c r="G190" i="1"/>
  <c r="G222" i="1"/>
  <c r="G69" i="1"/>
  <c r="H222" i="1"/>
  <c r="G211" i="1"/>
  <c r="F197" i="1"/>
  <c r="AZ31" i="1"/>
  <c r="BB240" i="1"/>
  <c r="R73" i="1"/>
  <c r="BA27" i="1"/>
  <c r="BD26" i="1"/>
  <c r="BA203" i="1"/>
  <c r="AZ26" i="1"/>
  <c r="AZ203" i="1"/>
  <c r="BC240" i="1"/>
  <c r="BG26" i="1"/>
  <c r="BC31" i="1"/>
  <c r="BC26" i="1"/>
  <c r="BC203" i="1"/>
  <c r="BD27" i="1"/>
  <c r="AQ42" i="1"/>
  <c r="AV203" i="1"/>
  <c r="AR240" i="1"/>
  <c r="AU26" i="1"/>
  <c r="AT240" i="1"/>
  <c r="P73" i="1"/>
  <c r="AQ31" i="1"/>
  <c r="AQ26" i="1"/>
  <c r="AR27" i="1"/>
  <c r="AR203" i="1"/>
  <c r="AS240" i="1"/>
  <c r="AY203" i="1"/>
  <c r="AY27" i="1"/>
  <c r="BA240" i="1"/>
  <c r="AX31" i="1"/>
  <c r="BB26" i="1"/>
  <c r="AX203" i="1"/>
  <c r="BG31" i="1"/>
  <c r="BJ240" i="1"/>
  <c r="BG42" i="1"/>
  <c r="BG203" i="1"/>
  <c r="BH27" i="1"/>
  <c r="BJ259" i="1"/>
  <c r="T73" i="1"/>
  <c r="BI203" i="1"/>
  <c r="BL240" i="1"/>
  <c r="BJ203" i="1"/>
  <c r="BJ27" i="1"/>
  <c r="BI31" i="1"/>
  <c r="BL259" i="1"/>
  <c r="BC27" i="1"/>
  <c r="BB27" i="1"/>
  <c r="BB203" i="1"/>
  <c r="BD240" i="1"/>
  <c r="BB31" i="1"/>
  <c r="BE240" i="1"/>
  <c r="BF26" i="1"/>
  <c r="AU240" i="1"/>
  <c r="AW26" i="1"/>
  <c r="AS26" i="1"/>
  <c r="AS42" i="1"/>
  <c r="AV240" i="1"/>
  <c r="AS31" i="1"/>
  <c r="BM203" i="1"/>
  <c r="BN203" i="1"/>
  <c r="BN27" i="1"/>
  <c r="BO240" i="1"/>
  <c r="BP240" i="1"/>
  <c r="BO203" i="1"/>
  <c r="BN240" i="1"/>
  <c r="BO26" i="1"/>
  <c r="U73" i="1"/>
  <c r="BP203" i="1"/>
  <c r="BY26" i="1"/>
  <c r="BU203" i="1"/>
  <c r="BU27" i="1"/>
  <c r="BY203" i="1"/>
  <c r="V73" i="1"/>
  <c r="BR240" i="1"/>
  <c r="BT240" i="1"/>
  <c r="BQ203" i="1"/>
  <c r="BS240" i="1"/>
  <c r="BQ240" i="1"/>
  <c r="BR203" i="1"/>
  <c r="BR27" i="1"/>
  <c r="BH203" i="1"/>
  <c r="BL26" i="1"/>
  <c r="BI27" i="1"/>
  <c r="BH31" i="1"/>
  <c r="AT31" i="1"/>
  <c r="AT33" i="1" s="1"/>
  <c r="AT26" i="1"/>
  <c r="AW240" i="1"/>
  <c r="AU27" i="1"/>
  <c r="AT203" i="1"/>
  <c r="AX26" i="1"/>
  <c r="AU203" i="1"/>
  <c r="C172" i="1"/>
  <c r="C197" i="1"/>
  <c r="C196" i="1" s="1"/>
  <c r="U197" i="1"/>
  <c r="U196" i="1" s="1"/>
  <c r="V211" i="1"/>
  <c r="BA43" i="1"/>
  <c r="BA32" i="1"/>
  <c r="T212" i="1"/>
  <c r="U212" i="1"/>
  <c r="T200" i="1"/>
  <c r="AO203" i="1"/>
  <c r="AN26" i="1"/>
  <c r="AO240" i="1"/>
  <c r="AN31" i="1"/>
  <c r="AO27" i="1"/>
  <c r="AR26" i="1"/>
  <c r="AN27" i="1"/>
  <c r="AN203" i="1"/>
  <c r="AN240" i="1"/>
  <c r="S144" i="1"/>
  <c r="S70" i="1" s="1"/>
  <c r="S52" i="1"/>
  <c r="S183" i="1"/>
  <c r="S124" i="1" s="1"/>
  <c r="S221" i="1"/>
  <c r="S220" i="1" s="1"/>
  <c r="S264" i="1"/>
  <c r="S266" i="1" s="1"/>
  <c r="R197" i="1"/>
  <c r="R196" i="1" s="1"/>
  <c r="R172" i="1"/>
  <c r="BV201" i="1"/>
  <c r="BZ204" i="1" s="1"/>
  <c r="AT199" i="1"/>
  <c r="BF199" i="1"/>
  <c r="BJ45" i="1"/>
  <c r="CA203" i="1"/>
  <c r="X73" i="1"/>
  <c r="CB203" i="1"/>
  <c r="BW42" i="1"/>
  <c r="BW203" i="1"/>
  <c r="BX27" i="1"/>
  <c r="BZ240" i="1"/>
  <c r="CA26" i="1"/>
  <c r="BZ259" i="1"/>
  <c r="BW31" i="1"/>
  <c r="BW26" i="1"/>
  <c r="BX203" i="1"/>
  <c r="Q153" i="1"/>
  <c r="Q48" i="1"/>
  <c r="F259" i="1"/>
  <c r="F261" i="1"/>
  <c r="BW224" i="1"/>
  <c r="BV263" i="1"/>
  <c r="V153" i="1"/>
  <c r="V48" i="1"/>
  <c r="BC117" i="1"/>
  <c r="BC119" i="1"/>
  <c r="BC118" i="1"/>
  <c r="BV119" i="1"/>
  <c r="BV117" i="1"/>
  <c r="BV118" i="1"/>
  <c r="BW118" i="1"/>
  <c r="BW117" i="1"/>
  <c r="BW119" i="1"/>
  <c r="BJ44" i="1"/>
  <c r="BJ247" i="1"/>
  <c r="BJ248" i="1" s="1"/>
  <c r="BJ49" i="1"/>
  <c r="BJ53" i="1" s="1"/>
  <c r="AS119" i="1"/>
  <c r="AS118" i="1"/>
  <c r="AS117" i="1"/>
  <c r="AR119" i="1"/>
  <c r="AR118" i="1"/>
  <c r="AR117" i="1"/>
  <c r="BA119" i="1"/>
  <c r="BA117" i="1"/>
  <c r="BA118" i="1"/>
  <c r="BJ117" i="1"/>
  <c r="BJ119" i="1"/>
  <c r="BJ118" i="1"/>
  <c r="BX259" i="1"/>
  <c r="BW240" i="1"/>
  <c r="BV27" i="1"/>
  <c r="BV26" i="1"/>
  <c r="BV42" i="1"/>
  <c r="BZ203" i="1"/>
  <c r="BV240" i="1"/>
  <c r="BW27" i="1"/>
  <c r="BY240" i="1"/>
  <c r="BZ26" i="1"/>
  <c r="BX240" i="1"/>
  <c r="BV203" i="1"/>
  <c r="W73" i="1"/>
  <c r="BY119" i="1"/>
  <c r="BY117" i="1"/>
  <c r="BY118" i="1"/>
  <c r="BL119" i="1"/>
  <c r="BL118" i="1"/>
  <c r="BL117" i="1"/>
  <c r="BI118" i="1"/>
  <c r="BI117" i="1"/>
  <c r="BI119" i="1"/>
  <c r="BX264" i="1"/>
  <c r="BW221" i="1"/>
  <c r="BW264" i="1"/>
  <c r="BX221" i="1"/>
  <c r="BV183" i="1"/>
  <c r="BV144" i="1"/>
  <c r="AZ117" i="1"/>
  <c r="AZ118" i="1"/>
  <c r="AZ119" i="1"/>
  <c r="AY118" i="1"/>
  <c r="AY117" i="1"/>
  <c r="AY119" i="1"/>
  <c r="BB117" i="1"/>
  <c r="BB118" i="1"/>
  <c r="BB119" i="1"/>
  <c r="BE119" i="1"/>
  <c r="BE117" i="1"/>
  <c r="BE118" i="1"/>
  <c r="BP117" i="1"/>
  <c r="BP119" i="1"/>
  <c r="BP118" i="1"/>
  <c r="BO117" i="1"/>
  <c r="BO119" i="1"/>
  <c r="BO118" i="1"/>
  <c r="BN117" i="1"/>
  <c r="BN118" i="1"/>
  <c r="BN119" i="1"/>
  <c r="BM117" i="1"/>
  <c r="BM119" i="1"/>
  <c r="BM118" i="1"/>
  <c r="BX117" i="1"/>
  <c r="BX118" i="1"/>
  <c r="BX119" i="1"/>
  <c r="BQ117" i="1"/>
  <c r="BQ119" i="1"/>
  <c r="BQ118" i="1"/>
  <c r="BK119" i="1"/>
  <c r="BK117" i="1"/>
  <c r="BK118" i="1"/>
  <c r="BH118" i="1"/>
  <c r="BH119" i="1"/>
  <c r="BH117" i="1"/>
  <c r="BV32" i="1"/>
  <c r="BZ33" i="1"/>
  <c r="BV43" i="1"/>
  <c r="BR118" i="1"/>
  <c r="BR119" i="1"/>
  <c r="BR117" i="1"/>
  <c r="BF117" i="1"/>
  <c r="BF119" i="1"/>
  <c r="BF118" i="1"/>
  <c r="O153" i="1"/>
  <c r="O48" i="1"/>
  <c r="AN117" i="1"/>
  <c r="AN119" i="1"/>
  <c r="AV118" i="1"/>
  <c r="AV119" i="1"/>
  <c r="AV117" i="1"/>
  <c r="AX118" i="1"/>
  <c r="AX119" i="1"/>
  <c r="AX117" i="1"/>
  <c r="BT118" i="1"/>
  <c r="BT117" i="1"/>
  <c r="BT119" i="1"/>
  <c r="BI221" i="1"/>
  <c r="BJ221" i="1"/>
  <c r="BJ264" i="1"/>
  <c r="BI264" i="1"/>
  <c r="AP117" i="1"/>
  <c r="AP119" i="1"/>
  <c r="AP118" i="1"/>
  <c r="AT117" i="1"/>
  <c r="AT118" i="1"/>
  <c r="AT119" i="1"/>
  <c r="AO118" i="1"/>
  <c r="AO119" i="1"/>
  <c r="AO117" i="1"/>
  <c r="D222" i="1"/>
  <c r="T221" i="1"/>
  <c r="E222" i="1"/>
  <c r="BD199" i="1"/>
  <c r="BH221" i="1"/>
  <c r="D52" i="1"/>
  <c r="D264" i="1"/>
  <c r="D266" i="1" s="1"/>
  <c r="BD119" i="1"/>
  <c r="BD118" i="1"/>
  <c r="BD117" i="1"/>
  <c r="BL203" i="1"/>
  <c r="BK240" i="1"/>
  <c r="BK26" i="1"/>
  <c r="BK203" i="1"/>
  <c r="N69" i="1"/>
  <c r="O222" i="1"/>
  <c r="N222" i="1"/>
  <c r="N190" i="1"/>
  <c r="I69" i="1"/>
  <c r="I190" i="1"/>
  <c r="I222" i="1"/>
  <c r="I263" i="1"/>
  <c r="L172" i="1"/>
  <c r="L197" i="1"/>
  <c r="M211" i="1"/>
  <c r="C190" i="1"/>
  <c r="C69" i="1"/>
  <c r="C222" i="1"/>
  <c r="V222" i="1"/>
  <c r="U144" i="1"/>
  <c r="U70" i="1" s="1"/>
  <c r="Q264" i="1"/>
  <c r="Q266" i="1" s="1"/>
  <c r="P52" i="1"/>
  <c r="P264" i="1"/>
  <c r="P266" i="1" s="1"/>
  <c r="P183" i="1"/>
  <c r="P124" i="1" s="1"/>
  <c r="P144" i="1"/>
  <c r="P70" i="1" s="1"/>
  <c r="Q221" i="1"/>
  <c r="D69" i="1"/>
  <c r="D263" i="1"/>
  <c r="D144" i="1"/>
  <c r="D70" i="1" s="1"/>
  <c r="D190" i="1"/>
  <c r="P211" i="1"/>
  <c r="P172" i="1"/>
  <c r="P197" i="1"/>
  <c r="P201" i="1" s="1"/>
  <c r="D211" i="1"/>
  <c r="E211" i="1"/>
  <c r="D172" i="1"/>
  <c r="H144" i="1"/>
  <c r="H70" i="1" s="1"/>
  <c r="I264" i="1"/>
  <c r="I266" i="1" s="1"/>
  <c r="H183" i="1"/>
  <c r="H124" i="1" s="1"/>
  <c r="F52" i="1"/>
  <c r="F144" i="1"/>
  <c r="F70" i="1" s="1"/>
  <c r="R69" i="1"/>
  <c r="R190" i="1"/>
  <c r="R263" i="1"/>
  <c r="R144" i="1"/>
  <c r="R70" i="1" s="1"/>
  <c r="R222" i="1"/>
  <c r="D122" i="1"/>
  <c r="D125" i="1" s="1"/>
  <c r="D128" i="1" s="1"/>
  <c r="D81" i="1"/>
  <c r="D123" i="1"/>
  <c r="D126" i="1" s="1"/>
  <c r="D129" i="1" s="1"/>
  <c r="AU118" i="1"/>
  <c r="AU119" i="1"/>
  <c r="AU117" i="1"/>
  <c r="BE42" i="1"/>
  <c r="BF240" i="1"/>
  <c r="BE31" i="1"/>
  <c r="BE203" i="1"/>
  <c r="BI26" i="1"/>
  <c r="BF27" i="1"/>
  <c r="BE26" i="1"/>
  <c r="BH240" i="1"/>
  <c r="BF203" i="1"/>
  <c r="S73" i="1"/>
  <c r="BH144" i="1"/>
  <c r="BH183" i="1"/>
  <c r="K211" i="1"/>
  <c r="K197" i="1"/>
  <c r="K196" i="1" s="1"/>
  <c r="E183" i="1"/>
  <c r="E124" i="1" s="1"/>
  <c r="E221" i="1"/>
  <c r="F264" i="1"/>
  <c r="F266" i="1" s="1"/>
  <c r="O224" i="1"/>
  <c r="N263" i="1"/>
  <c r="N183" i="1"/>
  <c r="N124" i="1" s="1"/>
  <c r="B172" i="1"/>
  <c r="C211" i="1"/>
  <c r="T69" i="1"/>
  <c r="T222" i="1"/>
  <c r="G200" i="1"/>
  <c r="G172" i="1"/>
  <c r="H212" i="1"/>
  <c r="O73" i="1"/>
  <c r="AP240" i="1"/>
  <c r="AS203" i="1"/>
  <c r="AN42" i="1"/>
  <c r="AQ240" i="1"/>
  <c r="BH153" i="1"/>
  <c r="BI149" i="1"/>
  <c r="AQ119" i="1"/>
  <c r="AQ117" i="1"/>
  <c r="BU118" i="1"/>
  <c r="BU119" i="1"/>
  <c r="BS117" i="1"/>
  <c r="BS118" i="1"/>
  <c r="BS119" i="1"/>
  <c r="BH107" i="1"/>
  <c r="BH263" i="1"/>
  <c r="AV199" i="1"/>
  <c r="BV199" i="1"/>
  <c r="M52" i="1"/>
  <c r="T144" i="1"/>
  <c r="T70" i="1" s="1"/>
  <c r="AQ118" i="1"/>
  <c r="BU117" i="1"/>
  <c r="M264" i="1"/>
  <c r="M266" i="1" s="1"/>
  <c r="L211" i="1"/>
  <c r="D197" i="1"/>
  <c r="D196" i="1" s="1"/>
  <c r="E144" i="1"/>
  <c r="E70" i="1" s="1"/>
  <c r="V264" i="1"/>
  <c r="V266" i="1" s="1"/>
  <c r="T263" i="1"/>
  <c r="F212" i="1"/>
  <c r="AN118" i="1"/>
  <c r="AP196" i="1"/>
  <c r="V212" i="1"/>
  <c r="N197" i="1"/>
  <c r="N201" i="1" s="1"/>
  <c r="U263" i="1"/>
  <c r="S172" i="1"/>
  <c r="T190" i="1"/>
  <c r="V221" i="1"/>
  <c r="U222" i="1"/>
  <c r="U190" i="1"/>
  <c r="BH201" i="1"/>
  <c r="BL204" i="1" s="1"/>
  <c r="BH172" i="1"/>
  <c r="M200" i="1"/>
  <c r="V172" i="1"/>
  <c r="B197" i="1"/>
  <c r="N264" i="1"/>
  <c r="N266" i="1" s="1"/>
  <c r="C212" i="1"/>
  <c r="O211" i="1"/>
  <c r="I211" i="1"/>
  <c r="K144" i="1"/>
  <c r="K70" i="1" s="1"/>
  <c r="U69" i="1"/>
  <c r="BG118" i="1"/>
  <c r="M172" i="1"/>
  <c r="H172" i="1"/>
  <c r="C200" i="1"/>
  <c r="H197" i="1"/>
  <c r="H196" i="1" s="1"/>
  <c r="L153" i="1"/>
  <c r="T211" i="1"/>
  <c r="BG119" i="1"/>
  <c r="N212" i="1"/>
  <c r="E52" i="1"/>
  <c r="S211" i="1"/>
  <c r="R211" i="1"/>
  <c r="H221" i="1"/>
  <c r="M221" i="1"/>
  <c r="F172" i="1"/>
  <c r="F180" i="1" s="1"/>
  <c r="N221" i="1"/>
  <c r="BE33" i="1"/>
  <c r="W221" i="1"/>
  <c r="G264" i="1"/>
  <c r="G266" i="1" s="1"/>
  <c r="H52" i="1"/>
  <c r="BV172" i="1"/>
  <c r="G212" i="1"/>
  <c r="V144" i="1"/>
  <c r="V70" i="1" s="1"/>
  <c r="F221" i="1"/>
  <c r="I221" i="1"/>
  <c r="W264" i="1"/>
  <c r="W266" i="1" s="1"/>
  <c r="G221" i="1"/>
  <c r="F183" i="1"/>
  <c r="F124" i="1" s="1"/>
  <c r="U211" i="1"/>
  <c r="L212" i="1"/>
  <c r="L190" i="1"/>
  <c r="L69" i="1"/>
  <c r="E69" i="1"/>
  <c r="C52" i="1"/>
  <c r="C144" i="1"/>
  <c r="C70" i="1" s="1"/>
  <c r="K200" i="1"/>
  <c r="P221" i="1"/>
  <c r="O144" i="1"/>
  <c r="O70" i="1" s="1"/>
  <c r="O264" i="1"/>
  <c r="O266" i="1" s="1"/>
  <c r="L144" i="1"/>
  <c r="L70" i="1" s="1"/>
  <c r="K172" i="1"/>
  <c r="C183" i="1"/>
  <c r="C124" i="1" s="1"/>
  <c r="C221" i="1"/>
  <c r="C220" i="1" s="1"/>
  <c r="M222" i="1"/>
  <c r="M220" i="1" s="1"/>
  <c r="R153" i="1"/>
  <c r="R48" i="1"/>
  <c r="O183" i="1"/>
  <c r="O124" i="1" s="1"/>
  <c r="C264" i="1"/>
  <c r="C266" i="1" s="1"/>
  <c r="N211" i="1"/>
  <c r="N213" i="1" s="1"/>
  <c r="N214" i="1" s="1"/>
  <c r="L222" i="1"/>
  <c r="V183" i="1"/>
  <c r="V124" i="1" s="1"/>
  <c r="T172" i="1"/>
  <c r="T264" i="1"/>
  <c r="T266" i="1" s="1"/>
  <c r="F222" i="1"/>
  <c r="AR153" i="1"/>
  <c r="AR261" i="1" s="1"/>
  <c r="BR264" i="1"/>
  <c r="BU217" i="1"/>
  <c r="AR196" i="1"/>
  <c r="AS48" i="1"/>
  <c r="AX217" i="1"/>
  <c r="AW217" i="1"/>
  <c r="AR217" i="1"/>
  <c r="AQ217" i="1"/>
  <c r="BB183" i="1"/>
  <c r="AV183" i="1"/>
  <c r="BS48" i="1"/>
  <c r="BS149" i="1"/>
  <c r="BR153" i="1"/>
  <c r="AQ264" i="1"/>
  <c r="AN107" i="1"/>
  <c r="AN110" i="1" s="1"/>
  <c r="AN263" i="1"/>
  <c r="AV264" i="1"/>
  <c r="AR221" i="1"/>
  <c r="AR264" i="1"/>
  <c r="AO149" i="1"/>
  <c r="AO48" i="1"/>
  <c r="AN153" i="1"/>
  <c r="AN261" i="1" s="1"/>
  <c r="BC48" i="1"/>
  <c r="BB153" i="1"/>
  <c r="BC149" i="1"/>
  <c r="AV221" i="1"/>
  <c r="BT144" i="1"/>
  <c r="V199" i="1"/>
  <c r="V201" i="1"/>
  <c r="BN183" i="1"/>
  <c r="BN144" i="1"/>
  <c r="BC221" i="1"/>
  <c r="BC264" i="1"/>
  <c r="BB144" i="1"/>
  <c r="AT263" i="1"/>
  <c r="AS221" i="1"/>
  <c r="AS264" i="1"/>
  <c r="AR183" i="1"/>
  <c r="AS52" i="1" s="1"/>
  <c r="AR144" i="1"/>
  <c r="AR107" i="1"/>
  <c r="AX107" i="1"/>
  <c r="AX263" i="1"/>
  <c r="BU48" i="1"/>
  <c r="BT153" i="1"/>
  <c r="BU149" i="1"/>
  <c r="BG149" i="1"/>
  <c r="BG48" i="1"/>
  <c r="BF153" i="1"/>
  <c r="AW48" i="1"/>
  <c r="AV153" i="1"/>
  <c r="AW149" i="1"/>
  <c r="BE48" i="1"/>
  <c r="BE149" i="1"/>
  <c r="BD153" i="1"/>
  <c r="AQ149" i="1"/>
  <c r="AP153" i="1"/>
  <c r="AQ48" i="1"/>
  <c r="AT197" i="1"/>
  <c r="AT172" i="1"/>
  <c r="BB110" i="1"/>
  <c r="BB111" i="1"/>
  <c r="BB109" i="1"/>
  <c r="AO264" i="1"/>
  <c r="AO221" i="1"/>
  <c r="AN264" i="1"/>
  <c r="AN221" i="1"/>
  <c r="AN144" i="1"/>
  <c r="AN183" i="1"/>
  <c r="BN153" i="1"/>
  <c r="BO149" i="1"/>
  <c r="BO48" i="1"/>
  <c r="AY149" i="1"/>
  <c r="AX153" i="1"/>
  <c r="AY48" i="1"/>
  <c r="AR200" i="1"/>
  <c r="AR172" i="1"/>
  <c r="BN263" i="1"/>
  <c r="BN107" i="1"/>
  <c r="BF221" i="1"/>
  <c r="BF183" i="1"/>
  <c r="BP264" i="1"/>
  <c r="BP221" i="1"/>
  <c r="BP183" i="1"/>
  <c r="BR144" i="1"/>
  <c r="BS264" i="1"/>
  <c r="BS221" i="1"/>
  <c r="BR183" i="1"/>
  <c r="BA149" i="1"/>
  <c r="BA48" i="1"/>
  <c r="AZ153" i="1"/>
  <c r="BQ48" i="1"/>
  <c r="BP153" i="1"/>
  <c r="BQ149" i="1"/>
  <c r="BC224" i="1"/>
  <c r="BB263" i="1"/>
  <c r="AR263" i="1"/>
  <c r="AX221" i="1"/>
  <c r="AX183" i="1"/>
  <c r="AX144" i="1"/>
  <c r="AX264" i="1"/>
  <c r="BO217" i="1"/>
  <c r="BP217" i="1"/>
  <c r="AT153" i="1"/>
  <c r="AU48" i="1"/>
  <c r="AU149" i="1"/>
  <c r="BD107" i="1"/>
  <c r="BD263" i="1"/>
  <c r="BO221" i="1"/>
  <c r="BO264" i="1"/>
  <c r="BN264" i="1"/>
  <c r="BN221" i="1"/>
  <c r="AW264" i="1"/>
  <c r="AW221" i="1"/>
  <c r="AN197" i="1"/>
  <c r="AN172" i="1"/>
  <c r="BT217" i="1"/>
  <c r="BS217" i="1"/>
  <c r="BV264" i="1"/>
  <c r="BU264" i="1"/>
  <c r="BU221" i="1"/>
  <c r="BV221" i="1"/>
  <c r="BT183" i="1"/>
  <c r="BT264" i="1"/>
  <c r="BT221" i="1"/>
  <c r="AP217" i="1"/>
  <c r="AO217" i="1"/>
  <c r="AZ183" i="1"/>
  <c r="AZ264" i="1"/>
  <c r="AZ144" i="1"/>
  <c r="AZ221" i="1"/>
  <c r="AN199" i="1"/>
  <c r="AT144" i="1"/>
  <c r="AT264" i="1"/>
  <c r="AT221" i="1"/>
  <c r="AT183" i="1"/>
  <c r="BD221" i="1"/>
  <c r="BD144" i="1"/>
  <c r="BE264" i="1"/>
  <c r="BE221" i="1"/>
  <c r="BD183" i="1"/>
  <c r="BD264" i="1"/>
  <c r="AV107" i="1"/>
  <c r="AV263" i="1"/>
  <c r="AQ221" i="1"/>
  <c r="AP221" i="1"/>
  <c r="AP264" i="1"/>
  <c r="BG264" i="1"/>
  <c r="BH264" i="1"/>
  <c r="BB221" i="1"/>
  <c r="BA264" i="1"/>
  <c r="BB264" i="1"/>
  <c r="BA221" i="1"/>
  <c r="AU221" i="1"/>
  <c r="AU264" i="1"/>
  <c r="BP201" i="1"/>
  <c r="BP204" i="1" s="1"/>
  <c r="BR221" i="1"/>
  <c r="AY221" i="1"/>
  <c r="AY264" i="1"/>
  <c r="AQ224" i="1"/>
  <c r="AP263" i="1"/>
  <c r="AZ107" i="1"/>
  <c r="AZ263" i="1"/>
  <c r="BS224" i="1"/>
  <c r="BR263" i="1"/>
  <c r="BT107" i="1"/>
  <c r="BT263" i="1"/>
  <c r="BF264" i="1"/>
  <c r="BF144" i="1"/>
  <c r="AP183" i="1"/>
  <c r="AP144" i="1"/>
  <c r="AP110" i="1"/>
  <c r="AP109" i="1"/>
  <c r="AP111" i="1"/>
  <c r="AP200" i="1"/>
  <c r="AP172" i="1"/>
  <c r="BF107" i="1"/>
  <c r="BF263" i="1"/>
  <c r="BP111" i="1"/>
  <c r="AV144" i="1"/>
  <c r="BQ264" i="1"/>
  <c r="BP263" i="1"/>
  <c r="BP144" i="1"/>
  <c r="BP172" i="1"/>
  <c r="BG221" i="1"/>
  <c r="BQ221" i="1"/>
  <c r="BP110" i="1"/>
  <c r="AV197" i="1"/>
  <c r="AV201" i="1" s="1"/>
  <c r="AV172" i="1"/>
  <c r="BB197" i="1"/>
  <c r="BB172" i="1"/>
  <c r="BD197" i="1"/>
  <c r="BD172" i="1"/>
  <c r="AX197" i="1"/>
  <c r="AX172" i="1"/>
  <c r="BF197" i="1"/>
  <c r="BF172" i="1"/>
  <c r="BT197" i="1"/>
  <c r="BT172" i="1"/>
  <c r="BR197" i="1"/>
  <c r="BR201" i="1" s="1"/>
  <c r="BR172" i="1"/>
  <c r="BN197" i="1"/>
  <c r="BN172" i="1"/>
  <c r="AZ197" i="1"/>
  <c r="AZ172" i="1"/>
  <c r="BV111" i="1"/>
  <c r="BV110" i="1"/>
  <c r="BV109" i="1"/>
  <c r="BK34" i="1"/>
  <c r="AP43" i="1"/>
  <c r="AP33" i="1"/>
  <c r="AP32" i="1"/>
  <c r="BU43" i="1"/>
  <c r="BV34" i="1"/>
  <c r="BY33" i="1"/>
  <c r="BU32" i="1"/>
  <c r="AS153" i="1"/>
  <c r="AT48" i="1"/>
  <c r="AR32" i="1"/>
  <c r="BP33" i="1"/>
  <c r="BN199" i="1"/>
  <c r="BM32" i="1"/>
  <c r="BQ33" i="1"/>
  <c r="BM43" i="1"/>
  <c r="BM34" i="1"/>
  <c r="AQ34" i="1"/>
  <c r="AT110" i="1"/>
  <c r="AT111" i="1"/>
  <c r="AT109" i="1"/>
  <c r="BN33" i="1"/>
  <c r="BN34" i="1"/>
  <c r="AN33" i="1"/>
  <c r="AN34" i="1"/>
  <c r="AV33" i="1"/>
  <c r="BR111" i="1"/>
  <c r="BR109" i="1"/>
  <c r="BR110" i="1"/>
  <c r="AO33" i="1"/>
  <c r="O74" i="1"/>
  <c r="AQ33" i="1"/>
  <c r="BB34" i="1"/>
  <c r="CR209" i="1"/>
  <c r="CR147" i="1"/>
  <c r="CQ218" i="1"/>
  <c r="CQ216" i="1" s="1"/>
  <c r="AB221" i="1"/>
  <c r="DB78" i="1"/>
  <c r="DB80" i="1" s="1"/>
  <c r="DA80" i="1"/>
  <c r="T218" i="1" l="1"/>
  <c r="T216" i="1" s="1"/>
  <c r="P213" i="1"/>
  <c r="P214" i="1" s="1"/>
  <c r="D213" i="1"/>
  <c r="D214" i="1" s="1"/>
  <c r="E213" i="1"/>
  <c r="E214" i="1" s="1"/>
  <c r="H213" i="1"/>
  <c r="H214" i="1" s="1"/>
  <c r="V220" i="1"/>
  <c r="N259" i="1"/>
  <c r="BH180" i="1"/>
  <c r="C213" i="1"/>
  <c r="C214" i="1" s="1"/>
  <c r="N261" i="1"/>
  <c r="M180" i="1"/>
  <c r="H180" i="1"/>
  <c r="S213" i="1"/>
  <c r="S214" i="1" s="1"/>
  <c r="R213" i="1"/>
  <c r="R214" i="1" s="1"/>
  <c r="F181" i="1"/>
  <c r="K201" i="1"/>
  <c r="P220" i="1"/>
  <c r="K180" i="1"/>
  <c r="L220" i="1"/>
  <c r="T180" i="1"/>
  <c r="T181" i="1" s="1"/>
  <c r="U261" i="1"/>
  <c r="T261" i="1"/>
  <c r="C83" i="1"/>
  <c r="U218" i="1"/>
  <c r="U216" i="1" s="1"/>
  <c r="U180" i="1"/>
  <c r="U181" i="1" s="1"/>
  <c r="W218" i="1"/>
  <c r="W216" i="1" s="1"/>
  <c r="B83" i="1"/>
  <c r="B84" i="1"/>
  <c r="D220" i="1"/>
  <c r="U259" i="1"/>
  <c r="BV33" i="1"/>
  <c r="G213" i="1"/>
  <c r="G214" i="1" s="1"/>
  <c r="BD33" i="1"/>
  <c r="K213" i="1"/>
  <c r="K214" i="1" s="1"/>
  <c r="B180" i="1"/>
  <c r="T220" i="1"/>
  <c r="G180" i="1"/>
  <c r="G181" i="1" s="1"/>
  <c r="S261" i="1"/>
  <c r="S259" i="1"/>
  <c r="S180" i="1"/>
  <c r="U220" i="1"/>
  <c r="O213" i="1"/>
  <c r="O214" i="1" s="1"/>
  <c r="I213" i="1"/>
  <c r="I214" i="1" s="1"/>
  <c r="M181" i="1"/>
  <c r="T213" i="1"/>
  <c r="T214" i="1" s="1"/>
  <c r="H220" i="1"/>
  <c r="C180" i="1"/>
  <c r="BV180" i="1"/>
  <c r="H261" i="1"/>
  <c r="H259" i="1"/>
  <c r="J213" i="1"/>
  <c r="J214" i="1" s="1"/>
  <c r="S199" i="1"/>
  <c r="S201" i="1"/>
  <c r="K220" i="1"/>
  <c r="P180" i="1"/>
  <c r="P181" i="1" s="1"/>
  <c r="R220" i="1"/>
  <c r="P259" i="1"/>
  <c r="P261" i="1"/>
  <c r="D180" i="1"/>
  <c r="J220" i="1"/>
  <c r="I180" i="1"/>
  <c r="I181" i="1" s="1"/>
  <c r="Q213" i="1"/>
  <c r="Q214" i="1" s="1"/>
  <c r="E180" i="1"/>
  <c r="G218" i="1"/>
  <c r="G216" i="1" s="1"/>
  <c r="G259" i="1"/>
  <c r="G261" i="1"/>
  <c r="H218" i="1"/>
  <c r="H216" i="1" s="1"/>
  <c r="I218" i="1"/>
  <c r="I216" i="1" s="1"/>
  <c r="I259" i="1"/>
  <c r="I261" i="1"/>
  <c r="J218" i="1"/>
  <c r="J216" i="1" s="1"/>
  <c r="E259" i="1"/>
  <c r="E261" i="1"/>
  <c r="F218" i="1"/>
  <c r="F216" i="1" s="1"/>
  <c r="B125" i="1"/>
  <c r="B128" i="1" s="1"/>
  <c r="B126" i="1"/>
  <c r="B129" i="1" s="1"/>
  <c r="N218" i="1"/>
  <c r="N216" i="1" s="1"/>
  <c r="M259" i="1"/>
  <c r="M261" i="1"/>
  <c r="N181" i="1"/>
  <c r="E218" i="1"/>
  <c r="E216" i="1" s="1"/>
  <c r="L196" i="1"/>
  <c r="L201" i="1"/>
  <c r="D199" i="1"/>
  <c r="Q220" i="1"/>
  <c r="M213" i="1"/>
  <c r="M214" i="1" s="1"/>
  <c r="D84" i="1"/>
  <c r="D85" i="1" s="1"/>
  <c r="D83" i="1"/>
  <c r="J199" i="1"/>
  <c r="J201" i="1"/>
  <c r="K259" i="1"/>
  <c r="K261" i="1"/>
  <c r="P196" i="1"/>
  <c r="Q201" i="1"/>
  <c r="Q199" i="1"/>
  <c r="I199" i="1"/>
  <c r="I201" i="1"/>
  <c r="E199" i="1"/>
  <c r="E201" i="1"/>
  <c r="U199" i="1"/>
  <c r="U201" i="1"/>
  <c r="T196" i="1"/>
  <c r="G201" i="1"/>
  <c r="G199" i="1"/>
  <c r="O201" i="1"/>
  <c r="O199" i="1"/>
  <c r="R201" i="1"/>
  <c r="R199" i="1"/>
  <c r="C102" i="1"/>
  <c r="C100" i="1"/>
  <c r="C101" i="1"/>
  <c r="B104" i="1"/>
  <c r="AP34" i="1"/>
  <c r="BL34" i="1"/>
  <c r="BK32" i="1"/>
  <c r="BK43" i="1"/>
  <c r="AM69" i="1"/>
  <c r="AM222" i="1"/>
  <c r="AM220" i="1" s="1"/>
  <c r="AM70" i="1"/>
  <c r="AM107" i="1"/>
  <c r="AM101" i="1"/>
  <c r="AM100" i="1"/>
  <c r="AM102" i="1"/>
  <c r="AY43" i="1"/>
  <c r="AY32" i="1"/>
  <c r="AZ34" i="1"/>
  <c r="BQ32" i="1"/>
  <c r="BU33" i="1"/>
  <c r="BQ49" i="1"/>
  <c r="BQ53" i="1" s="1"/>
  <c r="BQ44" i="1"/>
  <c r="BQ247" i="1"/>
  <c r="BQ248" i="1" s="1"/>
  <c r="BP43" i="1"/>
  <c r="BP32" i="1"/>
  <c r="BQ34" i="1"/>
  <c r="BF32" i="1"/>
  <c r="BJ33" i="1"/>
  <c r="BS34" i="1"/>
  <c r="BD32" i="1"/>
  <c r="BC34" i="1"/>
  <c r="BT34" i="1"/>
  <c r="AU33" i="1"/>
  <c r="Q74" i="1"/>
  <c r="BF44" i="1"/>
  <c r="BF49" i="1"/>
  <c r="BF53" i="1" s="1"/>
  <c r="BF247" i="1"/>
  <c r="BF248" i="1" s="1"/>
  <c r="BO43" i="1"/>
  <c r="V74" i="1"/>
  <c r="BP34" i="1"/>
  <c r="BS33" i="1"/>
  <c r="BO33" i="1"/>
  <c r="BO32" i="1"/>
  <c r="AJ34" i="1"/>
  <c r="AI32" i="1"/>
  <c r="AM33" i="1"/>
  <c r="AI43" i="1"/>
  <c r="N74" i="1"/>
  <c r="BA44" i="1"/>
  <c r="BA247" i="1"/>
  <c r="BA248" i="1" s="1"/>
  <c r="BA49" i="1"/>
  <c r="BA53" i="1" s="1"/>
  <c r="AU34" i="1"/>
  <c r="AV34" i="1"/>
  <c r="AU43" i="1"/>
  <c r="AY33" i="1"/>
  <c r="AU32" i="1"/>
  <c r="BS43" i="1"/>
  <c r="BS32" i="1"/>
  <c r="BC43" i="1"/>
  <c r="BC32" i="1"/>
  <c r="BC33" i="1"/>
  <c r="BR43" i="1"/>
  <c r="BR34" i="1"/>
  <c r="BR32" i="1"/>
  <c r="BH43" i="1"/>
  <c r="BH32" i="1"/>
  <c r="BL33" i="1"/>
  <c r="BB33" i="1"/>
  <c r="AX34" i="1"/>
  <c r="AX32" i="1"/>
  <c r="AX43" i="1"/>
  <c r="BR33" i="1"/>
  <c r="BN43" i="1"/>
  <c r="U74" i="1"/>
  <c r="BN32" i="1"/>
  <c r="AR247" i="1"/>
  <c r="AR248" i="1" s="1"/>
  <c r="BO34" i="1"/>
  <c r="BG34" i="1"/>
  <c r="BG33" i="1"/>
  <c r="BG32" i="1"/>
  <c r="BH34" i="1"/>
  <c r="BK33" i="1"/>
  <c r="T74" i="1"/>
  <c r="BG43" i="1"/>
  <c r="AN43" i="1"/>
  <c r="AO34" i="1"/>
  <c r="AR33" i="1"/>
  <c r="AN32" i="1"/>
  <c r="AV43" i="1"/>
  <c r="AV32" i="1"/>
  <c r="AW34" i="1"/>
  <c r="AZ33" i="1"/>
  <c r="BU34" i="1"/>
  <c r="BT43" i="1"/>
  <c r="BX33" i="1"/>
  <c r="BT32" i="1"/>
  <c r="BT33" i="1"/>
  <c r="BW153" i="1"/>
  <c r="BX48" i="1"/>
  <c r="AR49" i="1"/>
  <c r="AR53" i="1" s="1"/>
  <c r="AY34" i="1"/>
  <c r="BI34" i="1"/>
  <c r="BV259" i="1"/>
  <c r="BV261" i="1"/>
  <c r="AO43" i="1"/>
  <c r="AO32" i="1"/>
  <c r="AS33" i="1"/>
  <c r="BH261" i="1"/>
  <c r="BH259" i="1"/>
  <c r="AQ43" i="1"/>
  <c r="AQ32" i="1"/>
  <c r="AR34" i="1"/>
  <c r="BB32" i="1"/>
  <c r="R74" i="1"/>
  <c r="BB43" i="1"/>
  <c r="BF33" i="1"/>
  <c r="BD43" i="1"/>
  <c r="BD34" i="1"/>
  <c r="AX33" i="1"/>
  <c r="BE34" i="1"/>
  <c r="G220" i="1"/>
  <c r="P74" i="1"/>
  <c r="F213" i="1"/>
  <c r="F214" i="1" s="1"/>
  <c r="BH33" i="1"/>
  <c r="BA33" i="1"/>
  <c r="AW43" i="1"/>
  <c r="AW32" i="1"/>
  <c r="AZ32" i="1"/>
  <c r="BA34" i="1"/>
  <c r="AZ43" i="1"/>
  <c r="AT32" i="1"/>
  <c r="AT43" i="1"/>
  <c r="AX45" i="1" s="1"/>
  <c r="O220" i="1"/>
  <c r="V213" i="1"/>
  <c r="V214" i="1" s="1"/>
  <c r="U213" i="1"/>
  <c r="U214" i="1" s="1"/>
  <c r="R180" i="1"/>
  <c r="R181" i="1" s="1"/>
  <c r="J261" i="1"/>
  <c r="K218" i="1"/>
  <c r="K216" i="1" s="1"/>
  <c r="J259" i="1"/>
  <c r="J180" i="1"/>
  <c r="J181" i="1" s="1"/>
  <c r="C218" i="1"/>
  <c r="C216" i="1" s="1"/>
  <c r="D218" i="1"/>
  <c r="D216" i="1" s="1"/>
  <c r="F196" i="1"/>
  <c r="F201" i="1"/>
  <c r="BI33" i="1"/>
  <c r="BJ34" i="1"/>
  <c r="BI32" i="1"/>
  <c r="BM33" i="1"/>
  <c r="BI43" i="1"/>
  <c r="AS34" i="1"/>
  <c r="AT34" i="1"/>
  <c r="AW33" i="1"/>
  <c r="AS43" i="1"/>
  <c r="AS32" i="1"/>
  <c r="T199" i="1"/>
  <c r="T201" i="1"/>
  <c r="B201" i="1"/>
  <c r="B196" i="1"/>
  <c r="C125" i="1"/>
  <c r="C128" i="1" s="1"/>
  <c r="C126" i="1"/>
  <c r="C129" i="1" s="1"/>
  <c r="V180" i="1"/>
  <c r="V181" i="1" s="1"/>
  <c r="N220" i="1"/>
  <c r="I220" i="1"/>
  <c r="BV204" i="1"/>
  <c r="CA33" i="1"/>
  <c r="X74" i="1"/>
  <c r="BW32" i="1"/>
  <c r="BW34" i="1"/>
  <c r="BW33" i="1"/>
  <c r="BX34" i="1"/>
  <c r="BW43" i="1"/>
  <c r="Q180" i="1"/>
  <c r="Q181" i="1" s="1"/>
  <c r="Q218" i="1"/>
  <c r="Q216" i="1" s="1"/>
  <c r="Q261" i="1"/>
  <c r="Q259" i="1"/>
  <c r="V218" i="1"/>
  <c r="V216" i="1" s="1"/>
  <c r="V259" i="1"/>
  <c r="V261" i="1"/>
  <c r="BJ55" i="1"/>
  <c r="BJ56" i="1"/>
  <c r="BW52" i="1"/>
  <c r="BV124" i="1"/>
  <c r="BV49" i="1"/>
  <c r="BV53" i="1" s="1"/>
  <c r="BZ45" i="1"/>
  <c r="BV44" i="1"/>
  <c r="BV247" i="1"/>
  <c r="BV248" i="1" s="1"/>
  <c r="P218" i="1"/>
  <c r="P216" i="1" s="1"/>
  <c r="O218" i="1"/>
  <c r="O216" i="1" s="1"/>
  <c r="O259" i="1"/>
  <c r="O180" i="1"/>
  <c r="O261" i="1"/>
  <c r="C201" i="1"/>
  <c r="C199" i="1"/>
  <c r="BH109" i="1"/>
  <c r="BH110" i="1"/>
  <c r="BH111" i="1"/>
  <c r="F220" i="1"/>
  <c r="E220" i="1"/>
  <c r="L213" i="1"/>
  <c r="L214" i="1" s="1"/>
  <c r="BE43" i="1"/>
  <c r="BE32" i="1"/>
  <c r="BF34" i="1"/>
  <c r="S74" i="1"/>
  <c r="BH124" i="1"/>
  <c r="BI52" i="1"/>
  <c r="BJ48" i="1"/>
  <c r="BI153" i="1"/>
  <c r="M201" i="1"/>
  <c r="M199" i="1"/>
  <c r="AR180" i="1"/>
  <c r="AR181" i="1" s="1"/>
  <c r="K199" i="1"/>
  <c r="L261" i="1"/>
  <c r="L259" i="1"/>
  <c r="M218" i="1"/>
  <c r="M216" i="1" s="1"/>
  <c r="L180" i="1"/>
  <c r="L181" i="1" s="1"/>
  <c r="N196" i="1"/>
  <c r="L218" i="1"/>
  <c r="L216" i="1" s="1"/>
  <c r="D201" i="1"/>
  <c r="H201" i="1"/>
  <c r="S218" i="1"/>
  <c r="S216" i="1" s="1"/>
  <c r="R259" i="1"/>
  <c r="R261" i="1"/>
  <c r="O181" i="1"/>
  <c r="R218" i="1"/>
  <c r="R216" i="1" s="1"/>
  <c r="AR259" i="1"/>
  <c r="AW52" i="1"/>
  <c r="AV124" i="1"/>
  <c r="BS153" i="1"/>
  <c r="BT48" i="1"/>
  <c r="BR261" i="1"/>
  <c r="BR259" i="1"/>
  <c r="AP48" i="1"/>
  <c r="AO153" i="1"/>
  <c r="AN109" i="1"/>
  <c r="AN111" i="1"/>
  <c r="BR180" i="1"/>
  <c r="BR181" i="1" s="1"/>
  <c r="BB124" i="1"/>
  <c r="BC52" i="1"/>
  <c r="AN180" i="1"/>
  <c r="AN181" i="1" s="1"/>
  <c r="BP180" i="1"/>
  <c r="BP181" i="1" s="1"/>
  <c r="BN124" i="1"/>
  <c r="BO52" i="1"/>
  <c r="AZ48" i="1"/>
  <c r="AY153" i="1"/>
  <c r="BN218" i="1"/>
  <c r="BN216" i="1" s="1"/>
  <c r="BN261" i="1"/>
  <c r="BN259" i="1"/>
  <c r="BN111" i="1"/>
  <c r="BN110" i="1"/>
  <c r="BN109" i="1"/>
  <c r="BP124" i="1"/>
  <c r="BQ52" i="1"/>
  <c r="BB180" i="1"/>
  <c r="BB181" i="1" s="1"/>
  <c r="BF180" i="1"/>
  <c r="BF181" i="1" s="1"/>
  <c r="BT180" i="1"/>
  <c r="BT181" i="1" s="1"/>
  <c r="BF261" i="1"/>
  <c r="BF259" i="1"/>
  <c r="AP261" i="1"/>
  <c r="AP259" i="1"/>
  <c r="BG52" i="1"/>
  <c r="BF124" i="1"/>
  <c r="BD48" i="1"/>
  <c r="BC153" i="1"/>
  <c r="BN180" i="1"/>
  <c r="BN181" i="1" s="1"/>
  <c r="AZ180" i="1"/>
  <c r="AZ181" i="1" s="1"/>
  <c r="AN259" i="1"/>
  <c r="AN218" i="1"/>
  <c r="AN216" i="1" s="1"/>
  <c r="BT261" i="1"/>
  <c r="BT259" i="1"/>
  <c r="AW153" i="1"/>
  <c r="AX48" i="1"/>
  <c r="BS52" i="1"/>
  <c r="BR124" i="1"/>
  <c r="BA153" i="1"/>
  <c r="BB48" i="1"/>
  <c r="AZ259" i="1"/>
  <c r="AZ261" i="1"/>
  <c r="BR48" i="1"/>
  <c r="BQ153" i="1"/>
  <c r="AN196" i="1"/>
  <c r="AN201" i="1"/>
  <c r="BB261" i="1"/>
  <c r="BB259" i="1"/>
  <c r="BG153" i="1"/>
  <c r="BH48" i="1"/>
  <c r="AV259" i="1"/>
  <c r="AV261" i="1"/>
  <c r="BE153" i="1"/>
  <c r="BF48" i="1"/>
  <c r="BD259" i="1"/>
  <c r="BD261" i="1"/>
  <c r="AX261" i="1"/>
  <c r="AX259" i="1"/>
  <c r="AU52" i="1"/>
  <c r="AT124" i="1"/>
  <c r="AP180" i="1"/>
  <c r="AP181" i="1" s="1"/>
  <c r="BD180" i="1"/>
  <c r="BD181" i="1" s="1"/>
  <c r="AR109" i="1"/>
  <c r="AR111" i="1"/>
  <c r="AR110" i="1"/>
  <c r="AX111" i="1"/>
  <c r="AX110" i="1"/>
  <c r="AX109" i="1"/>
  <c r="BV48" i="1"/>
  <c r="BU153" i="1"/>
  <c r="AQ153" i="1"/>
  <c r="AR48" i="1"/>
  <c r="AT201" i="1"/>
  <c r="AT196" i="1"/>
  <c r="AO52" i="1"/>
  <c r="AN124" i="1"/>
  <c r="AR201" i="1"/>
  <c r="AR199" i="1"/>
  <c r="AV48" i="1"/>
  <c r="AU153" i="1"/>
  <c r="BD110" i="1"/>
  <c r="BD109" i="1"/>
  <c r="BD111" i="1"/>
  <c r="BU52" i="1"/>
  <c r="BT124" i="1"/>
  <c r="BE52" i="1"/>
  <c r="BD124" i="1"/>
  <c r="AV111" i="1"/>
  <c r="AV109" i="1"/>
  <c r="AV110" i="1"/>
  <c r="AV180" i="1"/>
  <c r="AV181" i="1" s="1"/>
  <c r="AX180" i="1"/>
  <c r="AX181" i="1" s="1"/>
  <c r="BP48" i="1"/>
  <c r="BO153" i="1"/>
  <c r="BP261" i="1"/>
  <c r="BP259" i="1"/>
  <c r="AY52" i="1"/>
  <c r="AX124" i="1"/>
  <c r="AT180" i="1"/>
  <c r="AT181" i="1" s="1"/>
  <c r="AT261" i="1"/>
  <c r="AT259" i="1"/>
  <c r="AP124" i="1"/>
  <c r="AQ52" i="1"/>
  <c r="AZ124" i="1"/>
  <c r="BA52" i="1"/>
  <c r="AZ110" i="1"/>
  <c r="AZ111" i="1"/>
  <c r="AZ109" i="1"/>
  <c r="AP201" i="1"/>
  <c r="AP204" i="1" s="1"/>
  <c r="AP199" i="1"/>
  <c r="AX196" i="1"/>
  <c r="AX201" i="1"/>
  <c r="BF196" i="1"/>
  <c r="BF201" i="1"/>
  <c r="BJ204" i="1" s="1"/>
  <c r="BT111" i="1"/>
  <c r="BT110" i="1"/>
  <c r="BT109" i="1"/>
  <c r="BF110" i="1"/>
  <c r="BF111" i="1"/>
  <c r="BF109" i="1"/>
  <c r="AV196" i="1"/>
  <c r="BR196" i="1"/>
  <c r="BN196" i="1"/>
  <c r="BN201" i="1"/>
  <c r="BB201" i="1"/>
  <c r="BB196" i="1"/>
  <c r="BD196" i="1"/>
  <c r="BD201" i="1"/>
  <c r="BT201" i="1"/>
  <c r="BT196" i="1"/>
  <c r="BX218" i="1"/>
  <c r="BX216" i="1" s="1"/>
  <c r="BW218" i="1"/>
  <c r="BW216" i="1" s="1"/>
  <c r="AZ201" i="1"/>
  <c r="AZ204" i="1" s="1"/>
  <c r="AZ196" i="1"/>
  <c r="AT45" i="1"/>
  <c r="AQ46" i="1"/>
  <c r="BX241" i="1"/>
  <c r="BK46" i="1"/>
  <c r="AP44" i="1"/>
  <c r="AP45" i="1"/>
  <c r="AP247" i="1"/>
  <c r="AP248" i="1" s="1"/>
  <c r="AP49" i="1"/>
  <c r="AP53" i="1" s="1"/>
  <c r="BV265" i="1"/>
  <c r="BV266" i="1" s="1"/>
  <c r="BV46" i="1"/>
  <c r="BM127" i="1"/>
  <c r="BM241" i="1"/>
  <c r="BU45" i="1"/>
  <c r="BU44" i="1"/>
  <c r="BU247" i="1"/>
  <c r="BU248" i="1" s="1"/>
  <c r="BY45" i="1"/>
  <c r="BU49" i="1"/>
  <c r="BU53" i="1" s="1"/>
  <c r="AS218" i="1"/>
  <c r="AS216" i="1" s="1"/>
  <c r="AT218" i="1"/>
  <c r="AT216" i="1" s="1"/>
  <c r="AS241" i="1"/>
  <c r="AS127" i="1"/>
  <c r="BP45" i="1"/>
  <c r="BM49" i="1"/>
  <c r="BM53" i="1" s="1"/>
  <c r="BM44" i="1"/>
  <c r="BQ45" i="1"/>
  <c r="BM46" i="1"/>
  <c r="BM247" i="1"/>
  <c r="BM248" i="1" s="1"/>
  <c r="BM265" i="1"/>
  <c r="BM266" i="1" s="1"/>
  <c r="O75" i="1"/>
  <c r="AU241" i="1"/>
  <c r="AU127" i="1"/>
  <c r="BT241" i="1"/>
  <c r="BR46" i="1"/>
  <c r="BT127" i="1"/>
  <c r="AP241" i="1"/>
  <c r="AP127" i="1"/>
  <c r="BD241" i="1"/>
  <c r="BG46" i="1"/>
  <c r="AO241" i="1"/>
  <c r="AN46" i="1"/>
  <c r="AN241" i="1"/>
  <c r="AO127" i="1"/>
  <c r="AN127" i="1"/>
  <c r="AN45" i="1"/>
  <c r="BP241" i="1"/>
  <c r="BO241" i="1"/>
  <c r="BN46" i="1"/>
  <c r="BN45" i="1"/>
  <c r="BP127" i="1"/>
  <c r="BO127" i="1"/>
  <c r="BD127" i="1"/>
  <c r="BB46" i="1"/>
  <c r="AQ45" i="1"/>
  <c r="AO45" i="1"/>
  <c r="AV45" i="1"/>
  <c r="CR149" i="1"/>
  <c r="AE157" i="1"/>
  <c r="AC139" i="1"/>
  <c r="K181" i="1" l="1"/>
  <c r="H181" i="1"/>
  <c r="BB127" i="1"/>
  <c r="S181" i="1"/>
  <c r="E181" i="1"/>
  <c r="T228" i="1"/>
  <c r="BV181" i="1"/>
  <c r="P225" i="1"/>
  <c r="P226" i="1" s="1"/>
  <c r="BH181" i="1"/>
  <c r="S228" i="1"/>
  <c r="P228" i="1"/>
  <c r="B259" i="1"/>
  <c r="B181" i="1"/>
  <c r="S225" i="1"/>
  <c r="S226" i="1" s="1"/>
  <c r="P204" i="1"/>
  <c r="P205" i="1" s="1"/>
  <c r="L204" i="1"/>
  <c r="L205" i="1" s="1"/>
  <c r="S204" i="1"/>
  <c r="S205" i="1" s="1"/>
  <c r="R204" i="1"/>
  <c r="R205" i="1" s="1"/>
  <c r="O204" i="1"/>
  <c r="O205" i="1" s="1"/>
  <c r="O228" i="1"/>
  <c r="B102" i="1"/>
  <c r="C85" i="1"/>
  <c r="B100" i="1"/>
  <c r="B101" i="1"/>
  <c r="C204" i="1"/>
  <c r="C205" i="1" s="1"/>
  <c r="C181" i="1"/>
  <c r="U228" i="1"/>
  <c r="E225" i="1"/>
  <c r="E226" i="1" s="1"/>
  <c r="C259" i="1"/>
  <c r="M228" i="1"/>
  <c r="H204" i="1"/>
  <c r="H205" i="1" s="1"/>
  <c r="U225" i="1"/>
  <c r="U226" i="1" s="1"/>
  <c r="T225" i="1"/>
  <c r="T226" i="1" s="1"/>
  <c r="K228" i="1"/>
  <c r="K225" i="1"/>
  <c r="K226" i="1" s="1"/>
  <c r="V204" i="1"/>
  <c r="V205" i="1" s="1"/>
  <c r="D225" i="1"/>
  <c r="D226" i="1" s="1"/>
  <c r="D228" i="1"/>
  <c r="Q228" i="1"/>
  <c r="H225" i="1"/>
  <c r="H226" i="1" s="1"/>
  <c r="J228" i="1"/>
  <c r="Q225" i="1"/>
  <c r="Q226" i="1" s="1"/>
  <c r="I228" i="1"/>
  <c r="D259" i="1"/>
  <c r="D181" i="1"/>
  <c r="J225" i="1"/>
  <c r="J226" i="1" s="1"/>
  <c r="H228" i="1"/>
  <c r="I225" i="1"/>
  <c r="I226" i="1" s="1"/>
  <c r="N228" i="1"/>
  <c r="N225" i="1"/>
  <c r="N226" i="1" s="1"/>
  <c r="M225" i="1"/>
  <c r="M226" i="1" s="1"/>
  <c r="I204" i="1"/>
  <c r="I205" i="1" s="1"/>
  <c r="G225" i="1"/>
  <c r="G226" i="1" s="1"/>
  <c r="G228" i="1"/>
  <c r="F228" i="1"/>
  <c r="F225" i="1"/>
  <c r="F226" i="1" s="1"/>
  <c r="E228" i="1"/>
  <c r="C225" i="1"/>
  <c r="C226" i="1" s="1"/>
  <c r="C228" i="1"/>
  <c r="V225" i="1"/>
  <c r="V226" i="1" s="1"/>
  <c r="V228" i="1"/>
  <c r="J204" i="1"/>
  <c r="J205" i="1" s="1"/>
  <c r="Q204" i="1"/>
  <c r="Q205" i="1" s="1"/>
  <c r="D100" i="1"/>
  <c r="D101" i="1"/>
  <c r="D102" i="1"/>
  <c r="C104" i="1"/>
  <c r="T204" i="1"/>
  <c r="T205" i="1" s="1"/>
  <c r="K204" i="1"/>
  <c r="K205" i="1" s="1"/>
  <c r="U204" i="1"/>
  <c r="U205" i="1" s="1"/>
  <c r="BA241" i="1"/>
  <c r="BL127" i="1"/>
  <c r="AQ265" i="1"/>
  <c r="AQ266" i="1" s="1"/>
  <c r="BS241" i="1"/>
  <c r="BO45" i="1"/>
  <c r="BK45" i="1"/>
  <c r="BK44" i="1"/>
  <c r="BL46" i="1"/>
  <c r="BK247" i="1"/>
  <c r="BK248" i="1" s="1"/>
  <c r="BK49" i="1"/>
  <c r="BK53" i="1" s="1"/>
  <c r="BK265" i="1"/>
  <c r="BK266" i="1" s="1"/>
  <c r="BL265" i="1"/>
  <c r="BL266" i="1" s="1"/>
  <c r="AM109" i="1"/>
  <c r="AM110" i="1"/>
  <c r="AM111" i="1"/>
  <c r="AY44" i="1"/>
  <c r="AY247" i="1"/>
  <c r="AY248" i="1" s="1"/>
  <c r="AY49" i="1"/>
  <c r="AY53" i="1" s="1"/>
  <c r="AZ265" i="1"/>
  <c r="AZ266" i="1" s="1"/>
  <c r="AZ46" i="1"/>
  <c r="BK127" i="1"/>
  <c r="U75" i="1"/>
  <c r="AS247" i="1"/>
  <c r="AS248" i="1" s="1"/>
  <c r="AS49" i="1"/>
  <c r="AS53" i="1" s="1"/>
  <c r="AW45" i="1"/>
  <c r="AT46" i="1"/>
  <c r="AS265" i="1"/>
  <c r="AS266" i="1" s="1"/>
  <c r="AS44" i="1"/>
  <c r="AT265" i="1"/>
  <c r="AT266" i="1" s="1"/>
  <c r="BI247" i="1"/>
  <c r="BI248" i="1" s="1"/>
  <c r="BI49" i="1"/>
  <c r="BI44" i="1"/>
  <c r="BL241" i="1"/>
  <c r="BJ46" i="1"/>
  <c r="BJ265" i="1"/>
  <c r="BJ266" i="1" s="1"/>
  <c r="BQ46" i="1"/>
  <c r="BP44" i="1"/>
  <c r="BP247" i="1"/>
  <c r="BP248" i="1" s="1"/>
  <c r="BP49" i="1"/>
  <c r="BP53" i="1" s="1"/>
  <c r="BQ265" i="1"/>
  <c r="BQ266" i="1" s="1"/>
  <c r="BM45" i="1"/>
  <c r="BD265" i="1"/>
  <c r="BD266" i="1" s="1"/>
  <c r="AP46" i="1"/>
  <c r="BD49" i="1"/>
  <c r="BD53" i="1" s="1"/>
  <c r="BD44" i="1"/>
  <c r="BD247" i="1"/>
  <c r="BD248" i="1" s="1"/>
  <c r="BF56" i="1"/>
  <c r="BF55" i="1"/>
  <c r="BO44" i="1"/>
  <c r="BO49" i="1"/>
  <c r="BO53" i="1" s="1"/>
  <c r="BO247" i="1"/>
  <c r="BO248" i="1" s="1"/>
  <c r="BP46" i="1"/>
  <c r="BP265" i="1"/>
  <c r="BP266" i="1" s="1"/>
  <c r="AX241" i="1"/>
  <c r="BT265" i="1"/>
  <c r="BT266" i="1" s="1"/>
  <c r="BC46" i="1"/>
  <c r="AJ46" i="1"/>
  <c r="AL127" i="1"/>
  <c r="AI44" i="1"/>
  <c r="AM45" i="1"/>
  <c r="AI49" i="1"/>
  <c r="N75" i="1"/>
  <c r="AL241" i="1"/>
  <c r="AI247" i="1"/>
  <c r="AI248" i="1" s="1"/>
  <c r="AW241" i="1"/>
  <c r="AW127" i="1"/>
  <c r="AU46" i="1"/>
  <c r="AU265" i="1"/>
  <c r="AU266" i="1" s="1"/>
  <c r="AV241" i="1"/>
  <c r="AU247" i="1"/>
  <c r="AU248" i="1" s="1"/>
  <c r="AU44" i="1"/>
  <c r="AU49" i="1"/>
  <c r="AU53" i="1" s="1"/>
  <c r="AY45" i="1"/>
  <c r="AV46" i="1"/>
  <c r="AV265" i="1"/>
  <c r="AV266" i="1" s="1"/>
  <c r="AU45" i="1"/>
  <c r="BS45" i="1"/>
  <c r="BS49" i="1"/>
  <c r="BS53" i="1" s="1"/>
  <c r="BS44" i="1"/>
  <c r="BS247" i="1"/>
  <c r="BS248" i="1" s="1"/>
  <c r="BS265" i="1"/>
  <c r="BS266" i="1" s="1"/>
  <c r="BD46" i="1"/>
  <c r="BG45" i="1"/>
  <c r="BF127" i="1"/>
  <c r="BC49" i="1"/>
  <c r="BC44" i="1"/>
  <c r="BC247" i="1"/>
  <c r="BC248" i="1" s="1"/>
  <c r="BF241" i="1"/>
  <c r="BC45" i="1"/>
  <c r="BV45" i="1"/>
  <c r="BS127" i="1"/>
  <c r="AQ241" i="1"/>
  <c r="BV241" i="1"/>
  <c r="BR265" i="1"/>
  <c r="BR266" i="1" s="1"/>
  <c r="BR44" i="1"/>
  <c r="BS46" i="1"/>
  <c r="V75" i="1"/>
  <c r="BR241" i="1"/>
  <c r="BR247" i="1"/>
  <c r="BR248" i="1" s="1"/>
  <c r="BR127" i="1"/>
  <c r="BR49" i="1"/>
  <c r="BN127" i="1"/>
  <c r="BN241" i="1"/>
  <c r="BA127" i="1"/>
  <c r="AX127" i="1"/>
  <c r="AY127" i="1"/>
  <c r="AY241" i="1"/>
  <c r="AY46" i="1"/>
  <c r="AY265" i="1"/>
  <c r="AY266" i="1" s="1"/>
  <c r="AZ127" i="1"/>
  <c r="BV127" i="1"/>
  <c r="AQ127" i="1"/>
  <c r="BT46" i="1"/>
  <c r="AR241" i="1"/>
  <c r="AP265" i="1"/>
  <c r="AP266" i="1" s="1"/>
  <c r="BK241" i="1"/>
  <c r="AV127" i="1"/>
  <c r="Q75" i="1"/>
  <c r="BC127" i="1"/>
  <c r="BC241" i="1"/>
  <c r="BB241" i="1"/>
  <c r="R75" i="1"/>
  <c r="AV49" i="1"/>
  <c r="AZ45" i="1"/>
  <c r="AV44" i="1"/>
  <c r="AV247" i="1"/>
  <c r="AV248" i="1" s="1"/>
  <c r="AW265" i="1"/>
  <c r="AW266" i="1" s="1"/>
  <c r="BG44" i="1"/>
  <c r="BG265" i="1"/>
  <c r="BG266" i="1" s="1"/>
  <c r="BG49" i="1"/>
  <c r="BG247" i="1"/>
  <c r="BG248" i="1" s="1"/>
  <c r="BH46" i="1"/>
  <c r="BL45" i="1"/>
  <c r="BH44" i="1"/>
  <c r="BH49" i="1"/>
  <c r="BH53" i="1" s="1"/>
  <c r="BH247" i="1"/>
  <c r="BH248" i="1" s="1"/>
  <c r="BH265" i="1"/>
  <c r="BH266" i="1" s="1"/>
  <c r="BH45" i="1"/>
  <c r="AN265" i="1"/>
  <c r="AN266" i="1" s="1"/>
  <c r="AN49" i="1"/>
  <c r="AN44" i="1"/>
  <c r="AN247" i="1"/>
  <c r="AN248" i="1" s="1"/>
  <c r="AR45" i="1"/>
  <c r="AO46" i="1"/>
  <c r="BN49" i="1"/>
  <c r="BR45" i="1"/>
  <c r="BQ127" i="1"/>
  <c r="BN44" i="1"/>
  <c r="BO46" i="1"/>
  <c r="BN247" i="1"/>
  <c r="BN248" i="1" s="1"/>
  <c r="BO265" i="1"/>
  <c r="BO266" i="1" s="1"/>
  <c r="BN265" i="1"/>
  <c r="BN266" i="1" s="1"/>
  <c r="BQ241" i="1"/>
  <c r="AX247" i="1"/>
  <c r="AX248" i="1" s="1"/>
  <c r="BB45" i="1"/>
  <c r="AX49" i="1"/>
  <c r="AX44" i="1"/>
  <c r="BB49" i="1"/>
  <c r="BF45" i="1"/>
  <c r="BB247" i="1"/>
  <c r="BB248" i="1" s="1"/>
  <c r="BB44" i="1"/>
  <c r="BB265" i="1"/>
  <c r="BB266" i="1" s="1"/>
  <c r="BC265" i="1"/>
  <c r="BC266" i="1" s="1"/>
  <c r="AQ44" i="1"/>
  <c r="AQ247" i="1"/>
  <c r="AQ248" i="1" s="1"/>
  <c r="AQ49" i="1"/>
  <c r="AR46" i="1"/>
  <c r="AR265" i="1"/>
  <c r="AR266" i="1" s="1"/>
  <c r="AO247" i="1"/>
  <c r="AO248" i="1" s="1"/>
  <c r="AO49" i="1"/>
  <c r="AO53" i="1" s="1"/>
  <c r="AO55" i="1" s="1"/>
  <c r="AR127" i="1"/>
  <c r="AO265" i="1"/>
  <c r="AO266" i="1" s="1"/>
  <c r="AO44" i="1"/>
  <c r="AR56" i="1"/>
  <c r="AR55" i="1"/>
  <c r="BT49" i="1"/>
  <c r="BU265" i="1"/>
  <c r="BU266" i="1" s="1"/>
  <c r="BT44" i="1"/>
  <c r="BX45" i="1"/>
  <c r="BU46" i="1"/>
  <c r="BT247" i="1"/>
  <c r="BT248" i="1" s="1"/>
  <c r="BT45" i="1"/>
  <c r="BU127" i="1"/>
  <c r="BQ55" i="1"/>
  <c r="BQ56" i="1"/>
  <c r="BA56" i="1"/>
  <c r="BA55" i="1"/>
  <c r="O225" i="1"/>
  <c r="O226" i="1" s="1"/>
  <c r="L228" i="1"/>
  <c r="AW49" i="1"/>
  <c r="AW53" i="1" s="1"/>
  <c r="AW44" i="1"/>
  <c r="AW247" i="1"/>
  <c r="AW248" i="1" s="1"/>
  <c r="BA45" i="1"/>
  <c r="BA265" i="1"/>
  <c r="BA266" i="1" s="1"/>
  <c r="AZ49" i="1"/>
  <c r="AZ247" i="1"/>
  <c r="AZ248" i="1" s="1"/>
  <c r="AZ44" i="1"/>
  <c r="BA46" i="1"/>
  <c r="BD45" i="1"/>
  <c r="AT247" i="1"/>
  <c r="AT248" i="1" s="1"/>
  <c r="AT44" i="1"/>
  <c r="AT49" i="1"/>
  <c r="AW46" i="1"/>
  <c r="AX265" i="1"/>
  <c r="AX266" i="1" s="1"/>
  <c r="AZ241" i="1"/>
  <c r="AX46" i="1"/>
  <c r="F204" i="1"/>
  <c r="F205" i="1" s="1"/>
  <c r="G204" i="1"/>
  <c r="G205" i="1" s="1"/>
  <c r="T75" i="1"/>
  <c r="BJ127" i="1"/>
  <c r="BI241" i="1"/>
  <c r="BI127" i="1"/>
  <c r="BJ241" i="1"/>
  <c r="BI265" i="1"/>
  <c r="BI266" i="1" s="1"/>
  <c r="BI46" i="1"/>
  <c r="AS46" i="1"/>
  <c r="AT241" i="1"/>
  <c r="P75" i="1"/>
  <c r="AT127" i="1"/>
  <c r="AS45" i="1"/>
  <c r="BH241" i="1"/>
  <c r="BG127" i="1"/>
  <c r="BH127" i="1"/>
  <c r="BG241" i="1"/>
  <c r="BE241" i="1"/>
  <c r="BE127" i="1"/>
  <c r="M204" i="1"/>
  <c r="M205" i="1" s="1"/>
  <c r="N204" i="1"/>
  <c r="N205" i="1" s="1"/>
  <c r="BX127" i="1"/>
  <c r="BW45" i="1"/>
  <c r="BW46" i="1"/>
  <c r="BW241" i="1"/>
  <c r="BW247" i="1"/>
  <c r="BW248" i="1" s="1"/>
  <c r="BX46" i="1"/>
  <c r="X75" i="1"/>
  <c r="BW44" i="1"/>
  <c r="BZ127" i="1"/>
  <c r="BZ241" i="1"/>
  <c r="BW265" i="1"/>
  <c r="BW266" i="1" s="1"/>
  <c r="BW49" i="1"/>
  <c r="BY127" i="1"/>
  <c r="CA45" i="1"/>
  <c r="BX265" i="1"/>
  <c r="BX266" i="1" s="1"/>
  <c r="BY241" i="1"/>
  <c r="BW127" i="1"/>
  <c r="BJ57" i="1"/>
  <c r="BJ260" i="1" s="1"/>
  <c r="BJ63" i="1"/>
  <c r="BJ249" i="1"/>
  <c r="BV125" i="1"/>
  <c r="BV126" i="1"/>
  <c r="BV55" i="1"/>
  <c r="BV56" i="1"/>
  <c r="BJ218" i="1"/>
  <c r="BJ216" i="1" s="1"/>
  <c r="BI218" i="1"/>
  <c r="BI216" i="1" s="1"/>
  <c r="S75" i="1"/>
  <c r="BF265" i="1"/>
  <c r="BF266" i="1" s="1"/>
  <c r="BE45" i="1"/>
  <c r="BE46" i="1"/>
  <c r="BE265" i="1"/>
  <c r="BE266" i="1" s="1"/>
  <c r="BI45" i="1"/>
  <c r="BE247" i="1"/>
  <c r="BE248" i="1" s="1"/>
  <c r="BE44" i="1"/>
  <c r="BE49" i="1"/>
  <c r="BF46" i="1"/>
  <c r="BH125" i="1"/>
  <c r="BH126" i="1"/>
  <c r="D204" i="1"/>
  <c r="D205" i="1" s="1"/>
  <c r="E204" i="1"/>
  <c r="E205" i="1" s="1"/>
  <c r="R225" i="1"/>
  <c r="R226" i="1" s="1"/>
  <c r="R228" i="1"/>
  <c r="L225" i="1"/>
  <c r="L226" i="1" s="1"/>
  <c r="AV125" i="1"/>
  <c r="AV128" i="1" s="1"/>
  <c r="AV126" i="1"/>
  <c r="AV129" i="1" s="1"/>
  <c r="BT218" i="1"/>
  <c r="BT216" i="1" s="1"/>
  <c r="BS218" i="1"/>
  <c r="BS216" i="1" s="1"/>
  <c r="AP218" i="1"/>
  <c r="AP216" i="1" s="1"/>
  <c r="AO218" i="1"/>
  <c r="AO216" i="1" s="1"/>
  <c r="BB126" i="1"/>
  <c r="BB129" i="1" s="1"/>
  <c r="BB125" i="1"/>
  <c r="BB128" i="1" s="1"/>
  <c r="BN126" i="1"/>
  <c r="BN129" i="1" s="1"/>
  <c r="BN125" i="1"/>
  <c r="BN128" i="1" s="1"/>
  <c r="BP125" i="1"/>
  <c r="BP128" i="1" s="1"/>
  <c r="BP126" i="1"/>
  <c r="BP129" i="1" s="1"/>
  <c r="AY218" i="1"/>
  <c r="AY216" i="1" s="1"/>
  <c r="AZ218" i="1"/>
  <c r="AZ216" i="1" s="1"/>
  <c r="BF126" i="1"/>
  <c r="BF125" i="1"/>
  <c r="BC218" i="1"/>
  <c r="BC216" i="1" s="1"/>
  <c r="BD218" i="1"/>
  <c r="BD216" i="1" s="1"/>
  <c r="AX218" i="1"/>
  <c r="AX216" i="1" s="1"/>
  <c r="AW218" i="1"/>
  <c r="AW216" i="1" s="1"/>
  <c r="BB218" i="1"/>
  <c r="BB216" i="1" s="1"/>
  <c r="BA218" i="1"/>
  <c r="BA216" i="1" s="1"/>
  <c r="BR218" i="1"/>
  <c r="BR216" i="1" s="1"/>
  <c r="BQ218" i="1"/>
  <c r="BQ216" i="1" s="1"/>
  <c r="BH218" i="1"/>
  <c r="BH216" i="1" s="1"/>
  <c r="BG218" i="1"/>
  <c r="BG216" i="1" s="1"/>
  <c r="AR218" i="1"/>
  <c r="AR216" i="1" s="1"/>
  <c r="AQ218" i="1"/>
  <c r="AQ216" i="1" s="1"/>
  <c r="AR204" i="1"/>
  <c r="AV204" i="1"/>
  <c r="BR125" i="1"/>
  <c r="BR128" i="1" s="1"/>
  <c r="BR126" i="1"/>
  <c r="BR129" i="1" s="1"/>
  <c r="BE218" i="1"/>
  <c r="BE216" i="1" s="1"/>
  <c r="BF218" i="1"/>
  <c r="BF216" i="1" s="1"/>
  <c r="AT126" i="1"/>
  <c r="AT125" i="1"/>
  <c r="AN126" i="1"/>
  <c r="AN129" i="1" s="1"/>
  <c r="AN125" i="1"/>
  <c r="AN128" i="1" s="1"/>
  <c r="AT204" i="1"/>
  <c r="AX204" i="1"/>
  <c r="BV218" i="1"/>
  <c r="BV216" i="1" s="1"/>
  <c r="BU218" i="1"/>
  <c r="BU216" i="1" s="1"/>
  <c r="AV218" i="1"/>
  <c r="AV216" i="1" s="1"/>
  <c r="AU218" i="1"/>
  <c r="AU216" i="1" s="1"/>
  <c r="BT126" i="1"/>
  <c r="BT129" i="1" s="1"/>
  <c r="BT125" i="1"/>
  <c r="BT128" i="1" s="1"/>
  <c r="BD126" i="1"/>
  <c r="BD129" i="1" s="1"/>
  <c r="BD125" i="1"/>
  <c r="BD128" i="1" s="1"/>
  <c r="BO218" i="1"/>
  <c r="BO216" i="1" s="1"/>
  <c r="BP218" i="1"/>
  <c r="BP216" i="1" s="1"/>
  <c r="AX125" i="1"/>
  <c r="AX126" i="1"/>
  <c r="AP125" i="1"/>
  <c r="AP128" i="1" s="1"/>
  <c r="AP126" i="1"/>
  <c r="AP129" i="1" s="1"/>
  <c r="AZ125" i="1"/>
  <c r="AZ126" i="1"/>
  <c r="BH204" i="1"/>
  <c r="BD204" i="1"/>
  <c r="BN204" i="1"/>
  <c r="BR204" i="1"/>
  <c r="BB204" i="1"/>
  <c r="BF204" i="1"/>
  <c r="BT204" i="1"/>
  <c r="BX204" i="1"/>
  <c r="AP55" i="1"/>
  <c r="AP56" i="1"/>
  <c r="AP58" i="1" s="1"/>
  <c r="BU56" i="1"/>
  <c r="BY58" i="1" s="1"/>
  <c r="BU55" i="1"/>
  <c r="BM55" i="1"/>
  <c r="BM56" i="1"/>
  <c r="BD70" i="1"/>
  <c r="BR53" i="1"/>
  <c r="AP70" i="1"/>
  <c r="BP70" i="1"/>
  <c r="AN70" i="1"/>
  <c r="AV53" i="1"/>
  <c r="BT70" i="1"/>
  <c r="BJ70" i="1"/>
  <c r="BG53" i="1"/>
  <c r="CR153" i="1"/>
  <c r="CS47" i="1"/>
  <c r="BV128" i="1" l="1"/>
  <c r="BV129" i="1"/>
  <c r="BF129" i="1"/>
  <c r="BF128" i="1"/>
  <c r="AX128" i="1"/>
  <c r="AX129" i="1"/>
  <c r="AZ128" i="1"/>
  <c r="AZ129" i="1"/>
  <c r="BL128" i="1"/>
  <c r="BL129" i="1"/>
  <c r="BK56" i="1"/>
  <c r="BK55" i="1"/>
  <c r="AY55" i="1"/>
  <c r="AY56" i="1"/>
  <c r="AS55" i="1"/>
  <c r="AS56" i="1"/>
  <c r="AS59" i="1" s="1"/>
  <c r="BP55" i="1"/>
  <c r="BP56" i="1"/>
  <c r="BQ59" i="1" s="1"/>
  <c r="BI53" i="1"/>
  <c r="BL70" i="1"/>
  <c r="BF249" i="1"/>
  <c r="BF57" i="1"/>
  <c r="BF260" i="1" s="1"/>
  <c r="BF63" i="1"/>
  <c r="BJ58" i="1"/>
  <c r="BV70" i="1"/>
  <c r="BD55" i="1"/>
  <c r="BD56" i="1"/>
  <c r="BO56" i="1"/>
  <c r="BO55" i="1"/>
  <c r="AL129" i="1"/>
  <c r="AL128" i="1"/>
  <c r="AI53" i="1"/>
  <c r="AL70" i="1"/>
  <c r="AU56" i="1"/>
  <c r="AU55" i="1"/>
  <c r="BC53" i="1"/>
  <c r="BF70" i="1"/>
  <c r="BR70" i="1"/>
  <c r="AR70" i="1"/>
  <c r="AO56" i="1"/>
  <c r="AR57" i="1"/>
  <c r="AR260" i="1" s="1"/>
  <c r="AR63" i="1"/>
  <c r="AR249" i="1"/>
  <c r="AX53" i="1"/>
  <c r="BN53" i="1"/>
  <c r="BH56" i="1"/>
  <c r="BH55" i="1"/>
  <c r="AQ53" i="1"/>
  <c r="BB53" i="1"/>
  <c r="AN53" i="1"/>
  <c r="AX70" i="1"/>
  <c r="BT53" i="1"/>
  <c r="BN70" i="1"/>
  <c r="BS55" i="1"/>
  <c r="BS56" i="1"/>
  <c r="BQ57" i="1"/>
  <c r="BQ260" i="1" s="1"/>
  <c r="BQ63" i="1"/>
  <c r="BQ249" i="1"/>
  <c r="BA249" i="1"/>
  <c r="BA57" i="1"/>
  <c r="BA260" i="1" s="1"/>
  <c r="BA63" i="1"/>
  <c r="AW56" i="1"/>
  <c r="AW55" i="1"/>
  <c r="BH128" i="1"/>
  <c r="BH129" i="1"/>
  <c r="AT129" i="1"/>
  <c r="AT128" i="1"/>
  <c r="AZ53" i="1"/>
  <c r="AZ70" i="1"/>
  <c r="BB70" i="1"/>
  <c r="AT53" i="1"/>
  <c r="AT70" i="1"/>
  <c r="AV70" i="1"/>
  <c r="BJ128" i="1"/>
  <c r="BJ129" i="1"/>
  <c r="BX128" i="1"/>
  <c r="BX129" i="1"/>
  <c r="BZ128" i="1"/>
  <c r="BZ129" i="1"/>
  <c r="BX70" i="1"/>
  <c r="BZ70" i="1"/>
  <c r="BW53" i="1"/>
  <c r="BY70" i="1"/>
  <c r="BJ67" i="1"/>
  <c r="BJ208" i="1"/>
  <c r="BJ210" i="1" s="1"/>
  <c r="BJ81" i="1"/>
  <c r="BV57" i="1"/>
  <c r="BV260" i="1" s="1"/>
  <c r="BV63" i="1"/>
  <c r="BV249" i="1"/>
  <c r="BZ58" i="1"/>
  <c r="BE53" i="1"/>
  <c r="BH70" i="1"/>
  <c r="AP249" i="1"/>
  <c r="AP63" i="1"/>
  <c r="AP57" i="1"/>
  <c r="AP260" i="1" s="1"/>
  <c r="BU57" i="1"/>
  <c r="BU260" i="1" s="1"/>
  <c r="BU249" i="1"/>
  <c r="BU63" i="1"/>
  <c r="BK59" i="1"/>
  <c r="BV59" i="1"/>
  <c r="BU58" i="1"/>
  <c r="BP58" i="1"/>
  <c r="BM63" i="1"/>
  <c r="BM59" i="1"/>
  <c r="BM249" i="1"/>
  <c r="BM242" i="1"/>
  <c r="BQ58" i="1"/>
  <c r="BM57" i="1"/>
  <c r="BM260" i="1" s="1"/>
  <c r="BR56" i="1"/>
  <c r="BR55" i="1"/>
  <c r="AO58" i="1"/>
  <c r="BT56" i="1"/>
  <c r="BT55" i="1"/>
  <c r="AV55" i="1"/>
  <c r="AV56" i="1"/>
  <c r="BG55" i="1"/>
  <c r="BG56" i="1"/>
  <c r="CS209" i="1"/>
  <c r="CS147" i="1"/>
  <c r="CR218" i="1"/>
  <c r="CR216" i="1" s="1"/>
  <c r="AC140" i="1"/>
  <c r="AC143" i="1" s="1"/>
  <c r="AC264" i="1" s="1"/>
  <c r="BL59" i="1" l="1"/>
  <c r="BK63" i="1"/>
  <c r="BK57" i="1"/>
  <c r="BK260" i="1" s="1"/>
  <c r="AY249" i="1"/>
  <c r="AY57" i="1"/>
  <c r="AY260" i="1" s="1"/>
  <c r="AY63" i="1"/>
  <c r="BF208" i="1"/>
  <c r="BF210" i="1" s="1"/>
  <c r="BF81" i="1"/>
  <c r="BS58" i="1"/>
  <c r="BD63" i="1"/>
  <c r="BD249" i="1"/>
  <c r="BD57" i="1"/>
  <c r="BD260" i="1" s="1"/>
  <c r="AP59" i="1"/>
  <c r="AO63" i="1"/>
  <c r="AO249" i="1"/>
  <c r="AS58" i="1"/>
  <c r="AO57" i="1"/>
  <c r="AO260" i="1" s="1"/>
  <c r="BN56" i="1"/>
  <c r="BN55" i="1"/>
  <c r="AQ56" i="1"/>
  <c r="AQ55" i="1"/>
  <c r="AR67" i="1"/>
  <c r="AR208" i="1"/>
  <c r="AR210" i="1" s="1"/>
  <c r="AR81" i="1"/>
  <c r="BK249" i="1"/>
  <c r="AS63" i="1"/>
  <c r="AS57" i="1"/>
  <c r="AS260" i="1" s="1"/>
  <c r="AS249" i="1"/>
  <c r="AW58" i="1"/>
  <c r="BP63" i="1"/>
  <c r="BP249" i="1"/>
  <c r="BP57" i="1"/>
  <c r="BP260" i="1" s="1"/>
  <c r="BI56" i="1"/>
  <c r="BI59" i="1" s="1"/>
  <c r="BI55" i="1"/>
  <c r="BF67" i="1"/>
  <c r="BC56" i="1"/>
  <c r="BC55" i="1"/>
  <c r="BO249" i="1"/>
  <c r="BO57" i="1"/>
  <c r="BO260" i="1" s="1"/>
  <c r="BO63" i="1"/>
  <c r="BP59" i="1"/>
  <c r="BO58" i="1"/>
  <c r="AI56" i="1"/>
  <c r="AI55" i="1"/>
  <c r="AU57" i="1"/>
  <c r="AU260" i="1" s="1"/>
  <c r="AU249" i="1"/>
  <c r="AY58" i="1"/>
  <c r="AU63" i="1"/>
  <c r="BH58" i="1"/>
  <c r="BW56" i="1"/>
  <c r="BW58" i="1" s="1"/>
  <c r="BW55" i="1"/>
  <c r="AN56" i="1"/>
  <c r="AN55" i="1"/>
  <c r="BH63" i="1"/>
  <c r="BL58" i="1"/>
  <c r="BH249" i="1"/>
  <c r="BH57" i="1"/>
  <c r="BH260" i="1" s="1"/>
  <c r="AX56" i="1"/>
  <c r="AX55" i="1"/>
  <c r="BV67" i="1"/>
  <c r="BB56" i="1"/>
  <c r="BB55" i="1"/>
  <c r="BS249" i="1"/>
  <c r="BS57" i="1"/>
  <c r="BS260" i="1" s="1"/>
  <c r="BS63" i="1"/>
  <c r="BQ208" i="1"/>
  <c r="BQ210" i="1" s="1"/>
  <c r="BQ134" i="1"/>
  <c r="BQ135" i="1" s="1"/>
  <c r="BQ81" i="1"/>
  <c r="BQ67" i="1"/>
  <c r="BA67" i="1"/>
  <c r="BA208" i="1"/>
  <c r="BA210" i="1" s="1"/>
  <c r="BA81" i="1"/>
  <c r="BA134" i="1"/>
  <c r="BA135" i="1" s="1"/>
  <c r="BA58" i="1"/>
  <c r="AW249" i="1"/>
  <c r="AW63" i="1"/>
  <c r="AW57" i="1"/>
  <c r="AW260" i="1" s="1"/>
  <c r="AZ56" i="1"/>
  <c r="AZ55" i="1"/>
  <c r="AT56" i="1"/>
  <c r="AT55" i="1"/>
  <c r="BE55" i="1"/>
  <c r="BE56" i="1"/>
  <c r="BV208" i="1"/>
  <c r="BV210" i="1" s="1"/>
  <c r="BV81" i="1"/>
  <c r="AP208" i="1"/>
  <c r="AP210" i="1" s="1"/>
  <c r="AP81" i="1"/>
  <c r="AP67" i="1"/>
  <c r="BU134" i="1"/>
  <c r="BU135" i="1" s="1"/>
  <c r="BU67" i="1"/>
  <c r="BU208" i="1"/>
  <c r="BU210" i="1" s="1"/>
  <c r="BU81" i="1"/>
  <c r="BS59" i="1"/>
  <c r="BS242" i="1"/>
  <c r="BK242" i="1"/>
  <c r="BM81" i="1"/>
  <c r="BM67" i="1"/>
  <c r="BM134" i="1"/>
  <c r="BM135" i="1" s="1"/>
  <c r="BM208" i="1"/>
  <c r="BM210" i="1" s="1"/>
  <c r="BD59" i="1"/>
  <c r="BC58" i="1"/>
  <c r="BC63" i="1"/>
  <c r="BC249" i="1"/>
  <c r="BC57" i="1"/>
  <c r="BC260" i="1" s="1"/>
  <c r="BO67" i="1"/>
  <c r="BO81" i="1"/>
  <c r="BO208" i="1"/>
  <c r="BO210" i="1" s="1"/>
  <c r="BO134" i="1"/>
  <c r="BO135" i="1" s="1"/>
  <c r="AI57" i="1"/>
  <c r="AI249" i="1"/>
  <c r="AJ59" i="1"/>
  <c r="BR57" i="1"/>
  <c r="BR260" i="1" s="1"/>
  <c r="BR249" i="1"/>
  <c r="BR63" i="1"/>
  <c r="BV58" i="1"/>
  <c r="BR59" i="1"/>
  <c r="BR242" i="1"/>
  <c r="AN242" i="1"/>
  <c r="AN58" i="1"/>
  <c r="AP242" i="1"/>
  <c r="AO242" i="1"/>
  <c r="AN59" i="1"/>
  <c r="BX58" i="1"/>
  <c r="BT57" i="1"/>
  <c r="BT260" i="1" s="1"/>
  <c r="BT249" i="1"/>
  <c r="BT63" i="1"/>
  <c r="BU59" i="1"/>
  <c r="BT58" i="1"/>
  <c r="BW242" i="1"/>
  <c r="BV242" i="1"/>
  <c r="AV57" i="1"/>
  <c r="AV260" i="1" s="1"/>
  <c r="AV249" i="1"/>
  <c r="AV63" i="1"/>
  <c r="AY242" i="1"/>
  <c r="AW59" i="1"/>
  <c r="AV58" i="1"/>
  <c r="AV59" i="1"/>
  <c r="AX242" i="1"/>
  <c r="AQ58" i="1"/>
  <c r="AQ59" i="1"/>
  <c r="AS242" i="1"/>
  <c r="AR242" i="1"/>
  <c r="BN58" i="1"/>
  <c r="BN242" i="1"/>
  <c r="BN59" i="1"/>
  <c r="BO242" i="1"/>
  <c r="BP242" i="1"/>
  <c r="BD242" i="1"/>
  <c r="BB59" i="1"/>
  <c r="AX59" i="1"/>
  <c r="BT242" i="1"/>
  <c r="BT59" i="1"/>
  <c r="BK58" i="1"/>
  <c r="BG63" i="1"/>
  <c r="BG58" i="1"/>
  <c r="BG57" i="1"/>
  <c r="BG260" i="1" s="1"/>
  <c r="BH59" i="1"/>
  <c r="BG249" i="1"/>
  <c r="BJ242" i="1"/>
  <c r="BG59" i="1"/>
  <c r="BI242" i="1"/>
  <c r="BX242" i="1"/>
  <c r="BW59" i="1"/>
  <c r="X76" i="1"/>
  <c r="BY242" i="1"/>
  <c r="CA58" i="1"/>
  <c r="BW57" i="1"/>
  <c r="BW260" i="1" s="1"/>
  <c r="BZ242" i="1"/>
  <c r="CS149" i="1"/>
  <c r="AC221" i="1"/>
  <c r="CA241" i="1"/>
  <c r="CB241" i="1"/>
  <c r="BU241" i="1"/>
  <c r="BK67" i="1" l="1"/>
  <c r="BK208" i="1"/>
  <c r="BK210" i="1" s="1"/>
  <c r="BK134" i="1"/>
  <c r="BK135" i="1" s="1"/>
  <c r="BK81" i="1"/>
  <c r="AY208" i="1"/>
  <c r="AY210" i="1" s="1"/>
  <c r="AY81" i="1"/>
  <c r="AY134" i="1"/>
  <c r="AY135" i="1" s="1"/>
  <c r="AY67" i="1"/>
  <c r="AS67" i="1"/>
  <c r="AS134" i="1"/>
  <c r="AS135" i="1" s="1"/>
  <c r="AS208" i="1"/>
  <c r="AS210" i="1" s="1"/>
  <c r="AS81" i="1"/>
  <c r="BP67" i="1"/>
  <c r="BP208" i="1"/>
  <c r="BP210" i="1" s="1"/>
  <c r="BP81" i="1"/>
  <c r="BM58" i="1"/>
  <c r="BL242" i="1"/>
  <c r="BI63" i="1"/>
  <c r="BI249" i="1"/>
  <c r="BJ59" i="1"/>
  <c r="BI57" i="1"/>
  <c r="BI260" i="1" s="1"/>
  <c r="BD67" i="1"/>
  <c r="BD208" i="1"/>
  <c r="BD210" i="1" s="1"/>
  <c r="BD81" i="1"/>
  <c r="AO208" i="1"/>
  <c r="AO210" i="1" s="1"/>
  <c r="AO81" i="1"/>
  <c r="AO134" i="1"/>
  <c r="AO135" i="1" s="1"/>
  <c r="AO67" i="1"/>
  <c r="AR58" i="1"/>
  <c r="AN63" i="1"/>
  <c r="AN249" i="1"/>
  <c r="AR59" i="1"/>
  <c r="AQ249" i="1"/>
  <c r="AQ63" i="1"/>
  <c r="AQ57" i="1"/>
  <c r="AQ260" i="1" s="1"/>
  <c r="AU58" i="1"/>
  <c r="BN249" i="1"/>
  <c r="BR58" i="1"/>
  <c r="BN63" i="1"/>
  <c r="BN57" i="1"/>
  <c r="BN260" i="1" s="1"/>
  <c r="BO59" i="1"/>
  <c r="BQ242" i="1"/>
  <c r="AM58" i="1"/>
  <c r="AI63" i="1"/>
  <c r="AL242" i="1"/>
  <c r="AU67" i="1"/>
  <c r="AU81" i="1"/>
  <c r="AU208" i="1"/>
  <c r="AU210" i="1" s="1"/>
  <c r="AU134" i="1"/>
  <c r="AU135" i="1" s="1"/>
  <c r="BR222" i="1"/>
  <c r="BR220" i="1" s="1"/>
  <c r="AN57" i="1"/>
  <c r="AN260" i="1" s="1"/>
  <c r="AQ242" i="1"/>
  <c r="AO59" i="1"/>
  <c r="BQ69" i="1"/>
  <c r="BB57" i="1"/>
  <c r="BB260" i="1" s="1"/>
  <c r="BF58" i="1"/>
  <c r="BB249" i="1"/>
  <c r="BB63" i="1"/>
  <c r="BB222" i="1" s="1"/>
  <c r="BB220" i="1" s="1"/>
  <c r="BC59" i="1"/>
  <c r="BB58" i="1"/>
  <c r="AX63" i="1"/>
  <c r="AX249" i="1"/>
  <c r="AX57" i="1"/>
  <c r="AX260" i="1" s="1"/>
  <c r="AY59" i="1"/>
  <c r="BS208" i="1"/>
  <c r="BS210" i="1" s="1"/>
  <c r="BS134" i="1"/>
  <c r="BS135" i="1" s="1"/>
  <c r="BQ144" i="1"/>
  <c r="BQ70" i="1" s="1"/>
  <c r="BA222" i="1"/>
  <c r="BA220" i="1" s="1"/>
  <c r="BA107" i="1"/>
  <c r="BH67" i="1"/>
  <c r="BH81" i="1"/>
  <c r="BH208" i="1"/>
  <c r="BH210" i="1" s="1"/>
  <c r="BW249" i="1"/>
  <c r="BX59" i="1"/>
  <c r="BW63" i="1"/>
  <c r="BS67" i="1"/>
  <c r="BS81" i="1"/>
  <c r="BQ222" i="1"/>
  <c r="BQ220" i="1" s="1"/>
  <c r="BQ107" i="1"/>
  <c r="BA144" i="1"/>
  <c r="BA70" i="1" s="1"/>
  <c r="AW67" i="1"/>
  <c r="AW134" i="1"/>
  <c r="AW135" i="1" s="1"/>
  <c r="AW81" i="1"/>
  <c r="AW208" i="1"/>
  <c r="AW210" i="1" s="1"/>
  <c r="AZ59" i="1"/>
  <c r="BD58" i="1"/>
  <c r="BA59" i="1"/>
  <c r="AZ57" i="1"/>
  <c r="AZ260" i="1" s="1"/>
  <c r="AZ63" i="1"/>
  <c r="AZ249" i="1"/>
  <c r="AT59" i="1"/>
  <c r="AT58" i="1"/>
  <c r="AU59" i="1"/>
  <c r="AU242" i="1"/>
  <c r="AT63" i="1"/>
  <c r="AT57" i="1"/>
  <c r="AT260" i="1" s="1"/>
  <c r="AT249" i="1"/>
  <c r="BE58" i="1"/>
  <c r="BF59" i="1"/>
  <c r="BE63" i="1"/>
  <c r="BE57" i="1"/>
  <c r="BE260" i="1" s="1"/>
  <c r="BE59" i="1"/>
  <c r="BE249" i="1"/>
  <c r="AZ242" i="1"/>
  <c r="BA242" i="1"/>
  <c r="AZ58" i="1"/>
  <c r="BB242" i="1"/>
  <c r="BC242" i="1"/>
  <c r="AW242" i="1"/>
  <c r="AV242" i="1"/>
  <c r="AT242" i="1"/>
  <c r="AX58" i="1"/>
  <c r="BI58" i="1"/>
  <c r="BF242" i="1"/>
  <c r="BG242" i="1"/>
  <c r="BE242" i="1"/>
  <c r="BH242" i="1"/>
  <c r="BM84" i="1"/>
  <c r="BI104" i="1" s="1"/>
  <c r="BV222" i="1"/>
  <c r="BV220" i="1" s="1"/>
  <c r="BU222" i="1"/>
  <c r="BU220" i="1" s="1"/>
  <c r="BU107" i="1"/>
  <c r="BU144" i="1"/>
  <c r="BU70" i="1" s="1"/>
  <c r="BM69" i="1"/>
  <c r="BM222" i="1"/>
  <c r="BM220" i="1" s="1"/>
  <c r="BM144" i="1"/>
  <c r="BM70" i="1" s="1"/>
  <c r="BM107" i="1"/>
  <c r="S76" i="1"/>
  <c r="BF69" i="1"/>
  <c r="BC81" i="1"/>
  <c r="BC134" i="1"/>
  <c r="BC135" i="1" s="1"/>
  <c r="BC208" i="1"/>
  <c r="BC210" i="1" s="1"/>
  <c r="BC67" i="1"/>
  <c r="BO222" i="1"/>
  <c r="BO220" i="1" s="1"/>
  <c r="BO144" i="1"/>
  <c r="BO70" i="1" s="1"/>
  <c r="BP222" i="1"/>
  <c r="BP220" i="1" s="1"/>
  <c r="BO107" i="1"/>
  <c r="BT69" i="1"/>
  <c r="BR67" i="1"/>
  <c r="BR208" i="1"/>
  <c r="BR210" i="1" s="1"/>
  <c r="BR81" i="1"/>
  <c r="BR69" i="1"/>
  <c r="V76" i="1"/>
  <c r="BV69" i="1"/>
  <c r="BO69" i="1"/>
  <c r="BU69" i="1"/>
  <c r="BX69" i="1"/>
  <c r="BY69" i="1"/>
  <c r="BN69" i="1"/>
  <c r="U76" i="1"/>
  <c r="BP69" i="1"/>
  <c r="AV208" i="1"/>
  <c r="AV210" i="1" s="1"/>
  <c r="AV67" i="1"/>
  <c r="AV81" i="1"/>
  <c r="AV69" i="1"/>
  <c r="Q76" i="1"/>
  <c r="AX69" i="1"/>
  <c r="BT208" i="1"/>
  <c r="BT210" i="1" s="1"/>
  <c r="BT67" i="1"/>
  <c r="BT81" i="1"/>
  <c r="AZ69" i="1"/>
  <c r="BB69" i="1"/>
  <c r="R76" i="1"/>
  <c r="BD69" i="1"/>
  <c r="AR69" i="1"/>
  <c r="BG67" i="1"/>
  <c r="BG81" i="1"/>
  <c r="BG134" i="1"/>
  <c r="BG135" i="1" s="1"/>
  <c r="BJ69" i="1"/>
  <c r="BG208" i="1"/>
  <c r="BG210" i="1" s="1"/>
  <c r="T76" i="1"/>
  <c r="AP69" i="1"/>
  <c r="AN69" i="1"/>
  <c r="O76" i="1"/>
  <c r="CS153" i="1"/>
  <c r="CT47" i="1"/>
  <c r="AD139" i="1"/>
  <c r="W74" i="1"/>
  <c r="BK69" i="1" l="1"/>
  <c r="BK107" i="1"/>
  <c r="BL222" i="1"/>
  <c r="BL220" i="1" s="1"/>
  <c r="BK222" i="1"/>
  <c r="BK220" i="1" s="1"/>
  <c r="BK144" i="1"/>
  <c r="BK70" i="1" s="1"/>
  <c r="AY107" i="1"/>
  <c r="AY222" i="1"/>
  <c r="AY220" i="1" s="1"/>
  <c r="AY144" i="1"/>
  <c r="AY70" i="1" s="1"/>
  <c r="AS222" i="1"/>
  <c r="AS220" i="1" s="1"/>
  <c r="AS107" i="1"/>
  <c r="AS144" i="1"/>
  <c r="AS70" i="1" s="1"/>
  <c r="AO69" i="1"/>
  <c r="BL69" i="1"/>
  <c r="BI67" i="1"/>
  <c r="BI208" i="1"/>
  <c r="BI210" i="1" s="1"/>
  <c r="BI81" i="1"/>
  <c r="BI134" i="1"/>
  <c r="BI135" i="1" s="1"/>
  <c r="AX222" i="1"/>
  <c r="AX220" i="1" s="1"/>
  <c r="AI81" i="1"/>
  <c r="AL84" i="1" s="1"/>
  <c r="AI67" i="1"/>
  <c r="AL69" i="1"/>
  <c r="N76" i="1"/>
  <c r="AI222" i="1"/>
  <c r="AI220" i="1" s="1"/>
  <c r="AI208" i="1"/>
  <c r="AI210" i="1" s="1"/>
  <c r="AI214" i="1" s="1"/>
  <c r="AI228" i="1" s="1"/>
  <c r="AQ134" i="1"/>
  <c r="AQ135" i="1" s="1"/>
  <c r="AQ67" i="1"/>
  <c r="AS69" i="1"/>
  <c r="AT69" i="1"/>
  <c r="AN67" i="1"/>
  <c r="BT222" i="1"/>
  <c r="BT220" i="1" s="1"/>
  <c r="BS144" i="1"/>
  <c r="BS70" i="1" s="1"/>
  <c r="BS222" i="1"/>
  <c r="BS220" i="1" s="1"/>
  <c r="BQ109" i="1"/>
  <c r="BQ110" i="1"/>
  <c r="BA110" i="1"/>
  <c r="BA109" i="1"/>
  <c r="AU107" i="1"/>
  <c r="AU222" i="1"/>
  <c r="AU220" i="1" s="1"/>
  <c r="AU144" i="1"/>
  <c r="AU70" i="1" s="1"/>
  <c r="AU69" i="1"/>
  <c r="AP222" i="1"/>
  <c r="AP220" i="1" s="1"/>
  <c r="AO107" i="1"/>
  <c r="AO144" i="1"/>
  <c r="AO70" i="1" s="1"/>
  <c r="AO222" i="1"/>
  <c r="AO220" i="1" s="1"/>
  <c r="AV222" i="1"/>
  <c r="AV220" i="1" s="1"/>
  <c r="AY69" i="1"/>
  <c r="BN222" i="1"/>
  <c r="BN220" i="1" s="1"/>
  <c r="BN67" i="1"/>
  <c r="BN81" i="1"/>
  <c r="BN208" i="1"/>
  <c r="BN210" i="1" s="1"/>
  <c r="AX67" i="1"/>
  <c r="AX81" i="1"/>
  <c r="AX208" i="1"/>
  <c r="AX210" i="1" s="1"/>
  <c r="BB81" i="1"/>
  <c r="BB67" i="1"/>
  <c r="BB208" i="1"/>
  <c r="BB210" i="1" s="1"/>
  <c r="AQ208" i="1"/>
  <c r="AQ210" i="1" s="1"/>
  <c r="AQ81" i="1"/>
  <c r="P76" i="1"/>
  <c r="AN81" i="1"/>
  <c r="AN208" i="1"/>
  <c r="AN210" i="1" s="1"/>
  <c r="AN222" i="1"/>
  <c r="AN220" i="1" s="1"/>
  <c r="BS107" i="1"/>
  <c r="BS69" i="1"/>
  <c r="BQ111" i="1"/>
  <c r="BA111" i="1"/>
  <c r="AZ222" i="1"/>
  <c r="AZ220" i="1" s="1"/>
  <c r="AT222" i="1"/>
  <c r="AT220" i="1" s="1"/>
  <c r="BA69" i="1"/>
  <c r="AW69" i="1"/>
  <c r="BW134" i="1"/>
  <c r="BW135" i="1" s="1"/>
  <c r="BW208" i="1"/>
  <c r="BW210" i="1" s="1"/>
  <c r="BW67" i="1"/>
  <c r="BZ69" i="1"/>
  <c r="BW81" i="1"/>
  <c r="BV84" i="1"/>
  <c r="BR104" i="1" s="1"/>
  <c r="BH69" i="1"/>
  <c r="AW107" i="1"/>
  <c r="AW222" i="1"/>
  <c r="AW220" i="1" s="1"/>
  <c r="AW144" i="1"/>
  <c r="AW70" i="1" s="1"/>
  <c r="AZ208" i="1"/>
  <c r="AZ210" i="1" s="1"/>
  <c r="AZ81" i="1"/>
  <c r="AZ67" i="1"/>
  <c r="AT67" i="1"/>
  <c r="AT208" i="1"/>
  <c r="AT210" i="1" s="1"/>
  <c r="AT81" i="1"/>
  <c r="BE134" i="1"/>
  <c r="BE135" i="1" s="1"/>
  <c r="BE67" i="1"/>
  <c r="BE208" i="1"/>
  <c r="BE210" i="1" s="1"/>
  <c r="BE81" i="1"/>
  <c r="BM100" i="1"/>
  <c r="BM102" i="1"/>
  <c r="BM101" i="1"/>
  <c r="BU109" i="1"/>
  <c r="BU111" i="1"/>
  <c r="BU110" i="1"/>
  <c r="BK84" i="1"/>
  <c r="BR84" i="1"/>
  <c r="BR101" i="1" s="1"/>
  <c r="BT84" i="1"/>
  <c r="BS84" i="1"/>
  <c r="BM110" i="1"/>
  <c r="BM111" i="1"/>
  <c r="BM109" i="1"/>
  <c r="BU84" i="1"/>
  <c r="BU100" i="1" s="1"/>
  <c r="BC222" i="1"/>
  <c r="BC220" i="1" s="1"/>
  <c r="BC144" i="1"/>
  <c r="BC70" i="1" s="1"/>
  <c r="BC107" i="1"/>
  <c r="BC69" i="1"/>
  <c r="BD222" i="1"/>
  <c r="BD220" i="1" s="1"/>
  <c r="BO109" i="1"/>
  <c r="BO110" i="1"/>
  <c r="BO111" i="1"/>
  <c r="AY84" i="1"/>
  <c r="AY101" i="1" s="1"/>
  <c r="AX84" i="1"/>
  <c r="AR84" i="1"/>
  <c r="AS84" i="1"/>
  <c r="BO84" i="1"/>
  <c r="BN84" i="1"/>
  <c r="BP84" i="1"/>
  <c r="AN84" i="1"/>
  <c r="AP84" i="1"/>
  <c r="AO84" i="1"/>
  <c r="BJ84" i="1"/>
  <c r="BF104" i="1" s="1"/>
  <c r="BI84" i="1"/>
  <c r="BD84" i="1"/>
  <c r="BX84" i="1"/>
  <c r="BY84" i="1"/>
  <c r="BW84" i="1"/>
  <c r="BG222" i="1"/>
  <c r="BG220" i="1" s="1"/>
  <c r="BG144" i="1"/>
  <c r="BG70" i="1" s="1"/>
  <c r="BG107" i="1"/>
  <c r="BG69" i="1"/>
  <c r="BH222" i="1"/>
  <c r="BH220" i="1" s="1"/>
  <c r="AC47" i="1"/>
  <c r="CT209" i="1"/>
  <c r="CT147" i="1"/>
  <c r="CS218" i="1"/>
  <c r="CS216" i="1" s="1"/>
  <c r="W75" i="1"/>
  <c r="BK111" i="1" l="1"/>
  <c r="BK109" i="1"/>
  <c r="BK110" i="1"/>
  <c r="AY109" i="1"/>
  <c r="AY110" i="1"/>
  <c r="AY111" i="1"/>
  <c r="BL84" i="1"/>
  <c r="AS110" i="1"/>
  <c r="AS111" i="1"/>
  <c r="AS109" i="1"/>
  <c r="BI107" i="1"/>
  <c r="BI144" i="1"/>
  <c r="BI70" i="1" s="1"/>
  <c r="BI222" i="1"/>
  <c r="BI220" i="1" s="1"/>
  <c r="BI69" i="1"/>
  <c r="BJ222" i="1"/>
  <c r="BJ220" i="1" s="1"/>
  <c r="AI225" i="1"/>
  <c r="AI226" i="1" s="1"/>
  <c r="AL100" i="1"/>
  <c r="AL101" i="1"/>
  <c r="AL102" i="1"/>
  <c r="AU110" i="1"/>
  <c r="AU111" i="1"/>
  <c r="AU109" i="1"/>
  <c r="AO111" i="1"/>
  <c r="AO109" i="1"/>
  <c r="AO110" i="1"/>
  <c r="BQ84" i="1"/>
  <c r="AQ84" i="1"/>
  <c r="AQ144" i="1"/>
  <c r="AQ70" i="1" s="1"/>
  <c r="AQ222" i="1"/>
  <c r="AQ220" i="1" s="1"/>
  <c r="AQ107" i="1"/>
  <c r="AR222" i="1"/>
  <c r="AR220" i="1" s="1"/>
  <c r="AQ69" i="1"/>
  <c r="BS109" i="1"/>
  <c r="BS110" i="1"/>
  <c r="BS111" i="1"/>
  <c r="BZ84" i="1"/>
  <c r="BW222" i="1"/>
  <c r="BW220" i="1" s="1"/>
  <c r="BX222" i="1"/>
  <c r="BX220" i="1" s="1"/>
  <c r="BW144" i="1"/>
  <c r="BW70" i="1" s="1"/>
  <c r="BW69" i="1"/>
  <c r="BW107" i="1"/>
  <c r="BV102" i="1"/>
  <c r="BV101" i="1"/>
  <c r="BV100" i="1"/>
  <c r="AW111" i="1"/>
  <c r="AW109" i="1"/>
  <c r="AW110" i="1"/>
  <c r="BE222" i="1"/>
  <c r="BE220" i="1" s="1"/>
  <c r="BE144" i="1"/>
  <c r="BE70" i="1" s="1"/>
  <c r="BE107" i="1"/>
  <c r="BF222" i="1"/>
  <c r="BF220" i="1" s="1"/>
  <c r="BE69" i="1"/>
  <c r="AZ84" i="1"/>
  <c r="BB84" i="1"/>
  <c r="BA84" i="1"/>
  <c r="BC84" i="1"/>
  <c r="AU84" i="1"/>
  <c r="AV84" i="1"/>
  <c r="AW84" i="1"/>
  <c r="AT84" i="1"/>
  <c r="BF84" i="1"/>
  <c r="BG84" i="1"/>
  <c r="BH84" i="1"/>
  <c r="BE84" i="1"/>
  <c r="BN104" i="1"/>
  <c r="BR100" i="1"/>
  <c r="BR102" i="1"/>
  <c r="BV85" i="1"/>
  <c r="BP104" i="1"/>
  <c r="BT102" i="1"/>
  <c r="BT100" i="1"/>
  <c r="BT101" i="1"/>
  <c r="BS102" i="1"/>
  <c r="BO104" i="1"/>
  <c r="BS101" i="1"/>
  <c r="BS100" i="1"/>
  <c r="BK100" i="1"/>
  <c r="BK101" i="1"/>
  <c r="BK102" i="1"/>
  <c r="BG104" i="1"/>
  <c r="BT85" i="1"/>
  <c r="BV104" i="1"/>
  <c r="BZ85" i="1"/>
  <c r="BY85" i="1"/>
  <c r="BQ104" i="1"/>
  <c r="BU102" i="1"/>
  <c r="BU101" i="1"/>
  <c r="BW100" i="1"/>
  <c r="BW85" i="1"/>
  <c r="BC110" i="1"/>
  <c r="BC109" i="1"/>
  <c r="BC111" i="1"/>
  <c r="BX101" i="1"/>
  <c r="BT104" i="1"/>
  <c r="BX102" i="1"/>
  <c r="CB85" i="1"/>
  <c r="BX100" i="1"/>
  <c r="AN102" i="1"/>
  <c r="AR85" i="1"/>
  <c r="AN101" i="1"/>
  <c r="AN100" i="1"/>
  <c r="BO100" i="1"/>
  <c r="BK104" i="1"/>
  <c r="BO101" i="1"/>
  <c r="BO85" i="1"/>
  <c r="BO102" i="1"/>
  <c r="CA85" i="1"/>
  <c r="BS104" i="1"/>
  <c r="BW102" i="1"/>
  <c r="BJ101" i="1"/>
  <c r="BJ100" i="1"/>
  <c r="AQ85" i="1"/>
  <c r="BQ85" i="1"/>
  <c r="AZ104" i="1"/>
  <c r="BD100" i="1"/>
  <c r="BD102" i="1"/>
  <c r="BD101" i="1"/>
  <c r="AY102" i="1"/>
  <c r="AU104" i="1"/>
  <c r="BJ102" i="1"/>
  <c r="BW101" i="1"/>
  <c r="BS85" i="1"/>
  <c r="BM85" i="1"/>
  <c r="BI102" i="1"/>
  <c r="BI100" i="1"/>
  <c r="BI101" i="1"/>
  <c r="BE104" i="1"/>
  <c r="AO102" i="1"/>
  <c r="AO100" i="1"/>
  <c r="AS85" i="1"/>
  <c r="AO101" i="1"/>
  <c r="BL104" i="1"/>
  <c r="BP101" i="1"/>
  <c r="BP102" i="1"/>
  <c r="BP100" i="1"/>
  <c r="AS101" i="1"/>
  <c r="AO104" i="1"/>
  <c r="AS102" i="1"/>
  <c r="AS100" i="1"/>
  <c r="AY100" i="1"/>
  <c r="BZ101" i="1"/>
  <c r="CC105" i="1" s="1"/>
  <c r="BN85" i="1"/>
  <c r="BZ100" i="1"/>
  <c r="CC85" i="1"/>
  <c r="BY102" i="1"/>
  <c r="BU104" i="1"/>
  <c r="BY101" i="1"/>
  <c r="BY100" i="1"/>
  <c r="AP102" i="1"/>
  <c r="AP85" i="1"/>
  <c r="AL104" i="1"/>
  <c r="AP101" i="1"/>
  <c r="AP100" i="1"/>
  <c r="BR85" i="1"/>
  <c r="BJ104" i="1"/>
  <c r="BN102" i="1"/>
  <c r="BN100" i="1"/>
  <c r="BN101" i="1"/>
  <c r="AN104" i="1"/>
  <c r="AR102" i="1"/>
  <c r="AR101" i="1"/>
  <c r="AR100" i="1"/>
  <c r="AX101" i="1"/>
  <c r="AX100" i="1"/>
  <c r="AT104" i="1"/>
  <c r="AX102" i="1"/>
  <c r="BX85" i="1"/>
  <c r="BW109" i="1"/>
  <c r="BW111" i="1"/>
  <c r="BW110" i="1"/>
  <c r="BG109" i="1"/>
  <c r="BG111" i="1"/>
  <c r="BG110" i="1"/>
  <c r="AC209" i="1"/>
  <c r="AC147" i="1"/>
  <c r="AC149" i="1" s="1"/>
  <c r="AC48" i="1" s="1"/>
  <c r="CT149" i="1"/>
  <c r="AD140" i="1"/>
  <c r="AD143" i="1" s="1"/>
  <c r="AD264" i="1" s="1"/>
  <c r="AR124" i="1"/>
  <c r="W76" i="1"/>
  <c r="AQ110" i="1" l="1"/>
  <c r="BL100" i="1"/>
  <c r="BL101" i="1"/>
  <c r="BH104" i="1"/>
  <c r="BL102" i="1"/>
  <c r="BI110" i="1"/>
  <c r="BI111" i="1"/>
  <c r="BI109" i="1"/>
  <c r="AQ109" i="1"/>
  <c r="BQ101" i="1"/>
  <c r="BM104" i="1"/>
  <c r="AQ101" i="1"/>
  <c r="AQ100" i="1"/>
  <c r="BU85" i="1"/>
  <c r="CD85" i="1"/>
  <c r="BZ102" i="1"/>
  <c r="AU85" i="1"/>
  <c r="AQ102" i="1"/>
  <c r="BQ100" i="1"/>
  <c r="BQ102" i="1"/>
  <c r="AM104" i="1"/>
  <c r="AQ111" i="1"/>
  <c r="BP85" i="1"/>
  <c r="BJ85" i="1"/>
  <c r="AY85" i="1"/>
  <c r="BE110" i="1"/>
  <c r="BE111" i="1"/>
  <c r="BE109" i="1"/>
  <c r="AU100" i="1"/>
  <c r="AQ104" i="1"/>
  <c r="AU101" i="1"/>
  <c r="AU102" i="1"/>
  <c r="BF101" i="1"/>
  <c r="BF105" i="1" s="1"/>
  <c r="BF102" i="1"/>
  <c r="BF100" i="1"/>
  <c r="BB104" i="1"/>
  <c r="AV104" i="1"/>
  <c r="AZ101" i="1"/>
  <c r="AZ100" i="1"/>
  <c r="AZ102" i="1"/>
  <c r="BD85" i="1"/>
  <c r="BB85" i="1"/>
  <c r="AX104" i="1"/>
  <c r="BF85" i="1"/>
  <c r="BB102" i="1"/>
  <c r="BB101" i="1"/>
  <c r="BB100" i="1"/>
  <c r="AW104" i="1"/>
  <c r="BE85" i="1"/>
  <c r="BA102" i="1"/>
  <c r="BA101" i="1"/>
  <c r="BA100" i="1"/>
  <c r="BC102" i="1"/>
  <c r="AY104" i="1"/>
  <c r="BG85" i="1"/>
  <c r="BC101" i="1"/>
  <c r="BD105" i="1" s="1"/>
  <c r="BC100" i="1"/>
  <c r="BC85" i="1"/>
  <c r="AR104" i="1"/>
  <c r="AV102" i="1"/>
  <c r="AZ85" i="1"/>
  <c r="AV100" i="1"/>
  <c r="AV101" i="1"/>
  <c r="AV85" i="1"/>
  <c r="AW100" i="1"/>
  <c r="BA85" i="1"/>
  <c r="AW101" i="1"/>
  <c r="AS104" i="1"/>
  <c r="AW102" i="1"/>
  <c r="AW85" i="1"/>
  <c r="AX85" i="1"/>
  <c r="AT102" i="1"/>
  <c r="AT100" i="1"/>
  <c r="AP104" i="1"/>
  <c r="AT101" i="1"/>
  <c r="AT85" i="1"/>
  <c r="BC104" i="1"/>
  <c r="BG100" i="1"/>
  <c r="BG101" i="1"/>
  <c r="BG102" i="1"/>
  <c r="BK85" i="1"/>
  <c r="BH85" i="1"/>
  <c r="BH102" i="1"/>
  <c r="BH100" i="1"/>
  <c r="BD104" i="1"/>
  <c r="BL85" i="1"/>
  <c r="BH101" i="1"/>
  <c r="BK105" i="1" s="1"/>
  <c r="BE101" i="1"/>
  <c r="BH105" i="1" s="1"/>
  <c r="BI85" i="1"/>
  <c r="BE102" i="1"/>
  <c r="BE100" i="1"/>
  <c r="BA104" i="1"/>
  <c r="CB105" i="1"/>
  <c r="BM105" i="1"/>
  <c r="BG105" i="1"/>
  <c r="BN105" i="1"/>
  <c r="BB105" i="1"/>
  <c r="AW105" i="1"/>
  <c r="BL105" i="1"/>
  <c r="BY105" i="1"/>
  <c r="AZ105" i="1"/>
  <c r="AR105" i="1"/>
  <c r="AS105" i="1"/>
  <c r="AQ105" i="1"/>
  <c r="AP105" i="1"/>
  <c r="AO105" i="1"/>
  <c r="BP105" i="1"/>
  <c r="AY105" i="1"/>
  <c r="CA105" i="1"/>
  <c r="BR105" i="1"/>
  <c r="BZ105" i="1"/>
  <c r="BS105" i="1"/>
  <c r="BQ105" i="1"/>
  <c r="BX105" i="1"/>
  <c r="BW105" i="1"/>
  <c r="BV105" i="1"/>
  <c r="BU105" i="1"/>
  <c r="CU47" i="1"/>
  <c r="CT153" i="1"/>
  <c r="AD221" i="1"/>
  <c r="AB153" i="1"/>
  <c r="AR125" i="1"/>
  <c r="AR128" i="1" s="1"/>
  <c r="AR126" i="1"/>
  <c r="AR129" i="1" s="1"/>
  <c r="CA242" i="1"/>
  <c r="CB242" i="1"/>
  <c r="W208" i="1"/>
  <c r="W210" i="1" s="1"/>
  <c r="BU242" i="1"/>
  <c r="BO105" i="1" l="1"/>
  <c r="BT105" i="1"/>
  <c r="BJ105" i="1"/>
  <c r="AX105" i="1"/>
  <c r="BE105" i="1"/>
  <c r="BI105" i="1"/>
  <c r="BA105" i="1"/>
  <c r="BC105" i="1"/>
  <c r="AV105" i="1"/>
  <c r="AU105" i="1"/>
  <c r="AT105" i="1"/>
  <c r="CT218" i="1"/>
  <c r="CT216" i="1" s="1"/>
  <c r="CU209" i="1"/>
  <c r="CU147" i="1"/>
  <c r="AB218" i="1"/>
  <c r="AB216" i="1" s="1"/>
  <c r="AE139" i="1"/>
  <c r="CA104" i="1"/>
  <c r="CU149" i="1" l="1"/>
  <c r="CF104" i="1"/>
  <c r="CU153" i="1" l="1"/>
  <c r="CV47" i="1"/>
  <c r="AE140" i="1"/>
  <c r="AE143" i="1" s="1"/>
  <c r="AE264" i="1" s="1"/>
  <c r="CV209" i="1" l="1"/>
  <c r="CV147" i="1"/>
  <c r="CU218" i="1"/>
  <c r="CU216" i="1" s="1"/>
  <c r="AE221" i="1"/>
  <c r="AC153" i="1"/>
  <c r="W135" i="1"/>
  <c r="CV149" i="1" l="1"/>
  <c r="W69" i="1"/>
  <c r="AC218" i="1"/>
  <c r="AC216" i="1" s="1"/>
  <c r="X222" i="1"/>
  <c r="X220" i="1" s="1"/>
  <c r="W222" i="1"/>
  <c r="W220" i="1" s="1"/>
  <c r="W144" i="1"/>
  <c r="W70" i="1" s="1"/>
  <c r="W190" i="1"/>
  <c r="CW47" i="1" l="1"/>
  <c r="CV153" i="1"/>
  <c r="CV218" i="1" l="1"/>
  <c r="CV216" i="1" s="1"/>
  <c r="CW209" i="1"/>
  <c r="CW147" i="1"/>
  <c r="CW149" i="1" l="1"/>
  <c r="CW153" i="1" l="1"/>
  <c r="CX47" i="1"/>
  <c r="AD47" i="1" l="1"/>
  <c r="CX209" i="1"/>
  <c r="CX147" i="1"/>
  <c r="CW218" i="1"/>
  <c r="CW216" i="1" s="1"/>
  <c r="AD209" i="1" l="1"/>
  <c r="AD147" i="1"/>
  <c r="AD149" i="1" s="1"/>
  <c r="CX149" i="1"/>
  <c r="AD153" i="1" l="1"/>
  <c r="AD218" i="1" s="1"/>
  <c r="AD216" i="1" s="1"/>
  <c r="AD48" i="1"/>
  <c r="CX153" i="1"/>
  <c r="CY47" i="1"/>
  <c r="CY209" i="1" l="1"/>
  <c r="CY147" i="1"/>
  <c r="CX218" i="1"/>
  <c r="CX216" i="1" s="1"/>
  <c r="CY149" i="1" l="1"/>
  <c r="W195" i="1"/>
  <c r="CY153" i="1" l="1"/>
  <c r="CZ47" i="1"/>
  <c r="W198" i="1"/>
  <c r="W171" i="1"/>
  <c r="X212" i="1" s="1"/>
  <c r="CZ209" i="1" l="1"/>
  <c r="CZ147" i="1"/>
  <c r="CY218" i="1"/>
  <c r="CY216" i="1" s="1"/>
  <c r="W200" i="1"/>
  <c r="W199" i="1" s="1"/>
  <c r="W212" i="1"/>
  <c r="W163" i="1"/>
  <c r="X211" i="1" s="1"/>
  <c r="X213" i="1" s="1"/>
  <c r="X214" i="1" s="1"/>
  <c r="X228" i="1" s="1"/>
  <c r="W194" i="1"/>
  <c r="CZ149" i="1" l="1"/>
  <c r="W197" i="1"/>
  <c r="W172" i="1"/>
  <c r="W211" i="1"/>
  <c r="W213" i="1" s="1"/>
  <c r="W214" i="1" s="1"/>
  <c r="CZ153" i="1" l="1"/>
  <c r="CZ218" i="1" s="1"/>
  <c r="CZ216" i="1" s="1"/>
  <c r="DA47" i="1"/>
  <c r="W196" i="1"/>
  <c r="W201" i="1"/>
  <c r="W225" i="1"/>
  <c r="W228" i="1"/>
  <c r="DA209" i="1" l="1"/>
  <c r="DA147" i="1"/>
  <c r="W204" i="1"/>
  <c r="W205" i="1" s="1"/>
  <c r="X204" i="1"/>
  <c r="X205" i="1" s="1"/>
  <c r="DA149" i="1" l="1"/>
  <c r="W176" i="1"/>
  <c r="X224" i="1" l="1"/>
  <c r="X225" i="1" s="1"/>
  <c r="X226" i="1" s="1"/>
  <c r="W261" i="1"/>
  <c r="W263" i="1"/>
  <c r="W259" i="1"/>
  <c r="DA153" i="1"/>
  <c r="DA218" i="1" s="1"/>
  <c r="DA216" i="1" s="1"/>
  <c r="DB47" i="1"/>
  <c r="W183" i="1"/>
  <c r="W124" i="1" s="1"/>
  <c r="W180" i="1"/>
  <c r="W226" i="1"/>
  <c r="AE47" i="1" l="1"/>
  <c r="AE209" i="1" s="1"/>
  <c r="DB209" i="1"/>
  <c r="DB147" i="1"/>
  <c r="W181" i="1"/>
  <c r="DB149" i="1" l="1"/>
  <c r="DB153" i="1" s="1"/>
  <c r="DB218" i="1" s="1"/>
  <c r="DB216" i="1" s="1"/>
  <c r="AE147" i="1"/>
  <c r="AE149" i="1" s="1"/>
  <c r="C112" i="2"/>
  <c r="C111" i="2"/>
  <c r="C113" i="2"/>
  <c r="AE153" i="1" l="1"/>
  <c r="AE218" i="1" s="1"/>
  <c r="AE216" i="1" s="1"/>
  <c r="AE48" i="1"/>
  <c r="B88" i="1"/>
  <c r="B89" i="1"/>
  <c r="AK194" i="1" l="1"/>
  <c r="AK159" i="1" s="1"/>
  <c r="AM159" i="1" l="1"/>
  <c r="AO159" i="1" l="1"/>
  <c r="AQ159" i="1" l="1"/>
  <c r="AS159" i="1" l="1"/>
  <c r="AU159" i="1" l="1"/>
  <c r="AW159" i="1" l="1"/>
  <c r="AY159" i="1" l="1"/>
  <c r="BA159" i="1" l="1"/>
  <c r="BC159" i="1" l="1"/>
  <c r="BE159" i="1" l="1"/>
  <c r="BG159" i="1" l="1"/>
  <c r="BI159" i="1" l="1"/>
  <c r="BK159" i="1" l="1"/>
  <c r="BM159" i="1" l="1"/>
  <c r="BO159" i="1" l="1"/>
  <c r="BQ159" i="1" l="1"/>
  <c r="BS159" i="1" l="1"/>
  <c r="BU159" i="1" l="1"/>
  <c r="BW159" i="1" l="1"/>
  <c r="BY159" i="1" l="1"/>
  <c r="AK160" i="1" l="1"/>
  <c r="AK163" i="1" s="1"/>
  <c r="AL211" i="1" l="1"/>
  <c r="AK211" i="1"/>
  <c r="AK197" i="1"/>
  <c r="AM160" i="1"/>
  <c r="AM163" i="1" s="1"/>
  <c r="AM197" i="1" l="1"/>
  <c r="AM196" i="1" s="1"/>
  <c r="AN211" i="1"/>
  <c r="AM211" i="1"/>
  <c r="AJ196" i="1"/>
  <c r="AK196" i="1"/>
  <c r="AO160" i="1" l="1"/>
  <c r="AO163" i="1" s="1"/>
  <c r="AP211" i="1" l="1"/>
  <c r="AO197" i="1"/>
  <c r="AO196" i="1" s="1"/>
  <c r="AO211" i="1"/>
  <c r="AQ160" i="1" l="1"/>
  <c r="AQ163" i="1" s="1"/>
  <c r="AQ197" i="1" l="1"/>
  <c r="AQ196" i="1" s="1"/>
  <c r="AR211" i="1"/>
  <c r="AQ211" i="1"/>
  <c r="AS160" i="1" l="1"/>
  <c r="AS163" i="1" s="1"/>
  <c r="AT211" i="1" l="1"/>
  <c r="AS197" i="1"/>
  <c r="AS196" i="1" s="1"/>
  <c r="AS211" i="1"/>
  <c r="AU160" i="1" l="1"/>
  <c r="AU163" i="1" s="1"/>
  <c r="AU197" i="1" l="1"/>
  <c r="AU196" i="1" s="1"/>
  <c r="AV211" i="1"/>
  <c r="AU211" i="1"/>
  <c r="AW160" i="1" l="1"/>
  <c r="AW163" i="1" s="1"/>
  <c r="AW197" i="1" l="1"/>
  <c r="AW196" i="1" s="1"/>
  <c r="AX211" i="1"/>
  <c r="AW211" i="1"/>
  <c r="AY160" i="1" l="1"/>
  <c r="AY163" i="1" s="1"/>
  <c r="AY197" i="1" l="1"/>
  <c r="AY196" i="1" s="1"/>
  <c r="AZ211" i="1"/>
  <c r="AY211" i="1"/>
  <c r="BA160" i="1" l="1"/>
  <c r="BA163" i="1" s="1"/>
  <c r="BB211" i="1" l="1"/>
  <c r="BA197" i="1"/>
  <c r="BA196" i="1" s="1"/>
  <c r="BA211" i="1"/>
  <c r="BC160" i="1" l="1"/>
  <c r="BC163" i="1" s="1"/>
  <c r="BD211" i="1" l="1"/>
  <c r="BC197" i="1"/>
  <c r="BC196" i="1" s="1"/>
  <c r="BC211" i="1"/>
  <c r="BE160" i="1" l="1"/>
  <c r="BE163" i="1" s="1"/>
  <c r="BF211" i="1" l="1"/>
  <c r="BE197" i="1"/>
  <c r="BE196" i="1" s="1"/>
  <c r="BE211" i="1"/>
  <c r="BG160" i="1" l="1"/>
  <c r="BG163" i="1" s="1"/>
  <c r="BG197" i="1" l="1"/>
  <c r="BG196" i="1" s="1"/>
  <c r="BH211" i="1"/>
  <c r="BG211" i="1"/>
  <c r="BI160" i="1" l="1"/>
  <c r="BI163" i="1" s="1"/>
  <c r="BJ211" i="1" l="1"/>
  <c r="BI197" i="1"/>
  <c r="BI196" i="1" s="1"/>
  <c r="BI211" i="1"/>
  <c r="BK160" i="1" l="1"/>
  <c r="BK163" i="1" s="1"/>
  <c r="BL211" i="1" l="1"/>
  <c r="BK197" i="1"/>
  <c r="BK196" i="1" s="1"/>
  <c r="BK211" i="1"/>
  <c r="BM160" i="1" l="1"/>
  <c r="BM163" i="1" s="1"/>
  <c r="BM197" i="1" l="1"/>
  <c r="BM196" i="1" s="1"/>
  <c r="BN211" i="1"/>
  <c r="BM211" i="1"/>
  <c r="BO160" i="1" l="1"/>
  <c r="BO163" i="1" s="1"/>
  <c r="BO197" i="1" l="1"/>
  <c r="BO196" i="1" s="1"/>
  <c r="BP211" i="1"/>
  <c r="BO211" i="1"/>
  <c r="BQ160" i="1" l="1"/>
  <c r="BQ163" i="1" s="1"/>
  <c r="BR211" i="1" l="1"/>
  <c r="BQ197" i="1"/>
  <c r="BQ196" i="1" s="1"/>
  <c r="BQ211" i="1"/>
  <c r="BS160" i="1" l="1"/>
  <c r="BS163" i="1" s="1"/>
  <c r="BT211" i="1" l="1"/>
  <c r="BS197" i="1"/>
  <c r="BS196" i="1" s="1"/>
  <c r="BS211" i="1"/>
  <c r="BU160" i="1" l="1"/>
  <c r="BU163" i="1" s="1"/>
  <c r="BU197" i="1" l="1"/>
  <c r="BU196" i="1" s="1"/>
  <c r="BV211" i="1"/>
  <c r="BU211" i="1"/>
  <c r="BW160" i="1" l="1"/>
  <c r="BW163" i="1" s="1"/>
  <c r="BW197" i="1" l="1"/>
  <c r="BW196" i="1" s="1"/>
  <c r="BX211" i="1"/>
  <c r="BW211" i="1"/>
  <c r="BY160" i="1" l="1"/>
  <c r="BY163" i="1" s="1"/>
  <c r="BZ211" i="1" l="1"/>
  <c r="BY197" i="1"/>
  <c r="BY196" i="1" s="1"/>
  <c r="BY211" i="1"/>
  <c r="AK198" i="1" l="1"/>
  <c r="AK168" i="1" s="1"/>
  <c r="AK171" i="1" s="1"/>
  <c r="AK172" i="1" l="1"/>
  <c r="AK200" i="1"/>
  <c r="AL212" i="1"/>
  <c r="AL213" i="1" s="1"/>
  <c r="AL214" i="1" s="1"/>
  <c r="AL228" i="1" s="1"/>
  <c r="AK212" i="1"/>
  <c r="AK213" i="1" s="1"/>
  <c r="AK214" i="1" s="1"/>
  <c r="AM168" i="1"/>
  <c r="AM171" i="1" s="1"/>
  <c r="AK228" i="1" l="1"/>
  <c r="AK225" i="1"/>
  <c r="AK175" i="1" s="1"/>
  <c r="AK176" i="1" s="1"/>
  <c r="AK180" i="1" s="1"/>
  <c r="AK181" i="1" s="1"/>
  <c r="AN212" i="1"/>
  <c r="AN213" i="1" s="1"/>
  <c r="AN214" i="1" s="1"/>
  <c r="AN228" i="1" s="1"/>
  <c r="AM200" i="1"/>
  <c r="AM199" i="1" s="1"/>
  <c r="AM212" i="1"/>
  <c r="AM213" i="1" s="1"/>
  <c r="AM214" i="1" s="1"/>
  <c r="AM172" i="1"/>
  <c r="AJ199" i="1"/>
  <c r="AJ201" i="1"/>
  <c r="AN204" i="1" s="1"/>
  <c r="AK199" i="1"/>
  <c r="AK201" i="1"/>
  <c r="AO168" i="1"/>
  <c r="AO171" i="1" s="1"/>
  <c r="AM201" i="1" l="1"/>
  <c r="AO200" i="1"/>
  <c r="AO199" i="1" s="1"/>
  <c r="AP212" i="1"/>
  <c r="AP213" i="1" s="1"/>
  <c r="AP214" i="1" s="1"/>
  <c r="AP228" i="1" s="1"/>
  <c r="AO212" i="1"/>
  <c r="AO213" i="1" s="1"/>
  <c r="AO214" i="1" s="1"/>
  <c r="AM228" i="1"/>
  <c r="AM225" i="1"/>
  <c r="AO172" i="1"/>
  <c r="AL224" i="1" l="1"/>
  <c r="AL225" i="1" s="1"/>
  <c r="AL226" i="1" s="1"/>
  <c r="AK226" i="1"/>
  <c r="AO201" i="1"/>
  <c r="AO204" i="1" s="1"/>
  <c r="AO228" i="1"/>
  <c r="AO225" i="1"/>
  <c r="AQ168" i="1"/>
  <c r="AQ171" i="1" s="1"/>
  <c r="AK183" i="1"/>
  <c r="AL52" i="1" s="1"/>
  <c r="AM175" i="1"/>
  <c r="AM176" i="1" s="1"/>
  <c r="AM180" i="1" s="1"/>
  <c r="AN224" i="1" l="1"/>
  <c r="AN225" i="1" s="1"/>
  <c r="AN226" i="1" s="1"/>
  <c r="AM263" i="1"/>
  <c r="AM261" i="1"/>
  <c r="AM259" i="1"/>
  <c r="AQ200" i="1"/>
  <c r="AQ199" i="1" s="1"/>
  <c r="AR212" i="1"/>
  <c r="AR213" i="1" s="1"/>
  <c r="AR214" i="1" s="1"/>
  <c r="AR228" i="1" s="1"/>
  <c r="AQ212" i="1"/>
  <c r="AQ213" i="1" s="1"/>
  <c r="AQ214" i="1" s="1"/>
  <c r="AM226" i="1"/>
  <c r="AQ172" i="1"/>
  <c r="AO175" i="1"/>
  <c r="AO176" i="1" s="1"/>
  <c r="AM183" i="1"/>
  <c r="AO261" i="1" l="1"/>
  <c r="AO263" i="1"/>
  <c r="AO259" i="1"/>
  <c r="AM124" i="1"/>
  <c r="AM125" i="1" s="1"/>
  <c r="AM128" i="1" s="1"/>
  <c r="AN52" i="1"/>
  <c r="AQ201" i="1"/>
  <c r="AQ204" i="1" s="1"/>
  <c r="AQ228" i="1"/>
  <c r="AQ225" i="1"/>
  <c r="AP224" i="1"/>
  <c r="AP225" i="1" s="1"/>
  <c r="AP226" i="1" s="1"/>
  <c r="AO226" i="1"/>
  <c r="AS168" i="1"/>
  <c r="AS171" i="1" s="1"/>
  <c r="AO183" i="1"/>
  <c r="AO180" i="1"/>
  <c r="AM181" i="1"/>
  <c r="AM126" i="1" l="1"/>
  <c r="AM129" i="1" s="1"/>
  <c r="AO124" i="1"/>
  <c r="AO126" i="1" s="1"/>
  <c r="AO129" i="1" s="1"/>
  <c r="AP52" i="1"/>
  <c r="AS200" i="1"/>
  <c r="AS199" i="1" s="1"/>
  <c r="AT212" i="1"/>
  <c r="AT213" i="1" s="1"/>
  <c r="AT214" i="1" s="1"/>
  <c r="AT228" i="1" s="1"/>
  <c r="AS212" i="1"/>
  <c r="AS213" i="1" s="1"/>
  <c r="AS214" i="1" s="1"/>
  <c r="AO181" i="1"/>
  <c r="AS172" i="1"/>
  <c r="AQ175" i="1"/>
  <c r="AQ176" i="1" s="1"/>
  <c r="AQ261" i="1" l="1"/>
  <c r="AQ263" i="1"/>
  <c r="AQ259" i="1"/>
  <c r="AO125" i="1"/>
  <c r="AO128" i="1" s="1"/>
  <c r="AS201" i="1"/>
  <c r="AS204" i="1" s="1"/>
  <c r="AS228" i="1"/>
  <c r="AS225" i="1"/>
  <c r="AR224" i="1"/>
  <c r="AR225" i="1" s="1"/>
  <c r="AR226" i="1" s="1"/>
  <c r="AQ226" i="1"/>
  <c r="AQ180" i="1"/>
  <c r="AQ183" i="1"/>
  <c r="AU168" i="1"/>
  <c r="AU171" i="1" s="1"/>
  <c r="AQ124" i="1" l="1"/>
  <c r="AQ125" i="1" s="1"/>
  <c r="AQ128" i="1" s="1"/>
  <c r="AR52" i="1"/>
  <c r="AU200" i="1"/>
  <c r="AU199" i="1" s="1"/>
  <c r="AV212" i="1"/>
  <c r="AV213" i="1" s="1"/>
  <c r="AV214" i="1" s="1"/>
  <c r="AV228" i="1" s="1"/>
  <c r="AU212" i="1"/>
  <c r="AU213" i="1" s="1"/>
  <c r="AU214" i="1" s="1"/>
  <c r="AU172" i="1"/>
  <c r="AS175" i="1"/>
  <c r="AS176" i="1" s="1"/>
  <c r="AQ181" i="1"/>
  <c r="AS263" i="1" l="1"/>
  <c r="AS261" i="1"/>
  <c r="AS259" i="1"/>
  <c r="AQ126" i="1"/>
  <c r="AQ129" i="1" s="1"/>
  <c r="AU201" i="1"/>
  <c r="AU204" i="1" s="1"/>
  <c r="AU228" i="1"/>
  <c r="AU225" i="1"/>
  <c r="AT224" i="1"/>
  <c r="AT225" i="1" s="1"/>
  <c r="AT226" i="1" s="1"/>
  <c r="AS226" i="1"/>
  <c r="AS183" i="1"/>
  <c r="AS180" i="1"/>
  <c r="AW168" i="1"/>
  <c r="AW171" i="1" s="1"/>
  <c r="AS124" i="1" l="1"/>
  <c r="AS125" i="1" s="1"/>
  <c r="AS128" i="1" s="1"/>
  <c r="AT52" i="1"/>
  <c r="AW200" i="1"/>
  <c r="AW201" i="1" s="1"/>
  <c r="AW204" i="1" s="1"/>
  <c r="AX212" i="1"/>
  <c r="AX213" i="1" s="1"/>
  <c r="AX214" i="1" s="1"/>
  <c r="AX228" i="1" s="1"/>
  <c r="AW212" i="1"/>
  <c r="AW213" i="1" s="1"/>
  <c r="AW214" i="1" s="1"/>
  <c r="AU175" i="1"/>
  <c r="AU176" i="1" s="1"/>
  <c r="AS181" i="1"/>
  <c r="AW172" i="1"/>
  <c r="AU263" i="1" l="1"/>
  <c r="AU261" i="1"/>
  <c r="AU259" i="1"/>
  <c r="AS126" i="1"/>
  <c r="AS129" i="1" s="1"/>
  <c r="AW199" i="1"/>
  <c r="AW228" i="1"/>
  <c r="AW225" i="1"/>
  <c r="AV224" i="1"/>
  <c r="AV225" i="1" s="1"/>
  <c r="AV226" i="1" s="1"/>
  <c r="AU226" i="1"/>
  <c r="AU183" i="1"/>
  <c r="AU180" i="1"/>
  <c r="AY168" i="1"/>
  <c r="AY171" i="1" s="1"/>
  <c r="AU124" i="1" l="1"/>
  <c r="AU126" i="1" s="1"/>
  <c r="AU129" i="1" s="1"/>
  <c r="AV52" i="1"/>
  <c r="AY200" i="1"/>
  <c r="AY199" i="1" s="1"/>
  <c r="AZ212" i="1"/>
  <c r="AZ213" i="1" s="1"/>
  <c r="AZ214" i="1" s="1"/>
  <c r="AZ228" i="1" s="1"/>
  <c r="AY212" i="1"/>
  <c r="AY213" i="1" s="1"/>
  <c r="AY214" i="1" s="1"/>
  <c r="AW175" i="1"/>
  <c r="AW176" i="1" s="1"/>
  <c r="AY172" i="1"/>
  <c r="AU181" i="1"/>
  <c r="AW261" i="1" l="1"/>
  <c r="AW263" i="1"/>
  <c r="AW259" i="1"/>
  <c r="AU125" i="1"/>
  <c r="AU128" i="1" s="1"/>
  <c r="AY201" i="1"/>
  <c r="AY204" i="1" s="1"/>
  <c r="AY228" i="1"/>
  <c r="AY225" i="1"/>
  <c r="AX224" i="1"/>
  <c r="AX225" i="1" s="1"/>
  <c r="AX226" i="1" s="1"/>
  <c r="AW226" i="1"/>
  <c r="BA168" i="1"/>
  <c r="BA171" i="1" s="1"/>
  <c r="AW180" i="1"/>
  <c r="AW183" i="1"/>
  <c r="AW124" i="1" l="1"/>
  <c r="AW126" i="1" s="1"/>
  <c r="AW129" i="1" s="1"/>
  <c r="AX52" i="1"/>
  <c r="BB212" i="1"/>
  <c r="BB213" i="1" s="1"/>
  <c r="BB214" i="1" s="1"/>
  <c r="BB228" i="1" s="1"/>
  <c r="BA200" i="1"/>
  <c r="BA199" i="1" s="1"/>
  <c r="BA212" i="1"/>
  <c r="BA213" i="1" s="1"/>
  <c r="BA214" i="1" s="1"/>
  <c r="AW181" i="1"/>
  <c r="BA172" i="1"/>
  <c r="AY175" i="1"/>
  <c r="AY176" i="1" s="1"/>
  <c r="AY261" i="1" l="1"/>
  <c r="AY263" i="1"/>
  <c r="AY259" i="1"/>
  <c r="AW125" i="1"/>
  <c r="AW128" i="1" s="1"/>
  <c r="BA201" i="1"/>
  <c r="BA204" i="1" s="1"/>
  <c r="BA228" i="1"/>
  <c r="BA225" i="1"/>
  <c r="AZ224" i="1"/>
  <c r="AZ225" i="1" s="1"/>
  <c r="AZ226" i="1" s="1"/>
  <c r="AY226" i="1"/>
  <c r="AY180" i="1"/>
  <c r="AY183" i="1"/>
  <c r="BC168" i="1"/>
  <c r="BC171" i="1" s="1"/>
  <c r="AY124" i="1" l="1"/>
  <c r="AY126" i="1" s="1"/>
  <c r="AY129" i="1" s="1"/>
  <c r="AZ52" i="1"/>
  <c r="BC200" i="1"/>
  <c r="BC199" i="1" s="1"/>
  <c r="BD212" i="1"/>
  <c r="BD213" i="1" s="1"/>
  <c r="BD214" i="1" s="1"/>
  <c r="BD228" i="1" s="1"/>
  <c r="BC212" i="1"/>
  <c r="BC213" i="1" s="1"/>
  <c r="BC214" i="1" s="1"/>
  <c r="AY181" i="1"/>
  <c r="BC172" i="1"/>
  <c r="BA175" i="1"/>
  <c r="BA176" i="1" s="1"/>
  <c r="BA263" i="1" l="1"/>
  <c r="BA261" i="1"/>
  <c r="BA259" i="1"/>
  <c r="AY125" i="1"/>
  <c r="AY128" i="1" s="1"/>
  <c r="BC201" i="1"/>
  <c r="BC204" i="1" s="1"/>
  <c r="BC228" i="1"/>
  <c r="BC225" i="1"/>
  <c r="BB224" i="1"/>
  <c r="BB225" i="1" s="1"/>
  <c r="BB226" i="1" s="1"/>
  <c r="BA226" i="1"/>
  <c r="BE168" i="1"/>
  <c r="BE171" i="1" s="1"/>
  <c r="BA183" i="1"/>
  <c r="BA180" i="1"/>
  <c r="BA124" i="1" l="1"/>
  <c r="BA125" i="1" s="1"/>
  <c r="BA128" i="1" s="1"/>
  <c r="BB52" i="1"/>
  <c r="BE200" i="1"/>
  <c r="BE199" i="1" s="1"/>
  <c r="BF212" i="1"/>
  <c r="BF213" i="1" s="1"/>
  <c r="BF214" i="1" s="1"/>
  <c r="BF228" i="1" s="1"/>
  <c r="BE212" i="1"/>
  <c r="BE213" i="1" s="1"/>
  <c r="BE214" i="1" s="1"/>
  <c r="BC175" i="1"/>
  <c r="BC176" i="1" s="1"/>
  <c r="BA181" i="1"/>
  <c r="BE172" i="1"/>
  <c r="BC263" i="1" l="1"/>
  <c r="BC261" i="1"/>
  <c r="BC259" i="1"/>
  <c r="BA126" i="1"/>
  <c r="BA129" i="1" s="1"/>
  <c r="BE201" i="1"/>
  <c r="BE204" i="1" s="1"/>
  <c r="BE228" i="1"/>
  <c r="BE225" i="1"/>
  <c r="BD224" i="1"/>
  <c r="BD225" i="1" s="1"/>
  <c r="BD226" i="1" s="1"/>
  <c r="BC226" i="1"/>
  <c r="BG168" i="1"/>
  <c r="BG171" i="1" s="1"/>
  <c r="BC180" i="1"/>
  <c r="BC183" i="1"/>
  <c r="BC124" i="1" l="1"/>
  <c r="BC125" i="1" s="1"/>
  <c r="BC128" i="1" s="1"/>
  <c r="BD52" i="1"/>
  <c r="BG200" i="1"/>
  <c r="BG201" i="1" s="1"/>
  <c r="BG204" i="1" s="1"/>
  <c r="BH212" i="1"/>
  <c r="BH213" i="1" s="1"/>
  <c r="BH214" i="1" s="1"/>
  <c r="BH228" i="1" s="1"/>
  <c r="BG212" i="1"/>
  <c r="BG213" i="1" s="1"/>
  <c r="BG214" i="1" s="1"/>
  <c r="BC181" i="1"/>
  <c r="BE175" i="1"/>
  <c r="BE176" i="1" s="1"/>
  <c r="BG172" i="1"/>
  <c r="BE261" i="1" l="1"/>
  <c r="BE263" i="1"/>
  <c r="BE259" i="1"/>
  <c r="BC126" i="1"/>
  <c r="BC129" i="1" s="1"/>
  <c r="BG199" i="1"/>
  <c r="BG228" i="1"/>
  <c r="BG225" i="1"/>
  <c r="BF224" i="1"/>
  <c r="BF225" i="1" s="1"/>
  <c r="BF226" i="1" s="1"/>
  <c r="BE226" i="1"/>
  <c r="BE183" i="1"/>
  <c r="BE180" i="1"/>
  <c r="BI168" i="1"/>
  <c r="BI171" i="1" s="1"/>
  <c r="BE124" i="1" l="1"/>
  <c r="BE125" i="1" s="1"/>
  <c r="BE128" i="1" s="1"/>
  <c r="BF52" i="1"/>
  <c r="BI200" i="1"/>
  <c r="BI199" i="1" s="1"/>
  <c r="BJ212" i="1"/>
  <c r="BJ213" i="1" s="1"/>
  <c r="BJ214" i="1" s="1"/>
  <c r="BJ228" i="1" s="1"/>
  <c r="BI212" i="1"/>
  <c r="BI213" i="1" s="1"/>
  <c r="BI214" i="1" s="1"/>
  <c r="BE181" i="1"/>
  <c r="BG175" i="1"/>
  <c r="BG176" i="1" s="1"/>
  <c r="BI172" i="1"/>
  <c r="BG261" i="1" l="1"/>
  <c r="BG263" i="1"/>
  <c r="BG259" i="1"/>
  <c r="BE126" i="1"/>
  <c r="BE129" i="1" s="1"/>
  <c r="BI201" i="1"/>
  <c r="BI204" i="1" s="1"/>
  <c r="BI228" i="1"/>
  <c r="BI225" i="1"/>
  <c r="BH224" i="1"/>
  <c r="BH225" i="1" s="1"/>
  <c r="BH226" i="1" s="1"/>
  <c r="BG226" i="1"/>
  <c r="BG180" i="1"/>
  <c r="BG183" i="1"/>
  <c r="BK168" i="1"/>
  <c r="BK171" i="1" s="1"/>
  <c r="BG124" i="1" l="1"/>
  <c r="BG125" i="1" s="1"/>
  <c r="BG128" i="1" s="1"/>
  <c r="BH52" i="1"/>
  <c r="BL212" i="1"/>
  <c r="BL213" i="1" s="1"/>
  <c r="BL214" i="1" s="1"/>
  <c r="BL228" i="1" s="1"/>
  <c r="BK200" i="1"/>
  <c r="BK199" i="1" s="1"/>
  <c r="BK212" i="1"/>
  <c r="BK213" i="1" s="1"/>
  <c r="BK214" i="1" s="1"/>
  <c r="BK172" i="1"/>
  <c r="BG181" i="1"/>
  <c r="BI175" i="1"/>
  <c r="BI176" i="1" s="1"/>
  <c r="BI263" i="1" l="1"/>
  <c r="BI261" i="1"/>
  <c r="BI259" i="1"/>
  <c r="BG126" i="1"/>
  <c r="BG129" i="1" s="1"/>
  <c r="BK201" i="1"/>
  <c r="BK204" i="1" s="1"/>
  <c r="BK228" i="1"/>
  <c r="BK225" i="1"/>
  <c r="BJ224" i="1"/>
  <c r="BJ225" i="1" s="1"/>
  <c r="BJ226" i="1" s="1"/>
  <c r="BI226" i="1"/>
  <c r="BI183" i="1"/>
  <c r="BI180" i="1"/>
  <c r="BM168" i="1"/>
  <c r="BM171" i="1" s="1"/>
  <c r="BI124" i="1" l="1"/>
  <c r="BI126" i="1" s="1"/>
  <c r="BI129" i="1" s="1"/>
  <c r="BJ52" i="1"/>
  <c r="BM200" i="1"/>
  <c r="BM199" i="1" s="1"/>
  <c r="BN212" i="1"/>
  <c r="BN213" i="1" s="1"/>
  <c r="BN214" i="1" s="1"/>
  <c r="BN228" i="1" s="1"/>
  <c r="BM212" i="1"/>
  <c r="BM213" i="1" s="1"/>
  <c r="BM214" i="1" s="1"/>
  <c r="BM172" i="1"/>
  <c r="BI181" i="1"/>
  <c r="BK175" i="1"/>
  <c r="BK176" i="1" s="1"/>
  <c r="BK263" i="1" l="1"/>
  <c r="BK261" i="1"/>
  <c r="BK259" i="1"/>
  <c r="BI125" i="1"/>
  <c r="BI128" i="1" s="1"/>
  <c r="BM201" i="1"/>
  <c r="BM204" i="1" s="1"/>
  <c r="BM228" i="1"/>
  <c r="BM225" i="1"/>
  <c r="BL224" i="1"/>
  <c r="BL225" i="1" s="1"/>
  <c r="BL226" i="1" s="1"/>
  <c r="BK226" i="1"/>
  <c r="BK183" i="1"/>
  <c r="BK180" i="1"/>
  <c r="BO168" i="1"/>
  <c r="BO171" i="1" s="1"/>
  <c r="BK124" i="1" l="1"/>
  <c r="BK126" i="1" s="1"/>
  <c r="BK129" i="1" s="1"/>
  <c r="BL52" i="1"/>
  <c r="BO200" i="1"/>
  <c r="BO199" i="1" s="1"/>
  <c r="BP212" i="1"/>
  <c r="BP213" i="1" s="1"/>
  <c r="BP214" i="1" s="1"/>
  <c r="BP228" i="1" s="1"/>
  <c r="BO212" i="1"/>
  <c r="BO213" i="1" s="1"/>
  <c r="BO214" i="1" s="1"/>
  <c r="BM175" i="1"/>
  <c r="BM176" i="1" s="1"/>
  <c r="BK181" i="1"/>
  <c r="BO172" i="1"/>
  <c r="BM261" i="1" l="1"/>
  <c r="BM263" i="1"/>
  <c r="BM259" i="1"/>
  <c r="BK125" i="1"/>
  <c r="BK128" i="1" s="1"/>
  <c r="BO201" i="1"/>
  <c r="BO204" i="1" s="1"/>
  <c r="BO228" i="1"/>
  <c r="BO225" i="1"/>
  <c r="BN224" i="1"/>
  <c r="BN225" i="1" s="1"/>
  <c r="BN226" i="1" s="1"/>
  <c r="BM226" i="1"/>
  <c r="BM180" i="1"/>
  <c r="BM183" i="1"/>
  <c r="BQ168" i="1"/>
  <c r="BQ171" i="1" s="1"/>
  <c r="BM124" i="1" l="1"/>
  <c r="BM125" i="1" s="1"/>
  <c r="BM128" i="1" s="1"/>
  <c r="BN52" i="1"/>
  <c r="BQ200" i="1"/>
  <c r="BQ199" i="1" s="1"/>
  <c r="BR212" i="1"/>
  <c r="BR213" i="1" s="1"/>
  <c r="BR214" i="1" s="1"/>
  <c r="BR228" i="1" s="1"/>
  <c r="BQ212" i="1"/>
  <c r="BQ213" i="1" s="1"/>
  <c r="BQ214" i="1" s="1"/>
  <c r="BO175" i="1"/>
  <c r="BO176" i="1" s="1"/>
  <c r="BQ172" i="1"/>
  <c r="BM181" i="1"/>
  <c r="BO261" i="1" l="1"/>
  <c r="BO263" i="1"/>
  <c r="BO259" i="1"/>
  <c r="BM126" i="1"/>
  <c r="BM129" i="1" s="1"/>
  <c r="BQ201" i="1"/>
  <c r="BQ204" i="1" s="1"/>
  <c r="BQ228" i="1"/>
  <c r="BQ225" i="1"/>
  <c r="BP224" i="1"/>
  <c r="BP225" i="1" s="1"/>
  <c r="BP226" i="1" s="1"/>
  <c r="BO226" i="1"/>
  <c r="BS168" i="1"/>
  <c r="BS171" i="1" s="1"/>
  <c r="BO180" i="1"/>
  <c r="BO183" i="1"/>
  <c r="BO124" i="1" l="1"/>
  <c r="BO125" i="1" s="1"/>
  <c r="BO128" i="1" s="1"/>
  <c r="BP52" i="1"/>
  <c r="BS200" i="1"/>
  <c r="BS199" i="1" s="1"/>
  <c r="BT212" i="1"/>
  <c r="BT213" i="1" s="1"/>
  <c r="BT214" i="1" s="1"/>
  <c r="BT228" i="1" s="1"/>
  <c r="BS212" i="1"/>
  <c r="BS213" i="1" s="1"/>
  <c r="BS214" i="1" s="1"/>
  <c r="BO181" i="1"/>
  <c r="BS172" i="1"/>
  <c r="BQ175" i="1"/>
  <c r="BQ176" i="1" s="1"/>
  <c r="BQ263" i="1" l="1"/>
  <c r="BQ261" i="1"/>
  <c r="BQ259" i="1"/>
  <c r="BO126" i="1"/>
  <c r="BO129" i="1" s="1"/>
  <c r="BS201" i="1"/>
  <c r="BS204" i="1" s="1"/>
  <c r="BS228" i="1"/>
  <c r="BS225" i="1"/>
  <c r="BR224" i="1"/>
  <c r="BR225" i="1" s="1"/>
  <c r="BR226" i="1" s="1"/>
  <c r="BQ226" i="1"/>
  <c r="BQ180" i="1"/>
  <c r="BQ183" i="1"/>
  <c r="BU168" i="1"/>
  <c r="BU171" i="1" s="1"/>
  <c r="BQ124" i="1" l="1"/>
  <c r="BQ125" i="1" s="1"/>
  <c r="BQ128" i="1" s="1"/>
  <c r="BR52" i="1"/>
  <c r="BU200" i="1"/>
  <c r="BU199" i="1" s="1"/>
  <c r="BV212" i="1"/>
  <c r="BV213" i="1" s="1"/>
  <c r="BV214" i="1" s="1"/>
  <c r="BV228" i="1" s="1"/>
  <c r="BU212" i="1"/>
  <c r="BU213" i="1" s="1"/>
  <c r="BU214" i="1" s="1"/>
  <c r="BS175" i="1"/>
  <c r="BS176" i="1" s="1"/>
  <c r="BQ181" i="1"/>
  <c r="BU172" i="1"/>
  <c r="BS263" i="1" l="1"/>
  <c r="BS261" i="1"/>
  <c r="BS259" i="1"/>
  <c r="BQ126" i="1"/>
  <c r="BQ129" i="1" s="1"/>
  <c r="BU201" i="1"/>
  <c r="BU204" i="1" s="1"/>
  <c r="BU228" i="1"/>
  <c r="BU225" i="1"/>
  <c r="BT224" i="1"/>
  <c r="BT225" i="1" s="1"/>
  <c r="BT226" i="1" s="1"/>
  <c r="BS226" i="1"/>
  <c r="BS180" i="1"/>
  <c r="BS183" i="1"/>
  <c r="BW168" i="1"/>
  <c r="BW171" i="1" s="1"/>
  <c r="BS124" i="1" l="1"/>
  <c r="BS126" i="1" s="1"/>
  <c r="BS129" i="1" s="1"/>
  <c r="BT52" i="1"/>
  <c r="BW200" i="1"/>
  <c r="BW199" i="1" s="1"/>
  <c r="BX212" i="1"/>
  <c r="BX213" i="1" s="1"/>
  <c r="BX214" i="1" s="1"/>
  <c r="BX228" i="1" s="1"/>
  <c r="BW212" i="1"/>
  <c r="BW213" i="1" s="1"/>
  <c r="BW214" i="1" s="1"/>
  <c r="BW172" i="1"/>
  <c r="BS181" i="1"/>
  <c r="BU175" i="1"/>
  <c r="BU176" i="1" s="1"/>
  <c r="BU261" i="1" l="1"/>
  <c r="BU263" i="1"/>
  <c r="BU259" i="1"/>
  <c r="BS125" i="1"/>
  <c r="BS128" i="1" s="1"/>
  <c r="BW201" i="1"/>
  <c r="BW204" i="1" s="1"/>
  <c r="BW228" i="1"/>
  <c r="BW225" i="1"/>
  <c r="BV224" i="1"/>
  <c r="BV225" i="1" s="1"/>
  <c r="BV226" i="1" s="1"/>
  <c r="BU226" i="1"/>
  <c r="BU180" i="1"/>
  <c r="BU183" i="1"/>
  <c r="BY168" i="1"/>
  <c r="BY171" i="1" s="1"/>
  <c r="BU124" i="1" l="1"/>
  <c r="BU126" i="1" s="1"/>
  <c r="BU129" i="1" s="1"/>
  <c r="BV52" i="1"/>
  <c r="BZ212" i="1"/>
  <c r="BZ213" i="1" s="1"/>
  <c r="BZ214" i="1" s="1"/>
  <c r="BZ228" i="1" s="1"/>
  <c r="BY200" i="1"/>
  <c r="BY199" i="1" s="1"/>
  <c r="BY212" i="1"/>
  <c r="BY213" i="1" s="1"/>
  <c r="BY214" i="1" s="1"/>
  <c r="BW175" i="1"/>
  <c r="BW176" i="1" s="1"/>
  <c r="BY172" i="1"/>
  <c r="BU181" i="1"/>
  <c r="BW261" i="1" l="1"/>
  <c r="BW263" i="1"/>
  <c r="BW259" i="1"/>
  <c r="BU125" i="1"/>
  <c r="BU128" i="1" s="1"/>
  <c r="BY201" i="1"/>
  <c r="BY204" i="1" s="1"/>
  <c r="BY228" i="1"/>
  <c r="BY225" i="1"/>
  <c r="BX224" i="1"/>
  <c r="BX225" i="1" s="1"/>
  <c r="BX226" i="1" s="1"/>
  <c r="BW226" i="1"/>
  <c r="BW180" i="1"/>
  <c r="BW183" i="1"/>
  <c r="BW124" i="1" l="1"/>
  <c r="BW126" i="1" s="1"/>
  <c r="BW129" i="1" s="1"/>
  <c r="BX52" i="1"/>
  <c r="BW181" i="1"/>
  <c r="BY175" i="1"/>
  <c r="BY176" i="1" s="1"/>
  <c r="BY263" i="1" l="1"/>
  <c r="BY261" i="1"/>
  <c r="BY259" i="1"/>
  <c r="BW125" i="1"/>
  <c r="BW128" i="1" s="1"/>
  <c r="BZ224" i="1"/>
  <c r="BZ225" i="1" s="1"/>
  <c r="BZ226" i="1" s="1"/>
  <c r="BY226" i="1"/>
  <c r="BY183" i="1"/>
  <c r="BY180" i="1"/>
  <c r="BY124" i="1" l="1"/>
  <c r="BY125" i="1" s="1"/>
  <c r="BY128" i="1" s="1"/>
  <c r="BZ52" i="1"/>
  <c r="BY181" i="1"/>
  <c r="CC160" i="1"/>
  <c r="CC159" i="1"/>
  <c r="CA159" i="1"/>
  <c r="CA168" i="1"/>
  <c r="CA171" i="1" s="1"/>
  <c r="CA160" i="1"/>
  <c r="BY126" i="1" l="1"/>
  <c r="BY129" i="1" s="1"/>
  <c r="CA163" i="1"/>
  <c r="CA197" i="1" s="1"/>
  <c r="CA196" i="1" s="1"/>
  <c r="CB212" i="1"/>
  <c r="CA200" i="1"/>
  <c r="CA199" i="1" s="1"/>
  <c r="CA212" i="1"/>
  <c r="CC168" i="1"/>
  <c r="CC171" i="1" s="1"/>
  <c r="CC163" i="1"/>
  <c r="CA172" i="1" l="1"/>
  <c r="CA211" i="1"/>
  <c r="CA213" i="1" s="1"/>
  <c r="CA214" i="1" s="1"/>
  <c r="CA228" i="1" s="1"/>
  <c r="CB211" i="1"/>
  <c r="CB213" i="1" s="1"/>
  <c r="CB214" i="1" s="1"/>
  <c r="CB228" i="1" s="1"/>
  <c r="CA201" i="1"/>
  <c r="CD211" i="1"/>
  <c r="CC197" i="1"/>
  <c r="CC196" i="1" s="1"/>
  <c r="CC211" i="1"/>
  <c r="CC200" i="1"/>
  <c r="CC199" i="1" s="1"/>
  <c r="CD212" i="1"/>
  <c r="CC212" i="1"/>
  <c r="CC172" i="1"/>
  <c r="CA204" i="1" l="1"/>
  <c r="CE204" i="1"/>
  <c r="CC213" i="1"/>
  <c r="CC214" i="1" s="1"/>
  <c r="CC228" i="1" s="1"/>
  <c r="CD213" i="1"/>
  <c r="CD214" i="1" s="1"/>
  <c r="CD228" i="1" s="1"/>
  <c r="CA225" i="1"/>
  <c r="CA175" i="1" s="1"/>
  <c r="CA176" i="1" s="1"/>
  <c r="CC201" i="1"/>
  <c r="CA263" i="1" l="1"/>
  <c r="CA261" i="1"/>
  <c r="CA259" i="1"/>
  <c r="CC204" i="1"/>
  <c r="CG204" i="1"/>
  <c r="CC225" i="1"/>
  <c r="CC175" i="1" s="1"/>
  <c r="CC176" i="1" s="1"/>
  <c r="CB224" i="1"/>
  <c r="CB225" i="1" s="1"/>
  <c r="CB226" i="1" s="1"/>
  <c r="CA226" i="1"/>
  <c r="CA183" i="1"/>
  <c r="CA180" i="1"/>
  <c r="CC261" i="1" l="1"/>
  <c r="CC263" i="1"/>
  <c r="CC259" i="1"/>
  <c r="CA124" i="1"/>
  <c r="CA125" i="1" s="1"/>
  <c r="CA128" i="1" s="1"/>
  <c r="CB52" i="1"/>
  <c r="CD224" i="1"/>
  <c r="CD225" i="1" s="1"/>
  <c r="CD226" i="1" s="1"/>
  <c r="CC226" i="1"/>
  <c r="CC180" i="1"/>
  <c r="CC183" i="1"/>
  <c r="CA181" i="1"/>
  <c r="CA126" i="1" l="1"/>
  <c r="CA129" i="1" s="1"/>
  <c r="CC124" i="1"/>
  <c r="CC125" i="1" s="1"/>
  <c r="CC128" i="1" s="1"/>
  <c r="CD52" i="1"/>
  <c r="CC181" i="1"/>
  <c r="CC126" i="1" l="1"/>
  <c r="CC129" i="1" s="1"/>
  <c r="CE104" i="1"/>
  <c r="CD104" i="1"/>
  <c r="CC104" i="1"/>
  <c r="CB104" i="1"/>
  <c r="CI160" i="1" l="1"/>
  <c r="CI168" i="1"/>
  <c r="CI171" i="1" s="1"/>
  <c r="CI159" i="1"/>
  <c r="CJ212" i="1" l="1"/>
  <c r="CI163" i="1"/>
  <c r="CI212" i="1"/>
  <c r="CJ211" i="1" l="1"/>
  <c r="CJ213" i="1" s="1"/>
  <c r="CJ214" i="1" s="1"/>
  <c r="CJ228" i="1" s="1"/>
  <c r="CI172" i="1"/>
  <c r="CI211" i="1"/>
  <c r="CI213" i="1" s="1"/>
  <c r="CI214" i="1" s="1"/>
  <c r="CI228" i="1" s="1"/>
  <c r="CI201" i="1" l="1"/>
  <c r="CI204" i="1" s="1"/>
  <c r="CI225" i="1"/>
  <c r="CI175" i="1" s="1"/>
  <c r="CI176" i="1" s="1"/>
  <c r="CI263" i="1" l="1"/>
  <c r="CI261" i="1"/>
  <c r="CI259" i="1"/>
  <c r="CI226" i="1"/>
  <c r="CJ224" i="1"/>
  <c r="CJ225" i="1" s="1"/>
  <c r="CI183" i="1"/>
  <c r="CI180" i="1"/>
  <c r="CI124" i="1" l="1"/>
  <c r="CI126" i="1" s="1"/>
  <c r="CI129" i="1" s="1"/>
  <c r="CJ52" i="1"/>
  <c r="CJ226" i="1"/>
  <c r="CI181" i="1"/>
  <c r="CI125" i="1" l="1"/>
  <c r="CI128" i="1" s="1"/>
  <c r="CJ183" i="1"/>
  <c r="CJ124" i="1" l="1"/>
  <c r="CK52" i="1"/>
  <c r="CJ125" i="1" l="1"/>
  <c r="CJ128" i="1" s="1"/>
  <c r="CJ126" i="1"/>
  <c r="CJ129" i="1" s="1"/>
  <c r="CK246" i="1" l="1"/>
  <c r="CK268" i="1"/>
  <c r="CK267" i="1"/>
  <c r="CN25" i="1"/>
  <c r="CN268" i="1"/>
  <c r="CM25" i="1"/>
  <c r="CM268" i="1"/>
  <c r="CN246" i="1"/>
  <c r="CM246" i="1"/>
  <c r="CM113" i="1"/>
  <c r="CM114" i="1" s="1"/>
  <c r="CM117" i="1" s="1"/>
  <c r="CN113" i="1"/>
  <c r="CN114" i="1" s="1"/>
  <c r="CN117" i="1" s="1"/>
  <c r="CN27" i="1" l="1"/>
  <c r="CM26" i="1"/>
  <c r="CM27" i="1"/>
  <c r="CN26" i="1"/>
  <c r="CM161" i="1"/>
  <c r="CQ268" i="1"/>
  <c r="CO25" i="1"/>
  <c r="CO27" i="1" s="1"/>
  <c r="CN41" i="1"/>
  <c r="CN38" i="1" s="1"/>
  <c r="CR268" i="1"/>
  <c r="CN160" i="1"/>
  <c r="CN31" i="1"/>
  <c r="CN159" i="1"/>
  <c r="CN168" i="1"/>
  <c r="CM41" i="1"/>
  <c r="CM38" i="1" s="1"/>
  <c r="CM168" i="1"/>
  <c r="CN167" i="1"/>
  <c r="CN161" i="1"/>
  <c r="CM160" i="1"/>
  <c r="CM31" i="1"/>
  <c r="CM30" i="1" s="1"/>
  <c r="CM167" i="1"/>
  <c r="CM159" i="1"/>
  <c r="CK159" i="1"/>
  <c r="CK168" i="1"/>
  <c r="CK160" i="1"/>
  <c r="CM240" i="1"/>
  <c r="CK167" i="1"/>
  <c r="CK240" i="1"/>
  <c r="CK161" i="1"/>
  <c r="CN240" i="1"/>
  <c r="CO26" i="1" l="1"/>
  <c r="CO240" i="1"/>
  <c r="CM171" i="1"/>
  <c r="CK171" i="1"/>
  <c r="CN30" i="1"/>
  <c r="CN33" i="1"/>
  <c r="CN43" i="1"/>
  <c r="CN163" i="1"/>
  <c r="CM163" i="1"/>
  <c r="CN171" i="1"/>
  <c r="CR25" i="1"/>
  <c r="CM33" i="1"/>
  <c r="CR246" i="1"/>
  <c r="CQ25" i="1"/>
  <c r="CQ246" i="1"/>
  <c r="CM43" i="1"/>
  <c r="CR113" i="1"/>
  <c r="CR114" i="1" s="1"/>
  <c r="CR117" i="1" s="1"/>
  <c r="CP268" i="1"/>
  <c r="CN34" i="1"/>
  <c r="CO113" i="1"/>
  <c r="CO114" i="1" s="1"/>
  <c r="CO117" i="1" s="1"/>
  <c r="CO268" i="1"/>
  <c r="CO246" i="1"/>
  <c r="CK163" i="1"/>
  <c r="CM34" i="1"/>
  <c r="CP246" i="1"/>
  <c r="CP25" i="1"/>
  <c r="CQ113" i="1"/>
  <c r="CQ114" i="1" s="1"/>
  <c r="CQ117" i="1" s="1"/>
  <c r="AB23" i="1"/>
  <c r="AB268" i="1" s="1"/>
  <c r="CP113" i="1"/>
  <c r="CP114" i="1" s="1"/>
  <c r="CP117" i="1" s="1"/>
  <c r="CO159" i="1"/>
  <c r="CO31" i="1"/>
  <c r="CO167" i="1"/>
  <c r="CO168" i="1"/>
  <c r="CO41" i="1"/>
  <c r="CO38" i="1" s="1"/>
  <c r="CO160" i="1"/>
  <c r="CO161" i="1"/>
  <c r="CK212" i="1" l="1"/>
  <c r="CL212" i="1"/>
  <c r="CK211" i="1"/>
  <c r="CL211" i="1"/>
  <c r="CL213" i="1" s="1"/>
  <c r="CL214" i="1" s="1"/>
  <c r="CL228" i="1" s="1"/>
  <c r="CQ27" i="1"/>
  <c r="CP26" i="1"/>
  <c r="CR27" i="1"/>
  <c r="CQ26" i="1"/>
  <c r="CR26" i="1"/>
  <c r="CP27" i="1"/>
  <c r="CN265" i="1"/>
  <c r="CN266" i="1" s="1"/>
  <c r="CN212" i="1"/>
  <c r="CN44" i="1"/>
  <c r="CN247" i="1"/>
  <c r="CN248" i="1" s="1"/>
  <c r="CN45" i="1"/>
  <c r="CN49" i="1"/>
  <c r="CN172" i="1"/>
  <c r="CM172" i="1"/>
  <c r="CN211" i="1"/>
  <c r="CR167" i="1"/>
  <c r="CR31" i="1"/>
  <c r="CR159" i="1"/>
  <c r="CR160" i="1"/>
  <c r="CR161" i="1"/>
  <c r="CR41" i="1"/>
  <c r="CR38" i="1" s="1"/>
  <c r="CR168" i="1"/>
  <c r="CQ41" i="1"/>
  <c r="CQ38" i="1" s="1"/>
  <c r="CQ161" i="1"/>
  <c r="CQ160" i="1"/>
  <c r="CQ167" i="1"/>
  <c r="CQ168" i="1"/>
  <c r="CQ159" i="1"/>
  <c r="CN46" i="1"/>
  <c r="CM45" i="1"/>
  <c r="CM247" i="1"/>
  <c r="CM248" i="1" s="1"/>
  <c r="CM44" i="1"/>
  <c r="CM49" i="1"/>
  <c r="CQ31" i="1"/>
  <c r="CK172" i="1"/>
  <c r="CK265" i="1"/>
  <c r="CK266" i="1" s="1"/>
  <c r="CS113" i="1"/>
  <c r="CS114" i="1" s="1"/>
  <c r="CS117" i="1" s="1"/>
  <c r="CS268" i="1"/>
  <c r="CM265" i="1"/>
  <c r="CM266" i="1" s="1"/>
  <c r="CK247" i="1"/>
  <c r="CK248" i="1" s="1"/>
  <c r="CK241" i="1"/>
  <c r="CN241" i="1"/>
  <c r="CR240" i="1"/>
  <c r="CP240" i="1"/>
  <c r="AB25" i="1"/>
  <c r="CO171" i="1"/>
  <c r="CS25" i="1"/>
  <c r="CS246" i="1"/>
  <c r="CO163" i="1"/>
  <c r="CM127" i="1"/>
  <c r="CN127" i="1"/>
  <c r="CM212" i="1"/>
  <c r="CP160" i="1"/>
  <c r="AB160" i="1" s="1"/>
  <c r="AB195" i="1" s="1"/>
  <c r="CP159" i="1"/>
  <c r="CP167" i="1"/>
  <c r="CP31" i="1"/>
  <c r="CP30" i="1" s="1"/>
  <c r="CP168" i="1"/>
  <c r="AB168" i="1" s="1"/>
  <c r="AB198" i="1" s="1"/>
  <c r="CP161" i="1"/>
  <c r="AB161" i="1" s="1"/>
  <c r="CP41" i="1"/>
  <c r="CP38" i="1" s="1"/>
  <c r="CT268" i="1"/>
  <c r="CO43" i="1"/>
  <c r="CO33" i="1"/>
  <c r="CO34" i="1"/>
  <c r="CM211" i="1"/>
  <c r="CQ240" i="1"/>
  <c r="CO30" i="1"/>
  <c r="CM241" i="1"/>
  <c r="CM46" i="1"/>
  <c r="CK213" i="1" l="1"/>
  <c r="CS26" i="1"/>
  <c r="CS27" i="1"/>
  <c r="CU268" i="1"/>
  <c r="CU246" i="1"/>
  <c r="CU25" i="1"/>
  <c r="CS240" i="1"/>
  <c r="CW268" i="1"/>
  <c r="CR163" i="1"/>
  <c r="CQ171" i="1"/>
  <c r="AB38" i="1"/>
  <c r="AB41" i="1" s="1"/>
  <c r="AB42" i="1" s="1"/>
  <c r="CN213" i="1"/>
  <c r="CR171" i="1"/>
  <c r="CR33" i="1"/>
  <c r="CR34" i="1"/>
  <c r="CR43" i="1"/>
  <c r="CR30" i="1"/>
  <c r="CV268" i="1"/>
  <c r="CV246" i="1"/>
  <c r="CV25" i="1"/>
  <c r="CQ30" i="1"/>
  <c r="CQ33" i="1"/>
  <c r="CQ43" i="1"/>
  <c r="CQ163" i="1"/>
  <c r="CO127" i="1"/>
  <c r="CO265" i="1"/>
  <c r="CO266" i="1" s="1"/>
  <c r="AB113" i="1"/>
  <c r="AB203" i="1"/>
  <c r="CQ34" i="1"/>
  <c r="AB30" i="1"/>
  <c r="AB31" i="1" s="1"/>
  <c r="CM213" i="1"/>
  <c r="CO172" i="1"/>
  <c r="CO211" i="1"/>
  <c r="CO241" i="1"/>
  <c r="AC23" i="1"/>
  <c r="AC268" i="1" s="1"/>
  <c r="CV113" i="1"/>
  <c r="CV114" i="1" s="1"/>
  <c r="CV117" i="1" s="1"/>
  <c r="AB26" i="1"/>
  <c r="AB73" i="1"/>
  <c r="AB159" i="1"/>
  <c r="CP163" i="1"/>
  <c r="CS159" i="1"/>
  <c r="CS31" i="1"/>
  <c r="CS30" i="1" s="1"/>
  <c r="CS167" i="1"/>
  <c r="CS160" i="1"/>
  <c r="CS168" i="1"/>
  <c r="CS161" i="1"/>
  <c r="CS41" i="1"/>
  <c r="CS38" i="1" s="1"/>
  <c r="CT113" i="1"/>
  <c r="CT114" i="1" s="1"/>
  <c r="CT117" i="1" s="1"/>
  <c r="CO212" i="1"/>
  <c r="CO45" i="1"/>
  <c r="CO247" i="1"/>
  <c r="CO248" i="1" s="1"/>
  <c r="CO49" i="1"/>
  <c r="CO46" i="1"/>
  <c r="CO44" i="1"/>
  <c r="CP33" i="1"/>
  <c r="CP43" i="1"/>
  <c r="CP34" i="1"/>
  <c r="CT246" i="1"/>
  <c r="CT25" i="1"/>
  <c r="AB167" i="1"/>
  <c r="AB171" i="1" s="1"/>
  <c r="CP171" i="1"/>
  <c r="CU113" i="1"/>
  <c r="CU114" i="1" s="1"/>
  <c r="CU117" i="1" s="1"/>
  <c r="CU27" i="1" l="1"/>
  <c r="CT26" i="1"/>
  <c r="CV26" i="1"/>
  <c r="CV27" i="1"/>
  <c r="CU26" i="1"/>
  <c r="CT27" i="1"/>
  <c r="CU159" i="1"/>
  <c r="CU41" i="1"/>
  <c r="CU38" i="1" s="1"/>
  <c r="CU31" i="1"/>
  <c r="CU167" i="1"/>
  <c r="CU160" i="1"/>
  <c r="CU168" i="1"/>
  <c r="CU161" i="1"/>
  <c r="CQ212" i="1"/>
  <c r="CV159" i="1"/>
  <c r="CV31" i="1"/>
  <c r="CV33" i="1" s="1"/>
  <c r="CV167" i="1"/>
  <c r="CR212" i="1"/>
  <c r="CR172" i="1"/>
  <c r="CR247" i="1"/>
  <c r="CR248" i="1" s="1"/>
  <c r="CR44" i="1"/>
  <c r="CR49" i="1"/>
  <c r="CR45" i="1"/>
  <c r="CV161" i="1"/>
  <c r="CV160" i="1"/>
  <c r="CV41" i="1"/>
  <c r="CV38" i="1" s="1"/>
  <c r="CV168" i="1"/>
  <c r="CQ49" i="1"/>
  <c r="CQ44" i="1"/>
  <c r="CQ45" i="1"/>
  <c r="CR46" i="1"/>
  <c r="CR265" i="1"/>
  <c r="CR266" i="1" s="1"/>
  <c r="CQ247" i="1"/>
  <c r="CQ248" i="1" s="1"/>
  <c r="CR211" i="1"/>
  <c r="CQ172" i="1"/>
  <c r="AB33" i="1"/>
  <c r="CP127" i="1"/>
  <c r="CP265" i="1"/>
  <c r="CP266" i="1" s="1"/>
  <c r="CQ265" i="1"/>
  <c r="CQ266" i="1" s="1"/>
  <c r="CS171" i="1"/>
  <c r="CS212" i="1" s="1"/>
  <c r="CV240" i="1"/>
  <c r="CP212" i="1"/>
  <c r="CP247" i="1"/>
  <c r="CP248" i="1" s="1"/>
  <c r="CP45" i="1"/>
  <c r="CP46" i="1"/>
  <c r="CP44" i="1"/>
  <c r="CP49" i="1"/>
  <c r="CT240" i="1"/>
  <c r="CP241" i="1"/>
  <c r="CU240" i="1"/>
  <c r="CR241" i="1"/>
  <c r="CQ241" i="1"/>
  <c r="CS43" i="1"/>
  <c r="CS265" i="1" s="1"/>
  <c r="CS266" i="1" s="1"/>
  <c r="CS33" i="1"/>
  <c r="CS34" i="1"/>
  <c r="AC25" i="1"/>
  <c r="CO213" i="1"/>
  <c r="CW246" i="1"/>
  <c r="CW25" i="1"/>
  <c r="CW27" i="1" s="1"/>
  <c r="CQ127" i="1"/>
  <c r="CW113" i="1"/>
  <c r="CW114" i="1" s="1"/>
  <c r="CW117" i="1" s="1"/>
  <c r="CS163" i="1"/>
  <c r="CT159" i="1"/>
  <c r="CT168" i="1"/>
  <c r="AC168" i="1" s="1"/>
  <c r="AC198" i="1" s="1"/>
  <c r="CT31" i="1"/>
  <c r="CT30" i="1" s="1"/>
  <c r="AC30" i="1" s="1"/>
  <c r="CT160" i="1"/>
  <c r="AC160" i="1" s="1"/>
  <c r="AC195" i="1" s="1"/>
  <c r="CT167" i="1"/>
  <c r="CT41" i="1"/>
  <c r="CT38" i="1" s="1"/>
  <c r="CT161" i="1"/>
  <c r="AC161" i="1" s="1"/>
  <c r="AB74" i="1"/>
  <c r="AB32" i="1"/>
  <c r="AB43" i="1"/>
  <c r="AB265" i="1" s="1"/>
  <c r="AB266" i="1" s="1"/>
  <c r="CQ46" i="1"/>
  <c r="CQ211" i="1"/>
  <c r="CP172" i="1"/>
  <c r="CP211" i="1"/>
  <c r="AB200" i="1"/>
  <c r="AB199" i="1" s="1"/>
  <c r="AB212" i="1"/>
  <c r="CR127" i="1"/>
  <c r="AB163" i="1"/>
  <c r="AB194" i="1"/>
  <c r="CW26" i="1" l="1"/>
  <c r="CU171" i="1"/>
  <c r="CU163" i="1"/>
  <c r="CY268" i="1"/>
  <c r="CY25" i="1"/>
  <c r="CY246" i="1"/>
  <c r="CU30" i="1"/>
  <c r="CU43" i="1"/>
  <c r="CU33" i="1"/>
  <c r="CW240" i="1"/>
  <c r="DA268" i="1"/>
  <c r="CQ213" i="1"/>
  <c r="AC38" i="1"/>
  <c r="AC41" i="1" s="1"/>
  <c r="AC42" i="1" s="1"/>
  <c r="CV163" i="1"/>
  <c r="CV30" i="1"/>
  <c r="CV34" i="1"/>
  <c r="CV171" i="1"/>
  <c r="CV43" i="1"/>
  <c r="CZ268" i="1"/>
  <c r="CZ246" i="1"/>
  <c r="CZ25" i="1"/>
  <c r="CR213" i="1"/>
  <c r="CX113" i="1"/>
  <c r="CX114" i="1" s="1"/>
  <c r="CX117" i="1" s="1"/>
  <c r="CX268" i="1"/>
  <c r="CP213" i="1"/>
  <c r="AC113" i="1"/>
  <c r="AC203" i="1"/>
  <c r="AB45" i="1"/>
  <c r="CT163" i="1"/>
  <c r="CT211" i="1" s="1"/>
  <c r="AC159" i="1"/>
  <c r="CS172" i="1"/>
  <c r="CS211" i="1"/>
  <c r="CS213" i="1" s="1"/>
  <c r="CY113" i="1"/>
  <c r="CY114" i="1" s="1"/>
  <c r="CY117" i="1" s="1"/>
  <c r="CS46" i="1"/>
  <c r="CS44" i="1"/>
  <c r="CS49" i="1"/>
  <c r="CS247" i="1"/>
  <c r="CS248" i="1" s="1"/>
  <c r="CS45" i="1"/>
  <c r="AB172" i="1"/>
  <c r="AB197" i="1"/>
  <c r="AB211" i="1"/>
  <c r="AB213" i="1" s="1"/>
  <c r="AB75" i="1"/>
  <c r="AB49" i="1"/>
  <c r="AB127" i="1"/>
  <c r="AB44" i="1"/>
  <c r="CW31" i="1"/>
  <c r="CW30" i="1" s="1"/>
  <c r="CW167" i="1"/>
  <c r="CW159" i="1"/>
  <c r="CW161" i="1"/>
  <c r="CW160" i="1"/>
  <c r="CW168" i="1"/>
  <c r="CW41" i="1"/>
  <c r="CW38" i="1" s="1"/>
  <c r="CT171" i="1"/>
  <c r="AC167" i="1"/>
  <c r="AC171" i="1" s="1"/>
  <c r="CS127" i="1"/>
  <c r="CK260" i="1"/>
  <c r="CK242" i="1"/>
  <c r="CK249" i="1"/>
  <c r="CS241" i="1"/>
  <c r="CT34" i="1"/>
  <c r="CT33" i="1"/>
  <c r="CT43" i="1"/>
  <c r="AC26" i="1"/>
  <c r="AC31" i="1"/>
  <c r="AC73" i="1"/>
  <c r="CX246" i="1"/>
  <c r="CX25" i="1"/>
  <c r="CZ113" i="1"/>
  <c r="CZ114" i="1" s="1"/>
  <c r="CZ117" i="1" s="1"/>
  <c r="CU34" i="1"/>
  <c r="AD23" i="1"/>
  <c r="AD268" i="1" s="1"/>
  <c r="CY27" i="1" l="1"/>
  <c r="CX26" i="1"/>
  <c r="CZ168" i="1"/>
  <c r="CZ26" i="1"/>
  <c r="CZ27" i="1"/>
  <c r="CY26" i="1"/>
  <c r="CX27" i="1"/>
  <c r="CV211" i="1"/>
  <c r="CU172" i="1"/>
  <c r="CY168" i="1"/>
  <c r="CY161" i="1"/>
  <c r="CY159" i="1"/>
  <c r="CY160" i="1"/>
  <c r="CY167" i="1"/>
  <c r="CY41" i="1"/>
  <c r="CY38" i="1" s="1"/>
  <c r="CY31" i="1"/>
  <c r="CY30" i="1" s="1"/>
  <c r="CU49" i="1"/>
  <c r="CU45" i="1"/>
  <c r="CU247" i="1"/>
  <c r="CU248" i="1" s="1"/>
  <c r="CU44" i="1"/>
  <c r="CZ240" i="1"/>
  <c r="CV265" i="1"/>
  <c r="CV266" i="1" s="1"/>
  <c r="CV49" i="1"/>
  <c r="CV247" i="1"/>
  <c r="CV248" i="1" s="1"/>
  <c r="CV44" i="1"/>
  <c r="CV46" i="1"/>
  <c r="CV45" i="1"/>
  <c r="CZ41" i="1"/>
  <c r="CZ38" i="1" s="1"/>
  <c r="CZ159" i="1"/>
  <c r="CZ167" i="1"/>
  <c r="CZ171" i="1" s="1"/>
  <c r="CZ161" i="1"/>
  <c r="CZ160" i="1"/>
  <c r="CZ31" i="1"/>
  <c r="CV172" i="1"/>
  <c r="CV212" i="1"/>
  <c r="AC33" i="1"/>
  <c r="CU127" i="1"/>
  <c r="CT265" i="1"/>
  <c r="CT266" i="1" s="1"/>
  <c r="CU265" i="1"/>
  <c r="CU266" i="1" s="1"/>
  <c r="CW171" i="1"/>
  <c r="CW212" i="1" s="1"/>
  <c r="CX240" i="1"/>
  <c r="CY240" i="1"/>
  <c r="CU212" i="1"/>
  <c r="CT212" i="1"/>
  <c r="CT213" i="1" s="1"/>
  <c r="CK208" i="1"/>
  <c r="CK210" i="1" s="1"/>
  <c r="CK214" i="1" s="1"/>
  <c r="CK228" i="1" s="1"/>
  <c r="CK134" i="1"/>
  <c r="CV241" i="1"/>
  <c r="AC43" i="1"/>
  <c r="AC265" i="1" s="1"/>
  <c r="AC266" i="1" s="1"/>
  <c r="AC74" i="1"/>
  <c r="AC32" i="1"/>
  <c r="CW163" i="1"/>
  <c r="CT241" i="1"/>
  <c r="AC194" i="1"/>
  <c r="AC163" i="1"/>
  <c r="DA246" i="1"/>
  <c r="DA25" i="1"/>
  <c r="CT172" i="1"/>
  <c r="CU211" i="1"/>
  <c r="CX159" i="1"/>
  <c r="CX160" i="1"/>
  <c r="AD160" i="1" s="1"/>
  <c r="AD195" i="1" s="1"/>
  <c r="CX31" i="1"/>
  <c r="CX168" i="1"/>
  <c r="AD168" i="1" s="1"/>
  <c r="AD198" i="1" s="1"/>
  <c r="CX167" i="1"/>
  <c r="CX41" i="1"/>
  <c r="CX38" i="1" s="1"/>
  <c r="CX161" i="1"/>
  <c r="AD161" i="1" s="1"/>
  <c r="CT49" i="1"/>
  <c r="CT45" i="1"/>
  <c r="CT44" i="1"/>
  <c r="CT247" i="1"/>
  <c r="CT248" i="1" s="1"/>
  <c r="CT46" i="1"/>
  <c r="CW34" i="1"/>
  <c r="CW33" i="1"/>
  <c r="CW43" i="1"/>
  <c r="CU241" i="1"/>
  <c r="CU46" i="1"/>
  <c r="AD25" i="1"/>
  <c r="DA113" i="1"/>
  <c r="DA114" i="1" s="1"/>
  <c r="DA117" i="1" s="1"/>
  <c r="AC200" i="1"/>
  <c r="AC199" i="1" s="1"/>
  <c r="AC212" i="1"/>
  <c r="AB196" i="1"/>
  <c r="AB201" i="1"/>
  <c r="AB204" i="1" s="1"/>
  <c r="AB205" i="1" s="1"/>
  <c r="CT127" i="1"/>
  <c r="CV127" i="1"/>
  <c r="CY171" i="1" l="1"/>
  <c r="CZ212" i="1" s="1"/>
  <c r="DA240" i="1"/>
  <c r="DA26" i="1"/>
  <c r="DA27" i="1"/>
  <c r="CV213" i="1"/>
  <c r="CY163" i="1"/>
  <c r="CY172" i="1" s="1"/>
  <c r="CY43" i="1"/>
  <c r="CY247" i="1" s="1"/>
  <c r="CY248" i="1" s="1"/>
  <c r="CY33" i="1"/>
  <c r="CY34" i="1"/>
  <c r="AD38" i="1"/>
  <c r="AD41" i="1" s="1"/>
  <c r="AD42" i="1" s="1"/>
  <c r="CZ163" i="1"/>
  <c r="CZ30" i="1"/>
  <c r="CZ33" i="1"/>
  <c r="CZ43" i="1"/>
  <c r="CZ34" i="1"/>
  <c r="CW241" i="1"/>
  <c r="CW265" i="1"/>
  <c r="CW266" i="1" s="1"/>
  <c r="DB113" i="1"/>
  <c r="DB114" i="1" s="1"/>
  <c r="DB117" i="1" s="1"/>
  <c r="DB268" i="1"/>
  <c r="AD113" i="1"/>
  <c r="AD203" i="1"/>
  <c r="CU213" i="1"/>
  <c r="AC45" i="1"/>
  <c r="AD167" i="1"/>
  <c r="AD171" i="1" s="1"/>
  <c r="CX171" i="1"/>
  <c r="DA167" i="1"/>
  <c r="DA168" i="1"/>
  <c r="DA160" i="1"/>
  <c r="DA31" i="1"/>
  <c r="DA159" i="1"/>
  <c r="DA41" i="1"/>
  <c r="DA38" i="1" s="1"/>
  <c r="DA161" i="1"/>
  <c r="CK135" i="1"/>
  <c r="CL222" i="1" s="1"/>
  <c r="CL220" i="1" s="1"/>
  <c r="CX34" i="1"/>
  <c r="CX43" i="1"/>
  <c r="CX33" i="1"/>
  <c r="AC197" i="1"/>
  <c r="AC172" i="1"/>
  <c r="AC211" i="1"/>
  <c r="AC213" i="1" s="1"/>
  <c r="AC49" i="1"/>
  <c r="AC75" i="1"/>
  <c r="AC44" i="1"/>
  <c r="AC127" i="1"/>
  <c r="DB25" i="1"/>
  <c r="DB27" i="1" s="1"/>
  <c r="DB246" i="1"/>
  <c r="CW172" i="1"/>
  <c r="CW211" i="1"/>
  <c r="CW213" i="1" s="1"/>
  <c r="AD159" i="1"/>
  <c r="CX163" i="1"/>
  <c r="AD73" i="1"/>
  <c r="AD26" i="1"/>
  <c r="CW49" i="1"/>
  <c r="CW45" i="1"/>
  <c r="CW247" i="1"/>
  <c r="CW248" i="1" s="1"/>
  <c r="CW46" i="1"/>
  <c r="CW44" i="1"/>
  <c r="CW127" i="1"/>
  <c r="CX30" i="1"/>
  <c r="AD30" i="1" s="1"/>
  <c r="AD31" i="1" s="1"/>
  <c r="AE23" i="1"/>
  <c r="AE268" i="1" s="1"/>
  <c r="CY44" i="1" l="1"/>
  <c r="CY45" i="1"/>
  <c r="CY265" i="1"/>
  <c r="CY266" i="1" s="1"/>
  <c r="CY49" i="1"/>
  <c r="DB240" i="1"/>
  <c r="DB26" i="1"/>
  <c r="CK69" i="1"/>
  <c r="CK107" i="1"/>
  <c r="CZ211" i="1"/>
  <c r="CZ213" i="1" s="1"/>
  <c r="CZ172" i="1"/>
  <c r="CZ265" i="1"/>
  <c r="CZ266" i="1" s="1"/>
  <c r="CZ44" i="1"/>
  <c r="CZ247" i="1"/>
  <c r="CZ248" i="1" s="1"/>
  <c r="CZ46" i="1"/>
  <c r="CZ49" i="1"/>
  <c r="CZ45" i="1"/>
  <c r="AD33" i="1"/>
  <c r="CZ127" i="1"/>
  <c r="CX265" i="1"/>
  <c r="CX266" i="1" s="1"/>
  <c r="CY241" i="1"/>
  <c r="CY46" i="1"/>
  <c r="CZ241" i="1"/>
  <c r="CX241" i="1"/>
  <c r="CY127" i="1"/>
  <c r="CX127" i="1"/>
  <c r="DA163" i="1"/>
  <c r="DA211" i="1" s="1"/>
  <c r="AD32" i="1"/>
  <c r="AD74" i="1"/>
  <c r="AD43" i="1"/>
  <c r="AD265" i="1" s="1"/>
  <c r="AD266" i="1" s="1"/>
  <c r="CY211" i="1"/>
  <c r="CX172" i="1"/>
  <c r="CY212" i="1"/>
  <c r="CX212" i="1"/>
  <c r="AD200" i="1"/>
  <c r="AD199" i="1" s="1"/>
  <c r="AD212" i="1"/>
  <c r="CG104" i="1"/>
  <c r="DA34" i="1"/>
  <c r="DA33" i="1"/>
  <c r="DA43" i="1"/>
  <c r="DA265" i="1" s="1"/>
  <c r="DA266" i="1" s="1"/>
  <c r="CX211" i="1"/>
  <c r="CX49" i="1"/>
  <c r="CX45" i="1"/>
  <c r="CX44" i="1"/>
  <c r="CX247" i="1"/>
  <c r="CX248" i="1" s="1"/>
  <c r="CX46" i="1"/>
  <c r="AD194" i="1"/>
  <c r="AD163" i="1"/>
  <c r="CK222" i="1"/>
  <c r="CK220" i="1" s="1"/>
  <c r="CK225" i="1" s="1"/>
  <c r="CK144" i="1"/>
  <c r="CK70" i="1" s="1"/>
  <c r="AC196" i="1"/>
  <c r="AC201" i="1"/>
  <c r="AC204" i="1" s="1"/>
  <c r="AC205" i="1" s="1"/>
  <c r="DA30" i="1"/>
  <c r="DB160" i="1"/>
  <c r="AE160" i="1" s="1"/>
  <c r="AE195" i="1" s="1"/>
  <c r="DB31" i="1"/>
  <c r="DB30" i="1" s="1"/>
  <c r="DB159" i="1"/>
  <c r="DB41" i="1"/>
  <c r="DB38" i="1" s="1"/>
  <c r="DB168" i="1"/>
  <c r="AE168" i="1" s="1"/>
  <c r="AE198" i="1" s="1"/>
  <c r="DB161" i="1"/>
  <c r="AE161" i="1" s="1"/>
  <c r="DB167" i="1"/>
  <c r="AE25" i="1"/>
  <c r="DA171" i="1"/>
  <c r="CK111" i="1" l="1"/>
  <c r="CK110" i="1"/>
  <c r="CK109" i="1"/>
  <c r="AE38" i="1"/>
  <c r="AE41" i="1" s="1"/>
  <c r="AE42" i="1" s="1"/>
  <c r="AE113" i="1"/>
  <c r="AE203" i="1"/>
  <c r="AD45" i="1"/>
  <c r="DA172" i="1"/>
  <c r="CK175" i="1"/>
  <c r="CK176" i="1" s="1"/>
  <c r="CL224" i="1" s="1"/>
  <c r="CL225" i="1" s="1"/>
  <c r="CL226" i="1" s="1"/>
  <c r="DB34" i="1"/>
  <c r="DB43" i="1"/>
  <c r="DB265" i="1" s="1"/>
  <c r="DB266" i="1" s="1"/>
  <c r="DB33" i="1"/>
  <c r="CX213" i="1"/>
  <c r="CY213" i="1"/>
  <c r="AD172" i="1"/>
  <c r="AD197" i="1"/>
  <c r="AD211" i="1"/>
  <c r="AD213" i="1" s="1"/>
  <c r="DB163" i="1"/>
  <c r="AE159" i="1"/>
  <c r="DA49" i="1"/>
  <c r="DA44" i="1"/>
  <c r="DA45" i="1"/>
  <c r="DA46" i="1"/>
  <c r="DA247" i="1"/>
  <c r="DA248" i="1" s="1"/>
  <c r="AD49" i="1"/>
  <c r="AD44" i="1"/>
  <c r="AD127" i="1"/>
  <c r="AD75" i="1"/>
  <c r="AE26" i="1"/>
  <c r="AE73" i="1"/>
  <c r="AE30" i="1"/>
  <c r="AE31" i="1" s="1"/>
  <c r="AE33" i="1" s="1"/>
  <c r="DA127" i="1"/>
  <c r="DA241" i="1"/>
  <c r="AE167" i="1"/>
  <c r="AE171" i="1" s="1"/>
  <c r="DB171" i="1"/>
  <c r="DB212" i="1" s="1"/>
  <c r="DA212" i="1"/>
  <c r="DA213" i="1" s="1"/>
  <c r="CK226" i="1" l="1"/>
  <c r="CK263" i="1"/>
  <c r="CK259" i="1"/>
  <c r="CK261" i="1"/>
  <c r="AE43" i="1"/>
  <c r="AE32" i="1"/>
  <c r="AE74" i="1"/>
  <c r="DB49" i="1"/>
  <c r="DB46" i="1"/>
  <c r="DB247" i="1"/>
  <c r="DB248" i="1" s="1"/>
  <c r="DB44" i="1"/>
  <c r="DB45" i="1"/>
  <c r="DB127" i="1"/>
  <c r="AD201" i="1"/>
  <c r="AD204" i="1" s="1"/>
  <c r="AD205" i="1" s="1"/>
  <c r="AD196" i="1"/>
  <c r="AE163" i="1"/>
  <c r="AE194" i="1"/>
  <c r="CK180" i="1"/>
  <c r="CK183" i="1"/>
  <c r="DB172" i="1"/>
  <c r="DB211" i="1"/>
  <c r="DB213" i="1" s="1"/>
  <c r="AE200" i="1"/>
  <c r="AE199" i="1" s="1"/>
  <c r="AE212" i="1"/>
  <c r="DB241" i="1"/>
  <c r="CK124" i="1" l="1"/>
  <c r="CL52" i="1"/>
  <c r="CM52" i="1" s="1"/>
  <c r="CN52" i="1" s="1"/>
  <c r="CO52" i="1" s="1"/>
  <c r="CP52" i="1" s="1"/>
  <c r="CQ52" i="1" s="1"/>
  <c r="CR52" i="1" s="1"/>
  <c r="CS52" i="1" s="1"/>
  <c r="CT52" i="1" s="1"/>
  <c r="CU52" i="1" s="1"/>
  <c r="CV52" i="1" s="1"/>
  <c r="CW52" i="1" s="1"/>
  <c r="CX52" i="1" s="1"/>
  <c r="CY52" i="1" s="1"/>
  <c r="CZ52" i="1" s="1"/>
  <c r="DA52" i="1" s="1"/>
  <c r="DB52" i="1" s="1"/>
  <c r="AE45" i="1"/>
  <c r="AE265" i="1"/>
  <c r="AE266" i="1" s="1"/>
  <c r="CK181" i="1"/>
  <c r="AE172" i="1"/>
  <c r="AE197" i="1"/>
  <c r="AE211" i="1"/>
  <c r="AE213" i="1" s="1"/>
  <c r="AE49" i="1"/>
  <c r="AE44" i="1"/>
  <c r="AE75" i="1"/>
  <c r="AE127" i="1"/>
  <c r="CK126" i="1" l="1"/>
  <c r="CK129" i="1" s="1"/>
  <c r="CK125" i="1"/>
  <c r="CK128" i="1" s="1"/>
  <c r="AE201" i="1"/>
  <c r="AE204" i="1" s="1"/>
  <c r="AE205" i="1" s="1"/>
  <c r="AE196" i="1"/>
  <c r="CM102" i="1" l="1"/>
  <c r="CN102" i="1" s="1"/>
  <c r="CO102" i="1" s="1"/>
  <c r="CP102" i="1" s="1"/>
  <c r="CQ102" i="1" s="1"/>
  <c r="CR102" i="1" s="1"/>
  <c r="CS102" i="1" s="1"/>
  <c r="CT102" i="1" s="1"/>
  <c r="CU102" i="1" s="1"/>
  <c r="CV102" i="1" s="1"/>
  <c r="CW102" i="1" s="1"/>
  <c r="CX102" i="1" s="1"/>
  <c r="CY102" i="1" s="1"/>
  <c r="CZ102" i="1" s="1"/>
  <c r="DA102" i="1" s="1"/>
  <c r="DB102" i="1" s="1"/>
  <c r="CM110" i="1"/>
  <c r="CN110" i="1" s="1"/>
  <c r="CO110" i="1" s="1"/>
  <c r="CP110" i="1" s="1"/>
  <c r="CQ110" i="1" s="1"/>
  <c r="CR110" i="1" s="1"/>
  <c r="CS110" i="1" s="1"/>
  <c r="CT110" i="1" s="1"/>
  <c r="CU110" i="1" s="1"/>
  <c r="CV110" i="1" s="1"/>
  <c r="CW110" i="1" s="1"/>
  <c r="CX110" i="1" s="1"/>
  <c r="CY110" i="1" s="1"/>
  <c r="CZ110" i="1" s="1"/>
  <c r="DA110" i="1" s="1"/>
  <c r="DB110" i="1" s="1"/>
  <c r="CM111" i="1"/>
  <c r="CN111" i="1" s="1"/>
  <c r="CO111" i="1" s="1"/>
  <c r="CP111" i="1" s="1"/>
  <c r="CQ111" i="1" s="1"/>
  <c r="CR111" i="1" s="1"/>
  <c r="CS111" i="1" s="1"/>
  <c r="CT111" i="1" s="1"/>
  <c r="CU111" i="1" s="1"/>
  <c r="CV111" i="1" s="1"/>
  <c r="CW111" i="1" s="1"/>
  <c r="CX111" i="1" s="1"/>
  <c r="CY111" i="1" s="1"/>
  <c r="CZ111" i="1" s="1"/>
  <c r="DA111" i="1" s="1"/>
  <c r="DB111" i="1" s="1"/>
  <c r="CH104" i="1"/>
  <c r="CM101" i="1" l="1"/>
  <c r="CN101" i="1" s="1"/>
  <c r="CO101" i="1" s="1"/>
  <c r="CP101" i="1" s="1"/>
  <c r="CQ101" i="1" s="1"/>
  <c r="CR101" i="1" s="1"/>
  <c r="CS101" i="1" s="1"/>
  <c r="CT101" i="1" s="1"/>
  <c r="CU101" i="1" s="1"/>
  <c r="CV101" i="1" s="1"/>
  <c r="CW101" i="1" s="1"/>
  <c r="CX101" i="1" s="1"/>
  <c r="CY101" i="1" s="1"/>
  <c r="CZ101" i="1" s="1"/>
  <c r="DA101" i="1" s="1"/>
  <c r="DB101" i="1" s="1"/>
  <c r="CM224" i="1" l="1"/>
  <c r="AB224" i="1"/>
  <c r="CM51" i="1" l="1"/>
  <c r="CM267" i="1" s="1"/>
  <c r="CM53" i="1" l="1"/>
  <c r="CM54" i="1" l="1"/>
  <c r="CM56" i="1" l="1"/>
  <c r="CM58" i="1" l="1"/>
  <c r="CM59" i="1"/>
  <c r="CM249" i="1"/>
  <c r="CM63" i="1"/>
  <c r="CM57" i="1"/>
  <c r="CM260" i="1" s="1"/>
  <c r="CM242" i="1"/>
  <c r="CM208" i="1" l="1"/>
  <c r="CM210" i="1" s="1"/>
  <c r="CM214" i="1" s="1"/>
  <c r="CM228" i="1" s="1"/>
  <c r="CM81" i="1"/>
  <c r="CM134" i="1"/>
  <c r="CM135" i="1" l="1"/>
  <c r="CM84" i="1"/>
  <c r="CM85" i="1" l="1"/>
  <c r="CM93" i="1"/>
  <c r="CI104" i="1"/>
  <c r="CM100" i="1"/>
  <c r="CM94" i="1"/>
  <c r="CM144" i="1"/>
  <c r="CM70" i="1" s="1"/>
  <c r="CM107" i="1"/>
  <c r="CM109" i="1" s="1"/>
  <c r="CM222" i="1"/>
  <c r="CM220" i="1" s="1"/>
  <c r="CM225" i="1" s="1"/>
  <c r="CM69" i="1"/>
  <c r="CM175" i="1" l="1"/>
  <c r="CM176" i="1" s="1"/>
  <c r="CM97" i="1"/>
  <c r="CM123" i="1"/>
  <c r="CM96" i="1"/>
  <c r="CM122" i="1"/>
  <c r="CM226" i="1" l="1"/>
  <c r="CM263" i="1"/>
  <c r="CM261" i="1"/>
  <c r="CM259" i="1"/>
  <c r="CN224" i="1"/>
  <c r="CM180" i="1"/>
  <c r="CM183" i="1"/>
  <c r="CM181" i="1" l="1"/>
  <c r="CN51" i="1"/>
  <c r="CN267" i="1" s="1"/>
  <c r="CM124" i="1"/>
  <c r="CM125" i="1" l="1"/>
  <c r="CM128" i="1" s="1"/>
  <c r="CM126" i="1"/>
  <c r="CM129" i="1" s="1"/>
  <c r="CN53" i="1"/>
  <c r="CN54" i="1" l="1"/>
  <c r="CN56" i="1" s="1"/>
  <c r="CN58" i="1" l="1"/>
  <c r="CN59" i="1"/>
  <c r="CN63" i="1"/>
  <c r="CN249" i="1"/>
  <c r="CN57" i="1"/>
  <c r="CN260" i="1" s="1"/>
  <c r="CN242" i="1"/>
  <c r="CN81" i="1" l="1"/>
  <c r="CN208" i="1"/>
  <c r="CN210" i="1" s="1"/>
  <c r="CN214" i="1" s="1"/>
  <c r="CN228" i="1" s="1"/>
  <c r="CN134" i="1"/>
  <c r="CN84" i="1" l="1"/>
  <c r="CN135" i="1"/>
  <c r="CN85" i="1" l="1"/>
  <c r="CN144" i="1"/>
  <c r="CN70" i="1" s="1"/>
  <c r="CN222" i="1"/>
  <c r="CN220" i="1" s="1"/>
  <c r="CN225" i="1" s="1"/>
  <c r="CN107" i="1"/>
  <c r="CN109" i="1" s="1"/>
  <c r="CN69" i="1"/>
  <c r="CN100" i="1"/>
  <c r="CN93" i="1"/>
  <c r="CN94" i="1"/>
  <c r="CJ104" i="1"/>
  <c r="CN96" i="1" l="1"/>
  <c r="CN122" i="1"/>
  <c r="CN175" i="1"/>
  <c r="CN176" i="1" s="1"/>
  <c r="CN123" i="1"/>
  <c r="CN97" i="1"/>
  <c r="CN226" i="1" l="1"/>
  <c r="CN263" i="1"/>
  <c r="CN261" i="1"/>
  <c r="CN259" i="1"/>
  <c r="CN180" i="1"/>
  <c r="CN183" i="1"/>
  <c r="CO224" i="1"/>
  <c r="CN181" i="1" l="1"/>
  <c r="CO51" i="1"/>
  <c r="CO267" i="1" s="1"/>
  <c r="CN124" i="1"/>
  <c r="CO53" i="1" l="1"/>
  <c r="CN126" i="1"/>
  <c r="CN129" i="1" s="1"/>
  <c r="CN125" i="1"/>
  <c r="CN128" i="1" s="1"/>
  <c r="CO54" i="1" l="1"/>
  <c r="CO56" i="1" l="1"/>
  <c r="CO57" i="1" l="1"/>
  <c r="CO260" i="1" s="1"/>
  <c r="CO59" i="1"/>
  <c r="CO58" i="1"/>
  <c r="CO249" i="1"/>
  <c r="CO63" i="1"/>
  <c r="CO242" i="1"/>
  <c r="CO81" i="1" l="1"/>
  <c r="CO208" i="1"/>
  <c r="CO210" i="1" s="1"/>
  <c r="CO214" i="1" s="1"/>
  <c r="CO228" i="1" s="1"/>
  <c r="CO134" i="1"/>
  <c r="CO135" i="1" l="1"/>
  <c r="CO84" i="1"/>
  <c r="CK104" i="1" s="1"/>
  <c r="CO85" i="1" l="1"/>
  <c r="CO94" i="1"/>
  <c r="CO100" i="1"/>
  <c r="CO93" i="1"/>
  <c r="CO107" i="1"/>
  <c r="CO109" i="1" s="1"/>
  <c r="CO222" i="1"/>
  <c r="CO220" i="1" s="1"/>
  <c r="CO225" i="1" s="1"/>
  <c r="CO144" i="1"/>
  <c r="CO70" i="1" s="1"/>
  <c r="CO69" i="1"/>
  <c r="CO175" i="1" l="1"/>
  <c r="CO176" i="1" s="1"/>
  <c r="CO96" i="1"/>
  <c r="CO122" i="1"/>
  <c r="CO123" i="1"/>
  <c r="CO97" i="1"/>
  <c r="CO226" i="1" l="1"/>
  <c r="CO261" i="1"/>
  <c r="CO259" i="1"/>
  <c r="CO263" i="1"/>
  <c r="CO180" i="1"/>
  <c r="CO183" i="1"/>
  <c r="CP224" i="1"/>
  <c r="CP51" i="1" l="1"/>
  <c r="CP267" i="1" s="1"/>
  <c r="CO124" i="1"/>
  <c r="CO181" i="1"/>
  <c r="CO126" i="1" l="1"/>
  <c r="CO129" i="1" s="1"/>
  <c r="CO125" i="1"/>
  <c r="CO128" i="1" s="1"/>
  <c r="CP53" i="1"/>
  <c r="AB51" i="1"/>
  <c r="AB52" i="1" l="1"/>
  <c r="AB267" i="1"/>
  <c r="AB53" i="1"/>
  <c r="CP54" i="1"/>
  <c r="AB54" i="1" s="1"/>
  <c r="AB55" i="1" l="1"/>
  <c r="CP56" i="1"/>
  <c r="CP57" i="1" s="1"/>
  <c r="CP260" i="1" s="1"/>
  <c r="AB56" i="1"/>
  <c r="CP58" i="1" l="1"/>
  <c r="CP242" i="1"/>
  <c r="CP249" i="1"/>
  <c r="CP63" i="1"/>
  <c r="CP134" i="1" s="1"/>
  <c r="CP59" i="1"/>
  <c r="AB58" i="1"/>
  <c r="AB63" i="1"/>
  <c r="AB57" i="1"/>
  <c r="AB260" i="1" s="1"/>
  <c r="AB76" i="1"/>
  <c r="CP208" i="1" l="1"/>
  <c r="CP210" i="1" s="1"/>
  <c r="CP214" i="1" s="1"/>
  <c r="CP228" i="1" s="1"/>
  <c r="CP81" i="1"/>
  <c r="CP84" i="1" s="1"/>
  <c r="CL104" i="1" s="1"/>
  <c r="AB134" i="1"/>
  <c r="AB135" i="1" s="1"/>
  <c r="AB69" i="1" s="1"/>
  <c r="CP135" i="1"/>
  <c r="AB66" i="1"/>
  <c r="AB67" i="1" s="1"/>
  <c r="AB208" i="1"/>
  <c r="AB210" i="1" s="1"/>
  <c r="AB214" i="1" s="1"/>
  <c r="AB228" i="1" s="1"/>
  <c r="CP85" i="1" l="1"/>
  <c r="AB144" i="1"/>
  <c r="AB70" i="1" s="1"/>
  <c r="AB190" i="1"/>
  <c r="AB222" i="1"/>
  <c r="AB220" i="1" s="1"/>
  <c r="AB225" i="1" s="1"/>
  <c r="CP93" i="1"/>
  <c r="CP100" i="1"/>
  <c r="CP94" i="1"/>
  <c r="CP222" i="1"/>
  <c r="CP220" i="1" s="1"/>
  <c r="CP225" i="1" s="1"/>
  <c r="CP144" i="1"/>
  <c r="CP70" i="1" s="1"/>
  <c r="CP107" i="1"/>
  <c r="CP109" i="1" s="1"/>
  <c r="CP69" i="1"/>
  <c r="CP175" i="1" l="1"/>
  <c r="CP96" i="1"/>
  <c r="CP122" i="1"/>
  <c r="AB93" i="1"/>
  <c r="CP123" i="1"/>
  <c r="CP97" i="1"/>
  <c r="AB94" i="1"/>
  <c r="AB97" i="1" l="1"/>
  <c r="CP176" i="1"/>
  <c r="AB175" i="1"/>
  <c r="AB176" i="1" s="1"/>
  <c r="AB96" i="1"/>
  <c r="AB263" i="1" l="1"/>
  <c r="AB261" i="1"/>
  <c r="AB259" i="1"/>
  <c r="CP261" i="1"/>
  <c r="CP259" i="1"/>
  <c r="CP263" i="1"/>
  <c r="CP180" i="1"/>
  <c r="CQ224" i="1"/>
  <c r="CP183" i="1"/>
  <c r="CP226" i="1"/>
  <c r="AB183" i="1"/>
  <c r="AB124" i="1" s="1"/>
  <c r="AB180" i="1"/>
  <c r="AC224" i="1"/>
  <c r="AB226" i="1"/>
  <c r="AB181" i="1" l="1"/>
  <c r="CP124" i="1"/>
  <c r="CQ51" i="1"/>
  <c r="CQ267" i="1" s="1"/>
  <c r="CP181" i="1"/>
  <c r="CQ53" i="1" l="1"/>
  <c r="CP125" i="1"/>
  <c r="CP128" i="1" s="1"/>
  <c r="CP126" i="1"/>
  <c r="CP129" i="1" s="1"/>
  <c r="CQ54" i="1" l="1"/>
  <c r="CQ56" i="1" s="1"/>
  <c r="CQ63" i="1" l="1"/>
  <c r="CQ57" i="1"/>
  <c r="CQ260" i="1" s="1"/>
  <c r="CQ58" i="1"/>
  <c r="CQ59" i="1"/>
  <c r="CQ249" i="1"/>
  <c r="CQ242" i="1"/>
  <c r="CQ81" i="1" l="1"/>
  <c r="CQ208" i="1"/>
  <c r="CQ210" i="1" s="1"/>
  <c r="CQ214" i="1" s="1"/>
  <c r="CQ228" i="1" s="1"/>
  <c r="CQ134" i="1"/>
  <c r="CQ135" i="1" l="1"/>
  <c r="CQ84" i="1"/>
  <c r="CQ85" i="1" l="1"/>
  <c r="CQ94" i="1"/>
  <c r="CQ93" i="1"/>
  <c r="CQ100" i="1"/>
  <c r="CQ144" i="1"/>
  <c r="CQ70" i="1" s="1"/>
  <c r="CQ222" i="1"/>
  <c r="CQ220" i="1" s="1"/>
  <c r="CQ225" i="1" s="1"/>
  <c r="CQ107" i="1"/>
  <c r="CQ109" i="1" s="1"/>
  <c r="CQ69" i="1"/>
  <c r="CQ175" i="1" l="1"/>
  <c r="CQ176" i="1" s="1"/>
  <c r="CQ226" i="1" s="1"/>
  <c r="CQ122" i="1"/>
  <c r="CQ96" i="1"/>
  <c r="CQ123" i="1"/>
  <c r="CQ97" i="1"/>
  <c r="CQ263" i="1" l="1"/>
  <c r="CQ261" i="1"/>
  <c r="CQ259" i="1"/>
  <c r="CQ183" i="1"/>
  <c r="CR224" i="1"/>
  <c r="CQ180" i="1"/>
  <c r="CQ181" i="1" l="1"/>
  <c r="CQ124" i="1"/>
  <c r="CR51" i="1"/>
  <c r="CR267" i="1" s="1"/>
  <c r="CR53" i="1" l="1"/>
  <c r="CQ125" i="1"/>
  <c r="CQ128" i="1" s="1"/>
  <c r="CQ126" i="1"/>
  <c r="CQ129" i="1" s="1"/>
  <c r="CR54" i="1" l="1"/>
  <c r="CR56" i="1" s="1"/>
  <c r="CR249" i="1" l="1"/>
  <c r="CR57" i="1"/>
  <c r="CR260" i="1" s="1"/>
  <c r="CR63" i="1"/>
  <c r="CR58" i="1"/>
  <c r="CR59" i="1"/>
  <c r="CR242" i="1"/>
  <c r="CR81" i="1" l="1"/>
  <c r="CR208" i="1"/>
  <c r="CR210" i="1" s="1"/>
  <c r="CR214" i="1" s="1"/>
  <c r="CR228" i="1" s="1"/>
  <c r="CR134" i="1"/>
  <c r="CR135" i="1" l="1"/>
  <c r="CR84" i="1"/>
  <c r="CR85" i="1" l="1"/>
  <c r="CR100" i="1"/>
  <c r="CR93" i="1"/>
  <c r="CR94" i="1"/>
  <c r="CR144" i="1"/>
  <c r="CR70" i="1" s="1"/>
  <c r="CR222" i="1"/>
  <c r="CR220" i="1" s="1"/>
  <c r="CR225" i="1" s="1"/>
  <c r="CR107" i="1"/>
  <c r="CR109" i="1" s="1"/>
  <c r="CR69" i="1"/>
  <c r="CR175" i="1" l="1"/>
  <c r="CR176" i="1" s="1"/>
  <c r="CR123" i="1"/>
  <c r="CR97" i="1"/>
  <c r="CR122" i="1"/>
  <c r="CR96" i="1"/>
  <c r="CR263" i="1" l="1"/>
  <c r="CR261" i="1"/>
  <c r="CR259" i="1"/>
  <c r="CS224" i="1"/>
  <c r="CR183" i="1"/>
  <c r="CR180" i="1"/>
  <c r="CR226" i="1"/>
  <c r="CR181" i="1" l="1"/>
  <c r="CR124" i="1"/>
  <c r="CS51" i="1"/>
  <c r="CS267" i="1" s="1"/>
  <c r="CS53" i="1" l="1"/>
  <c r="CR125" i="1"/>
  <c r="CR128" i="1" s="1"/>
  <c r="CR126" i="1"/>
  <c r="CR129" i="1" s="1"/>
  <c r="CS54" i="1" l="1"/>
  <c r="CS56" i="1" l="1"/>
  <c r="CS63" i="1" l="1"/>
  <c r="CS59" i="1"/>
  <c r="CS249" i="1"/>
  <c r="CS58" i="1"/>
  <c r="CS57" i="1"/>
  <c r="CS260" i="1" s="1"/>
  <c r="CS242" i="1"/>
  <c r="CS81" i="1" l="1"/>
  <c r="CS208" i="1"/>
  <c r="CS210" i="1" s="1"/>
  <c r="CS214" i="1" s="1"/>
  <c r="CS228" i="1" s="1"/>
  <c r="CS134" i="1"/>
  <c r="CS135" i="1" l="1"/>
  <c r="CS84" i="1"/>
  <c r="CS85" i="1" l="1"/>
  <c r="CS93" i="1"/>
  <c r="CS94" i="1"/>
  <c r="CS100" i="1"/>
  <c r="CS144" i="1"/>
  <c r="CS70" i="1" s="1"/>
  <c r="CS107" i="1"/>
  <c r="CS109" i="1" s="1"/>
  <c r="CS222" i="1"/>
  <c r="CS220" i="1" s="1"/>
  <c r="CS225" i="1" s="1"/>
  <c r="CS69" i="1"/>
  <c r="CS175" i="1" l="1"/>
  <c r="CS176" i="1" s="1"/>
  <c r="CS123" i="1"/>
  <c r="CS97" i="1"/>
  <c r="CS122" i="1"/>
  <c r="CS96" i="1"/>
  <c r="CS261" i="1" l="1"/>
  <c r="CS263" i="1"/>
  <c r="CS259" i="1"/>
  <c r="CT224" i="1"/>
  <c r="CS180" i="1"/>
  <c r="CS183" i="1"/>
  <c r="CS226" i="1"/>
  <c r="CT51" i="1" l="1"/>
  <c r="CT267" i="1" s="1"/>
  <c r="CS124" i="1"/>
  <c r="CS181" i="1"/>
  <c r="CS126" i="1" l="1"/>
  <c r="CS129" i="1" s="1"/>
  <c r="CS125" i="1"/>
  <c r="CS128" i="1" s="1"/>
  <c r="CT53" i="1"/>
  <c r="AC51" i="1"/>
  <c r="AC52" i="1" l="1"/>
  <c r="AC267" i="1"/>
  <c r="AC53" i="1"/>
  <c r="CT54" i="1"/>
  <c r="AC54" i="1" s="1"/>
  <c r="AC55" i="1" l="1"/>
  <c r="CT56" i="1"/>
  <c r="CT59" i="1" s="1"/>
  <c r="AC56" i="1"/>
  <c r="CT58" i="1" l="1"/>
  <c r="CT63" i="1"/>
  <c r="CT249" i="1"/>
  <c r="CT242" i="1"/>
  <c r="CT57" i="1"/>
  <c r="CT260" i="1" s="1"/>
  <c r="AC58" i="1"/>
  <c r="AC57" i="1"/>
  <c r="AC260" i="1" s="1"/>
  <c r="AC76" i="1"/>
  <c r="AC63" i="1"/>
  <c r="CT134" i="1" l="1"/>
  <c r="CT81" i="1"/>
  <c r="CT84" i="1" s="1"/>
  <c r="CT208" i="1"/>
  <c r="CT210" i="1" s="1"/>
  <c r="CT214" i="1" s="1"/>
  <c r="CT228" i="1" s="1"/>
  <c r="AC66" i="1"/>
  <c r="AC67" i="1" s="1"/>
  <c r="AC208" i="1"/>
  <c r="AC210" i="1" s="1"/>
  <c r="AC214" i="1" s="1"/>
  <c r="AC228" i="1" s="1"/>
  <c r="CT135" i="1" l="1"/>
  <c r="AC134" i="1"/>
  <c r="AC135" i="1" s="1"/>
  <c r="AC144" i="1" s="1"/>
  <c r="AC70" i="1" s="1"/>
  <c r="CT85" i="1"/>
  <c r="CT100" i="1"/>
  <c r="CT93" i="1"/>
  <c r="CT94" i="1"/>
  <c r="CT144" i="1" l="1"/>
  <c r="CT70" i="1" s="1"/>
  <c r="CT107" i="1"/>
  <c r="CT109" i="1" s="1"/>
  <c r="CT222" i="1"/>
  <c r="CT220" i="1" s="1"/>
  <c r="CT225" i="1" s="1"/>
  <c r="CT175" i="1" s="1"/>
  <c r="CT69" i="1"/>
  <c r="AC69" i="1"/>
  <c r="AC222" i="1"/>
  <c r="AC220" i="1" s="1"/>
  <c r="AC225" i="1" s="1"/>
  <c r="AC190" i="1"/>
  <c r="CT122" i="1"/>
  <c r="CT96" i="1"/>
  <c r="AC93" i="1"/>
  <c r="CT123" i="1"/>
  <c r="CT97" i="1"/>
  <c r="AC94" i="1"/>
  <c r="AC96" i="1" l="1"/>
  <c r="CT176" i="1"/>
  <c r="AC175" i="1"/>
  <c r="AC176" i="1" s="1"/>
  <c r="AC97" i="1"/>
  <c r="CT261" i="1" l="1"/>
  <c r="CT263" i="1"/>
  <c r="CT259" i="1"/>
  <c r="AC263" i="1"/>
  <c r="AC261" i="1"/>
  <c r="AC259" i="1"/>
  <c r="CU224" i="1"/>
  <c r="CT180" i="1"/>
  <c r="CT183" i="1"/>
  <c r="CT226" i="1"/>
  <c r="AD224" i="1"/>
  <c r="AC183" i="1"/>
  <c r="AC124" i="1" s="1"/>
  <c r="AC180" i="1"/>
  <c r="AC226" i="1"/>
  <c r="AC181" i="1" l="1"/>
  <c r="CT181" i="1"/>
  <c r="CT124" i="1"/>
  <c r="CU51" i="1"/>
  <c r="CU267" i="1" s="1"/>
  <c r="CU53" i="1" l="1"/>
  <c r="CT125" i="1"/>
  <c r="CT128" i="1" s="1"/>
  <c r="CT126" i="1"/>
  <c r="CT129" i="1" s="1"/>
  <c r="CU54" i="1" l="1"/>
  <c r="CU56" i="1" s="1"/>
  <c r="CU57" i="1" l="1"/>
  <c r="CU260" i="1" s="1"/>
  <c r="CU58" i="1"/>
  <c r="CU59" i="1"/>
  <c r="CU63" i="1"/>
  <c r="CU249" i="1"/>
  <c r="CU242" i="1"/>
  <c r="CU208" i="1" l="1"/>
  <c r="CU210" i="1" s="1"/>
  <c r="CU214" i="1" s="1"/>
  <c r="CU228" i="1" s="1"/>
  <c r="CU81" i="1"/>
  <c r="CU134" i="1"/>
  <c r="CU135" i="1" l="1"/>
  <c r="CU84" i="1"/>
  <c r="CU85" i="1" l="1"/>
  <c r="CU100" i="1"/>
  <c r="CU94" i="1"/>
  <c r="CU93" i="1"/>
  <c r="CU144" i="1"/>
  <c r="CU70" i="1" s="1"/>
  <c r="CU222" i="1"/>
  <c r="CU220" i="1" s="1"/>
  <c r="CU225" i="1" s="1"/>
  <c r="CU107" i="1"/>
  <c r="CU109" i="1" s="1"/>
  <c r="CU69" i="1"/>
  <c r="CU175" i="1" l="1"/>
  <c r="CU176" i="1" s="1"/>
  <c r="CU122" i="1"/>
  <c r="CU96" i="1"/>
  <c r="CU123" i="1"/>
  <c r="CU97" i="1"/>
  <c r="CU263" i="1" l="1"/>
  <c r="CU259" i="1"/>
  <c r="CU261" i="1"/>
  <c r="CU180" i="1"/>
  <c r="CU183" i="1"/>
  <c r="CV224" i="1"/>
  <c r="CU226" i="1"/>
  <c r="CU181" i="1" l="1"/>
  <c r="CV51" i="1"/>
  <c r="CV267" i="1" s="1"/>
  <c r="CU124" i="1"/>
  <c r="CU125" i="1" l="1"/>
  <c r="CU128" i="1" s="1"/>
  <c r="CU126" i="1"/>
  <c r="CU129" i="1" s="1"/>
  <c r="CV53" i="1"/>
  <c r="CV54" i="1" l="1"/>
  <c r="CV56" i="1" l="1"/>
  <c r="CV63" i="1" l="1"/>
  <c r="CV249" i="1"/>
  <c r="CV57" i="1"/>
  <c r="CV260" i="1" s="1"/>
  <c r="CV59" i="1"/>
  <c r="CV58" i="1"/>
  <c r="CV242" i="1"/>
  <c r="CV208" i="1" l="1"/>
  <c r="CV210" i="1" s="1"/>
  <c r="CV214" i="1" s="1"/>
  <c r="CV228" i="1" s="1"/>
  <c r="CV81" i="1"/>
  <c r="CV134" i="1"/>
  <c r="CV135" i="1" l="1"/>
  <c r="CV84" i="1"/>
  <c r="CV85" i="1" l="1"/>
  <c r="CV93" i="1"/>
  <c r="CV94" i="1"/>
  <c r="CV100" i="1"/>
  <c r="CV107" i="1"/>
  <c r="CV109" i="1" s="1"/>
  <c r="CV144" i="1"/>
  <c r="CV70" i="1" s="1"/>
  <c r="CV222" i="1"/>
  <c r="CV220" i="1" s="1"/>
  <c r="CV225" i="1" s="1"/>
  <c r="CV69" i="1"/>
  <c r="CV175" i="1" l="1"/>
  <c r="CV176" i="1" s="1"/>
  <c r="CV123" i="1"/>
  <c r="CV97" i="1"/>
  <c r="CV122" i="1"/>
  <c r="CV96" i="1"/>
  <c r="CV261" i="1" l="1"/>
  <c r="CV259" i="1"/>
  <c r="CV263" i="1"/>
  <c r="CV183" i="1"/>
  <c r="CW224" i="1"/>
  <c r="CV180" i="1"/>
  <c r="CV226" i="1"/>
  <c r="CV181" i="1" l="1"/>
  <c r="CV124" i="1"/>
  <c r="CW51" i="1"/>
  <c r="CW267" i="1" s="1"/>
  <c r="CW53" i="1" l="1"/>
  <c r="CV126" i="1"/>
  <c r="CV129" i="1" s="1"/>
  <c r="CV125" i="1"/>
  <c r="CV128" i="1" s="1"/>
  <c r="CW54" i="1" l="1"/>
  <c r="CW56" i="1" l="1"/>
  <c r="CW57" i="1" l="1"/>
  <c r="CW260" i="1" s="1"/>
  <c r="CW59" i="1"/>
  <c r="CW63" i="1"/>
  <c r="CW58" i="1"/>
  <c r="CW249" i="1"/>
  <c r="CW242" i="1"/>
  <c r="CW208" i="1" l="1"/>
  <c r="CW210" i="1" s="1"/>
  <c r="CW214" i="1" s="1"/>
  <c r="CW228" i="1" s="1"/>
  <c r="CW81" i="1"/>
  <c r="CW134" i="1"/>
  <c r="CW135" i="1" l="1"/>
  <c r="CW84" i="1"/>
  <c r="CW85" i="1" l="1"/>
  <c r="CW100" i="1"/>
  <c r="CW94" i="1"/>
  <c r="CW93" i="1"/>
  <c r="CW222" i="1"/>
  <c r="CW220" i="1" s="1"/>
  <c r="CW225" i="1" s="1"/>
  <c r="CW144" i="1"/>
  <c r="CW70" i="1" s="1"/>
  <c r="CW107" i="1"/>
  <c r="CW109" i="1" s="1"/>
  <c r="CW69" i="1"/>
  <c r="CW175" i="1" l="1"/>
  <c r="CW176" i="1" s="1"/>
  <c r="CW122" i="1"/>
  <c r="CW96" i="1"/>
  <c r="CW123" i="1"/>
  <c r="CW97" i="1"/>
  <c r="CW261" i="1" l="1"/>
  <c r="CW259" i="1"/>
  <c r="CW263" i="1"/>
  <c r="CW180" i="1"/>
  <c r="CX224" i="1"/>
  <c r="CW183" i="1"/>
  <c r="CW226" i="1"/>
  <c r="CX51" i="1" l="1"/>
  <c r="CX267" i="1" s="1"/>
  <c r="CW124" i="1"/>
  <c r="CW181" i="1"/>
  <c r="CW125" i="1" l="1"/>
  <c r="CW128" i="1" s="1"/>
  <c r="CW126" i="1"/>
  <c r="CW129" i="1" s="1"/>
  <c r="CX53" i="1"/>
  <c r="AD51" i="1"/>
  <c r="AD52" i="1" l="1"/>
  <c r="AD267" i="1"/>
  <c r="AD53" i="1"/>
  <c r="CX54" i="1"/>
  <c r="AD54" i="1" s="1"/>
  <c r="AD55" i="1" l="1"/>
  <c r="CX56" i="1"/>
  <c r="CX242" i="1" s="1"/>
  <c r="AD56" i="1"/>
  <c r="CX59" i="1" l="1"/>
  <c r="CX249" i="1"/>
  <c r="CX63" i="1"/>
  <c r="CX57" i="1"/>
  <c r="CX260" i="1" s="1"/>
  <c r="CX58" i="1"/>
  <c r="AD58" i="1"/>
  <c r="AD76" i="1"/>
  <c r="AD63" i="1"/>
  <c r="AD57" i="1"/>
  <c r="AD260" i="1" s="1"/>
  <c r="CX81" i="1" l="1"/>
  <c r="CX84" i="1" s="1"/>
  <c r="CX208" i="1"/>
  <c r="CX210" i="1" s="1"/>
  <c r="CX214" i="1" s="1"/>
  <c r="CX228" i="1" s="1"/>
  <c r="CX134" i="1"/>
  <c r="AD66" i="1"/>
  <c r="AD67" i="1" s="1"/>
  <c r="AD208" i="1"/>
  <c r="AD210" i="1" s="1"/>
  <c r="AD214" i="1" s="1"/>
  <c r="AD228" i="1" s="1"/>
  <c r="AD134" i="1" l="1"/>
  <c r="AD135" i="1" s="1"/>
  <c r="CX135" i="1"/>
  <c r="CX222" i="1" s="1"/>
  <c r="CX220" i="1" s="1"/>
  <c r="CX225" i="1" s="1"/>
  <c r="CX85" i="1"/>
  <c r="CX93" i="1"/>
  <c r="CX100" i="1"/>
  <c r="CX94" i="1"/>
  <c r="AD190" i="1" l="1"/>
  <c r="AD144" i="1"/>
  <c r="AD70" i="1" s="1"/>
  <c r="AD69" i="1"/>
  <c r="AD222" i="1"/>
  <c r="AD220" i="1" s="1"/>
  <c r="AD225" i="1" s="1"/>
  <c r="CX144" i="1"/>
  <c r="CX70" i="1" s="1"/>
  <c r="CX107" i="1"/>
  <c r="CX109" i="1" s="1"/>
  <c r="CX69" i="1"/>
  <c r="CX175" i="1"/>
  <c r="CX97" i="1"/>
  <c r="CX123" i="1"/>
  <c r="AD94" i="1"/>
  <c r="CX122" i="1"/>
  <c r="CX96" i="1"/>
  <c r="AD93" i="1"/>
  <c r="AD97" i="1" l="1"/>
  <c r="AD96" i="1"/>
  <c r="CX176" i="1"/>
  <c r="AD175" i="1"/>
  <c r="AD176" i="1" s="1"/>
  <c r="AD263" i="1" l="1"/>
  <c r="AD261" i="1"/>
  <c r="AD259" i="1"/>
  <c r="CX263" i="1"/>
  <c r="CX261" i="1"/>
  <c r="CX259" i="1"/>
  <c r="AE224" i="1"/>
  <c r="AD180" i="1"/>
  <c r="AD183" i="1"/>
  <c r="AD124" i="1" s="1"/>
  <c r="AD226" i="1"/>
  <c r="CY224" i="1"/>
  <c r="CX180" i="1"/>
  <c r="CX183" i="1"/>
  <c r="CX226" i="1"/>
  <c r="AD181" i="1" l="1"/>
  <c r="CX124" i="1"/>
  <c r="CY51" i="1"/>
  <c r="CY267" i="1" s="1"/>
  <c r="CX181" i="1"/>
  <c r="CY53" i="1" l="1"/>
  <c r="CX125" i="1"/>
  <c r="CX128" i="1" s="1"/>
  <c r="CX126" i="1"/>
  <c r="CX129" i="1" s="1"/>
  <c r="CY54" i="1" l="1"/>
  <c r="CY56" i="1" l="1"/>
  <c r="CY57" i="1" l="1"/>
  <c r="CY260" i="1" s="1"/>
  <c r="CY249" i="1"/>
  <c r="CY58" i="1"/>
  <c r="CY59" i="1"/>
  <c r="CY63" i="1"/>
  <c r="CY242" i="1"/>
  <c r="CY81" i="1" l="1"/>
  <c r="CY208" i="1"/>
  <c r="CY210" i="1" s="1"/>
  <c r="CY214" i="1" s="1"/>
  <c r="CY228" i="1" s="1"/>
  <c r="CY134" i="1"/>
  <c r="CY135" i="1" l="1"/>
  <c r="CY84" i="1"/>
  <c r="CY85" i="1" s="1"/>
  <c r="CY93" i="1" l="1"/>
  <c r="CY100" i="1"/>
  <c r="CY94" i="1"/>
  <c r="CY107" i="1"/>
  <c r="CY109" i="1" s="1"/>
  <c r="CY144" i="1"/>
  <c r="CY70" i="1" s="1"/>
  <c r="CY222" i="1"/>
  <c r="CY220" i="1" s="1"/>
  <c r="CY225" i="1" s="1"/>
  <c r="CY69" i="1"/>
  <c r="CY175" i="1" l="1"/>
  <c r="CY176" i="1" s="1"/>
  <c r="CY123" i="1"/>
  <c r="CY97" i="1"/>
  <c r="CY96" i="1"/>
  <c r="CY122" i="1"/>
  <c r="CY226" i="1" l="1"/>
  <c r="CY263" i="1"/>
  <c r="CY261" i="1"/>
  <c r="CY259" i="1"/>
  <c r="CZ224" i="1"/>
  <c r="CY180" i="1"/>
  <c r="CY183" i="1"/>
  <c r="CY181" i="1" l="1"/>
  <c r="CZ51" i="1"/>
  <c r="CZ267" i="1" s="1"/>
  <c r="CY124" i="1"/>
  <c r="CY126" i="1" l="1"/>
  <c r="CY129" i="1" s="1"/>
  <c r="CY125" i="1"/>
  <c r="CY128" i="1" s="1"/>
  <c r="CZ53" i="1"/>
  <c r="CZ54" i="1" l="1"/>
  <c r="CZ56" i="1" l="1"/>
  <c r="CZ249" i="1" l="1"/>
  <c r="CZ58" i="1"/>
  <c r="CZ57" i="1"/>
  <c r="CZ260" i="1" s="1"/>
  <c r="CZ59" i="1"/>
  <c r="CZ63" i="1"/>
  <c r="CZ242" i="1"/>
  <c r="CZ208" i="1" l="1"/>
  <c r="CZ210" i="1" s="1"/>
  <c r="CZ214" i="1" s="1"/>
  <c r="CZ228" i="1" s="1"/>
  <c r="CZ81" i="1"/>
  <c r="CZ134" i="1"/>
  <c r="CZ135" i="1" l="1"/>
  <c r="CZ84" i="1"/>
  <c r="CZ85" i="1" s="1"/>
  <c r="CZ100" i="1" l="1"/>
  <c r="CZ94" i="1"/>
  <c r="CZ93" i="1"/>
  <c r="CZ144" i="1"/>
  <c r="CZ70" i="1" s="1"/>
  <c r="CZ222" i="1"/>
  <c r="CZ220" i="1" s="1"/>
  <c r="CZ225" i="1" s="1"/>
  <c r="CZ107" i="1"/>
  <c r="CZ109" i="1" s="1"/>
  <c r="CZ69" i="1"/>
  <c r="CZ175" i="1" l="1"/>
  <c r="CZ176" i="1" s="1"/>
  <c r="CZ122" i="1"/>
  <c r="CZ96" i="1"/>
  <c r="CZ97" i="1"/>
  <c r="CZ123" i="1"/>
  <c r="CZ261" i="1" l="1"/>
  <c r="CZ259" i="1"/>
  <c r="CZ263" i="1"/>
  <c r="CZ180" i="1"/>
  <c r="CZ183" i="1"/>
  <c r="DA224" i="1"/>
  <c r="CZ226" i="1"/>
  <c r="CZ124" i="1" l="1"/>
  <c r="DA51" i="1"/>
  <c r="DA267" i="1" s="1"/>
  <c r="CZ181" i="1"/>
  <c r="DA53" i="1" l="1"/>
  <c r="CZ125" i="1"/>
  <c r="CZ128" i="1" s="1"/>
  <c r="CZ126" i="1"/>
  <c r="CZ129" i="1" s="1"/>
  <c r="DA54" i="1" l="1"/>
  <c r="DA56" i="1" l="1"/>
  <c r="DA249" i="1" l="1"/>
  <c r="DA63" i="1"/>
  <c r="DA58" i="1"/>
  <c r="DA59" i="1"/>
  <c r="DA57" i="1"/>
  <c r="DA260" i="1" s="1"/>
  <c r="DA242" i="1"/>
  <c r="DA81" i="1" l="1"/>
  <c r="DA208" i="1"/>
  <c r="DA210" i="1" s="1"/>
  <c r="DA214" i="1" s="1"/>
  <c r="DA228" i="1" s="1"/>
  <c r="DA134" i="1"/>
  <c r="DA135" i="1" l="1"/>
  <c r="DA84" i="1"/>
  <c r="DA85" i="1" s="1"/>
  <c r="DA94" i="1" l="1"/>
  <c r="DA93" i="1"/>
  <c r="DA100" i="1"/>
  <c r="DA144" i="1"/>
  <c r="DA70" i="1" s="1"/>
  <c r="DA222" i="1"/>
  <c r="DA220" i="1" s="1"/>
  <c r="DA225" i="1" s="1"/>
  <c r="DA107" i="1"/>
  <c r="DA109" i="1" s="1"/>
  <c r="DA69" i="1"/>
  <c r="DA175" i="1" l="1"/>
  <c r="DA176" i="1" s="1"/>
  <c r="DA122" i="1"/>
  <c r="DA96" i="1"/>
  <c r="DA97" i="1"/>
  <c r="DA123" i="1"/>
  <c r="DA226" i="1" l="1"/>
  <c r="DA263" i="1"/>
  <c r="DA259" i="1"/>
  <c r="DA261" i="1"/>
  <c r="DA183" i="1"/>
  <c r="DB224" i="1"/>
  <c r="DA180" i="1"/>
  <c r="DA181" i="1" l="1"/>
  <c r="DA124" i="1"/>
  <c r="DB51" i="1"/>
  <c r="DB267" i="1" s="1"/>
  <c r="DA126" i="1" l="1"/>
  <c r="DA129" i="1" s="1"/>
  <c r="DA125" i="1"/>
  <c r="DA128" i="1" s="1"/>
  <c r="DB53" i="1"/>
  <c r="AE51" i="1"/>
  <c r="AE52" i="1" l="1"/>
  <c r="AE267" i="1"/>
  <c r="AE53" i="1"/>
  <c r="DB54" i="1"/>
  <c r="AE54" i="1" s="1"/>
  <c r="AE55" i="1" l="1"/>
  <c r="DB56" i="1"/>
  <c r="AE56" i="1"/>
  <c r="AE58" i="1" s="1"/>
  <c r="AE57" i="1" l="1"/>
  <c r="AE260" i="1" s="1"/>
  <c r="AE63" i="1"/>
  <c r="AE76" i="1"/>
  <c r="DB58" i="1"/>
  <c r="DB59" i="1"/>
  <c r="DB249" i="1"/>
  <c r="DB57" i="1"/>
  <c r="DB260" i="1" s="1"/>
  <c r="DB63" i="1"/>
  <c r="DB242" i="1"/>
  <c r="AE66" i="1" l="1"/>
  <c r="AE67" i="1" s="1"/>
  <c r="AE208" i="1"/>
  <c r="AE210" i="1" s="1"/>
  <c r="AE214" i="1" s="1"/>
  <c r="AE228" i="1" s="1"/>
  <c r="DB208" i="1"/>
  <c r="DB210" i="1" s="1"/>
  <c r="DB214" i="1" s="1"/>
  <c r="DB228" i="1" s="1"/>
  <c r="DB81" i="1"/>
  <c r="DB84" i="1" s="1"/>
  <c r="DB85" i="1" s="1"/>
  <c r="DB134" i="1"/>
  <c r="AE134" i="1" l="1"/>
  <c r="AE135" i="1" s="1"/>
  <c r="DB135" i="1"/>
  <c r="DB94" i="1"/>
  <c r="DB93" i="1"/>
  <c r="DB100" i="1"/>
  <c r="DB122" i="1" l="1"/>
  <c r="DB96" i="1"/>
  <c r="AE93" i="1"/>
  <c r="DB123" i="1"/>
  <c r="DB97" i="1"/>
  <c r="AE94" i="1"/>
  <c r="DB222" i="1"/>
  <c r="DB220" i="1" s="1"/>
  <c r="DB225" i="1" s="1"/>
  <c r="DB144" i="1"/>
  <c r="DB70" i="1" s="1"/>
  <c r="DB107" i="1"/>
  <c r="DB109" i="1" s="1"/>
  <c r="DB69" i="1"/>
  <c r="AE222" i="1"/>
  <c r="AE220" i="1" s="1"/>
  <c r="AE225" i="1" s="1"/>
  <c r="AE144" i="1"/>
  <c r="AE70" i="1" s="1"/>
  <c r="AE190" i="1"/>
  <c r="AE69" i="1"/>
  <c r="AE97" i="1" l="1"/>
  <c r="AE96" i="1"/>
  <c r="DB175" i="1"/>
  <c r="AE175" i="1" l="1"/>
  <c r="AE176" i="1" s="1"/>
  <c r="DB176" i="1"/>
  <c r="DB259" i="1" l="1"/>
  <c r="DB263" i="1"/>
  <c r="DB261" i="1"/>
  <c r="AE261" i="1"/>
  <c r="AE259" i="1"/>
  <c r="AE263" i="1"/>
  <c r="DB180" i="1"/>
  <c r="DB183" i="1"/>
  <c r="DB124" i="1" s="1"/>
  <c r="DB226" i="1"/>
  <c r="AE183" i="1"/>
  <c r="AE124" i="1" s="1"/>
  <c r="AE180" i="1"/>
  <c r="AE226" i="1"/>
  <c r="AE181" i="1" l="1"/>
  <c r="DB125" i="1"/>
  <c r="DB128" i="1" s="1"/>
  <c r="DB126" i="1"/>
  <c r="DB129" i="1" s="1"/>
  <c r="DB181" i="1"/>
  <c r="AA78" i="1" l="1"/>
  <c r="AB78" i="1"/>
  <c r="AA80" i="1"/>
  <c r="AA81" i="1"/>
  <c r="AA84" i="1"/>
  <c r="AA85" i="1"/>
  <c r="AA123" i="1"/>
  <c r="AA126" i="1"/>
  <c r="AA129" i="1"/>
  <c r="AA102" i="1"/>
  <c r="AA122" i="1"/>
  <c r="AA125" i="1"/>
  <c r="AA128" i="1"/>
  <c r="AA101" i="1"/>
  <c r="AA100" i="1"/>
  <c r="AA114" i="1"/>
  <c r="AA107" i="1"/>
  <c r="AA119" i="1"/>
  <c r="AA117" i="1"/>
  <c r="AA118" i="1"/>
  <c r="AA111" i="1"/>
  <c r="AA109" i="1"/>
  <c r="AA110" i="1"/>
  <c r="AA83" i="1"/>
  <c r="AA79" i="1"/>
  <c r="AB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AC79" i="1"/>
  <c r="AD79" i="1"/>
  <c r="AE79" i="1"/>
  <c r="AB80" i="1"/>
  <c r="Z78" i="1"/>
  <c r="AC78" i="1"/>
  <c r="Y78" i="1"/>
  <c r="Z80" i="1"/>
  <c r="Z107" i="1"/>
  <c r="AC80" i="1"/>
  <c r="AD78" i="1"/>
  <c r="Z123" i="1"/>
  <c r="Z126" i="1"/>
  <c r="Z129" i="1"/>
  <c r="Z114" i="1"/>
  <c r="Z122" i="1"/>
  <c r="Z125" i="1"/>
  <c r="Z128" i="1"/>
  <c r="Z81" i="1"/>
  <c r="X78" i="1"/>
  <c r="Y80" i="1"/>
  <c r="AD80" i="1"/>
  <c r="AE78" i="1"/>
  <c r="AE80" i="1"/>
  <c r="Y123" i="1"/>
  <c r="Y126" i="1"/>
  <c r="Y129" i="1"/>
  <c r="Y122" i="1"/>
  <c r="Y125" i="1"/>
  <c r="Y128" i="1"/>
  <c r="Y107" i="1"/>
  <c r="Y114" i="1"/>
  <c r="Y81" i="1"/>
  <c r="Z83" i="1"/>
  <c r="Z84" i="1"/>
  <c r="Z109" i="1"/>
  <c r="Z117" i="1"/>
  <c r="X80" i="1"/>
  <c r="Z111" i="1"/>
  <c r="Z118" i="1"/>
  <c r="W78" i="1"/>
  <c r="Z100" i="1"/>
  <c r="X122" i="1"/>
  <c r="Y83" i="1"/>
  <c r="Y117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I80" i="1"/>
  <c r="I81" i="1"/>
  <c r="M80" i="1"/>
  <c r="M81" i="1"/>
  <c r="M83" i="1"/>
  <c r="R80" i="1"/>
  <c r="R122" i="1"/>
  <c r="J80" i="1"/>
  <c r="J114" i="1"/>
  <c r="J117" i="1"/>
  <c r="H78" i="1"/>
  <c r="H80" i="1"/>
  <c r="H81" i="1"/>
  <c r="H83" i="1"/>
  <c r="N80" i="1"/>
  <c r="N81" i="1"/>
  <c r="N84" i="1"/>
  <c r="N100" i="1"/>
  <c r="J119" i="1"/>
  <c r="G78" i="1"/>
  <c r="G80" i="1"/>
  <c r="G81" i="1"/>
  <c r="G83" i="1"/>
  <c r="F78" i="1"/>
  <c r="E78" i="1"/>
  <c r="E80" i="1"/>
  <c r="E81" i="1"/>
  <c r="E84" i="1"/>
  <c r="E102" i="1"/>
  <c r="K80" i="1"/>
  <c r="K81" i="1"/>
  <c r="K83" i="1"/>
  <c r="M104" i="1"/>
  <c r="I122" i="1"/>
  <c r="V80" i="1"/>
  <c r="V81" i="1"/>
  <c r="V83" i="1"/>
  <c r="N101" i="1"/>
  <c r="I83" i="1"/>
  <c r="K114" i="1"/>
  <c r="K118" i="1"/>
  <c r="O80" i="1"/>
  <c r="O81" i="1"/>
  <c r="O83" i="1"/>
  <c r="K117" i="1"/>
  <c r="I123" i="1"/>
  <c r="L80" i="1"/>
  <c r="L81" i="1"/>
  <c r="L84" i="1"/>
  <c r="L85" i="1"/>
  <c r="Q80" i="1"/>
  <c r="Q81" i="1"/>
  <c r="Q84" i="1"/>
  <c r="P104" i="1"/>
  <c r="Q102" i="1"/>
  <c r="Q100" i="1"/>
  <c r="Q85" i="1"/>
  <c r="D104" i="1"/>
  <c r="O84" i="1"/>
  <c r="S80" i="1"/>
  <c r="S81" i="1"/>
  <c r="S84" i="1"/>
  <c r="S85" i="1"/>
  <c r="L102" i="1"/>
  <c r="Q101" i="1"/>
  <c r="R81" i="1"/>
  <c r="J118" i="1"/>
  <c r="Q123" i="1"/>
  <c r="K119" i="1"/>
  <c r="S102" i="1"/>
  <c r="E100" i="1"/>
  <c r="S101" i="1"/>
  <c r="J122" i="1"/>
  <c r="N122" i="1"/>
  <c r="E122" i="1"/>
  <c r="H123" i="1"/>
  <c r="M122" i="1"/>
  <c r="R104" i="1"/>
  <c r="T80" i="1"/>
  <c r="T114" i="1"/>
  <c r="T119" i="1"/>
  <c r="H107" i="1"/>
  <c r="O107" i="1"/>
  <c r="O109" i="1"/>
  <c r="N102" i="1"/>
  <c r="N123" i="1"/>
  <c r="M107" i="1"/>
  <c r="M110" i="1"/>
  <c r="J107" i="1"/>
  <c r="R107" i="1"/>
  <c r="R111" i="1"/>
  <c r="J123" i="1"/>
  <c r="J126" i="1"/>
  <c r="J129" i="1"/>
  <c r="F80" i="1"/>
  <c r="F107" i="1"/>
  <c r="F110" i="1"/>
  <c r="H122" i="1"/>
  <c r="H125" i="1"/>
  <c r="H128" i="1"/>
  <c r="J110" i="1"/>
  <c r="K122" i="1"/>
  <c r="K125" i="1"/>
  <c r="K128" i="1"/>
  <c r="K107" i="1"/>
  <c r="K110" i="1"/>
  <c r="K109" i="1"/>
  <c r="S107" i="1"/>
  <c r="S109" i="1"/>
  <c r="X81" i="1"/>
  <c r="X84" i="1"/>
  <c r="X100" i="1"/>
  <c r="I114" i="1"/>
  <c r="E114" i="1"/>
  <c r="G84" i="1"/>
  <c r="M84" i="1"/>
  <c r="W80" i="1"/>
  <c r="J81" i="1"/>
  <c r="K84" i="1"/>
  <c r="W81" i="1"/>
  <c r="Q107" i="1"/>
  <c r="Q111" i="1"/>
  <c r="P80" i="1"/>
  <c r="P107" i="1"/>
  <c r="P109" i="1"/>
  <c r="P111" i="1"/>
  <c r="U80" i="1"/>
  <c r="U123" i="1"/>
  <c r="U126" i="1"/>
  <c r="U129" i="1"/>
  <c r="M123" i="1"/>
  <c r="M126" i="1"/>
  <c r="M129" i="1"/>
  <c r="M125" i="1"/>
  <c r="M128" i="1"/>
  <c r="E125" i="1"/>
  <c r="E128" i="1"/>
  <c r="E123" i="1"/>
  <c r="E126" i="1"/>
  <c r="E129" i="1"/>
  <c r="N126" i="1"/>
  <c r="N129" i="1"/>
  <c r="N125" i="1"/>
  <c r="N128" i="1"/>
  <c r="V107" i="1"/>
  <c r="V110" i="1"/>
  <c r="V109" i="1"/>
  <c r="V111" i="1"/>
  <c r="T123" i="1"/>
  <c r="T126" i="1"/>
  <c r="T129" i="1"/>
  <c r="J125" i="1"/>
  <c r="J128" i="1"/>
  <c r="G107" i="1"/>
  <c r="T122" i="1"/>
  <c r="T125" i="1"/>
  <c r="T128" i="1"/>
  <c r="N107" i="1"/>
  <c r="I107" i="1"/>
  <c r="H110" i="1"/>
  <c r="H111" i="1"/>
  <c r="H109" i="1"/>
  <c r="R110" i="1"/>
  <c r="R109" i="1"/>
  <c r="O110" i="1"/>
  <c r="U107" i="1"/>
  <c r="U110" i="1"/>
  <c r="O111" i="1"/>
  <c r="E107" i="1"/>
  <c r="O123" i="1"/>
  <c r="O126" i="1"/>
  <c r="O129" i="1"/>
  <c r="M109" i="1"/>
  <c r="N83" i="1"/>
  <c r="T118" i="1"/>
  <c r="K85" i="1"/>
  <c r="M85" i="1"/>
  <c r="T117" i="1"/>
  <c r="X101" i="1"/>
  <c r="K102" i="1"/>
  <c r="N104" i="1"/>
  <c r="O102" i="1"/>
  <c r="L100" i="1"/>
  <c r="N114" i="1"/>
  <c r="V84" i="1"/>
  <c r="O114" i="1"/>
  <c r="V114" i="1"/>
  <c r="V117" i="1"/>
  <c r="M111" i="1"/>
  <c r="G122" i="1"/>
  <c r="G125" i="1"/>
  <c r="G128" i="1"/>
  <c r="G123" i="1"/>
  <c r="G126" i="1"/>
  <c r="G129" i="1"/>
  <c r="F109" i="1"/>
  <c r="F111" i="1"/>
  <c r="H126" i="1"/>
  <c r="H129" i="1"/>
  <c r="Q126" i="1"/>
  <c r="Q129" i="1"/>
  <c r="Q122" i="1"/>
  <c r="Q125" i="1"/>
  <c r="Q128" i="1"/>
  <c r="J109" i="1"/>
  <c r="J111" i="1"/>
  <c r="K123" i="1"/>
  <c r="K126" i="1"/>
  <c r="K129" i="1"/>
  <c r="K111" i="1"/>
  <c r="S110" i="1"/>
  <c r="S111" i="1"/>
  <c r="Q110" i="1"/>
  <c r="Q109" i="1"/>
  <c r="P110" i="1"/>
  <c r="U122" i="1"/>
  <c r="U125" i="1"/>
  <c r="U128" i="1"/>
  <c r="L123" i="1"/>
  <c r="L126" i="1"/>
  <c r="L129" i="1"/>
  <c r="L122" i="1"/>
  <c r="L125" i="1"/>
  <c r="L128" i="1"/>
  <c r="I125" i="1"/>
  <c r="I128" i="1"/>
  <c r="I126" i="1"/>
  <c r="I129" i="1"/>
  <c r="R125" i="1"/>
  <c r="R128" i="1"/>
  <c r="R123" i="1"/>
  <c r="R126" i="1"/>
  <c r="R129" i="1"/>
  <c r="G109" i="1"/>
  <c r="G111" i="1"/>
  <c r="G110" i="1"/>
  <c r="S122" i="1"/>
  <c r="S125" i="1"/>
  <c r="S128" i="1"/>
  <c r="S123" i="1"/>
  <c r="S126" i="1"/>
  <c r="S129" i="1"/>
  <c r="N110" i="1"/>
  <c r="N109" i="1"/>
  <c r="N111" i="1"/>
  <c r="I109" i="1"/>
  <c r="I110" i="1"/>
  <c r="I111" i="1"/>
  <c r="P123" i="1"/>
  <c r="P126" i="1"/>
  <c r="P129" i="1"/>
  <c r="P122" i="1"/>
  <c r="P125" i="1"/>
  <c r="P128" i="1"/>
  <c r="F122" i="1"/>
  <c r="F125" i="1"/>
  <c r="F128" i="1"/>
  <c r="F123" i="1"/>
  <c r="F126" i="1"/>
  <c r="F129" i="1"/>
  <c r="T107" i="1"/>
  <c r="T109" i="1"/>
  <c r="T110" i="1"/>
  <c r="T111" i="1"/>
  <c r="U109" i="1"/>
  <c r="O122" i="1"/>
  <c r="O125" i="1"/>
  <c r="O128" i="1"/>
  <c r="U111" i="1"/>
  <c r="V123" i="1"/>
  <c r="V126" i="1"/>
  <c r="V129" i="1"/>
  <c r="V122" i="1"/>
  <c r="V125" i="1"/>
  <c r="V128" i="1"/>
  <c r="L107" i="1"/>
  <c r="L110" i="1"/>
  <c r="Y111" i="1"/>
  <c r="X114" i="1"/>
  <c r="X123" i="1"/>
  <c r="Y110" i="1"/>
  <c r="Z102" i="1"/>
  <c r="X117" i="1"/>
  <c r="X102" i="1"/>
  <c r="Q114" i="1"/>
  <c r="R114" i="1"/>
  <c r="L114" i="1"/>
  <c r="G114" i="1"/>
  <c r="W114" i="1"/>
  <c r="P81" i="1"/>
  <c r="P84" i="1"/>
  <c r="J84" i="1"/>
  <c r="F81" i="1"/>
  <c r="F84" i="1"/>
  <c r="S114" i="1"/>
  <c r="U81" i="1"/>
  <c r="U84" i="1"/>
  <c r="U85" i="1"/>
  <c r="H84" i="1"/>
  <c r="N85" i="1"/>
  <c r="L111" i="1"/>
  <c r="L109" i="1"/>
  <c r="E111" i="1"/>
  <c r="E110" i="1"/>
  <c r="E109" i="1"/>
  <c r="E85" i="1"/>
  <c r="W104" i="1"/>
  <c r="U102" i="1"/>
  <c r="R83" i="1"/>
  <c r="F83" i="1"/>
  <c r="P100" i="1"/>
  <c r="J83" i="1"/>
  <c r="P83" i="1"/>
  <c r="J102" i="1"/>
  <c r="G101" i="1"/>
  <c r="H85" i="1"/>
  <c r="V85" i="1"/>
  <c r="P85" i="1"/>
  <c r="F114" i="1"/>
  <c r="F118" i="1"/>
  <c r="G100" i="1"/>
  <c r="L104" i="1"/>
  <c r="P114" i="1"/>
  <c r="P118" i="1"/>
  <c r="Q118" i="1"/>
  <c r="G85" i="1"/>
  <c r="U101" i="1"/>
  <c r="R117" i="1"/>
  <c r="J101" i="1"/>
  <c r="F102" i="1"/>
  <c r="I117" i="1"/>
  <c r="H102" i="1"/>
  <c r="I119" i="1"/>
  <c r="S119" i="1"/>
  <c r="K101" i="1"/>
  <c r="G102" i="1"/>
  <c r="W119" i="1"/>
  <c r="K100" i="1"/>
  <c r="R118" i="1"/>
  <c r="K104" i="1"/>
  <c r="O85" i="1"/>
  <c r="L101" i="1"/>
  <c r="T81" i="1"/>
  <c r="T84" i="1"/>
  <c r="I84" i="1"/>
  <c r="R84" i="1"/>
  <c r="U104" i="1"/>
  <c r="V101" i="1"/>
  <c r="F119" i="1"/>
  <c r="S100" i="1"/>
  <c r="E101" i="1"/>
  <c r="W83" i="1"/>
  <c r="W84" i="1"/>
  <c r="W85" i="1"/>
  <c r="W100" i="1"/>
  <c r="W101" i="1"/>
  <c r="X85" i="1"/>
  <c r="W102" i="1"/>
  <c r="V104" i="1"/>
  <c r="W107" i="1"/>
  <c r="W110" i="1"/>
  <c r="W111" i="1"/>
  <c r="W109" i="1"/>
  <c r="W123" i="1"/>
  <c r="W126" i="1"/>
  <c r="W129" i="1"/>
  <c r="W122" i="1"/>
  <c r="W125" i="1"/>
  <c r="W128" i="1"/>
  <c r="Y104" i="1"/>
  <c r="AB114" i="1"/>
  <c r="AB117" i="1"/>
  <c r="AC114" i="1"/>
  <c r="AC117" i="1"/>
  <c r="AD114" i="1"/>
  <c r="AD117" i="1"/>
  <c r="AE114" i="1"/>
  <c r="AE117" i="1"/>
  <c r="Z104" i="1"/>
  <c r="AB81" i="1"/>
  <c r="AB107" i="1"/>
  <c r="AB109" i="1"/>
  <c r="AB84" i="1"/>
  <c r="AB85" i="1"/>
  <c r="AB83" i="1"/>
  <c r="AA104" i="1"/>
  <c r="AB118" i="1"/>
  <c r="AB119" i="1"/>
  <c r="AB100" i="1"/>
  <c r="AB123" i="1"/>
  <c r="AB101" i="1"/>
  <c r="AB122" i="1"/>
  <c r="AB102" i="1"/>
  <c r="AB110" i="1"/>
  <c r="AB111" i="1"/>
  <c r="AB126" i="1"/>
  <c r="AB129" i="1"/>
  <c r="AB125" i="1"/>
  <c r="AB128" i="1"/>
  <c r="AC81" i="1"/>
  <c r="AC83" i="1"/>
  <c r="AC84" i="1"/>
  <c r="AC85" i="1"/>
  <c r="AC100" i="1"/>
  <c r="AC107" i="1"/>
  <c r="AC109" i="1"/>
  <c r="AC118" i="1"/>
  <c r="AB104" i="1"/>
  <c r="AC119" i="1"/>
  <c r="AC101" i="1"/>
  <c r="AC110" i="1"/>
  <c r="AC122" i="1"/>
  <c r="AC111" i="1"/>
  <c r="AC102" i="1"/>
  <c r="AC123" i="1"/>
  <c r="AC125" i="1"/>
  <c r="AC128" i="1"/>
  <c r="AC126" i="1"/>
  <c r="AC129" i="1"/>
  <c r="AD81" i="1"/>
  <c r="AD83" i="1"/>
  <c r="AD84" i="1"/>
  <c r="AD85" i="1"/>
  <c r="AD119" i="1"/>
  <c r="AD100" i="1"/>
  <c r="AC104" i="1"/>
  <c r="AD118" i="1"/>
  <c r="AD107" i="1"/>
  <c r="AD109" i="1"/>
  <c r="AD102" i="1"/>
  <c r="AD122" i="1"/>
  <c r="AD101" i="1"/>
  <c r="AD123" i="1"/>
  <c r="AD111" i="1"/>
  <c r="AD110" i="1"/>
  <c r="AD126" i="1"/>
  <c r="AD129" i="1"/>
  <c r="AD125" i="1"/>
  <c r="AD128" i="1"/>
  <c r="AE81" i="1"/>
  <c r="AE84" i="1"/>
  <c r="AE85" i="1"/>
  <c r="AE83" i="1"/>
  <c r="AE118" i="1"/>
  <c r="AE100" i="1"/>
  <c r="AE119" i="1"/>
  <c r="AE107" i="1"/>
  <c r="AE109" i="1"/>
  <c r="AD104" i="1"/>
  <c r="AE123" i="1"/>
  <c r="AE101" i="1"/>
  <c r="AE122" i="1"/>
  <c r="AE110" i="1"/>
  <c r="AE102" i="1"/>
  <c r="AE111" i="1"/>
  <c r="AE125" i="1"/>
  <c r="AE128" i="1"/>
  <c r="AE126" i="1"/>
  <c r="AE129" i="1"/>
  <c r="Z119" i="1"/>
  <c r="Z110" i="1"/>
  <c r="Z101" i="1"/>
  <c r="X125" i="1"/>
  <c r="X107" i="1"/>
  <c r="X126" i="1"/>
  <c r="X129" i="1"/>
  <c r="Y84" i="1"/>
  <c r="Y118" i="1"/>
  <c r="Y119" i="1"/>
  <c r="Y109" i="1"/>
  <c r="Y100" i="1"/>
  <c r="Y102" i="1"/>
  <c r="X83" i="1"/>
  <c r="X109" i="1"/>
  <c r="X119" i="1"/>
  <c r="J85" i="1"/>
  <c r="T83" i="1"/>
  <c r="Q83" i="1"/>
  <c r="M100" i="1"/>
  <c r="L83" i="1"/>
  <c r="U100" i="1"/>
  <c r="F117" i="1"/>
  <c r="W117" i="1"/>
  <c r="E83" i="1"/>
  <c r="G119" i="1"/>
  <c r="E119" i="1"/>
  <c r="R85" i="1"/>
  <c r="F85" i="1"/>
  <c r="T85" i="1"/>
  <c r="S83" i="1"/>
  <c r="F104" i="1"/>
  <c r="O119" i="1"/>
  <c r="L119" i="1"/>
  <c r="P101" i="1"/>
  <c r="Q104" i="1"/>
  <c r="W118" i="1"/>
  <c r="R119" i="1"/>
  <c r="O104" i="1"/>
  <c r="M102" i="1"/>
  <c r="Q119" i="1"/>
  <c r="S117" i="1"/>
  <c r="E118" i="1"/>
  <c r="E117" i="1"/>
  <c r="U114" i="1"/>
  <c r="U117" i="1"/>
  <c r="I118" i="1"/>
  <c r="I104" i="1"/>
  <c r="J104" i="1"/>
  <c r="M101" i="1"/>
  <c r="T104" i="1"/>
  <c r="X111" i="1"/>
  <c r="X110" i="1"/>
  <c r="O101" i="1"/>
  <c r="O100" i="1"/>
  <c r="Z85" i="1"/>
  <c r="M114" i="1"/>
  <c r="R102" i="1"/>
  <c r="H114" i="1"/>
  <c r="V102" i="1"/>
  <c r="P119" i="1"/>
  <c r="H104" i="1"/>
  <c r="H118" i="1"/>
  <c r="O118" i="1"/>
  <c r="V118" i="1"/>
  <c r="V119" i="1"/>
  <c r="M119" i="1"/>
  <c r="V100" i="1"/>
  <c r="H119" i="1"/>
  <c r="H117" i="1"/>
  <c r="I102" i="1"/>
  <c r="N118" i="1"/>
  <c r="M117" i="1"/>
  <c r="P117" i="1"/>
  <c r="S104" i="1"/>
  <c r="R101" i="1"/>
  <c r="N119" i="1"/>
  <c r="T101" i="1"/>
  <c r="N117" i="1"/>
  <c r="Q117" i="1"/>
  <c r="G104" i="1"/>
  <c r="L117" i="1"/>
  <c r="O117" i="1"/>
  <c r="U119" i="1"/>
  <c r="G118" i="1"/>
  <c r="M118" i="1"/>
  <c r="I101" i="1"/>
  <c r="F101" i="1"/>
  <c r="G117" i="1"/>
  <c r="L118" i="1"/>
  <c r="H101" i="1"/>
  <c r="U118" i="1"/>
  <c r="P102" i="1"/>
  <c r="H100" i="1"/>
  <c r="S118" i="1"/>
  <c r="J100" i="1"/>
  <c r="E104" i="1"/>
  <c r="F100" i="1"/>
  <c r="X118" i="1"/>
  <c r="Y101" i="1"/>
  <c r="X104" i="1"/>
  <c r="R100" i="1"/>
  <c r="I100" i="1"/>
  <c r="I85" i="1"/>
  <c r="T102" i="1"/>
  <c r="T100" i="1"/>
  <c r="X128" i="1"/>
  <c r="Y85" i="1"/>
  <c r="U8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Rucheeta Kadge</author>
  </authors>
  <commentList>
    <comment ref="CL12" authorId="0" shapeId="0" xr:uid="{BA04FA60-D806-464A-94DA-A0A3B42D5C93}">
      <text>
        <r>
          <rPr>
            <b/>
            <sz val="9"/>
            <color indexed="81"/>
            <rFont val="Tahoma"/>
            <family val="2"/>
          </rPr>
          <t xml:space="preserve">Includes other income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<sst xmlns="http://schemas.openxmlformats.org/spreadsheetml/2006/main" count="677" uniqueCount="535">
  <si>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</si>
  <si>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</si>
  <si>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</si>
  <si>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</si>
  <si>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</si>
  <si>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</si>
  <si>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</si>
  <si>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</si>
  <si>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</si>
  <si>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</si>
  <si>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</si>
  <si>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</si>
  <si>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</si>
  <si>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</si>
  <si>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</si>
  <si>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</si>
  <si>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</si>
  <si>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</si>
  <si>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</si>
  <si>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</si>
  <si>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</si>
  <si>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</si>
  <si>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</si>
  <si>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</si>
  <si>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</si>
  <si>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</si>
  <si>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</si>
  <si>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</si>
  <si>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</si>
  <si>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</si>
  <si>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</si>
  <si>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</si>
  <si>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</si>
  <si>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</si>
  <si>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</si>
  <si>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</si>
  <si>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</si>
  <si>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</si>
  <si>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</si>
  <si>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</si>
  <si>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</si>
  <si>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</si>
  <si>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</si>
  <si>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</si>
  <si>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</si>
  <si>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</si>
  <si>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</si>
  <si>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</si>
  <si>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</si>
  <si>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</si>
  <si>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</si>
  <si>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</si>
  <si>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</si>
  <si>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</si>
  <si>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</si>
  <si>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</si>
  <si>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</si>
  <si>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</si>
  <si>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</si>
  <si>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</si>
  <si>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</si>
  <si>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</si>
  <si>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</si>
  <si>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</si>
  <si>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</si>
  <si>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</si>
  <si>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</si>
  <si>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</si>
  <si>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</si>
  <si>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</si>
  <si>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</si>
  <si>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</si>
  <si>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</si>
  <si>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</si>
  <si>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</si>
  <si>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</si>
  <si>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</si>
  <si>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</si>
  <si>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</si>
  <si>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</si>
  <si>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</si>
  <si>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</si>
  <si>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</si>
  <si>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</si>
  <si>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</si>
  <si>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</si>
  <si>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</si>
  <si>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</si>
  <si>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</si>
  <si>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</si>
  <si>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</si>
  <si>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</si>
  <si>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</si>
  <si>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</si>
  <si>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</si>
  <si>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</si>
  <si>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</si>
  <si>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</si>
  <si>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</si>
  <si>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</si>
  <si>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</si>
  <si>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</si>
  <si>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</si>
  <si>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</si>
  <si>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</si>
  <si>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</si>
  <si>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</si>
  <si>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</si>
  <si>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</si>
  <si>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</si>
  <si>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</si>
  <si>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</si>
  <si>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</si>
  <si>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</si>
  <si>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</si>
  <si>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</si>
  <si>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</si>
  <si>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</si>
  <si>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</si>
  <si>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</si>
  <si>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</si>
  <si>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</si>
  <si>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</si>
  <si>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</si>
  <si>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</si>
  <si>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</si>
  <si>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</si>
  <si>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</si>
  <si>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</si>
  <si>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</si>
  <si>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</si>
  <si>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</si>
  <si>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</si>
  <si>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</si>
  <si>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</si>
  <si>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</si>
  <si>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</si>
  <si>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</si>
  <si>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</si>
  <si>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</si>
  <si>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</si>
  <si>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</si>
  <si>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</si>
  <si>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</si>
  <si>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</si>
  <si>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</si>
  <si>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</si>
  <si>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</si>
  <si>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</si>
  <si>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</si>
  <si>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</si>
  <si>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</si>
  <si>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</si>
  <si>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</si>
  <si>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</si>
  <si>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</si>
  <si>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</si>
  <si>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</si>
  <si>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</si>
  <si>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</si>
  <si>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</si>
  <si>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</si>
  <si>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</si>
  <si>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</si>
  <si>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</si>
  <si>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</si>
  <si>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</si>
  <si>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</si>
  <si>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</si>
  <si>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</si>
  <si>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</si>
  <si>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</si>
  <si>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</si>
  <si>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</si>
  <si>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</si>
  <si>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</si>
  <si>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</si>
  <si>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</si>
  <si>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</si>
  <si>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</si>
  <si>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</si>
  <si>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</si>
  <si>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</si>
  <si>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</si>
  <si>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</si>
  <si>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</si>
  <si>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</si>
  <si>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</si>
  <si>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</si>
  <si>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</si>
  <si>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</si>
  <si>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</si>
  <si>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</si>
  <si>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</si>
  <si>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</si>
  <si>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</si>
  <si>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</si>
  <si>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</si>
  <si>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</si>
  <si>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</si>
  <si>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</si>
  <si>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</si>
  <si>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</si>
  <si>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</si>
  <si>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</si>
  <si>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</si>
  <si>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</si>
  <si>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</si>
  <si>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</si>
  <si>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</si>
  <si>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</si>
  <si>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</si>
  <si>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</si>
  <si>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</si>
  <si>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</si>
  <si>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</si>
  <si>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</si>
  <si>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</si>
  <si>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</si>
  <si>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</si>
  <si>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</si>
  <si>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</si>
  <si>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</si>
  <si>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</si>
  <si>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</si>
  <si>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</si>
  <si>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</si>
  <si>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</si>
  <si>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</si>
  <si>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</si>
  <si>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</si>
  <si>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</si>
  <si>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</si>
  <si>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</si>
  <si>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</si>
  <si>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</si>
  <si>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</si>
  <si>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</si>
  <si>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</si>
  <si>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</si>
  <si>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</si>
  <si>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</si>
  <si>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</si>
  <si>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</si>
  <si>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</si>
  <si>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</si>
  <si>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</si>
  <si>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</si>
  <si>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</si>
  <si>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</si>
  <si>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</si>
  <si>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</si>
  <si>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</si>
  <si>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</si>
  <si>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</si>
  <si>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</si>
  <si>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</si>
  <si>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</si>
  <si>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</si>
  <si>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</si>
  <si>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</si>
  <si>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</si>
  <si>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</si>
  <si>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</si>
  <si>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</si>
  <si>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</si>
  <si>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</si>
  <si>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</si>
  <si>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</si>
  <si>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</si>
  <si>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</si>
  <si>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</si>
  <si>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</si>
  <si>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</si>
  <si>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</si>
  <si>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</si>
  <si>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</si>
  <si>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</si>
  <si>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</si>
  <si>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</si>
  <si>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</si>
  <si>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</si>
  <si>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</si>
  <si>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</si>
  <si>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</si>
  <si>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</si>
  <si>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</si>
  <si>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</si>
  <si>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</si>
  <si>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</si>
  <si>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</si>
  <si>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</si>
  <si>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</si>
  <si>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</si>
  <si>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</si>
  <si>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</si>
  <si>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</si>
  <si>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</si>
  <si>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</si>
  <si>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</si>
  <si>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</si>
  <si>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</si>
  <si>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</si>
  <si>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</si>
  <si>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</si>
  <si>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</si>
  <si>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</si>
  <si>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</si>
  <si>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</si>
  <si>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</si>
  <si>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</si>
  <si>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</si>
  <si>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</si>
  <si>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</si>
  <si>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</si>
  <si>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</si>
  <si>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</si>
  <si>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</si>
  <si>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</si>
  <si>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</si>
  <si>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</si>
  <si>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</si>
  <si>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</si>
  <si>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</si>
  <si>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</si>
  <si>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</si>
  <si>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</si>
  <si>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</si>
  <si>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</si>
  <si>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</si>
  <si>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</si>
  <si>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</si>
  <si>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</si>
  <si>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</si>
  <si>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</si>
  <si>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</si>
  <si>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</si>
  <si>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</si>
  <si>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</si>
  <si>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</si>
  <si>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</si>
  <si>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</si>
  <si>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</si>
  <si>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</si>
  <si>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</si>
  <si>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</si>
  <si>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</si>
  <si>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</si>
  <si>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</si>
  <si>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</si>
  <si>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</si>
  <si>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</si>
  <si>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</si>
  <si>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</si>
  <si>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</si>
  <si>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</si>
  <si>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</si>
  <si>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</si>
  <si>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</si>
  <si>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</si>
  <si>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</si>
  <si>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</si>
  <si>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</si>
  <si>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</si>
  <si>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</si>
  <si>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</si>
  <si>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</si>
  <si>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</si>
  <si>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</si>
  <si>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</si>
  <si>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</si>
  <si>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</si>
  <si>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</si>
  <si>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</si>
  <si>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</si>
  <si>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</si>
  <si>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</si>
  <si>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</si>
  <si>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</si>
  <si>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</si>
  <si>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</si>
  <si>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</si>
  <si>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</si>
  <si>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</si>
  <si>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</si>
  <si>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</si>
  <si>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</si>
  <si>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</si>
  <si>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</si>
  <si>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</si>
  <si>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</si>
  <si>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</si>
  <si>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</si>
  <si>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</si>
  <si>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</si>
  <si>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</si>
  <si>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</si>
  <si>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</si>
  <si>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</si>
  <si>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</si>
  <si>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</si>
  <si>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</si>
  <si>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</si>
  <si>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</si>
  <si>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</si>
  <si>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</si>
  <si>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</si>
  <si>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</si>
  <si>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</si>
  <si>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</si>
  <si>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</si>
  <si>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</si>
  <si>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</si>
  <si>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</si>
  <si>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</si>
  <si>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</si>
  <si>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</si>
  <si>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</si>
  <si>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</si>
  <si>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</si>
  <si>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</si>
  <si>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</si>
  <si>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</si>
  <si>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</si>
  <si>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</si>
  <si>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</si>
  <si>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</si>
  <si>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</si>
  <si>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</si>
  <si>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</si>
  <si>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</si>
  <si>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</si>
  <si>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</si>
  <si>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</si>
  <si>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</si>
  <si>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</si>
  <si>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</si>
  <si>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</si>
  <si>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</si>
  <si>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</si>
  <si>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</si>
  <si>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</si>
  <si>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</si>
  <si>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</si>
  <si>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</si>
  <si>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</si>
  <si>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</si>
  <si>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</si>
  <si>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</si>
  <si>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</si>
  <si>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</si>
  <si>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</si>
  <si>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</si>
  <si>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</si>
  <si>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</si>
  <si>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</si>
  <si>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</si>
  <si>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</si>
  <si>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</si>
  <si>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</si>
  <si>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</si>
  <si>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</si>
  <si>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</si>
  <si>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</si>
  <si>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</si>
  <si>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</si>
  <si>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</si>
  <si>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</si>
  <si>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</si>
  <si>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</si>
  <si>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</si>
  <si>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</si>
  <si>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</si>
  <si>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</si>
  <si>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</si>
  <si>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</si>
  <si>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</si>
  <si>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</si>
  <si>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</si>
  <si>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</si>
  <si>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</si>
  <si>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</si>
  <si>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</si>
  <si>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</si>
  <si>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</si>
  <si>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</si>
  <si>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</si>
  <si>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</si>
  <si>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</si>
  <si>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</si>
  <si>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</si>
  <si>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</si>
  <si>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</si>
  <si>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</si>
  <si>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</si>
  <si>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</si>
  <si>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</si>
  <si>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</si>
  <si>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</si>
  <si>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</si>
  <si>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</si>
  <si>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</si>
  <si>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</si>
  <si>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</si>
  <si>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</si>
  <si>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</si>
  <si>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</si>
  <si>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</si>
  <si>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</si>
  <si>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</si>
  <si>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</si>
  <si>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</si>
  <si>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</si>
  <si>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</si>
  <si>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</si>
  <si>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Avantel Ltd.</t>
  </si>
  <si>
    <t>DATE</t>
  </si>
  <si>
    <t>ADJCLOSE</t>
  </si>
  <si>
    <t>ADJHIGH</t>
  </si>
  <si>
    <t>ADJLOW</t>
  </si>
  <si>
    <t>ADJOPEN</t>
  </si>
  <si>
    <t>CLOSE</t>
  </si>
  <si>
    <t>VOLUME</t>
  </si>
  <si>
    <t>Order Book</t>
  </si>
  <si>
    <t>Opening</t>
  </si>
  <si>
    <t>Addition</t>
  </si>
  <si>
    <t>Exceution</t>
  </si>
  <si>
    <t>Closing</t>
  </si>
  <si>
    <t>Revenue Breakup - Segment Wise</t>
  </si>
  <si>
    <t>Communication &amp; Signal processing products</t>
  </si>
  <si>
    <t xml:space="preserve">Health care </t>
  </si>
  <si>
    <t>Total</t>
  </si>
  <si>
    <t>Revenue Growth %</t>
  </si>
  <si>
    <t>Checksum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</si>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</sst>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90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43" fontId="18" fillId="2" borderId="0" xfId="2" applyFont="1" applyFill="1" applyAlignment="1">
      <alignment horizontal="left"/>
    </xf>
    <xf numFmtId="9" fontId="9" fillId="2" borderId="0" xfId="1" applyFont="1" applyFill="1" applyAlignment="1">
      <alignment horizontal="right"/>
    </xf>
    <xf numFmtId="9" fontId="9" fillId="7" borderId="0" xfId="1" applyFont="1" applyFill="1" applyAlignment="1">
      <alignment horizontal="right"/>
    </xf>
    <xf numFmtId="9" fontId="9" fillId="7" borderId="0" xfId="2" applyNumberFormat="1" applyFont="1" applyFill="1" applyAlignment="1">
      <alignment horizontal="center"/>
    </xf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69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F22" sqref="DF22:DF269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34" width="11.140625" style="2"/>
    <col min="35" max="70" width="0" style="2" hidden="1" customWidth="1"/>
    <col min="71" max="74" width="11.140625" style="2" customWidth="1"/>
    <col min="75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e">
        <f ca="1">+'Annual Raw'!C4</f>
        <v>#NAME?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J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ref="CK1" si="16">EOMONTH(CJ1,3)</f>
        <v>46022</v>
      </c>
      <c r="CL1" s="79">
        <f t="shared" ref="CL1" si="17">EOMONTH(CK1,3)</f>
        <v>46112</v>
      </c>
      <c r="CM1" s="80">
        <f t="shared" ref="CM1" si="18">EOMONTH(CL1,3)</f>
        <v>46203</v>
      </c>
      <c r="CN1" s="80">
        <f t="shared" ref="CN1" si="19">EOMONTH(CM1,3)</f>
        <v>46295</v>
      </c>
      <c r="CO1" s="80">
        <f t="shared" ref="CO1" si="20">EOMONTH(CN1,3)</f>
        <v>46387</v>
      </c>
      <c r="CP1" s="80">
        <f t="shared" ref="CP1" si="21">EOMONTH(CO1,3)</f>
        <v>46477</v>
      </c>
      <c r="CQ1" s="80">
        <f t="shared" ref="CQ1" si="22">EOMONTH(CP1,3)</f>
        <v>46568</v>
      </c>
      <c r="CR1" s="80">
        <f t="shared" ref="CR1" si="23">EOMONTH(CQ1,3)</f>
        <v>46660</v>
      </c>
      <c r="CS1" s="80">
        <f t="shared" ref="CS1" si="24">EOMONTH(CR1,3)</f>
        <v>46752</v>
      </c>
      <c r="CT1" s="80">
        <f t="shared" ref="CT1" si="25">EOMONTH(CS1,3)</f>
        <v>46843</v>
      </c>
      <c r="CU1" s="80">
        <f t="shared" ref="CU1" si="26">EOMONTH(CT1,3)</f>
        <v>46934</v>
      </c>
      <c r="CV1" s="80">
        <f t="shared" ref="CV1" si="27">EOMONTH(CU1,3)</f>
        <v>47026</v>
      </c>
      <c r="CW1" s="80">
        <f t="shared" ref="CW1" si="28">EOMONTH(CV1,3)</f>
        <v>47118</v>
      </c>
      <c r="CX1" s="80">
        <f t="shared" ref="CX1" si="29">EOMONTH(CW1,3)</f>
        <v>47208</v>
      </c>
      <c r="CY1" s="80">
        <f t="shared" ref="CY1" si="30">EOMONTH(CX1,3)</f>
        <v>47299</v>
      </c>
      <c r="CZ1" s="80">
        <f t="shared" ref="CZ1" si="31">EOMONTH(CY1,3)</f>
        <v>47391</v>
      </c>
      <c r="DA1" s="80">
        <f t="shared" ref="DA1" si="32">EOMONTH(CZ1,3)</f>
        <v>47483</v>
      </c>
      <c r="DB1" s="80">
        <f t="shared" ref="DB1" si="33">EOMONTH(DA1,3)</f>
        <v>47573</v>
      </c>
      <c r="DE1" s="148" t="s">
        <v>445</v>
      </c>
      <c r="DF1" s="189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7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6"/>
      <c r="CL3" s="156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1" customFormat="1" hidden="1" x14ac:dyDescent="0.2">
      <c r="A4" s="151" t="s">
        <v>523</v>
      </c>
    </row>
    <row r="5" spans="1:110" s="109" customFormat="1" hidden="1" x14ac:dyDescent="0.2">
      <c r="A5" s="185" t="s">
        <v>524</v>
      </c>
      <c r="B5" s="107"/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8"/>
      <c r="AB5" s="108"/>
      <c r="AC5" s="108"/>
      <c r="AD5" s="108"/>
      <c r="AE5" s="108"/>
      <c r="AI5" s="107"/>
      <c r="AJ5" s="107"/>
      <c r="AK5" s="107"/>
      <c r="AL5" s="107"/>
      <c r="AM5" s="107"/>
      <c r="AN5" s="107"/>
      <c r="AO5" s="107"/>
      <c r="AP5" s="107"/>
      <c r="AQ5" s="107"/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7"/>
      <c r="BF5" s="107"/>
      <c r="BG5" s="107"/>
      <c r="BH5" s="107"/>
      <c r="BI5" s="107"/>
      <c r="BJ5" s="107"/>
      <c r="BK5" s="107"/>
      <c r="BL5" s="107"/>
      <c r="BM5" s="107"/>
      <c r="BN5" s="107"/>
      <c r="BO5" s="107"/>
      <c r="BP5" s="107"/>
      <c r="BQ5" s="107"/>
      <c r="BR5" s="107"/>
      <c r="BS5" s="107"/>
      <c r="BT5" s="107"/>
      <c r="BU5" s="107"/>
      <c r="BV5" s="107"/>
      <c r="BW5" s="107">
        <f>BV8</f>
        <v>240</v>
      </c>
      <c r="BX5" s="107"/>
      <c r="BY5" s="107"/>
      <c r="BZ5" s="107"/>
      <c r="CA5" s="107">
        <f>BZ8</f>
        <v>188</v>
      </c>
      <c r="CB5" s="107"/>
      <c r="CC5" s="107"/>
      <c r="CD5" s="107"/>
      <c r="CE5" s="107"/>
      <c r="CF5" s="107"/>
      <c r="CG5" s="107"/>
      <c r="CH5" s="107"/>
      <c r="CI5" s="107">
        <f>CH8</f>
        <v>210</v>
      </c>
      <c r="CJ5" s="107"/>
      <c r="CK5" s="108"/>
      <c r="CL5" s="108"/>
      <c r="CM5" s="108"/>
      <c r="CN5" s="108"/>
      <c r="CO5" s="108"/>
      <c r="CP5" s="108"/>
      <c r="CQ5" s="108"/>
      <c r="CR5" s="108"/>
      <c r="CS5" s="108"/>
      <c r="CT5" s="108"/>
      <c r="CU5" s="108"/>
      <c r="CV5" s="108"/>
      <c r="CW5" s="108"/>
      <c r="CX5" s="108"/>
      <c r="CY5" s="108"/>
      <c r="CZ5" s="108"/>
      <c r="DA5" s="108"/>
      <c r="DB5" s="108"/>
      <c r="DE5" s="117"/>
    </row>
    <row r="6" spans="1:110" s="158" customFormat="1" hidden="1" x14ac:dyDescent="0.2">
      <c r="A6" s="155" t="s">
        <v>525</v>
      </c>
      <c r="B6" s="156"/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7"/>
      <c r="AB6" s="157"/>
      <c r="AC6" s="157"/>
      <c r="AD6" s="157"/>
      <c r="AE6" s="157"/>
      <c r="AI6" s="156"/>
      <c r="AJ6" s="156"/>
      <c r="AK6" s="156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  <c r="BI6" s="156"/>
      <c r="BJ6" s="156"/>
      <c r="BK6" s="156"/>
      <c r="BL6" s="156"/>
      <c r="BM6" s="156"/>
      <c r="BN6" s="156"/>
      <c r="BO6" s="156"/>
      <c r="BP6" s="156"/>
      <c r="BQ6" s="156"/>
      <c r="BR6" s="156"/>
      <c r="BS6" s="156"/>
      <c r="BT6" s="156"/>
      <c r="BU6" s="156"/>
      <c r="BV6" s="156"/>
      <c r="BW6" s="156"/>
      <c r="BX6" s="156"/>
      <c r="BY6" s="156"/>
      <c r="BZ6" s="156"/>
      <c r="CA6" s="156"/>
      <c r="CB6" s="156"/>
      <c r="CC6" s="156"/>
      <c r="CD6" s="156"/>
      <c r="CE6" s="156"/>
      <c r="CF6" s="156"/>
      <c r="CG6" s="156"/>
      <c r="CH6" s="156"/>
      <c r="CI6" s="156"/>
      <c r="CJ6" s="156"/>
      <c r="CK6" s="157"/>
      <c r="CL6" s="157"/>
      <c r="CM6" s="157"/>
      <c r="CN6" s="157"/>
      <c r="CO6" s="157"/>
      <c r="CP6" s="157"/>
      <c r="CQ6" s="157"/>
      <c r="CR6" s="157"/>
      <c r="CS6" s="157"/>
      <c r="CT6" s="157"/>
      <c r="CU6" s="157"/>
      <c r="CV6" s="157"/>
      <c r="CW6" s="157"/>
      <c r="CX6" s="157"/>
      <c r="CY6" s="157"/>
      <c r="CZ6" s="157"/>
      <c r="DA6" s="157"/>
      <c r="DB6" s="157"/>
      <c r="DE6" s="159"/>
    </row>
    <row r="7" spans="1:110" s="158" customFormat="1" hidden="1" x14ac:dyDescent="0.2">
      <c r="A7" s="155" t="s">
        <v>526</v>
      </c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56"/>
      <c r="V7" s="156"/>
      <c r="W7" s="156"/>
      <c r="X7" s="156"/>
      <c r="Y7" s="156"/>
      <c r="Z7" s="156"/>
      <c r="AA7" s="157"/>
      <c r="AB7" s="157"/>
      <c r="AC7" s="157"/>
      <c r="AD7" s="157"/>
      <c r="AE7" s="157"/>
      <c r="AI7" s="156"/>
      <c r="AJ7" s="156"/>
      <c r="AK7" s="156"/>
      <c r="AL7" s="156"/>
      <c r="AM7" s="156"/>
      <c r="AN7" s="156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/>
      <c r="AZ7" s="156"/>
      <c r="BA7" s="156"/>
      <c r="BB7" s="156"/>
      <c r="BC7" s="156"/>
      <c r="BD7" s="156"/>
      <c r="BE7" s="156"/>
      <c r="BF7" s="156"/>
      <c r="BG7" s="156"/>
      <c r="BH7" s="156"/>
      <c r="BI7" s="156"/>
      <c r="BJ7" s="156"/>
      <c r="BK7" s="156"/>
      <c r="BL7" s="156"/>
      <c r="BM7" s="156"/>
      <c r="BN7" s="156"/>
      <c r="BO7" s="156"/>
      <c r="BP7" s="156"/>
      <c r="BQ7" s="156"/>
      <c r="BR7" s="156"/>
      <c r="BS7" s="156"/>
      <c r="BT7" s="156"/>
      <c r="BU7" s="156"/>
      <c r="BV7" s="156" t="e">
        <f t="shared" ref="BV7:BZ7" ca="1" si="34">BV23</f>
        <v>#NAME?</v>
      </c>
      <c r="BW7" s="156" t="e">
        <f t="shared" ca="1" si="34"/>
        <v>#NAME?</v>
      </c>
      <c r="BX7" s="156" t="e">
        <f t="shared" ca="1" si="34"/>
        <v>#NAME?</v>
      </c>
      <c r="BY7" s="156" t="e">
        <f t="shared" ca="1" si="34"/>
        <v>#NAME?</v>
      </c>
      <c r="BZ7" s="156" t="e">
        <f t="shared" ca="1" si="34"/>
        <v>#NAME?</v>
      </c>
      <c r="CA7" s="156" t="e">
        <f ca="1">CA23</f>
        <v>#NAME?</v>
      </c>
      <c r="CB7" s="156" t="e">
        <f t="shared" ref="CB7:CJ7" ca="1" si="35">CB23</f>
        <v>#NAME?</v>
      </c>
      <c r="CC7" s="156" t="e">
        <f t="shared" ca="1" si="35"/>
        <v>#NAME?</v>
      </c>
      <c r="CD7" s="156" t="e">
        <f t="shared" ca="1" si="35"/>
        <v>#NAME?</v>
      </c>
      <c r="CE7" s="156" t="e">
        <f t="shared" ca="1" si="35"/>
        <v>#NAME?</v>
      </c>
      <c r="CF7" s="156" t="e">
        <f t="shared" ca="1" si="35"/>
        <v>#NAME?</v>
      </c>
      <c r="CG7" s="156" t="e">
        <f t="shared" ca="1" si="35"/>
        <v>#NAME?</v>
      </c>
      <c r="CH7" s="156" t="e">
        <f t="shared" ca="1" si="35"/>
        <v>#NAME?</v>
      </c>
      <c r="CI7" s="156" t="e">
        <f t="shared" ca="1" si="35"/>
        <v>#NAME?</v>
      </c>
      <c r="CJ7" s="156" t="e">
        <f t="shared" ca="1" si="35"/>
        <v>#NAME?</v>
      </c>
      <c r="CK7" s="157"/>
      <c r="CL7" s="157"/>
      <c r="CM7" s="157"/>
      <c r="CN7" s="157"/>
      <c r="CO7" s="157"/>
      <c r="CP7" s="157"/>
      <c r="CQ7" s="157"/>
      <c r="CR7" s="157"/>
      <c r="CS7" s="157"/>
      <c r="CT7" s="157"/>
      <c r="CU7" s="157"/>
      <c r="CV7" s="157"/>
      <c r="CW7" s="157"/>
      <c r="CX7" s="157"/>
      <c r="CY7" s="157"/>
      <c r="CZ7" s="157"/>
      <c r="DA7" s="157"/>
      <c r="DB7" s="157"/>
      <c r="DE7" s="159"/>
    </row>
    <row r="8" spans="1:110" s="109" customFormat="1" hidden="1" x14ac:dyDescent="0.2">
      <c r="A8" s="185" t="s">
        <v>527</v>
      </c>
      <c r="B8" s="107"/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8"/>
      <c r="AB8" s="108"/>
      <c r="AC8" s="108"/>
      <c r="AD8" s="108"/>
      <c r="AE8" s="108"/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7"/>
      <c r="BF8" s="107"/>
      <c r="BG8" s="107"/>
      <c r="BH8" s="107"/>
      <c r="BI8" s="107"/>
      <c r="BJ8" s="107"/>
      <c r="BK8" s="107"/>
      <c r="BL8" s="107"/>
      <c r="BM8" s="107"/>
      <c r="BN8" s="107"/>
      <c r="BO8" s="107"/>
      <c r="BP8" s="107"/>
      <c r="BQ8" s="107"/>
      <c r="BR8" s="107"/>
      <c r="BS8" s="107"/>
      <c r="BT8" s="107"/>
      <c r="BU8" s="107"/>
      <c r="BV8" s="107">
        <v>240</v>
      </c>
      <c r="BW8" s="107"/>
      <c r="BX8" s="107"/>
      <c r="BY8" s="107"/>
      <c r="BZ8" s="107">
        <v>188</v>
      </c>
      <c r="CA8" s="107"/>
      <c r="CB8" s="107"/>
      <c r="CC8" s="107"/>
      <c r="CD8" s="107">
        <v>287</v>
      </c>
      <c r="CE8" s="107"/>
      <c r="CF8" s="107"/>
      <c r="CG8" s="107"/>
      <c r="CH8" s="107">
        <v>210</v>
      </c>
      <c r="CI8" s="107"/>
      <c r="CJ8" s="107"/>
      <c r="CK8" s="108"/>
      <c r="CL8" s="108"/>
      <c r="CM8" s="108"/>
      <c r="CN8" s="108"/>
      <c r="CO8" s="108"/>
      <c r="CP8" s="108"/>
      <c r="CQ8" s="108"/>
      <c r="CR8" s="108"/>
      <c r="CS8" s="108"/>
      <c r="CT8" s="108"/>
      <c r="CU8" s="108"/>
      <c r="CV8" s="108"/>
      <c r="CW8" s="108"/>
      <c r="CX8" s="108"/>
      <c r="CY8" s="108"/>
      <c r="CZ8" s="108"/>
      <c r="DA8" s="108"/>
      <c r="DB8" s="108"/>
      <c r="DE8" s="117"/>
    </row>
    <row r="9" spans="1:110" s="158" customFormat="1" hidden="1" x14ac:dyDescent="0.2">
      <c r="A9" s="155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6"/>
      <c r="V9" s="156"/>
      <c r="W9" s="156"/>
      <c r="X9" s="156"/>
      <c r="Y9" s="156"/>
      <c r="Z9" s="156"/>
      <c r="AA9" s="157"/>
      <c r="AB9" s="157"/>
      <c r="AC9" s="157"/>
      <c r="AD9" s="157"/>
      <c r="AE9" s="157"/>
      <c r="AI9" s="156"/>
      <c r="AJ9" s="156"/>
      <c r="AK9" s="156"/>
      <c r="AL9" s="156"/>
      <c r="AM9" s="156"/>
      <c r="AN9" s="156"/>
      <c r="AO9" s="156"/>
      <c r="AP9" s="156"/>
      <c r="AQ9" s="156"/>
      <c r="AR9" s="156"/>
      <c r="AS9" s="156"/>
      <c r="AT9" s="156"/>
      <c r="AU9" s="156"/>
      <c r="AV9" s="156"/>
      <c r="AW9" s="156"/>
      <c r="AX9" s="156"/>
      <c r="AY9" s="156"/>
      <c r="AZ9" s="156"/>
      <c r="BA9" s="156"/>
      <c r="BB9" s="156"/>
      <c r="BC9" s="156"/>
      <c r="BD9" s="156"/>
      <c r="BE9" s="156"/>
      <c r="BF9" s="156"/>
      <c r="BG9" s="156"/>
      <c r="BH9" s="156"/>
      <c r="BI9" s="156"/>
      <c r="BJ9" s="156"/>
      <c r="BK9" s="156"/>
      <c r="BL9" s="156"/>
      <c r="BM9" s="156"/>
      <c r="BN9" s="156"/>
      <c r="BO9" s="156"/>
      <c r="BP9" s="156"/>
      <c r="BQ9" s="156"/>
      <c r="BR9" s="156"/>
      <c r="BS9" s="156"/>
      <c r="BT9" s="156"/>
      <c r="BU9" s="156"/>
      <c r="BV9" s="156"/>
      <c r="BW9" s="156"/>
      <c r="BX9" s="156"/>
      <c r="BY9" s="156"/>
      <c r="BZ9" s="156"/>
      <c r="CA9" s="156"/>
      <c r="CB9" s="156"/>
      <c r="CC9" s="156"/>
      <c r="CD9" s="156"/>
      <c r="CE9" s="156"/>
      <c r="CF9" s="156"/>
      <c r="CG9" s="156"/>
      <c r="CH9" s="156"/>
      <c r="CI9" s="156"/>
      <c r="CJ9" s="156"/>
      <c r="CK9" s="156"/>
      <c r="CL9" s="157"/>
      <c r="CM9" s="157"/>
      <c r="CN9" s="157"/>
      <c r="CO9" s="157"/>
      <c r="CP9" s="157"/>
      <c r="CQ9" s="157"/>
      <c r="CR9" s="157"/>
      <c r="CS9" s="157"/>
      <c r="CT9" s="157"/>
      <c r="CU9" s="157"/>
      <c r="CV9" s="157"/>
      <c r="CW9" s="157"/>
      <c r="CX9" s="157"/>
      <c r="CY9" s="157"/>
      <c r="CZ9" s="157"/>
      <c r="DA9" s="157"/>
      <c r="DB9" s="157"/>
      <c r="DE9" s="159"/>
    </row>
    <row r="10" spans="1:110" s="158" customFormat="1" hidden="1" x14ac:dyDescent="0.2">
      <c r="A10" s="155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156"/>
      <c r="U10" s="156"/>
      <c r="V10" s="156"/>
      <c r="W10" s="156"/>
      <c r="X10" s="156"/>
      <c r="Y10" s="156"/>
      <c r="Z10" s="156"/>
      <c r="AA10" s="157"/>
      <c r="AB10" s="157"/>
      <c r="AC10" s="157"/>
      <c r="AD10" s="157"/>
      <c r="AE10" s="157"/>
      <c r="AI10" s="156"/>
      <c r="AJ10" s="156"/>
      <c r="AK10" s="156"/>
      <c r="AL10" s="156"/>
      <c r="AM10" s="156"/>
      <c r="AN10" s="156"/>
      <c r="AO10" s="156"/>
      <c r="AP10" s="156"/>
      <c r="AQ10" s="156"/>
      <c r="AR10" s="156"/>
      <c r="AS10" s="156"/>
      <c r="AT10" s="156"/>
      <c r="AU10" s="156"/>
      <c r="AV10" s="156"/>
      <c r="AW10" s="156"/>
      <c r="AX10" s="156"/>
      <c r="AY10" s="156"/>
      <c r="AZ10" s="156"/>
      <c r="BA10" s="156"/>
      <c r="BB10" s="156"/>
      <c r="BC10" s="156"/>
      <c r="BD10" s="156"/>
      <c r="BE10" s="156"/>
      <c r="BF10" s="156"/>
      <c r="BG10" s="156"/>
      <c r="BH10" s="156"/>
      <c r="BI10" s="156"/>
      <c r="BJ10" s="156"/>
      <c r="BK10" s="156"/>
      <c r="BL10" s="156"/>
      <c r="BM10" s="156"/>
      <c r="BN10" s="156"/>
      <c r="BO10" s="156"/>
      <c r="BP10" s="156"/>
      <c r="BQ10" s="156"/>
      <c r="BR10" s="156"/>
      <c r="BS10" s="156"/>
      <c r="BT10" s="156"/>
      <c r="BU10" s="156"/>
      <c r="BV10" s="156"/>
      <c r="BW10" s="156"/>
      <c r="BX10" s="156"/>
      <c r="BY10" s="156"/>
      <c r="BZ10" s="156"/>
      <c r="CA10" s="156"/>
      <c r="CB10" s="156"/>
      <c r="CC10" s="156"/>
      <c r="CD10" s="156"/>
      <c r="CE10" s="156"/>
      <c r="CF10" s="156"/>
      <c r="CG10" s="156"/>
      <c r="CH10" s="156"/>
      <c r="CI10" s="156"/>
      <c r="CJ10" s="156"/>
      <c r="CK10" s="156"/>
      <c r="CL10" s="157"/>
      <c r="CM10" s="157"/>
      <c r="CN10" s="157"/>
      <c r="CO10" s="157"/>
      <c r="CP10" s="157"/>
      <c r="CQ10" s="157"/>
      <c r="CR10" s="157"/>
      <c r="CS10" s="157"/>
      <c r="CT10" s="157"/>
      <c r="CU10" s="157"/>
      <c r="CV10" s="157"/>
      <c r="CW10" s="157"/>
      <c r="CX10" s="157"/>
      <c r="CY10" s="157"/>
      <c r="CZ10" s="157"/>
      <c r="DA10" s="157"/>
      <c r="DB10" s="157"/>
      <c r="DE10" s="159"/>
    </row>
    <row r="11" spans="1:110" s="151" customFormat="1" x14ac:dyDescent="0.2">
      <c r="A11" s="151" t="s">
        <v>528</v>
      </c>
    </row>
    <row r="12" spans="1:110" s="158" customFormat="1" x14ac:dyDescent="0.2">
      <c r="A12" s="155" t="s">
        <v>529</v>
      </c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>
        <f>SUM(BS12:BV12)</f>
        <v>106.3108</v>
      </c>
      <c r="X12" s="156">
        <f>SUM(BW12:BZ12)</f>
        <v>154.8158</v>
      </c>
      <c r="Y12" s="156">
        <f>SUM(CA12:CD12)</f>
        <v>225.21849999999998</v>
      </c>
      <c r="Z12" s="156">
        <f>SUM(CE12:CH12)</f>
        <v>250.24299999999999</v>
      </c>
      <c r="AA12" s="157">
        <f>SUM(CI12:CL12)</f>
        <v>223.72480000000002</v>
      </c>
      <c r="AB12" s="157">
        <f>SUM(CM12:CP12)</f>
        <v>257.28351999999995</v>
      </c>
      <c r="AC12" s="157">
        <f>SUM(CQ12:CT12)</f>
        <v>295.87604799999997</v>
      </c>
      <c r="AD12" s="157">
        <f>SUM(CU12:CX12)</f>
        <v>340.25745519999987</v>
      </c>
      <c r="AE12" s="157">
        <f>SUM(CY12:DB12)</f>
        <v>391.29607347999985</v>
      </c>
      <c r="AI12" s="156"/>
      <c r="AJ12" s="156"/>
      <c r="AK12" s="156"/>
      <c r="AL12" s="156"/>
      <c r="AM12" s="156"/>
      <c r="AN12" s="156"/>
      <c r="AO12" s="156"/>
      <c r="AP12" s="156"/>
      <c r="AQ12" s="156"/>
      <c r="AR12" s="156"/>
      <c r="AS12" s="156"/>
      <c r="AT12" s="156"/>
      <c r="AU12" s="156"/>
      <c r="AV12" s="156"/>
      <c r="AW12" s="156"/>
      <c r="AX12" s="156"/>
      <c r="AY12" s="156"/>
      <c r="AZ12" s="156"/>
      <c r="BA12" s="156"/>
      <c r="BB12" s="156"/>
      <c r="BC12" s="156"/>
      <c r="BD12" s="156"/>
      <c r="BE12" s="156"/>
      <c r="BF12" s="156"/>
      <c r="BG12" s="156"/>
      <c r="BH12" s="156"/>
      <c r="BI12" s="156"/>
      <c r="BJ12" s="156"/>
      <c r="BK12" s="156"/>
      <c r="BL12" s="156"/>
      <c r="BM12" s="156"/>
      <c r="BN12" s="156"/>
      <c r="BO12" s="156"/>
      <c r="BP12" s="156"/>
      <c r="BQ12" s="156"/>
      <c r="BR12" s="156"/>
      <c r="BS12" s="156">
        <v>14.0418</v>
      </c>
      <c r="BT12" s="156">
        <v>15.8497</v>
      </c>
      <c r="BU12" s="156">
        <v>29.197900000000001</v>
      </c>
      <c r="BV12" s="156">
        <v>47.221400000000003</v>
      </c>
      <c r="BW12" s="156">
        <v>27.1068</v>
      </c>
      <c r="BX12" s="156">
        <v>36.282600000000002</v>
      </c>
      <c r="BY12" s="156">
        <v>38.962200000000003</v>
      </c>
      <c r="BZ12" s="156">
        <v>52.464199999999998</v>
      </c>
      <c r="CA12" s="156">
        <v>69.032499999999999</v>
      </c>
      <c r="CB12" s="156">
        <v>54.570700000000002</v>
      </c>
      <c r="CC12" s="156">
        <v>59.4435</v>
      </c>
      <c r="CD12" s="156">
        <v>42.171799999999998</v>
      </c>
      <c r="CE12" s="156">
        <v>51.950899999999997</v>
      </c>
      <c r="CF12" s="156">
        <v>77.740799999999993</v>
      </c>
      <c r="CG12" s="156">
        <v>70.932400000000001</v>
      </c>
      <c r="CH12" s="156">
        <v>49.618899999999996</v>
      </c>
      <c r="CI12" s="156">
        <v>51.881599999999999</v>
      </c>
      <c r="CJ12" s="156">
        <v>56.0336</v>
      </c>
      <c r="CK12" s="156">
        <v>51.6584</v>
      </c>
      <c r="CL12" s="156">
        <v>64.151200000000003</v>
      </c>
      <c r="CM12" s="157">
        <f t="shared" ref="CM12:DB12" si="36">CI12*(1+CM18)</f>
        <v>59.663839999999993</v>
      </c>
      <c r="CN12" s="157">
        <f t="shared" si="36"/>
        <v>64.438639999999992</v>
      </c>
      <c r="CO12" s="157">
        <f t="shared" si="36"/>
        <v>59.407159999999998</v>
      </c>
      <c r="CP12" s="157">
        <f t="shared" si="36"/>
        <v>73.773879999999991</v>
      </c>
      <c r="CQ12" s="157">
        <f t="shared" si="36"/>
        <v>68.613415999999987</v>
      </c>
      <c r="CR12" s="157">
        <f t="shared" si="36"/>
        <v>74.104435999999978</v>
      </c>
      <c r="CS12" s="157">
        <f t="shared" si="36"/>
        <v>68.31823399999999</v>
      </c>
      <c r="CT12" s="157">
        <f t="shared" si="36"/>
        <v>84.839961999999986</v>
      </c>
      <c r="CU12" s="157">
        <f t="shared" si="36"/>
        <v>78.905428399999977</v>
      </c>
      <c r="CV12" s="157">
        <f t="shared" si="36"/>
        <v>85.220101399999962</v>
      </c>
      <c r="CW12" s="157">
        <f t="shared" si="36"/>
        <v>78.565969099999975</v>
      </c>
      <c r="CX12" s="157">
        <f t="shared" si="36"/>
        <v>97.565956299999982</v>
      </c>
      <c r="CY12" s="157">
        <f t="shared" si="36"/>
        <v>90.741242659999969</v>
      </c>
      <c r="CZ12" s="157">
        <f t="shared" si="36"/>
        <v>98.00311660999995</v>
      </c>
      <c r="DA12" s="157">
        <f t="shared" si="36"/>
        <v>90.350864464999958</v>
      </c>
      <c r="DB12" s="157">
        <f t="shared" si="36"/>
        <v>112.20084974499997</v>
      </c>
      <c r="DE12" s="159"/>
    </row>
    <row r="13" spans="1:110" s="158" customFormat="1" x14ac:dyDescent="0.2">
      <c r="A13" s="155" t="s">
        <v>530</v>
      </c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>
        <f>SUM(BS13:BV13)</f>
        <v>1.3100000000000001E-2</v>
      </c>
      <c r="X13" s="156">
        <f>SUM(BW13:BZ13)</f>
        <v>0.18869999999999998</v>
      </c>
      <c r="Y13" s="156">
        <f>SUM(CA13:CD13)</f>
        <v>0.57010000000000005</v>
      </c>
      <c r="Z13" s="156">
        <f>SUM(CE13:CH13)</f>
        <v>0.66860000000000008</v>
      </c>
      <c r="AA13" s="157">
        <f t="shared" ref="AA13" si="37">SUM(CI13:CL13)</f>
        <v>1.6215999999999999</v>
      </c>
      <c r="AB13" s="157">
        <f>SUM(CM13:CP13)</f>
        <v>1.7837600000000002</v>
      </c>
      <c r="AC13" s="157">
        <f>SUM(CQ13:CT13)</f>
        <v>1.9621360000000005</v>
      </c>
      <c r="AD13" s="157">
        <f>SUM(CU13:CX13)</f>
        <v>2.1583496000000002</v>
      </c>
      <c r="AE13" s="157">
        <f>SUM(CY13:DB13)</f>
        <v>2.3741845600000007</v>
      </c>
      <c r="AI13" s="156"/>
      <c r="AJ13" s="156"/>
      <c r="AK13" s="156"/>
      <c r="AL13" s="156"/>
      <c r="AM13" s="156"/>
      <c r="AN13" s="156"/>
      <c r="AO13" s="156"/>
      <c r="AP13" s="156"/>
      <c r="AQ13" s="156"/>
      <c r="AR13" s="156"/>
      <c r="AS13" s="156"/>
      <c r="AT13" s="156"/>
      <c r="AU13" s="156"/>
      <c r="AV13" s="156"/>
      <c r="AW13" s="156"/>
      <c r="AX13" s="156"/>
      <c r="AY13" s="156"/>
      <c r="AZ13" s="156"/>
      <c r="BA13" s="156"/>
      <c r="BB13" s="156"/>
      <c r="BC13" s="156"/>
      <c r="BD13" s="156"/>
      <c r="BE13" s="156"/>
      <c r="BF13" s="156"/>
      <c r="BG13" s="156"/>
      <c r="BH13" s="156"/>
      <c r="BI13" s="156"/>
      <c r="BJ13" s="156"/>
      <c r="BK13" s="156"/>
      <c r="BL13" s="156"/>
      <c r="BM13" s="156"/>
      <c r="BN13" s="156"/>
      <c r="BO13" s="156"/>
      <c r="BP13" s="156"/>
      <c r="BQ13" s="156"/>
      <c r="BR13" s="156"/>
      <c r="BS13" s="156">
        <v>0</v>
      </c>
      <c r="BT13" s="156">
        <v>0</v>
      </c>
      <c r="BU13" s="156">
        <v>0</v>
      </c>
      <c r="BV13" s="156">
        <v>1.3100000000000001E-2</v>
      </c>
      <c r="BW13" s="156">
        <v>2.0000000000000001E-4</v>
      </c>
      <c r="BX13" s="156">
        <v>4.8999999999999998E-3</v>
      </c>
      <c r="BY13" s="156">
        <v>2.7799999999999998E-2</v>
      </c>
      <c r="BZ13" s="156">
        <v>0.15579999999999999</v>
      </c>
      <c r="CA13" s="156">
        <v>0.1217</v>
      </c>
      <c r="CB13" s="156">
        <v>0.15809999999999999</v>
      </c>
      <c r="CC13" s="156">
        <v>0.24030000000000001</v>
      </c>
      <c r="CD13" s="156">
        <v>0.05</v>
      </c>
      <c r="CE13" s="156">
        <v>0.112</v>
      </c>
      <c r="CF13" s="156">
        <v>0.16950000000000001</v>
      </c>
      <c r="CG13" s="156">
        <v>0.26250000000000001</v>
      </c>
      <c r="CH13" s="156">
        <v>0.1246</v>
      </c>
      <c r="CI13" s="156">
        <v>7.46E-2</v>
      </c>
      <c r="CJ13" s="156">
        <v>0.29430000000000001</v>
      </c>
      <c r="CK13" s="156">
        <v>0.47070000000000001</v>
      </c>
      <c r="CL13" s="156">
        <v>0.78200000000000003</v>
      </c>
      <c r="CM13" s="157">
        <f t="shared" ref="CM13:DB13" si="38">CI13*(1+CM19)</f>
        <v>8.2060000000000008E-2</v>
      </c>
      <c r="CN13" s="157">
        <f t="shared" si="38"/>
        <v>0.32373000000000002</v>
      </c>
      <c r="CO13" s="157">
        <f t="shared" si="38"/>
        <v>0.51777000000000006</v>
      </c>
      <c r="CP13" s="157">
        <f t="shared" si="38"/>
        <v>0.86020000000000008</v>
      </c>
      <c r="CQ13" s="157">
        <f t="shared" si="38"/>
        <v>9.0266000000000013E-2</v>
      </c>
      <c r="CR13" s="157">
        <f t="shared" si="38"/>
        <v>0.35610300000000006</v>
      </c>
      <c r="CS13" s="157">
        <f t="shared" si="38"/>
        <v>0.56954700000000014</v>
      </c>
      <c r="CT13" s="157">
        <f t="shared" si="38"/>
        <v>0.94622000000000017</v>
      </c>
      <c r="CU13" s="157">
        <f t="shared" si="38"/>
        <v>9.9292600000000023E-2</v>
      </c>
      <c r="CV13" s="157">
        <f t="shared" si="38"/>
        <v>0.3917133000000001</v>
      </c>
      <c r="CW13" s="157">
        <f t="shared" si="38"/>
        <v>0.62650170000000016</v>
      </c>
      <c r="CX13" s="157">
        <f t="shared" si="38"/>
        <v>1.0408420000000003</v>
      </c>
      <c r="CY13" s="157">
        <f t="shared" si="38"/>
        <v>0.10922186000000003</v>
      </c>
      <c r="CZ13" s="157">
        <f t="shared" si="38"/>
        <v>0.43088463000000016</v>
      </c>
      <c r="DA13" s="157">
        <f t="shared" si="38"/>
        <v>0.68915187000000022</v>
      </c>
      <c r="DB13" s="157">
        <f t="shared" si="38"/>
        <v>1.1449262000000004</v>
      </c>
      <c r="DE13" s="159"/>
    </row>
    <row r="14" spans="1:110" s="109" customFormat="1" x14ac:dyDescent="0.2">
      <c r="A14" s="185" t="s">
        <v>531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>
        <f t="shared" ref="W14" si="39">SUM(W12:W13)</f>
        <v>106.32389999999999</v>
      </c>
      <c r="X14" s="107">
        <f t="shared" ref="X14" si="40">SUM(X12:X13)</f>
        <v>155.00450000000001</v>
      </c>
      <c r="Y14" s="107">
        <f t="shared" ref="Y14" si="41">SUM(Y12:Y13)</f>
        <v>225.78859999999997</v>
      </c>
      <c r="Z14" s="107">
        <f t="shared" ref="Z14:AE14" si="42">SUM(Z12:Z13)</f>
        <v>250.91159999999999</v>
      </c>
      <c r="AA14" s="108">
        <f>SUM(AA12:AA13)</f>
        <v>225.34640000000002</v>
      </c>
      <c r="AB14" s="108">
        <f t="shared" si="42"/>
        <v>259.06727999999993</v>
      </c>
      <c r="AC14" s="108">
        <f t="shared" si="42"/>
        <v>297.83818399999996</v>
      </c>
      <c r="AD14" s="108">
        <f t="shared" si="42"/>
        <v>342.41580479999988</v>
      </c>
      <c r="AE14" s="108">
        <f t="shared" si="42"/>
        <v>393.67025803999985</v>
      </c>
      <c r="AI14" s="107"/>
      <c r="AJ14" s="107"/>
      <c r="AK14" s="107"/>
      <c r="AL14" s="107"/>
      <c r="AM14" s="107"/>
      <c r="AN14" s="107"/>
      <c r="AO14" s="107"/>
      <c r="AP14" s="107"/>
      <c r="AQ14" s="107"/>
      <c r="AR14" s="107"/>
      <c r="AS14" s="107"/>
      <c r="AT14" s="107"/>
      <c r="AU14" s="107"/>
      <c r="AV14" s="107"/>
      <c r="AW14" s="107"/>
      <c r="AX14" s="107"/>
      <c r="AY14" s="107"/>
      <c r="AZ14" s="107"/>
      <c r="BA14" s="107"/>
      <c r="BB14" s="107"/>
      <c r="BC14" s="107"/>
      <c r="BD14" s="107"/>
      <c r="BE14" s="107"/>
      <c r="BF14" s="107"/>
      <c r="BG14" s="107"/>
      <c r="BH14" s="107"/>
      <c r="BI14" s="107"/>
      <c r="BJ14" s="107"/>
      <c r="BK14" s="107"/>
      <c r="BL14" s="107"/>
      <c r="BM14" s="107"/>
      <c r="BN14" s="107"/>
      <c r="BO14" s="107"/>
      <c r="BP14" s="107"/>
      <c r="BQ14" s="107"/>
      <c r="BR14" s="107"/>
      <c r="BS14" s="107">
        <f t="shared" ref="BS14:BV14" si="43">SUM(BS12:BS13)</f>
        <v>14.0418</v>
      </c>
      <c r="BT14" s="107">
        <f t="shared" si="43"/>
        <v>15.8497</v>
      </c>
      <c r="BU14" s="107">
        <f t="shared" si="43"/>
        <v>29.197900000000001</v>
      </c>
      <c r="BV14" s="107">
        <f t="shared" si="43"/>
        <v>47.234500000000004</v>
      </c>
      <c r="BW14" s="107">
        <f>SUM(BW12:BW13)</f>
        <v>27.106999999999999</v>
      </c>
      <c r="BX14" s="107">
        <f t="shared" ref="BX14:CJ14" si="44">SUM(BX12:BX13)</f>
        <v>36.287500000000001</v>
      </c>
      <c r="BY14" s="107">
        <f t="shared" si="44"/>
        <v>38.99</v>
      </c>
      <c r="BZ14" s="107">
        <f t="shared" si="44"/>
        <v>52.62</v>
      </c>
      <c r="CA14" s="107">
        <f t="shared" si="44"/>
        <v>69.154200000000003</v>
      </c>
      <c r="CB14" s="107">
        <f t="shared" si="44"/>
        <v>54.7288</v>
      </c>
      <c r="CC14" s="107">
        <f t="shared" si="44"/>
        <v>59.683799999999998</v>
      </c>
      <c r="CD14" s="107">
        <f t="shared" si="44"/>
        <v>42.221799999999995</v>
      </c>
      <c r="CE14" s="107">
        <f t="shared" si="44"/>
        <v>52.062899999999999</v>
      </c>
      <c r="CF14" s="107">
        <f t="shared" si="44"/>
        <v>77.910299999999992</v>
      </c>
      <c r="CG14" s="107">
        <f t="shared" si="44"/>
        <v>71.194900000000004</v>
      </c>
      <c r="CH14" s="107">
        <f t="shared" si="44"/>
        <v>49.743499999999997</v>
      </c>
      <c r="CI14" s="107">
        <f t="shared" si="44"/>
        <v>51.956199999999995</v>
      </c>
      <c r="CJ14" s="107">
        <f t="shared" si="44"/>
        <v>56.3279</v>
      </c>
      <c r="CK14" s="107">
        <f>SUM(CK12:CK13)</f>
        <v>52.129100000000001</v>
      </c>
      <c r="CL14" s="107">
        <f t="shared" ref="CL14:DB14" si="45">SUM(CL12:CL13)</f>
        <v>64.933199999999999</v>
      </c>
      <c r="CM14" s="108">
        <f t="shared" si="45"/>
        <v>59.745899999999992</v>
      </c>
      <c r="CN14" s="108">
        <f t="shared" si="45"/>
        <v>64.76236999999999</v>
      </c>
      <c r="CO14" s="108">
        <f t="shared" si="45"/>
        <v>59.924929999999996</v>
      </c>
      <c r="CP14" s="108">
        <f t="shared" si="45"/>
        <v>74.634079999999997</v>
      </c>
      <c r="CQ14" s="108">
        <f t="shared" si="45"/>
        <v>68.703681999999986</v>
      </c>
      <c r="CR14" s="108">
        <f t="shared" si="45"/>
        <v>74.460538999999983</v>
      </c>
      <c r="CS14" s="108">
        <f t="shared" si="45"/>
        <v>68.88778099999999</v>
      </c>
      <c r="CT14" s="108">
        <f t="shared" si="45"/>
        <v>85.786181999999982</v>
      </c>
      <c r="CU14" s="108">
        <f t="shared" si="45"/>
        <v>79.004720999999975</v>
      </c>
      <c r="CV14" s="108">
        <f t="shared" si="45"/>
        <v>85.611814699999968</v>
      </c>
      <c r="CW14" s="108">
        <f t="shared" si="45"/>
        <v>79.192470799999981</v>
      </c>
      <c r="CX14" s="108">
        <f t="shared" si="45"/>
        <v>98.60679829999998</v>
      </c>
      <c r="CY14" s="108">
        <f t="shared" si="45"/>
        <v>90.850464519999974</v>
      </c>
      <c r="CZ14" s="108">
        <f t="shared" si="45"/>
        <v>98.434001239999944</v>
      </c>
      <c r="DA14" s="108">
        <f t="shared" si="45"/>
        <v>91.040016334999962</v>
      </c>
      <c r="DB14" s="108">
        <f t="shared" si="45"/>
        <v>113.34577594499997</v>
      </c>
      <c r="DE14" s="117"/>
    </row>
    <row r="15" spans="1:110" s="158" customFormat="1" x14ac:dyDescent="0.2">
      <c r="A15" s="155" t="s">
        <v>533</v>
      </c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6"/>
      <c r="U15" s="156"/>
      <c r="V15" s="156"/>
      <c r="W15" s="156" t="e">
        <f ca="1">(W14-W50)-W23</f>
        <v>#NAME?</v>
      </c>
      <c r="X15" s="156" t="e">
        <f ca="1">(X14-X50)-X23</f>
        <v>#NAME?</v>
      </c>
      <c r="Y15" s="156" t="e">
        <f ca="1">(Y14-Y50)-Y23</f>
        <v>#NAME?</v>
      </c>
      <c r="Z15" s="156" t="e">
        <f ca="1">(Z14-Z50)-Z23</f>
        <v>#NAME?</v>
      </c>
      <c r="AA15" s="157"/>
      <c r="AB15" s="157"/>
      <c r="AC15" s="157"/>
      <c r="AD15" s="157"/>
      <c r="AE15" s="157"/>
      <c r="AI15" s="156"/>
      <c r="AJ15" s="156"/>
      <c r="AK15" s="156"/>
      <c r="AL15" s="156"/>
      <c r="AM15" s="156"/>
      <c r="AN15" s="156"/>
      <c r="AO15" s="156"/>
      <c r="AP15" s="156"/>
      <c r="AQ15" s="156"/>
      <c r="AR15" s="156"/>
      <c r="AS15" s="156"/>
      <c r="AT15" s="156"/>
      <c r="AU15" s="156"/>
      <c r="AV15" s="156"/>
      <c r="AW15" s="156"/>
      <c r="AX15" s="156"/>
      <c r="AY15" s="156"/>
      <c r="AZ15" s="156"/>
      <c r="BA15" s="156"/>
      <c r="BB15" s="156"/>
      <c r="BC15" s="156"/>
      <c r="BD15" s="156"/>
      <c r="BE15" s="156"/>
      <c r="BF15" s="156"/>
      <c r="BG15" s="156"/>
      <c r="BH15" s="156"/>
      <c r="BI15" s="156"/>
      <c r="BJ15" s="156"/>
      <c r="BK15" s="156"/>
      <c r="BL15" s="156"/>
      <c r="BM15" s="156"/>
      <c r="BN15" s="156"/>
      <c r="BO15" s="156"/>
      <c r="BP15" s="156"/>
      <c r="BQ15" s="156"/>
      <c r="BR15" s="156"/>
      <c r="BS15" s="156" t="e">
        <f t="shared" ref="BS15:CL15" ca="1" si="46">(BS14-BS50)-BS23</f>
        <v>#NAME?</v>
      </c>
      <c r="BT15" s="156" t="e">
        <f t="shared" ca="1" si="46"/>
        <v>#NAME?</v>
      </c>
      <c r="BU15" s="156" t="e">
        <f t="shared" ca="1" si="46"/>
        <v>#NAME?</v>
      </c>
      <c r="BV15" s="156" t="e">
        <f t="shared" ca="1" si="46"/>
        <v>#NAME?</v>
      </c>
      <c r="BW15" s="156" t="e">
        <f t="shared" ca="1" si="46"/>
        <v>#NAME?</v>
      </c>
      <c r="BX15" s="156" t="e">
        <f t="shared" ca="1" si="46"/>
        <v>#NAME?</v>
      </c>
      <c r="BY15" s="156" t="e">
        <f t="shared" ca="1" si="46"/>
        <v>#NAME?</v>
      </c>
      <c r="BZ15" s="156" t="e">
        <f t="shared" ca="1" si="46"/>
        <v>#NAME?</v>
      </c>
      <c r="CA15" s="156" t="e">
        <f t="shared" ca="1" si="46"/>
        <v>#NAME?</v>
      </c>
      <c r="CB15" s="156" t="e">
        <f t="shared" ca="1" si="46"/>
        <v>#NAME?</v>
      </c>
      <c r="CC15" s="156" t="e">
        <f t="shared" ca="1" si="46"/>
        <v>#NAME?</v>
      </c>
      <c r="CD15" s="156" t="e">
        <f t="shared" ca="1" si="46"/>
        <v>#NAME?</v>
      </c>
      <c r="CE15" s="156" t="e">
        <f t="shared" ca="1" si="46"/>
        <v>#NAME?</v>
      </c>
      <c r="CF15" s="156" t="e">
        <f t="shared" ca="1" si="46"/>
        <v>#NAME?</v>
      </c>
      <c r="CG15" s="156" t="e">
        <f t="shared" ca="1" si="46"/>
        <v>#NAME?</v>
      </c>
      <c r="CH15" s="156" t="e">
        <f t="shared" ca="1" si="46"/>
        <v>#NAME?</v>
      </c>
      <c r="CI15" s="156" t="e">
        <f t="shared" ca="1" si="46"/>
        <v>#NAME?</v>
      </c>
      <c r="CJ15" s="156" t="e">
        <f t="shared" ca="1" si="46"/>
        <v>#NAME?</v>
      </c>
      <c r="CK15" s="156" t="e">
        <f t="shared" ca="1" si="46"/>
        <v>#NAME?</v>
      </c>
      <c r="CL15" s="156" t="e">
        <f t="shared" ca="1" si="46"/>
        <v>#NAME?</v>
      </c>
      <c r="CM15" s="157"/>
      <c r="CN15" s="157"/>
      <c r="CO15" s="157"/>
      <c r="CP15" s="157"/>
      <c r="CQ15" s="157"/>
      <c r="CR15" s="157"/>
      <c r="CS15" s="157"/>
      <c r="CT15" s="157"/>
      <c r="CU15" s="157"/>
      <c r="CV15" s="157"/>
      <c r="CW15" s="157"/>
      <c r="CX15" s="157"/>
      <c r="CY15" s="157"/>
      <c r="CZ15" s="157"/>
      <c r="DA15" s="157"/>
      <c r="DB15" s="157"/>
      <c r="DE15" s="159"/>
    </row>
    <row r="16" spans="1:110" s="158" customFormat="1" x14ac:dyDescent="0.2">
      <c r="A16" s="155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/>
      <c r="Y16" s="156"/>
      <c r="Z16" s="156"/>
      <c r="AA16" s="157"/>
      <c r="AB16" s="157"/>
      <c r="AC16" s="157"/>
      <c r="AD16" s="157"/>
      <c r="AE16" s="157"/>
      <c r="AI16" s="156"/>
      <c r="AJ16" s="156"/>
      <c r="AK16" s="156"/>
      <c r="AL16" s="156"/>
      <c r="AM16" s="156"/>
      <c r="AN16" s="156"/>
      <c r="AO16" s="156"/>
      <c r="AP16" s="156"/>
      <c r="AQ16" s="156"/>
      <c r="AR16" s="156"/>
      <c r="AS16" s="156"/>
      <c r="AT16" s="156"/>
      <c r="AU16" s="156"/>
      <c r="AV16" s="156"/>
      <c r="AW16" s="156"/>
      <c r="AX16" s="156"/>
      <c r="AY16" s="156"/>
      <c r="AZ16" s="156"/>
      <c r="BA16" s="156"/>
      <c r="BB16" s="156"/>
      <c r="BC16" s="156"/>
      <c r="BD16" s="156"/>
      <c r="BE16" s="156"/>
      <c r="BF16" s="156"/>
      <c r="BG16" s="156"/>
      <c r="BH16" s="156"/>
      <c r="BI16" s="156"/>
      <c r="BJ16" s="156"/>
      <c r="BK16" s="156"/>
      <c r="BL16" s="156"/>
      <c r="BM16" s="156"/>
      <c r="BN16" s="156"/>
      <c r="BO16" s="156"/>
      <c r="BP16" s="156"/>
      <c r="BQ16" s="156"/>
      <c r="BR16" s="156"/>
      <c r="BS16" s="156"/>
      <c r="BT16" s="156"/>
      <c r="BU16" s="156"/>
      <c r="BV16" s="156"/>
      <c r="BW16" s="156"/>
      <c r="BX16" s="156"/>
      <c r="BY16" s="156"/>
      <c r="BZ16" s="156"/>
      <c r="CA16" s="156"/>
      <c r="CB16" s="156"/>
      <c r="CC16" s="156"/>
      <c r="CD16" s="156"/>
      <c r="CE16" s="156"/>
      <c r="CF16" s="156"/>
      <c r="CG16" s="156"/>
      <c r="CH16" s="156"/>
      <c r="CI16" s="156"/>
      <c r="CJ16" s="156"/>
      <c r="CK16" s="156"/>
      <c r="CL16" s="156"/>
      <c r="CM16" s="157"/>
      <c r="CN16" s="157"/>
      <c r="CO16" s="157"/>
      <c r="CP16" s="157"/>
      <c r="CQ16" s="157"/>
      <c r="CR16" s="157"/>
      <c r="CS16" s="157"/>
      <c r="CT16" s="157"/>
      <c r="CU16" s="157"/>
      <c r="CV16" s="157"/>
      <c r="CW16" s="157"/>
      <c r="CX16" s="157"/>
      <c r="CY16" s="157"/>
      <c r="CZ16" s="157"/>
      <c r="DA16" s="157"/>
      <c r="DB16" s="157"/>
      <c r="DE16" s="159"/>
    </row>
    <row r="17" spans="1:110" s="151" customFormat="1" x14ac:dyDescent="0.2">
      <c r="A17" s="151" t="s">
        <v>532</v>
      </c>
    </row>
    <row r="18" spans="1:110" s="158" customFormat="1" x14ac:dyDescent="0.2">
      <c r="A18" s="155" t="s">
        <v>529</v>
      </c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156"/>
      <c r="S18" s="156"/>
      <c r="T18" s="156"/>
      <c r="U18" s="156"/>
      <c r="V18" s="156"/>
      <c r="W18" s="156"/>
      <c r="X18" s="186">
        <f>X12/W12-1</f>
        <v>0.45625656095147438</v>
      </c>
      <c r="Y18" s="186">
        <f t="shared" ref="Y18:Z18" si="47">Y12/X12-1</f>
        <v>0.45475138842417873</v>
      </c>
      <c r="Z18" s="186">
        <f t="shared" si="47"/>
        <v>0.11111209780724063</v>
      </c>
      <c r="AA18" s="188">
        <f>AA12/Z12-1</f>
        <v>-0.10596979735696899</v>
      </c>
      <c r="AB18" s="188">
        <f t="shared" ref="AB18:AB19" si="48">AB12/AA12-1</f>
        <v>0.14999999999999969</v>
      </c>
      <c r="AC18" s="188">
        <f t="shared" ref="AC18:AC19" si="49">AC12/AB12-1</f>
        <v>0.15000000000000013</v>
      </c>
      <c r="AD18" s="188">
        <f t="shared" ref="AD18:AD19" si="50">AD12/AC12-1</f>
        <v>0.14999999999999969</v>
      </c>
      <c r="AE18" s="188">
        <f t="shared" ref="AE18:AE19" si="51">AE12/AD12-1</f>
        <v>0.14999999999999991</v>
      </c>
      <c r="AI18" s="156"/>
      <c r="AJ18" s="156"/>
      <c r="AK18" s="156"/>
      <c r="AL18" s="156"/>
      <c r="AM18" s="156"/>
      <c r="AN18" s="156"/>
      <c r="AO18" s="156"/>
      <c r="AP18" s="156"/>
      <c r="AQ18" s="156"/>
      <c r="AR18" s="156"/>
      <c r="AS18" s="156"/>
      <c r="AT18" s="156"/>
      <c r="AU18" s="156"/>
      <c r="AV18" s="156"/>
      <c r="AW18" s="156"/>
      <c r="AX18" s="156"/>
      <c r="AY18" s="156"/>
      <c r="AZ18" s="156"/>
      <c r="BA18" s="156"/>
      <c r="BB18" s="156"/>
      <c r="BC18" s="156"/>
      <c r="BD18" s="156"/>
      <c r="BE18" s="156"/>
      <c r="BF18" s="156"/>
      <c r="BG18" s="156"/>
      <c r="BH18" s="156"/>
      <c r="BI18" s="156"/>
      <c r="BJ18" s="156"/>
      <c r="BK18" s="156"/>
      <c r="BL18" s="156"/>
      <c r="BM18" s="156"/>
      <c r="BN18" s="156"/>
      <c r="BO18" s="156"/>
      <c r="BP18" s="156"/>
      <c r="BQ18" s="156"/>
      <c r="BR18" s="156"/>
      <c r="BS18" s="156"/>
      <c r="BT18" s="156"/>
      <c r="BU18" s="156"/>
      <c r="BV18" s="156"/>
      <c r="BW18" s="186">
        <f>BW12/BS12-1</f>
        <v>0.93043626885442032</v>
      </c>
      <c r="BX18" s="186">
        <f t="shared" ref="BX18:CL18" si="52">BX12/BT12-1</f>
        <v>1.2891663564610059</v>
      </c>
      <c r="BY18" s="186">
        <f t="shared" si="52"/>
        <v>0.33441788621784441</v>
      </c>
      <c r="BZ18" s="186">
        <f t="shared" si="52"/>
        <v>0.11102593315742437</v>
      </c>
      <c r="CA18" s="186">
        <f t="shared" si="52"/>
        <v>1.5466857024805583</v>
      </c>
      <c r="CB18" s="186">
        <f t="shared" si="52"/>
        <v>0.50404601654787684</v>
      </c>
      <c r="CC18" s="186">
        <f t="shared" si="52"/>
        <v>0.52567103500315682</v>
      </c>
      <c r="CD18" s="186">
        <f t="shared" si="52"/>
        <v>-0.19617949001414303</v>
      </c>
      <c r="CE18" s="186">
        <f t="shared" si="52"/>
        <v>-0.24744287111143304</v>
      </c>
      <c r="CF18" s="186">
        <f t="shared" si="52"/>
        <v>0.42458865288515613</v>
      </c>
      <c r="CG18" s="186">
        <f t="shared" si="52"/>
        <v>0.19327428566622085</v>
      </c>
      <c r="CH18" s="186">
        <f t="shared" si="52"/>
        <v>0.17658956933306147</v>
      </c>
      <c r="CI18" s="186">
        <f t="shared" si="52"/>
        <v>-1.3339518660888672E-3</v>
      </c>
      <c r="CJ18" s="186">
        <f t="shared" si="52"/>
        <v>-0.27922532312505144</v>
      </c>
      <c r="CK18" s="186">
        <f t="shared" si="52"/>
        <v>-0.27172350012124225</v>
      </c>
      <c r="CL18" s="186">
        <f t="shared" si="52"/>
        <v>0.29287831854394208</v>
      </c>
      <c r="CM18" s="187">
        <v>0.15</v>
      </c>
      <c r="CN18" s="187">
        <v>0.15</v>
      </c>
      <c r="CO18" s="187">
        <v>0.15</v>
      </c>
      <c r="CP18" s="187">
        <v>0.15</v>
      </c>
      <c r="CQ18" s="187">
        <v>0.15</v>
      </c>
      <c r="CR18" s="187">
        <v>0.15</v>
      </c>
      <c r="CS18" s="187">
        <v>0.15</v>
      </c>
      <c r="CT18" s="187">
        <v>0.15</v>
      </c>
      <c r="CU18" s="187">
        <v>0.15</v>
      </c>
      <c r="CV18" s="187">
        <v>0.15</v>
      </c>
      <c r="CW18" s="187">
        <v>0.15</v>
      </c>
      <c r="CX18" s="187">
        <v>0.15</v>
      </c>
      <c r="CY18" s="187">
        <v>0.15</v>
      </c>
      <c r="CZ18" s="187">
        <v>0.15</v>
      </c>
      <c r="DA18" s="187">
        <v>0.15</v>
      </c>
      <c r="DB18" s="187">
        <v>0.15</v>
      </c>
      <c r="DE18" s="159"/>
    </row>
    <row r="19" spans="1:110" s="158" customFormat="1" x14ac:dyDescent="0.2">
      <c r="A19" s="155" t="s">
        <v>530</v>
      </c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156"/>
      <c r="S19" s="156"/>
      <c r="T19" s="156"/>
      <c r="U19" s="156"/>
      <c r="V19" s="156"/>
      <c r="W19" s="156"/>
      <c r="X19" s="186">
        <f t="shared" ref="X19:Z19" si="53">X13/W13-1</f>
        <v>13.404580152671754</v>
      </c>
      <c r="Y19" s="186">
        <f t="shared" si="53"/>
        <v>2.0211976682564923</v>
      </c>
      <c r="Z19" s="186">
        <f t="shared" si="53"/>
        <v>0.17277670584108051</v>
      </c>
      <c r="AA19" s="188">
        <f t="shared" ref="AA19" si="54">AA13/Z13-1</f>
        <v>1.4253664373317374</v>
      </c>
      <c r="AB19" s="188">
        <f t="shared" si="48"/>
        <v>0.10000000000000009</v>
      </c>
      <c r="AC19" s="188">
        <f t="shared" si="49"/>
        <v>0.10000000000000009</v>
      </c>
      <c r="AD19" s="188">
        <f t="shared" si="50"/>
        <v>9.9999999999999867E-2</v>
      </c>
      <c r="AE19" s="188">
        <f t="shared" si="51"/>
        <v>0.10000000000000031</v>
      </c>
      <c r="AI19" s="156"/>
      <c r="AJ19" s="156"/>
      <c r="AK19" s="156"/>
      <c r="AL19" s="156"/>
      <c r="AM19" s="156"/>
      <c r="AN19" s="156"/>
      <c r="AO19" s="156"/>
      <c r="AP19" s="156"/>
      <c r="AQ19" s="156"/>
      <c r="AR19" s="156"/>
      <c r="AS19" s="156"/>
      <c r="AT19" s="156"/>
      <c r="AU19" s="156"/>
      <c r="AV19" s="156"/>
      <c r="AW19" s="156"/>
      <c r="AX19" s="156"/>
      <c r="AY19" s="156"/>
      <c r="AZ19" s="156"/>
      <c r="BA19" s="156"/>
      <c r="BB19" s="156"/>
      <c r="BC19" s="156"/>
      <c r="BD19" s="156"/>
      <c r="BE19" s="156"/>
      <c r="BF19" s="156"/>
      <c r="BG19" s="156"/>
      <c r="BH19" s="156"/>
      <c r="BI19" s="156"/>
      <c r="BJ19" s="156"/>
      <c r="BK19" s="156"/>
      <c r="BL19" s="156"/>
      <c r="BM19" s="156"/>
      <c r="BN19" s="156"/>
      <c r="BO19" s="156"/>
      <c r="BP19" s="156"/>
      <c r="BQ19" s="156"/>
      <c r="BR19" s="156"/>
      <c r="BS19" s="156"/>
      <c r="BT19" s="156"/>
      <c r="BU19" s="156"/>
      <c r="BV19" s="156"/>
      <c r="BW19" s="186" t="e">
        <f>BW13/BS13-1</f>
        <v>#DIV/0!</v>
      </c>
      <c r="BX19" s="186" t="e">
        <f t="shared" ref="BX19:CL19" si="55">BX13/BT13-1</f>
        <v>#DIV/0!</v>
      </c>
      <c r="BY19" s="186" t="e">
        <f t="shared" si="55"/>
        <v>#DIV/0!</v>
      </c>
      <c r="BZ19" s="186">
        <f t="shared" si="55"/>
        <v>10.893129770992365</v>
      </c>
      <c r="CA19" s="186">
        <f>CA13/BW13-1</f>
        <v>607.5</v>
      </c>
      <c r="CB19" s="186">
        <f t="shared" si="55"/>
        <v>31.265306122448976</v>
      </c>
      <c r="CC19" s="186">
        <f>CC13/BY13-1</f>
        <v>7.6438848920863318</v>
      </c>
      <c r="CD19" s="186">
        <f t="shared" si="55"/>
        <v>-0.67907573812580235</v>
      </c>
      <c r="CE19" s="186">
        <f t="shared" si="55"/>
        <v>-7.9704190632703398E-2</v>
      </c>
      <c r="CF19" s="186">
        <f t="shared" si="55"/>
        <v>7.2106261859582688E-2</v>
      </c>
      <c r="CG19" s="186">
        <f t="shared" si="55"/>
        <v>9.2384519350811489E-2</v>
      </c>
      <c r="CH19" s="186">
        <f t="shared" si="55"/>
        <v>1.492</v>
      </c>
      <c r="CI19" s="186">
        <f t="shared" si="55"/>
        <v>-0.33392857142857146</v>
      </c>
      <c r="CJ19" s="186">
        <f t="shared" si="55"/>
        <v>0.73628318584070795</v>
      </c>
      <c r="CK19" s="186">
        <f t="shared" si="55"/>
        <v>0.79314285714285715</v>
      </c>
      <c r="CL19" s="186">
        <f t="shared" si="55"/>
        <v>5.2760834670947032</v>
      </c>
      <c r="CM19" s="187">
        <v>0.1</v>
      </c>
      <c r="CN19" s="187">
        <v>0.1</v>
      </c>
      <c r="CO19" s="187">
        <v>0.1</v>
      </c>
      <c r="CP19" s="187">
        <v>0.1</v>
      </c>
      <c r="CQ19" s="187">
        <v>0.1</v>
      </c>
      <c r="CR19" s="187">
        <v>0.1</v>
      </c>
      <c r="CS19" s="187">
        <v>0.1</v>
      </c>
      <c r="CT19" s="187">
        <v>0.1</v>
      </c>
      <c r="CU19" s="187">
        <v>0.1</v>
      </c>
      <c r="CV19" s="187">
        <v>0.1</v>
      </c>
      <c r="CW19" s="187">
        <v>0.1</v>
      </c>
      <c r="CX19" s="187">
        <v>0.1</v>
      </c>
      <c r="CY19" s="187">
        <v>0.1</v>
      </c>
      <c r="CZ19" s="187">
        <v>0.1</v>
      </c>
      <c r="DA19" s="187">
        <v>0.1</v>
      </c>
      <c r="DB19" s="187">
        <v>0.1</v>
      </c>
      <c r="DE19" s="159"/>
    </row>
    <row r="20" spans="1:110" s="158" customFormat="1" x14ac:dyDescent="0.2">
      <c r="A20" s="155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6"/>
      <c r="U20" s="156"/>
      <c r="V20" s="156"/>
      <c r="W20" s="156"/>
      <c r="X20" s="156"/>
      <c r="Y20" s="156"/>
      <c r="Z20" s="156"/>
      <c r="AA20" s="157"/>
      <c r="AB20" s="157"/>
      <c r="AC20" s="157"/>
      <c r="AD20" s="157"/>
      <c r="AE20" s="157"/>
      <c r="AI20" s="156"/>
      <c r="AJ20" s="156"/>
      <c r="AK20" s="156"/>
      <c r="AL20" s="156"/>
      <c r="AM20" s="156"/>
      <c r="AN20" s="156"/>
      <c r="AO20" s="156"/>
      <c r="AP20" s="156"/>
      <c r="AQ20" s="156"/>
      <c r="AR20" s="156"/>
      <c r="AS20" s="156"/>
      <c r="AT20" s="156"/>
      <c r="AU20" s="156"/>
      <c r="AV20" s="156"/>
      <c r="AW20" s="156"/>
      <c r="AX20" s="156"/>
      <c r="AY20" s="156"/>
      <c r="AZ20" s="156"/>
      <c r="BA20" s="156"/>
      <c r="BB20" s="156"/>
      <c r="BC20" s="156"/>
      <c r="BD20" s="156"/>
      <c r="BE20" s="156"/>
      <c r="BF20" s="156"/>
      <c r="BG20" s="156"/>
      <c r="BH20" s="156"/>
      <c r="BI20" s="156"/>
      <c r="BJ20" s="156"/>
      <c r="BK20" s="156"/>
      <c r="BL20" s="156"/>
      <c r="BM20" s="156"/>
      <c r="BN20" s="156"/>
      <c r="BO20" s="156"/>
      <c r="BP20" s="156"/>
      <c r="BQ20" s="156"/>
      <c r="BR20" s="156"/>
      <c r="BS20" s="156"/>
      <c r="BT20" s="156"/>
      <c r="BU20" s="156"/>
      <c r="BV20" s="156"/>
      <c r="BW20" s="156"/>
      <c r="BX20" s="156"/>
      <c r="BY20" s="156"/>
      <c r="BZ20" s="156"/>
      <c r="CA20" s="156"/>
      <c r="CB20" s="156"/>
      <c r="CC20" s="156"/>
      <c r="CD20" s="156"/>
      <c r="CE20" s="156"/>
      <c r="CF20" s="156"/>
      <c r="CG20" s="156"/>
      <c r="CH20" s="156"/>
      <c r="CI20" s="156"/>
      <c r="CJ20" s="156"/>
      <c r="CK20" s="156"/>
      <c r="CL20" s="156"/>
      <c r="CM20" s="157"/>
      <c r="CN20" s="157"/>
      <c r="CO20" s="157"/>
      <c r="CP20" s="157"/>
      <c r="CQ20" s="157"/>
      <c r="CR20" s="157"/>
      <c r="CS20" s="157"/>
      <c r="CT20" s="157"/>
      <c r="CU20" s="157"/>
      <c r="CV20" s="157"/>
      <c r="CW20" s="157"/>
      <c r="CX20" s="157"/>
      <c r="CY20" s="157"/>
      <c r="CZ20" s="157"/>
      <c r="DA20" s="157"/>
      <c r="DB20" s="157"/>
      <c r="DE20" s="159"/>
    </row>
    <row r="21" spans="1:110" s="106" customFormat="1" x14ac:dyDescent="0.2">
      <c r="A21" s="151" t="s">
        <v>500</v>
      </c>
      <c r="B21" s="104"/>
      <c r="C21" s="104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5"/>
      <c r="AB21" s="105"/>
      <c r="AC21" s="105"/>
      <c r="AD21" s="105"/>
      <c r="AE21" s="105"/>
      <c r="AI21" s="104"/>
      <c r="AJ21" s="104"/>
      <c r="AK21" s="104"/>
      <c r="AL21" s="104"/>
      <c r="AM21" s="104"/>
      <c r="AN21" s="104"/>
      <c r="AO21" s="104"/>
      <c r="AP21" s="104"/>
      <c r="AQ21" s="104"/>
      <c r="AR21" s="104"/>
      <c r="AS21" s="104"/>
      <c r="AT21" s="104"/>
      <c r="AU21" s="104"/>
      <c r="AV21" s="104"/>
      <c r="AW21" s="104"/>
      <c r="AX21" s="104"/>
      <c r="AY21" s="104"/>
      <c r="AZ21" s="104"/>
      <c r="BA21" s="104"/>
      <c r="BB21" s="104"/>
      <c r="BC21" s="104"/>
      <c r="BD21" s="104"/>
      <c r="BE21" s="104"/>
      <c r="BF21" s="104"/>
      <c r="BG21" s="104"/>
      <c r="BH21" s="104"/>
      <c r="BI21" s="104"/>
      <c r="BJ21" s="104"/>
      <c r="BK21" s="104"/>
      <c r="BL21" s="104"/>
      <c r="BM21" s="104"/>
      <c r="BN21" s="104"/>
      <c r="BO21" s="104"/>
      <c r="BP21" s="104"/>
      <c r="BQ21" s="104"/>
      <c r="BR21" s="104"/>
      <c r="BS21" s="104"/>
      <c r="BT21" s="104"/>
      <c r="BU21" s="104"/>
      <c r="BV21" s="104"/>
      <c r="BW21" s="104"/>
      <c r="BX21" s="104"/>
      <c r="BY21" s="104"/>
      <c r="BZ21" s="104"/>
      <c r="CA21" s="104"/>
      <c r="CB21" s="104"/>
      <c r="CC21" s="104"/>
      <c r="CD21" s="104"/>
      <c r="CE21" s="104"/>
      <c r="CF21" s="104"/>
      <c r="CG21" s="104"/>
      <c r="CH21" s="104"/>
      <c r="CI21" s="104"/>
      <c r="CJ21" s="104"/>
      <c r="CK21" s="104"/>
      <c r="CL21" s="104"/>
      <c r="CM21" s="105"/>
      <c r="CN21" s="105"/>
      <c r="CO21" s="105"/>
      <c r="CP21" s="105"/>
      <c r="CQ21" s="105"/>
      <c r="CR21" s="105"/>
      <c r="CS21" s="105"/>
      <c r="CT21" s="105"/>
      <c r="CU21" s="105"/>
      <c r="CV21" s="105"/>
      <c r="CW21" s="105"/>
      <c r="CX21" s="105"/>
      <c r="CY21" s="105"/>
      <c r="CZ21" s="105"/>
      <c r="DA21" s="105"/>
      <c r="DB21" s="105"/>
      <c r="DE21" s="118"/>
    </row>
    <row r="22" spans="1:110" s="106" customFormat="1" x14ac:dyDescent="0.2">
      <c r="A22" s="151" t="s">
        <v>485</v>
      </c>
      <c r="B22" s="118"/>
      <c r="C22" s="118"/>
      <c r="D22" s="118"/>
      <c r="E22" s="118"/>
      <c r="F22" s="118"/>
      <c r="G22" s="118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  <c r="AA22" s="118"/>
      <c r="AB22" s="105"/>
      <c r="AC22" s="105"/>
      <c r="AD22" s="105"/>
      <c r="AE22" s="105"/>
      <c r="AI22" s="118"/>
      <c r="AJ22" s="118"/>
      <c r="AK22" s="118"/>
      <c r="AL22" s="118"/>
      <c r="AM22" s="118"/>
      <c r="AN22" s="118"/>
      <c r="AO22" s="118"/>
      <c r="AP22" s="118"/>
      <c r="AQ22" s="118"/>
      <c r="AR22" s="118"/>
      <c r="AS22" s="118"/>
      <c r="AT22" s="118"/>
      <c r="AU22" s="118"/>
      <c r="AV22" s="118"/>
      <c r="AW22" s="118"/>
      <c r="AX22" s="118"/>
      <c r="AY22" s="118"/>
      <c r="AZ22" s="118"/>
      <c r="BA22" s="118"/>
      <c r="BB22" s="118"/>
      <c r="BC22" s="118"/>
      <c r="BD22" s="118"/>
      <c r="BE22" s="118"/>
      <c r="BF22" s="118"/>
      <c r="BG22" s="118"/>
      <c r="BH22" s="118"/>
      <c r="BI22" s="118"/>
      <c r="BJ22" s="118"/>
      <c r="BK22" s="118"/>
      <c r="BL22" s="118"/>
      <c r="BM22" s="118"/>
      <c r="BN22" s="118"/>
      <c r="BO22" s="118"/>
      <c r="BP22" s="118"/>
      <c r="BQ22" s="118"/>
      <c r="BR22" s="118"/>
      <c r="BS22" s="118"/>
      <c r="BT22" s="118"/>
      <c r="BU22" s="118"/>
      <c r="BV22" s="118"/>
      <c r="BW22" s="118"/>
      <c r="BX22" s="118"/>
      <c r="BY22" s="118"/>
      <c r="BZ22" s="118"/>
      <c r="CA22" s="118"/>
      <c r="CB22" s="118"/>
      <c r="CC22" s="118"/>
      <c r="CD22" s="118"/>
      <c r="CE22" s="118"/>
      <c r="CF22" s="118"/>
      <c r="CG22" s="118"/>
      <c r="CH22" s="118"/>
      <c r="CI22" s="118"/>
      <c r="CJ22" s="160"/>
      <c r="CK22" s="160"/>
      <c r="CL22" s="160"/>
      <c r="CM22" s="105"/>
      <c r="CN22" s="105"/>
      <c r="CO22" s="105"/>
      <c r="CP22" s="105"/>
      <c r="CQ22" s="105"/>
      <c r="CR22" s="105"/>
      <c r="CS22" s="105"/>
      <c r="CT22" s="105"/>
      <c r="CU22" s="105"/>
      <c r="CV22" s="105"/>
      <c r="CW22" s="105"/>
      <c r="CX22" s="105"/>
      <c r="CY22" s="105"/>
      <c r="CZ22" s="105"/>
      <c r="DA22" s="105"/>
      <c r="DB22" s="105"/>
      <c r="DE22" s="118"/>
    </row>
    <row r="23" spans="1:110" s="25" customFormat="1" outlineLevel="1" x14ac:dyDescent="0.2">
      <c r="A23" s="25" t="s">
        <v>430</v>
      </c>
      <c r="B23" s="25" t="e">
        <f ca="1">'Annual Raw'!C6</f>
        <v>#NAME?</v>
      </c>
      <c r="C23" s="25" t="e">
        <f ca="1">'Annual Raw'!D6</f>
        <v>#NAME?</v>
      </c>
      <c r="D23" s="25" t="e">
        <f ca="1">'Annual Raw'!E6</f>
        <v>#NAME?</v>
      </c>
      <c r="E23" s="25" t="e">
        <f ca="1">'Annual Raw'!F6</f>
        <v>#NAME?</v>
      </c>
      <c r="F23" s="25" t="e">
        <f ca="1">'Annual Raw'!G6</f>
        <v>#NAME?</v>
      </c>
      <c r="G23" s="25" t="e">
        <f ca="1">'Annual Raw'!H6</f>
        <v>#NAME?</v>
      </c>
      <c r="H23" s="25" t="e">
        <f ca="1">'Annual Raw'!I6</f>
        <v>#NAME?</v>
      </c>
      <c r="I23" s="25" t="e">
        <f ca="1">'Annual Raw'!J6</f>
        <v>#NAME?</v>
      </c>
      <c r="J23" s="25" t="e">
        <f ca="1">'Annual Raw'!K6</f>
        <v>#NAME?</v>
      </c>
      <c r="K23" s="25" t="e">
        <f ca="1">'Annual Raw'!L6</f>
        <v>#NAME?</v>
      </c>
      <c r="L23" s="25" t="e">
        <f ca="1">'Annual Raw'!M6</f>
        <v>#NAME?</v>
      </c>
      <c r="M23" s="25" t="e">
        <f ca="1">'Annual Raw'!N6</f>
        <v>#NAME?</v>
      </c>
      <c r="N23" s="25" t="e">
        <f ca="1">'Annual Raw'!O6</f>
        <v>#NAME?</v>
      </c>
      <c r="O23" s="25" t="e">
        <f ca="1">'Annual Raw'!P6</f>
        <v>#NAME?</v>
      </c>
      <c r="P23" s="25" t="e">
        <f ca="1">'Annual Raw'!Q6</f>
        <v>#NAME?</v>
      </c>
      <c r="Q23" s="25" t="e">
        <f ca="1">'Annual Raw'!R6</f>
        <v>#NAME?</v>
      </c>
      <c r="R23" s="25" t="e">
        <f ca="1">'Annual Raw'!S6</f>
        <v>#NAME?</v>
      </c>
      <c r="S23" s="25" t="e">
        <f ca="1">'Annual Raw'!T6</f>
        <v>#NAME?</v>
      </c>
      <c r="T23" s="25" t="e">
        <f ca="1">'Annual Raw'!U6</f>
        <v>#NAME?</v>
      </c>
      <c r="U23" s="25" t="e">
        <f ca="1">'Annual Raw'!V6</f>
        <v>#NAME?</v>
      </c>
      <c r="V23" s="25" t="e">
        <f ca="1">'Annual Raw'!W6</f>
        <v>#NAME?</v>
      </c>
      <c r="W23" s="25" t="e">
        <f ca="1">'Annual Raw'!X6</f>
        <v>#NAME?</v>
      </c>
      <c r="X23" s="25" t="e">
        <f ca="1">'Annual Raw'!Y6</f>
        <v>#NAME?</v>
      </c>
      <c r="Y23" s="25" t="e">
        <f ca="1">'Annual Raw'!Z6</f>
        <v>#NAME?</v>
      </c>
      <c r="Z23" s="25" t="e">
        <f ca="1">'Annual Raw'!AA6</f>
        <v>#NAME?</v>
      </c>
      <c r="AA23" s="25" t="e">
        <f ca="1">'Annual Raw'!AB6</f>
        <v>#NAME?</v>
      </c>
      <c r="AB23" s="17">
        <f>+SUM(CM23:CP23)</f>
        <v>259.06727999999998</v>
      </c>
      <c r="AC23" s="17">
        <f>+SUM(CQ23:CT23)</f>
        <v>297.83818399999996</v>
      </c>
      <c r="AD23" s="17">
        <f>+SUM(CU23:CX23)</f>
        <v>342.41580479999988</v>
      </c>
      <c r="AE23" s="17">
        <f>+SUM(CY23:DB23)</f>
        <v>393.67025803999985</v>
      </c>
      <c r="AI23" s="25" t="e">
        <f ca="1">'QTR Raw'!C6+'QTR Raw'!C8</f>
        <v>#NAME?</v>
      </c>
      <c r="AJ23" s="25" t="e">
        <f ca="1">'QTR Raw'!D6+'QTR Raw'!D8</f>
        <v>#NAME?</v>
      </c>
      <c r="AK23" s="25" t="e">
        <f ca="1">'QTR Raw'!E6+'QTR Raw'!E8</f>
        <v>#NAME?</v>
      </c>
      <c r="AL23" s="25" t="e">
        <f ca="1">'QTR Raw'!F6+'QTR Raw'!F8</f>
        <v>#NAME?</v>
      </c>
      <c r="AM23" s="25" t="e">
        <f ca="1">'QTR Raw'!G6+'QTR Raw'!G8</f>
        <v>#NAME?</v>
      </c>
      <c r="AN23" s="25" t="e">
        <f ca="1">'QTR Raw'!H6+'QTR Raw'!H8</f>
        <v>#NAME?</v>
      </c>
      <c r="AO23" s="25" t="e">
        <f ca="1">'QTR Raw'!I6+'QTR Raw'!I8</f>
        <v>#NAME?</v>
      </c>
      <c r="AP23" s="25" t="e">
        <f ca="1">'QTR Raw'!J6+'QTR Raw'!J8</f>
        <v>#NAME?</v>
      </c>
      <c r="AQ23" s="25" t="e">
        <f ca="1">'QTR Raw'!K6+'QTR Raw'!K8</f>
        <v>#NAME?</v>
      </c>
      <c r="AR23" s="25" t="e">
        <f ca="1">'QTR Raw'!L6+'QTR Raw'!L8</f>
        <v>#NAME?</v>
      </c>
      <c r="AS23" s="25" t="e">
        <f ca="1">'QTR Raw'!M6+'QTR Raw'!M8</f>
        <v>#NAME?</v>
      </c>
      <c r="AT23" s="25" t="e">
        <f ca="1">'QTR Raw'!N6+'QTR Raw'!N8</f>
        <v>#NAME?</v>
      </c>
      <c r="AU23" s="25" t="e">
        <f ca="1">'QTR Raw'!O6+'QTR Raw'!O8</f>
        <v>#NAME?</v>
      </c>
      <c r="AV23" s="25" t="e">
        <f ca="1">'QTR Raw'!P6+'QTR Raw'!P8</f>
        <v>#NAME?</v>
      </c>
      <c r="AW23" s="25" t="e">
        <f ca="1">'QTR Raw'!Q6+'QTR Raw'!Q8</f>
        <v>#NAME?</v>
      </c>
      <c r="AX23" s="25" t="e">
        <f ca="1">'QTR Raw'!R6+'QTR Raw'!R8</f>
        <v>#NAME?</v>
      </c>
      <c r="AY23" s="25" t="e">
        <f ca="1">'QTR Raw'!S6+'QTR Raw'!S8</f>
        <v>#NAME?</v>
      </c>
      <c r="AZ23" s="25" t="e">
        <f ca="1">'QTR Raw'!T6+'QTR Raw'!T8</f>
        <v>#NAME?</v>
      </c>
      <c r="BA23" s="25" t="e">
        <f ca="1">'QTR Raw'!U6+'QTR Raw'!U8</f>
        <v>#NAME?</v>
      </c>
      <c r="BB23" s="25" t="e">
        <f ca="1">'QTR Raw'!V6+'QTR Raw'!V8</f>
        <v>#NAME?</v>
      </c>
      <c r="BC23" s="25" t="e">
        <f ca="1">'QTR Raw'!W6+'QTR Raw'!W8</f>
        <v>#NAME?</v>
      </c>
      <c r="BD23" s="25" t="e">
        <f ca="1">'QTR Raw'!X6+'QTR Raw'!X8</f>
        <v>#NAME?</v>
      </c>
      <c r="BE23" s="25" t="e">
        <f ca="1">'QTR Raw'!Y6+'QTR Raw'!Y8</f>
        <v>#NAME?</v>
      </c>
      <c r="BF23" s="25" t="e">
        <f ca="1">'QTR Raw'!Z6+'QTR Raw'!Z8</f>
        <v>#NAME?</v>
      </c>
      <c r="BG23" s="25" t="e">
        <f ca="1">'QTR Raw'!AA6+'QTR Raw'!AA8</f>
        <v>#NAME?</v>
      </c>
      <c r="BH23" s="25" t="e">
        <f ca="1">'QTR Raw'!AB6+'QTR Raw'!AB8</f>
        <v>#NAME?</v>
      </c>
      <c r="BI23" s="25" t="e">
        <f ca="1">'QTR Raw'!AC6+'QTR Raw'!AC8</f>
        <v>#NAME?</v>
      </c>
      <c r="BJ23" s="25" t="e">
        <f ca="1">'QTR Raw'!AD6+'QTR Raw'!AD8</f>
        <v>#NAME?</v>
      </c>
      <c r="BK23" s="25" t="e">
        <f ca="1">'QTR Raw'!AE6+'QTR Raw'!AE8</f>
        <v>#NAME?</v>
      </c>
      <c r="BL23" s="25" t="e">
        <f ca="1">'QTR Raw'!AF6+'QTR Raw'!AF8</f>
        <v>#NAME?</v>
      </c>
      <c r="BM23" s="25" t="e">
        <f ca="1">'QTR Raw'!AG6+'QTR Raw'!AG8</f>
        <v>#NAME?</v>
      </c>
      <c r="BN23" s="25" t="e">
        <f ca="1">'QTR Raw'!AH6+'QTR Raw'!AH8</f>
        <v>#NAME?</v>
      </c>
      <c r="BO23" s="25" t="e">
        <f ca="1">'QTR Raw'!AI6+'QTR Raw'!AI8</f>
        <v>#NAME?</v>
      </c>
      <c r="BP23" s="25" t="e">
        <f ca="1">'QTR Raw'!AJ6+'QTR Raw'!AJ8</f>
        <v>#NAME?</v>
      </c>
      <c r="BQ23" s="25" t="e">
        <f ca="1">'QTR Raw'!AK6+'QTR Raw'!AK8</f>
        <v>#NAME?</v>
      </c>
      <c r="BR23" s="25" t="e">
        <f ca="1">'QTR Raw'!AL6+'QTR Raw'!AL8</f>
        <v>#NAME?</v>
      </c>
      <c r="BS23" s="25" t="e">
        <f ca="1">'QTR Raw'!AM6+'QTR Raw'!AM8</f>
        <v>#NAME?</v>
      </c>
      <c r="BT23" s="25" t="e">
        <f ca="1">'QTR Raw'!AN6+'QTR Raw'!AN8</f>
        <v>#NAME?</v>
      </c>
      <c r="BU23" s="25" t="e">
        <f ca="1">'QTR Raw'!AO6+'QTR Raw'!AO8</f>
        <v>#NAME?</v>
      </c>
      <c r="BV23" s="25" t="e">
        <f ca="1">'QTR Raw'!AP6+'QTR Raw'!AP8</f>
        <v>#NAME?</v>
      </c>
      <c r="BW23" s="25" t="e">
        <f ca="1">'QTR Raw'!AQ6+'QTR Raw'!AQ8</f>
        <v>#NAME?</v>
      </c>
      <c r="BX23" s="25" t="e">
        <f ca="1">'QTR Raw'!AR6+'QTR Raw'!AR8</f>
        <v>#NAME?</v>
      </c>
      <c r="BY23" s="25" t="e">
        <f ca="1">'QTR Raw'!AS6+'QTR Raw'!AS8</f>
        <v>#NAME?</v>
      </c>
      <c r="BZ23" s="25" t="e">
        <f ca="1">'QTR Raw'!AT6+'QTR Raw'!AT8</f>
        <v>#NAME?</v>
      </c>
      <c r="CA23" s="25" t="e">
        <f ca="1">'QTR Raw'!AU6+'QTR Raw'!AU8</f>
        <v>#NAME?</v>
      </c>
      <c r="CB23" s="25" t="e">
        <f ca="1">'QTR Raw'!AV6+'QTR Raw'!AV8</f>
        <v>#NAME?</v>
      </c>
      <c r="CC23" s="25" t="e">
        <f ca="1">'QTR Raw'!AW6+'QTR Raw'!AW8</f>
        <v>#NAME?</v>
      </c>
      <c r="CD23" s="25" t="e">
        <f ca="1">'QTR Raw'!AX6+'QTR Raw'!AX8</f>
        <v>#NAME?</v>
      </c>
      <c r="CE23" s="25" t="e">
        <f ca="1">'QTR Raw'!AY6+'QTR Raw'!AY8</f>
        <v>#NAME?</v>
      </c>
      <c r="CF23" s="25" t="e">
        <f ca="1">'QTR Raw'!AZ6+'QTR Raw'!AZ8</f>
        <v>#NAME?</v>
      </c>
      <c r="CG23" s="25" t="e">
        <f ca="1">'QTR Raw'!BA6+'QTR Raw'!BA8</f>
        <v>#NAME?</v>
      </c>
      <c r="CH23" s="25" t="e">
        <f ca="1">'QTR Raw'!BB6+'QTR Raw'!BB8</f>
        <v>#NAME?</v>
      </c>
      <c r="CI23" s="25" t="e">
        <f ca="1">'QTR Raw'!BC6+'QTR Raw'!BC8</f>
        <v>#NAME?</v>
      </c>
      <c r="CJ23" s="25" t="e">
        <f ca="1">'QTR Raw'!BD6+'QTR Raw'!BD8</f>
        <v>#NAME?</v>
      </c>
      <c r="CK23" s="25" t="e">
        <f ca="1">'QTR Raw'!BE6+'QTR Raw'!BE8</f>
        <v>#NAME?</v>
      </c>
      <c r="CL23" s="25" t="e">
        <f ca="1">'QTR Raw'!BF6+'QTR Raw'!BF8</f>
        <v>#NAME?</v>
      </c>
      <c r="CM23" s="17">
        <f t="shared" ref="CM23:DB23" si="56">CM14</f>
        <v>59.745899999999992</v>
      </c>
      <c r="CN23" s="17">
        <f t="shared" si="56"/>
        <v>64.76236999999999</v>
      </c>
      <c r="CO23" s="17">
        <f t="shared" si="56"/>
        <v>59.924929999999996</v>
      </c>
      <c r="CP23" s="17">
        <f t="shared" si="56"/>
        <v>74.634079999999997</v>
      </c>
      <c r="CQ23" s="17">
        <f t="shared" si="56"/>
        <v>68.703681999999986</v>
      </c>
      <c r="CR23" s="17">
        <f t="shared" si="56"/>
        <v>74.460538999999983</v>
      </c>
      <c r="CS23" s="17">
        <f t="shared" si="56"/>
        <v>68.88778099999999</v>
      </c>
      <c r="CT23" s="17">
        <f t="shared" si="56"/>
        <v>85.786181999999982</v>
      </c>
      <c r="CU23" s="17">
        <f t="shared" si="56"/>
        <v>79.004720999999975</v>
      </c>
      <c r="CV23" s="17">
        <f t="shared" si="56"/>
        <v>85.611814699999968</v>
      </c>
      <c r="CW23" s="17">
        <f t="shared" si="56"/>
        <v>79.192470799999981</v>
      </c>
      <c r="CX23" s="17">
        <f t="shared" si="56"/>
        <v>98.60679829999998</v>
      </c>
      <c r="CY23" s="17">
        <f t="shared" si="56"/>
        <v>90.850464519999974</v>
      </c>
      <c r="CZ23" s="17">
        <f t="shared" si="56"/>
        <v>98.434001239999944</v>
      </c>
      <c r="DA23" s="17">
        <f t="shared" si="56"/>
        <v>91.040016334999962</v>
      </c>
      <c r="DB23" s="17">
        <f t="shared" si="56"/>
        <v>113.34577594499997</v>
      </c>
      <c r="DE23" s="119"/>
      <c r="DF23" s="25">
        <v>222.87299999999999</v>
      </c>
    </row>
    <row r="24" spans="1:110" s="92" customFormat="1" outlineLevel="1" x14ac:dyDescent="0.2">
      <c r="A24" s="92" t="s">
        <v>109</v>
      </c>
      <c r="B24" s="92" t="e">
        <f ca="1">'Annual Raw'!C7+'Annual Raw'!C8+'Annual Raw'!C9</f>
        <v>#NAME?</v>
      </c>
      <c r="C24" s="92" t="e">
        <f ca="1">'Annual Raw'!D7+'Annual Raw'!D8+'Annual Raw'!D9</f>
        <v>#NAME?</v>
      </c>
      <c r="D24" s="92" t="e">
        <f ca="1">'Annual Raw'!E7+'Annual Raw'!E8+'Annual Raw'!E9</f>
        <v>#NAME?</v>
      </c>
      <c r="E24" s="92" t="e">
        <f ca="1">'Annual Raw'!F7+'Annual Raw'!F8+'Annual Raw'!F9</f>
        <v>#NAME?</v>
      </c>
      <c r="F24" s="92" t="e">
        <f ca="1">'Annual Raw'!G7+'Annual Raw'!G8+'Annual Raw'!G9</f>
        <v>#NAME?</v>
      </c>
      <c r="G24" s="92" t="e">
        <f ca="1">'Annual Raw'!H7+'Annual Raw'!H8+'Annual Raw'!H9</f>
        <v>#NAME?</v>
      </c>
      <c r="H24" s="92" t="e">
        <f ca="1">'Annual Raw'!I7+'Annual Raw'!I8+'Annual Raw'!I9</f>
        <v>#NAME?</v>
      </c>
      <c r="I24" s="92" t="e">
        <f ca="1">'Annual Raw'!J7+'Annual Raw'!J8+'Annual Raw'!J9</f>
        <v>#NAME?</v>
      </c>
      <c r="J24" s="92" t="e">
        <f ca="1">'Annual Raw'!K7+'Annual Raw'!K8+'Annual Raw'!K9</f>
        <v>#NAME?</v>
      </c>
      <c r="K24" s="92" t="e">
        <f ca="1">'Annual Raw'!L7+'Annual Raw'!L8+'Annual Raw'!L9</f>
        <v>#NAME?</v>
      </c>
      <c r="L24" s="92" t="e">
        <f ca="1">'Annual Raw'!M7+'Annual Raw'!M8+'Annual Raw'!M9</f>
        <v>#NAME?</v>
      </c>
      <c r="M24" s="92" t="e">
        <f ca="1">'Annual Raw'!N7+'Annual Raw'!N8+'Annual Raw'!N9</f>
        <v>#NAME?</v>
      </c>
      <c r="N24" s="92" t="e">
        <f ca="1">'Annual Raw'!O7+'Annual Raw'!O8+'Annual Raw'!O9</f>
        <v>#NAME?</v>
      </c>
      <c r="O24" s="92" t="e">
        <f ca="1">'Annual Raw'!P7+'Annual Raw'!P8+'Annual Raw'!P9</f>
        <v>#NAME?</v>
      </c>
      <c r="P24" s="92" t="e">
        <f ca="1">'Annual Raw'!Q7+'Annual Raw'!Q8+'Annual Raw'!Q9</f>
        <v>#NAME?</v>
      </c>
      <c r="Q24" s="92" t="e">
        <f ca="1">'Annual Raw'!R7+'Annual Raw'!R8+'Annual Raw'!R9</f>
        <v>#NAME?</v>
      </c>
      <c r="R24" s="92" t="e">
        <f ca="1">'Annual Raw'!S7+'Annual Raw'!S8+'Annual Raw'!S9</f>
        <v>#NAME?</v>
      </c>
      <c r="S24" s="92" t="e">
        <f ca="1">'Annual Raw'!T7+'Annual Raw'!T8+'Annual Raw'!T9</f>
        <v>#NAME?</v>
      </c>
      <c r="T24" s="92" t="e">
        <f ca="1">'Annual Raw'!U7+'Annual Raw'!U8+'Annual Raw'!U9</f>
        <v>#NAME?</v>
      </c>
      <c r="U24" s="92" t="e">
        <f ca="1">'Annual Raw'!V7+'Annual Raw'!V8+'Annual Raw'!V9</f>
        <v>#NAME?</v>
      </c>
      <c r="V24" s="92" t="e">
        <f ca="1">'Annual Raw'!W7+'Annual Raw'!W8+'Annual Raw'!W9</f>
        <v>#NAME?</v>
      </c>
      <c r="W24" s="92" t="e">
        <f ca="1">'Annual Raw'!X7+'Annual Raw'!X8+'Annual Raw'!X9</f>
        <v>#NAME?</v>
      </c>
      <c r="X24" s="92" t="e">
        <f ca="1">'Annual Raw'!Y7+'Annual Raw'!Y8+'Annual Raw'!Y9</f>
        <v>#NAME?</v>
      </c>
      <c r="Y24" s="92" t="e">
        <f ca="1">'Annual Raw'!Z7+'Annual Raw'!Z8+'Annual Raw'!Z9</f>
        <v>#NAME?</v>
      </c>
      <c r="Z24" s="92" t="e">
        <f ca="1">'Annual Raw'!AA7+'Annual Raw'!AA8+'Annual Raw'!AA9</f>
        <v>#NAME?</v>
      </c>
      <c r="AA24" s="92" t="e">
        <f ca="1">'Annual Raw'!AB7+'Annual Raw'!AB8+'Annual Raw'!AB9</f>
        <v>#NAME?</v>
      </c>
      <c r="AB24" s="76">
        <f>+SUM(CM24:CP24)</f>
        <v>0</v>
      </c>
      <c r="AC24" s="76">
        <f>+SUM(CQ24:CT24)</f>
        <v>0</v>
      </c>
      <c r="AD24" s="76">
        <f>+SUM(CU24:CX24)</f>
        <v>0</v>
      </c>
      <c r="AE24" s="76">
        <f>+SUM(CY24:DB24)</f>
        <v>0</v>
      </c>
      <c r="AI24" s="92" t="e">
        <f ca="1">+'QTR Raw'!C20+'QTR Raw'!C19+'QTR Raw'!C13+'QTR Raw'!C7</f>
        <v>#NAME?</v>
      </c>
      <c r="AJ24" s="92" t="e">
        <f ca="1">+'QTR Raw'!D20+'QTR Raw'!D19+'QTR Raw'!D13+'QTR Raw'!D7</f>
        <v>#NAME?</v>
      </c>
      <c r="AK24" s="92" t="e">
        <f ca="1">+'QTR Raw'!E20+'QTR Raw'!E19+'QTR Raw'!E13+'QTR Raw'!E7</f>
        <v>#NAME?</v>
      </c>
      <c r="AL24" s="92" t="e">
        <f ca="1">+'QTR Raw'!F20+'QTR Raw'!F19+'QTR Raw'!F13+'QTR Raw'!F7</f>
        <v>#NAME?</v>
      </c>
      <c r="AM24" s="92" t="e">
        <f ca="1">+'QTR Raw'!G20+'QTR Raw'!G19+'QTR Raw'!G13+'QTR Raw'!G7</f>
        <v>#NAME?</v>
      </c>
      <c r="AN24" s="92" t="e">
        <f ca="1">+'QTR Raw'!H20+'QTR Raw'!H19+'QTR Raw'!H13+'QTR Raw'!H7</f>
        <v>#NAME?</v>
      </c>
      <c r="AO24" s="92" t="e">
        <f ca="1">+'QTR Raw'!I20+'QTR Raw'!I19+'QTR Raw'!I13+'QTR Raw'!I7</f>
        <v>#NAME?</v>
      </c>
      <c r="AP24" s="92" t="e">
        <f ca="1">+'QTR Raw'!J20+'QTR Raw'!J19+'QTR Raw'!J13+'QTR Raw'!J7</f>
        <v>#NAME?</v>
      </c>
      <c r="AQ24" s="92" t="e">
        <f ca="1">+'QTR Raw'!K20+'QTR Raw'!K19+'QTR Raw'!K13+'QTR Raw'!K7</f>
        <v>#NAME?</v>
      </c>
      <c r="AR24" s="92" t="e">
        <f ca="1">+'QTR Raw'!L20+'QTR Raw'!L19+'QTR Raw'!L13+'QTR Raw'!L7</f>
        <v>#NAME?</v>
      </c>
      <c r="AS24" s="92" t="e">
        <f ca="1">+'QTR Raw'!M20+'QTR Raw'!M19+'QTR Raw'!M13+'QTR Raw'!M7</f>
        <v>#NAME?</v>
      </c>
      <c r="AT24" s="92" t="e">
        <f ca="1">+'QTR Raw'!N20+'QTR Raw'!N19+'QTR Raw'!N13+'QTR Raw'!N7</f>
        <v>#NAME?</v>
      </c>
      <c r="AU24" s="92" t="e">
        <f ca="1">+'QTR Raw'!O20+'QTR Raw'!O19+'QTR Raw'!O13+'QTR Raw'!O7</f>
        <v>#NAME?</v>
      </c>
      <c r="AV24" s="92" t="e">
        <f ca="1">+'QTR Raw'!P20+'QTR Raw'!P19+'QTR Raw'!P13+'QTR Raw'!P7</f>
        <v>#NAME?</v>
      </c>
      <c r="AW24" s="92" t="e">
        <f ca="1">+'QTR Raw'!Q20+'QTR Raw'!Q19+'QTR Raw'!Q13+'QTR Raw'!Q7</f>
        <v>#NAME?</v>
      </c>
      <c r="AX24" s="92" t="e">
        <f ca="1">+'QTR Raw'!R20+'QTR Raw'!R19+'QTR Raw'!R13+'QTR Raw'!R7</f>
        <v>#NAME?</v>
      </c>
      <c r="AY24" s="92" t="e">
        <f ca="1">+'QTR Raw'!S20+'QTR Raw'!S19+'QTR Raw'!S13+'QTR Raw'!S7</f>
        <v>#NAME?</v>
      </c>
      <c r="AZ24" s="92" t="e">
        <f ca="1">+'QTR Raw'!T20+'QTR Raw'!T19+'QTR Raw'!T13+'QTR Raw'!T7</f>
        <v>#NAME?</v>
      </c>
      <c r="BA24" s="92" t="e">
        <f ca="1">+'QTR Raw'!U20+'QTR Raw'!U19+'QTR Raw'!U13+'QTR Raw'!U7</f>
        <v>#NAME?</v>
      </c>
      <c r="BB24" s="92" t="e">
        <f ca="1">+'QTR Raw'!V20+'QTR Raw'!V19+'QTR Raw'!V13+'QTR Raw'!V7</f>
        <v>#NAME?</v>
      </c>
      <c r="BC24" s="92" t="e">
        <f ca="1">+'QTR Raw'!W20+'QTR Raw'!W19+'QTR Raw'!W13+'QTR Raw'!W7</f>
        <v>#NAME?</v>
      </c>
      <c r="BD24" s="92" t="e">
        <f ca="1">+'QTR Raw'!X20+'QTR Raw'!X19+'QTR Raw'!X13+'QTR Raw'!X7</f>
        <v>#NAME?</v>
      </c>
      <c r="BE24" s="92" t="e">
        <f ca="1">+'QTR Raw'!Y20+'QTR Raw'!Y19+'QTR Raw'!Y13+'QTR Raw'!Y7</f>
        <v>#NAME?</v>
      </c>
      <c r="BF24" s="92" t="e">
        <f ca="1">+'QTR Raw'!Z20+'QTR Raw'!Z19+'QTR Raw'!Z13+'QTR Raw'!Z7</f>
        <v>#NAME?</v>
      </c>
      <c r="BG24" s="92" t="e">
        <f ca="1">+'QTR Raw'!AA20+'QTR Raw'!AA19+'QTR Raw'!AA13+'QTR Raw'!AA7</f>
        <v>#NAME?</v>
      </c>
      <c r="BH24" s="92" t="e">
        <f ca="1">+'QTR Raw'!AB20+'QTR Raw'!AB19+'QTR Raw'!AB13+'QTR Raw'!AB7</f>
        <v>#NAME?</v>
      </c>
      <c r="BI24" s="92" t="e">
        <f ca="1">+'QTR Raw'!AC20+'QTR Raw'!AC19+'QTR Raw'!AC13+'QTR Raw'!AC7</f>
        <v>#NAME?</v>
      </c>
      <c r="BJ24" s="92" t="e">
        <f ca="1">+'QTR Raw'!AD20+'QTR Raw'!AD19+'QTR Raw'!AD13+'QTR Raw'!AD7</f>
        <v>#NAME?</v>
      </c>
      <c r="BK24" s="92" t="e">
        <f ca="1">+'QTR Raw'!AE20+'QTR Raw'!AE19+'QTR Raw'!AE13+'QTR Raw'!AE7</f>
        <v>#NAME?</v>
      </c>
      <c r="BL24" s="92" t="e">
        <f ca="1">+'QTR Raw'!AF20+'QTR Raw'!AF19+'QTR Raw'!AF13+'QTR Raw'!AF7</f>
        <v>#NAME?</v>
      </c>
      <c r="BM24" s="92" t="e">
        <f ca="1">+'QTR Raw'!AG20+'QTR Raw'!AG19+'QTR Raw'!AG13+'QTR Raw'!AG7</f>
        <v>#NAME?</v>
      </c>
      <c r="BN24" s="92" t="e">
        <f ca="1">+'QTR Raw'!AH20+'QTR Raw'!AH19+'QTR Raw'!AH13+'QTR Raw'!AH7</f>
        <v>#NAME?</v>
      </c>
      <c r="BO24" s="92" t="e">
        <f ca="1">+'QTR Raw'!AI20+'QTR Raw'!AI19+'QTR Raw'!AI13+'QTR Raw'!AI7</f>
        <v>#NAME?</v>
      </c>
      <c r="BP24" s="92" t="e">
        <f ca="1">+'QTR Raw'!AJ20+'QTR Raw'!AJ19+'QTR Raw'!AJ13+'QTR Raw'!AJ7</f>
        <v>#NAME?</v>
      </c>
      <c r="BQ24" s="92" t="e">
        <f ca="1">+'QTR Raw'!AK20+'QTR Raw'!AK19+'QTR Raw'!AK13+'QTR Raw'!AK7</f>
        <v>#NAME?</v>
      </c>
      <c r="BR24" s="92" t="e">
        <f ca="1">+'QTR Raw'!AL20+'QTR Raw'!AL19+'QTR Raw'!AL13+'QTR Raw'!AL7</f>
        <v>#NAME?</v>
      </c>
      <c r="BS24" s="92" t="e">
        <f ca="1">+'QTR Raw'!AM20+'QTR Raw'!AM19+'QTR Raw'!AM13+'QTR Raw'!AM7</f>
        <v>#NAME?</v>
      </c>
      <c r="BT24" s="92" t="e">
        <f ca="1">+'QTR Raw'!AN20+'QTR Raw'!AN19+'QTR Raw'!AN13+'QTR Raw'!AN7</f>
        <v>#NAME?</v>
      </c>
      <c r="BU24" s="92" t="e">
        <f ca="1">+'QTR Raw'!AO20+'QTR Raw'!AO19+'QTR Raw'!AO13+'QTR Raw'!AO7</f>
        <v>#NAME?</v>
      </c>
      <c r="BV24" s="92" t="e">
        <f ca="1">+'QTR Raw'!AP20+'QTR Raw'!AP19+'QTR Raw'!AP13+'QTR Raw'!AP7</f>
        <v>#NAME?</v>
      </c>
      <c r="BW24" s="92" t="e">
        <f ca="1">+'QTR Raw'!AQ20+'QTR Raw'!AQ19+'QTR Raw'!AQ13+'QTR Raw'!AQ7</f>
        <v>#NAME?</v>
      </c>
      <c r="BX24" s="92" t="e">
        <f ca="1">+'QTR Raw'!AR20+'QTR Raw'!AR19+'QTR Raw'!AR13+'QTR Raw'!AR7</f>
        <v>#NAME?</v>
      </c>
      <c r="BY24" s="92" t="e">
        <f ca="1">+'QTR Raw'!AS20+'QTR Raw'!AS19+'QTR Raw'!AS13+'QTR Raw'!AS7</f>
        <v>#NAME?</v>
      </c>
      <c r="BZ24" s="92" t="e">
        <f ca="1">+'QTR Raw'!AT20+'QTR Raw'!AT19+'QTR Raw'!AT13+'QTR Raw'!AT7</f>
        <v>#NAME?</v>
      </c>
      <c r="CA24" s="92" t="e">
        <f ca="1">+'QTR Raw'!AU20+'QTR Raw'!AU19+'QTR Raw'!AU13+'QTR Raw'!AU7</f>
        <v>#NAME?</v>
      </c>
      <c r="CB24" s="92" t="e">
        <f ca="1">+'QTR Raw'!AV20+'QTR Raw'!AV19+'QTR Raw'!AV13+'QTR Raw'!AV7</f>
        <v>#NAME?</v>
      </c>
      <c r="CC24" s="92" t="e">
        <f ca="1">+'QTR Raw'!AW20+'QTR Raw'!AW19+'QTR Raw'!AW13+'QTR Raw'!AW7</f>
        <v>#NAME?</v>
      </c>
      <c r="CD24" s="92" t="e">
        <f ca="1">+'QTR Raw'!AX20+'QTR Raw'!AX19+'QTR Raw'!AX13+'QTR Raw'!AX7</f>
        <v>#NAME?</v>
      </c>
      <c r="CE24" s="92" t="e">
        <f ca="1">+'QTR Raw'!AY20+'QTR Raw'!AY19+'QTR Raw'!AY13+'QTR Raw'!AY7</f>
        <v>#NAME?</v>
      </c>
      <c r="CF24" s="92" t="e">
        <f ca="1">+'QTR Raw'!AZ20+'QTR Raw'!AZ19+'QTR Raw'!AZ13+'QTR Raw'!AZ7</f>
        <v>#NAME?</v>
      </c>
      <c r="CG24" s="92" t="e">
        <f ca="1">+'QTR Raw'!BA20+'QTR Raw'!BA19+'QTR Raw'!BA13+'QTR Raw'!BA7</f>
        <v>#NAME?</v>
      </c>
      <c r="CH24" s="92" t="e">
        <f ca="1">+'QTR Raw'!BB20+'QTR Raw'!BB19+'QTR Raw'!BB13+'QTR Raw'!BB7</f>
        <v>#NAME?</v>
      </c>
      <c r="CI24" s="92" t="e">
        <f ca="1">+'QTR Raw'!BC20+'QTR Raw'!BC19+'QTR Raw'!BC13+'QTR Raw'!BC7</f>
        <v>#NAME?</v>
      </c>
      <c r="CJ24" s="92" t="e">
        <f ca="1">+'QTR Raw'!BD20+'QTR Raw'!BD19+'QTR Raw'!BD13+'QTR Raw'!BD7</f>
        <v>#NAME?</v>
      </c>
      <c r="CK24" s="92" t="e">
        <f ca="1">+'QTR Raw'!BE20+'QTR Raw'!BE19+'QTR Raw'!BE13+'QTR Raw'!BE7</f>
        <v>#NAME?</v>
      </c>
      <c r="CL24" s="92" t="e">
        <f ca="1">+'QTR Raw'!BF20+'QTR Raw'!BF19+'QTR Raw'!BF13+'QTR Raw'!BF7</f>
        <v>#NAME?</v>
      </c>
      <c r="CM24" s="74"/>
      <c r="CN24" s="74"/>
      <c r="CO24" s="74"/>
      <c r="CP24" s="74"/>
      <c r="CQ24" s="74"/>
      <c r="CR24" s="74"/>
      <c r="CS24" s="74"/>
      <c r="CT24" s="74"/>
      <c r="CU24" s="74"/>
      <c r="CV24" s="74"/>
      <c r="CW24" s="74"/>
      <c r="CX24" s="74"/>
      <c r="CY24" s="74"/>
      <c r="CZ24" s="74"/>
      <c r="DA24" s="74"/>
      <c r="DB24" s="74"/>
      <c r="DE24" s="120"/>
      <c r="DF24" s="92">
        <v>0</v>
      </c>
    </row>
    <row r="25" spans="1:110" s="26" customFormat="1" x14ac:dyDescent="0.2">
      <c r="A25" s="26" t="s">
        <v>431</v>
      </c>
      <c r="B25" s="26" t="e">
        <f ca="1">+B23-B24</f>
        <v>#NAME?</v>
      </c>
      <c r="C25" s="26" t="e">
        <f ca="1">+C23-C24</f>
        <v>#NAME?</v>
      </c>
      <c r="D25" s="26" t="e">
        <f t="shared" ref="D25:U25" ca="1" si="57">+D23-D24</f>
        <v>#NAME?</v>
      </c>
      <c r="E25" s="26" t="e">
        <f t="shared" ca="1" si="57"/>
        <v>#NAME?</v>
      </c>
      <c r="F25" s="26" t="e">
        <f t="shared" ca="1" si="57"/>
        <v>#NAME?</v>
      </c>
      <c r="G25" s="26" t="e">
        <f t="shared" ca="1" si="57"/>
        <v>#NAME?</v>
      </c>
      <c r="H25" s="26" t="e">
        <f t="shared" ca="1" si="57"/>
        <v>#NAME?</v>
      </c>
      <c r="I25" s="26" t="e">
        <f t="shared" ca="1" si="57"/>
        <v>#NAME?</v>
      </c>
      <c r="J25" s="26" t="e">
        <f t="shared" ca="1" si="57"/>
        <v>#NAME?</v>
      </c>
      <c r="K25" s="26" t="e">
        <f t="shared" ca="1" si="57"/>
        <v>#NAME?</v>
      </c>
      <c r="L25" s="26" t="e">
        <f t="shared" ca="1" si="57"/>
        <v>#NAME?</v>
      </c>
      <c r="M25" s="26" t="e">
        <f t="shared" ca="1" si="57"/>
        <v>#NAME?</v>
      </c>
      <c r="N25" s="26" t="e">
        <f t="shared" ca="1" si="57"/>
        <v>#NAME?</v>
      </c>
      <c r="O25" s="26" t="e">
        <f t="shared" ca="1" si="57"/>
        <v>#NAME?</v>
      </c>
      <c r="P25" s="26" t="e">
        <f t="shared" ca="1" si="57"/>
        <v>#NAME?</v>
      </c>
      <c r="Q25" s="26" t="e">
        <f t="shared" ca="1" si="57"/>
        <v>#NAME?</v>
      </c>
      <c r="R25" s="26" t="e">
        <f t="shared" ca="1" si="57"/>
        <v>#NAME?</v>
      </c>
      <c r="S25" s="26" t="e">
        <f t="shared" ca="1" si="57"/>
        <v>#NAME?</v>
      </c>
      <c r="T25" s="26" t="e">
        <f t="shared" ca="1" si="57"/>
        <v>#NAME?</v>
      </c>
      <c r="U25" s="26" t="e">
        <f t="shared" ca="1" si="57"/>
        <v>#NAME?</v>
      </c>
      <c r="V25" s="26" t="e">
        <f ca="1">+V23-V24</f>
        <v>#NAME?</v>
      </c>
      <c r="W25" s="26" t="e">
        <f ca="1">+W23-W24</f>
        <v>#NAME?</v>
      </c>
      <c r="X25" s="26" t="e">
        <f ca="1">+X23-X24</f>
        <v>#NAME?</v>
      </c>
      <c r="Y25" s="26" t="e">
        <f ca="1">+Y23-Y24</f>
        <v>#NAME?</v>
      </c>
      <c r="Z25" s="26" t="e">
        <f ca="1">+Z23-Z24</f>
        <v>#NAME?</v>
      </c>
      <c r="AA25" s="26" t="e">
        <f ca="1">+AA23-AA24</f>
        <v>#NAME?</v>
      </c>
      <c r="AB25" s="27">
        <f t="shared" ref="AB25:AD25" si="58">+AB23-AB24</f>
        <v>259.06727999999998</v>
      </c>
      <c r="AC25" s="27">
        <f t="shared" si="58"/>
        <v>297.83818399999996</v>
      </c>
      <c r="AD25" s="27">
        <f t="shared" si="58"/>
        <v>342.41580479999988</v>
      </c>
      <c r="AE25" s="27">
        <f t="shared" ref="AE25" si="59">+AE23-AE24</f>
        <v>393.67025803999985</v>
      </c>
      <c r="AI25" s="26" t="e">
        <f t="shared" ref="AI25" ca="1" si="60">+AI23-AI24</f>
        <v>#NAME?</v>
      </c>
      <c r="AJ25" s="26" t="e">
        <f t="shared" ref="AJ25" ca="1" si="61">+AJ23-AJ24</f>
        <v>#NAME?</v>
      </c>
      <c r="AK25" s="26" t="e">
        <f t="shared" ref="AK25:AM25" ca="1" si="62">+AK23-AK24</f>
        <v>#NAME?</v>
      </c>
      <c r="AL25" s="26" t="e">
        <f t="shared" ca="1" si="62"/>
        <v>#NAME?</v>
      </c>
      <c r="AM25" s="26" t="e">
        <f t="shared" ca="1" si="62"/>
        <v>#NAME?</v>
      </c>
      <c r="AN25" s="26" t="e">
        <f t="shared" ref="AN25:AO25" ca="1" si="63">+AN23-AN24</f>
        <v>#NAME?</v>
      </c>
      <c r="AO25" s="26" t="e">
        <f t="shared" ca="1" si="63"/>
        <v>#NAME?</v>
      </c>
      <c r="AP25" s="26" t="e">
        <f t="shared" ref="AP25:AW25" ca="1" si="64">+AP23-AP24</f>
        <v>#NAME?</v>
      </c>
      <c r="AQ25" s="26" t="e">
        <f t="shared" ca="1" si="64"/>
        <v>#NAME?</v>
      </c>
      <c r="AR25" s="26" t="e">
        <f t="shared" ca="1" si="64"/>
        <v>#NAME?</v>
      </c>
      <c r="AS25" s="26" t="e">
        <f t="shared" ca="1" si="64"/>
        <v>#NAME?</v>
      </c>
      <c r="AT25" s="26" t="e">
        <f t="shared" ca="1" si="64"/>
        <v>#NAME?</v>
      </c>
      <c r="AU25" s="26" t="e">
        <f t="shared" ca="1" si="64"/>
        <v>#NAME?</v>
      </c>
      <c r="AV25" s="26" t="e">
        <f t="shared" ca="1" si="64"/>
        <v>#NAME?</v>
      </c>
      <c r="AW25" s="26" t="e">
        <f t="shared" ca="1" si="64"/>
        <v>#NAME?</v>
      </c>
      <c r="AX25" s="26" t="e">
        <f t="shared" ref="AX25:CF25" ca="1" si="65">+AX23-AX24</f>
        <v>#NAME?</v>
      </c>
      <c r="AY25" s="26" t="e">
        <f t="shared" ca="1" si="65"/>
        <v>#NAME?</v>
      </c>
      <c r="AZ25" s="26" t="e">
        <f t="shared" ca="1" si="65"/>
        <v>#NAME?</v>
      </c>
      <c r="BA25" s="26" t="e">
        <f t="shared" ca="1" si="65"/>
        <v>#NAME?</v>
      </c>
      <c r="BB25" s="26" t="e">
        <f t="shared" ca="1" si="65"/>
        <v>#NAME?</v>
      </c>
      <c r="BC25" s="26" t="e">
        <f t="shared" ca="1" si="65"/>
        <v>#NAME?</v>
      </c>
      <c r="BD25" s="26" t="e">
        <f t="shared" ca="1" si="65"/>
        <v>#NAME?</v>
      </c>
      <c r="BE25" s="26" t="e">
        <f t="shared" ca="1" si="65"/>
        <v>#NAME?</v>
      </c>
      <c r="BF25" s="26" t="e">
        <f t="shared" ca="1" si="65"/>
        <v>#NAME?</v>
      </c>
      <c r="BG25" s="26" t="e">
        <f t="shared" ca="1" si="65"/>
        <v>#NAME?</v>
      </c>
      <c r="BH25" s="26" t="e">
        <f t="shared" ca="1" si="65"/>
        <v>#NAME?</v>
      </c>
      <c r="BI25" s="26" t="e">
        <f t="shared" ca="1" si="65"/>
        <v>#NAME?</v>
      </c>
      <c r="BJ25" s="26" t="e">
        <f t="shared" ca="1" si="65"/>
        <v>#NAME?</v>
      </c>
      <c r="BK25" s="26" t="e">
        <f t="shared" ca="1" si="65"/>
        <v>#NAME?</v>
      </c>
      <c r="BL25" s="26" t="e">
        <f t="shared" ca="1" si="65"/>
        <v>#NAME?</v>
      </c>
      <c r="BM25" s="26" t="e">
        <f t="shared" ca="1" si="65"/>
        <v>#NAME?</v>
      </c>
      <c r="BN25" s="26" t="e">
        <f t="shared" ca="1" si="65"/>
        <v>#NAME?</v>
      </c>
      <c r="BO25" s="26" t="e">
        <f t="shared" ca="1" si="65"/>
        <v>#NAME?</v>
      </c>
      <c r="BP25" s="26" t="e">
        <f t="shared" ca="1" si="65"/>
        <v>#NAME?</v>
      </c>
      <c r="BQ25" s="26" t="e">
        <f t="shared" ca="1" si="65"/>
        <v>#NAME?</v>
      </c>
      <c r="BR25" s="26" t="e">
        <f t="shared" ca="1" si="65"/>
        <v>#NAME?</v>
      </c>
      <c r="BS25" s="26" t="e">
        <f t="shared" ca="1" si="65"/>
        <v>#NAME?</v>
      </c>
      <c r="BT25" s="26" t="e">
        <f t="shared" ca="1" si="65"/>
        <v>#NAME?</v>
      </c>
      <c r="BU25" s="26" t="e">
        <f t="shared" ca="1" si="65"/>
        <v>#NAME?</v>
      </c>
      <c r="BV25" s="26" t="e">
        <f t="shared" ca="1" si="65"/>
        <v>#NAME?</v>
      </c>
      <c r="BW25" s="26" t="e">
        <f t="shared" ca="1" si="65"/>
        <v>#NAME?</v>
      </c>
      <c r="BX25" s="26" t="e">
        <f t="shared" ca="1" si="65"/>
        <v>#NAME?</v>
      </c>
      <c r="BY25" s="26" t="e">
        <f t="shared" ca="1" si="65"/>
        <v>#NAME?</v>
      </c>
      <c r="BZ25" s="26" t="e">
        <f t="shared" ca="1" si="65"/>
        <v>#NAME?</v>
      </c>
      <c r="CA25" s="26" t="e">
        <f t="shared" ca="1" si="65"/>
        <v>#NAME?</v>
      </c>
      <c r="CB25" s="26" t="e">
        <f t="shared" ca="1" si="65"/>
        <v>#NAME?</v>
      </c>
      <c r="CC25" s="26" t="e">
        <f t="shared" ca="1" si="65"/>
        <v>#NAME?</v>
      </c>
      <c r="CD25" s="26" t="e">
        <f t="shared" ca="1" si="65"/>
        <v>#NAME?</v>
      </c>
      <c r="CE25" s="26" t="e">
        <f t="shared" ca="1" si="65"/>
        <v>#NAME?</v>
      </c>
      <c r="CF25" s="26" t="e">
        <f t="shared" ca="1" si="65"/>
        <v>#NAME?</v>
      </c>
      <c r="CG25" s="26" t="e">
        <f t="shared" ref="CG25:CH25" ca="1" si="66">+CG23-CG24</f>
        <v>#NAME?</v>
      </c>
      <c r="CH25" s="26" t="e">
        <f t="shared" ca="1" si="66"/>
        <v>#NAME?</v>
      </c>
      <c r="CI25" s="26" t="e">
        <f t="shared" ref="CI25:CJ25" ca="1" si="67">+CI23-CI24</f>
        <v>#NAME?</v>
      </c>
      <c r="CJ25" s="26" t="e">
        <f t="shared" ca="1" si="67"/>
        <v>#NAME?</v>
      </c>
      <c r="CK25" s="26" t="e">
        <f t="shared" ref="CK25:CL25" ca="1" si="68">+CK23-CK24</f>
        <v>#NAME?</v>
      </c>
      <c r="CL25" s="26" t="e">
        <f t="shared" ca="1" si="68"/>
        <v>#NAME?</v>
      </c>
      <c r="CM25" s="27">
        <f t="shared" ref="CM25:DB25" si="69">+CM23-CM24</f>
        <v>59.745899999999992</v>
      </c>
      <c r="CN25" s="27">
        <f t="shared" si="69"/>
        <v>64.76236999999999</v>
      </c>
      <c r="CO25" s="27">
        <f t="shared" si="69"/>
        <v>59.924929999999996</v>
      </c>
      <c r="CP25" s="27">
        <f t="shared" si="69"/>
        <v>74.634079999999997</v>
      </c>
      <c r="CQ25" s="27">
        <f t="shared" si="69"/>
        <v>68.703681999999986</v>
      </c>
      <c r="CR25" s="27">
        <f t="shared" si="69"/>
        <v>74.460538999999983</v>
      </c>
      <c r="CS25" s="27">
        <f t="shared" si="69"/>
        <v>68.88778099999999</v>
      </c>
      <c r="CT25" s="27">
        <f t="shared" si="69"/>
        <v>85.786181999999982</v>
      </c>
      <c r="CU25" s="27">
        <f t="shared" si="69"/>
        <v>79.004720999999975</v>
      </c>
      <c r="CV25" s="27">
        <f t="shared" si="69"/>
        <v>85.611814699999968</v>
      </c>
      <c r="CW25" s="27">
        <f t="shared" si="69"/>
        <v>79.192470799999981</v>
      </c>
      <c r="CX25" s="27">
        <f t="shared" si="69"/>
        <v>98.60679829999998</v>
      </c>
      <c r="CY25" s="27">
        <f t="shared" si="69"/>
        <v>90.850464519999974</v>
      </c>
      <c r="CZ25" s="27">
        <f t="shared" si="69"/>
        <v>98.434001239999944</v>
      </c>
      <c r="DA25" s="27">
        <f t="shared" si="69"/>
        <v>91.040016334999962</v>
      </c>
      <c r="DB25" s="27">
        <f t="shared" si="69"/>
        <v>113.34577594499997</v>
      </c>
      <c r="DE25" s="121"/>
      <c r="DF25" s="26">
        <v>222.87299999999999</v>
      </c>
    </row>
    <row r="26" spans="1:110" s="39" customFormat="1" x14ac:dyDescent="0.2">
      <c r="A26" s="39" t="s">
        <v>484</v>
      </c>
      <c r="C26" s="39" t="e">
        <f t="shared" ref="C26" ca="1" si="70">C25/B25-1</f>
        <v>#NAME?</v>
      </c>
      <c r="D26" s="39" t="e">
        <f t="shared" ref="D26" ca="1" si="71">D25/C25-1</f>
        <v>#NAME?</v>
      </c>
      <c r="E26" s="39" t="e">
        <f t="shared" ref="E26" ca="1" si="72">E25/D25-1</f>
        <v>#NAME?</v>
      </c>
      <c r="F26" s="39" t="e">
        <f t="shared" ref="F26:R26" ca="1" si="73">F25/E25-1</f>
        <v>#NAME?</v>
      </c>
      <c r="G26" s="39" t="e">
        <f t="shared" ca="1" si="73"/>
        <v>#NAME?</v>
      </c>
      <c r="H26" s="39" t="e">
        <f t="shared" ca="1" si="73"/>
        <v>#NAME?</v>
      </c>
      <c r="I26" s="39" t="e">
        <f t="shared" ca="1" si="73"/>
        <v>#NAME?</v>
      </c>
      <c r="J26" s="39" t="e">
        <f t="shared" ca="1" si="73"/>
        <v>#NAME?</v>
      </c>
      <c r="K26" s="39" t="e">
        <f ca="1">K25/J25-1</f>
        <v>#NAME?</v>
      </c>
      <c r="L26" s="39" t="e">
        <f t="shared" ca="1" si="73"/>
        <v>#NAME?</v>
      </c>
      <c r="M26" s="39" t="e">
        <f t="shared" ca="1" si="73"/>
        <v>#NAME?</v>
      </c>
      <c r="N26" s="39" t="e">
        <f t="shared" ca="1" si="73"/>
        <v>#NAME?</v>
      </c>
      <c r="O26" s="39" t="e">
        <f t="shared" ca="1" si="73"/>
        <v>#NAME?</v>
      </c>
      <c r="P26" s="39" t="e">
        <f t="shared" ca="1" si="73"/>
        <v>#NAME?</v>
      </c>
      <c r="Q26" s="39" t="e">
        <f t="shared" ca="1" si="73"/>
        <v>#NAME?</v>
      </c>
      <c r="R26" s="39" t="e">
        <f t="shared" ca="1" si="73"/>
        <v>#NAME?</v>
      </c>
      <c r="S26" s="39" t="e">
        <f t="shared" ref="S26:AA26" ca="1" si="74">S25/R25-1</f>
        <v>#NAME?</v>
      </c>
      <c r="T26" s="39" t="e">
        <f t="shared" ca="1" si="74"/>
        <v>#NAME?</v>
      </c>
      <c r="U26" s="39" t="e">
        <f t="shared" ca="1" si="74"/>
        <v>#NAME?</v>
      </c>
      <c r="V26" s="39" t="e">
        <f t="shared" ca="1" si="74"/>
        <v>#NAME?</v>
      </c>
      <c r="W26" s="39" t="e">
        <f t="shared" ca="1" si="74"/>
        <v>#NAME?</v>
      </c>
      <c r="X26" s="39" t="e">
        <f t="shared" ca="1" si="74"/>
        <v>#NAME?</v>
      </c>
      <c r="Y26" s="39" t="e">
        <f t="shared" ca="1" si="74"/>
        <v>#NAME?</v>
      </c>
      <c r="Z26" s="39" t="e">
        <f t="shared" ca="1" si="74"/>
        <v>#NAME?</v>
      </c>
      <c r="AA26" s="39" t="e">
        <f t="shared" ca="1" si="74"/>
        <v>#NAME?</v>
      </c>
      <c r="AB26" s="40" t="e">
        <f t="shared" ref="AB26" ca="1" si="75">AB25/AA25-1</f>
        <v>#NAME?</v>
      </c>
      <c r="AC26" s="40">
        <f t="shared" ref="AC26" si="76">AC25/AB25-1</f>
        <v>0.14965573421699552</v>
      </c>
      <c r="AD26" s="40">
        <f t="shared" ref="AD26" si="77">AD25/AC25-1</f>
        <v>0.14967060368592611</v>
      </c>
      <c r="AE26" s="40">
        <f t="shared" ref="AE26" si="78">AE25/AD25-1</f>
        <v>0.14968483499158847</v>
      </c>
      <c r="AM26" s="39" t="e">
        <f t="shared" ref="AM26:CI26" ca="1" si="79">+IF(AI25&lt;0,1-AM25/AI25,AM25/AI25-1)</f>
        <v>#NAME?</v>
      </c>
      <c r="AN26" s="39" t="e">
        <f t="shared" ca="1" si="79"/>
        <v>#NAME?</v>
      </c>
      <c r="AO26" s="39" t="e">
        <f t="shared" ca="1" si="79"/>
        <v>#NAME?</v>
      </c>
      <c r="AP26" s="39" t="e">
        <f t="shared" ca="1" si="79"/>
        <v>#NAME?</v>
      </c>
      <c r="AQ26" s="39" t="e">
        <f t="shared" ca="1" si="79"/>
        <v>#NAME?</v>
      </c>
      <c r="AR26" s="39" t="e">
        <f t="shared" ca="1" si="79"/>
        <v>#NAME?</v>
      </c>
      <c r="AS26" s="39" t="e">
        <f t="shared" ca="1" si="79"/>
        <v>#NAME?</v>
      </c>
      <c r="AT26" s="39" t="e">
        <f t="shared" ca="1" si="79"/>
        <v>#NAME?</v>
      </c>
      <c r="AU26" s="39" t="e">
        <f t="shared" ca="1" si="79"/>
        <v>#NAME?</v>
      </c>
      <c r="AV26" s="39" t="e">
        <f t="shared" ca="1" si="79"/>
        <v>#NAME?</v>
      </c>
      <c r="AW26" s="39" t="e">
        <f t="shared" ca="1" si="79"/>
        <v>#NAME?</v>
      </c>
      <c r="AX26" s="39" t="e">
        <f t="shared" ca="1" si="79"/>
        <v>#NAME?</v>
      </c>
      <c r="AY26" s="39" t="e">
        <f t="shared" ca="1" si="79"/>
        <v>#NAME?</v>
      </c>
      <c r="AZ26" s="39" t="e">
        <f t="shared" ca="1" si="79"/>
        <v>#NAME?</v>
      </c>
      <c r="BA26" s="39" t="e">
        <f t="shared" ca="1" si="79"/>
        <v>#NAME?</v>
      </c>
      <c r="BB26" s="39" t="e">
        <f t="shared" ca="1" si="79"/>
        <v>#NAME?</v>
      </c>
      <c r="BC26" s="39" t="e">
        <f t="shared" ca="1" si="79"/>
        <v>#NAME?</v>
      </c>
      <c r="BD26" s="39" t="e">
        <f t="shared" ca="1" si="79"/>
        <v>#NAME?</v>
      </c>
      <c r="BE26" s="39" t="e">
        <f t="shared" ca="1" si="79"/>
        <v>#NAME?</v>
      </c>
      <c r="BF26" s="39" t="e">
        <f t="shared" ca="1" si="79"/>
        <v>#NAME?</v>
      </c>
      <c r="BG26" s="39" t="e">
        <f t="shared" ca="1" si="79"/>
        <v>#NAME?</v>
      </c>
      <c r="BH26" s="39" t="e">
        <f t="shared" ca="1" si="79"/>
        <v>#NAME?</v>
      </c>
      <c r="BI26" s="39" t="e">
        <f t="shared" ca="1" si="79"/>
        <v>#NAME?</v>
      </c>
      <c r="BJ26" s="39" t="e">
        <f t="shared" ca="1" si="79"/>
        <v>#NAME?</v>
      </c>
      <c r="BK26" s="39" t="e">
        <f t="shared" ca="1" si="79"/>
        <v>#NAME?</v>
      </c>
      <c r="BL26" s="39" t="e">
        <f t="shared" ca="1" si="79"/>
        <v>#NAME?</v>
      </c>
      <c r="BM26" s="39" t="e">
        <f t="shared" ca="1" si="79"/>
        <v>#NAME?</v>
      </c>
      <c r="BN26" s="39" t="e">
        <f t="shared" ca="1" si="79"/>
        <v>#NAME?</v>
      </c>
      <c r="BO26" s="39" t="e">
        <f t="shared" ca="1" si="79"/>
        <v>#NAME?</v>
      </c>
      <c r="BP26" s="39" t="e">
        <f t="shared" ca="1" si="79"/>
        <v>#NAME?</v>
      </c>
      <c r="BQ26" s="39" t="e">
        <f t="shared" ca="1" si="79"/>
        <v>#NAME?</v>
      </c>
      <c r="BR26" s="39" t="e">
        <f t="shared" ca="1" si="79"/>
        <v>#NAME?</v>
      </c>
      <c r="BS26" s="39" t="e">
        <f t="shared" ca="1" si="79"/>
        <v>#NAME?</v>
      </c>
      <c r="BT26" s="39" t="e">
        <f t="shared" ca="1" si="79"/>
        <v>#NAME?</v>
      </c>
      <c r="BU26" s="39" t="e">
        <f t="shared" ca="1" si="79"/>
        <v>#NAME?</v>
      </c>
      <c r="BV26" s="39" t="e">
        <f t="shared" ca="1" si="79"/>
        <v>#NAME?</v>
      </c>
      <c r="BW26" s="39" t="e">
        <f t="shared" ca="1" si="79"/>
        <v>#NAME?</v>
      </c>
      <c r="BX26" s="39" t="e">
        <f t="shared" ca="1" si="79"/>
        <v>#NAME?</v>
      </c>
      <c r="BY26" s="39" t="e">
        <f t="shared" ca="1" si="79"/>
        <v>#NAME?</v>
      </c>
      <c r="BZ26" s="39" t="e">
        <f t="shared" ca="1" si="79"/>
        <v>#NAME?</v>
      </c>
      <c r="CA26" s="39" t="e">
        <f t="shared" ca="1" si="79"/>
        <v>#NAME?</v>
      </c>
      <c r="CB26" s="39" t="e">
        <f t="shared" ca="1" si="79"/>
        <v>#NAME?</v>
      </c>
      <c r="CC26" s="39" t="e">
        <f t="shared" ca="1" si="79"/>
        <v>#NAME?</v>
      </c>
      <c r="CD26" s="39" t="e">
        <f t="shared" ca="1" si="79"/>
        <v>#NAME?</v>
      </c>
      <c r="CE26" s="39" t="e">
        <f t="shared" ca="1" si="79"/>
        <v>#NAME?</v>
      </c>
      <c r="CF26" s="39" t="e">
        <f t="shared" ca="1" si="79"/>
        <v>#NAME?</v>
      </c>
      <c r="CG26" s="39" t="e">
        <f t="shared" ca="1" si="79"/>
        <v>#NAME?</v>
      </c>
      <c r="CH26" s="39" t="e">
        <f t="shared" ca="1" si="79"/>
        <v>#NAME?</v>
      </c>
      <c r="CI26" s="39" t="e">
        <f t="shared" ca="1" si="79"/>
        <v>#NAME?</v>
      </c>
      <c r="CJ26" s="39" t="e">
        <f ca="1">+IF(CF25&lt;0,1-CJ25/CF25,CJ25/CF25-1)</f>
        <v>#NAME?</v>
      </c>
      <c r="CK26" s="39" t="e">
        <f ca="1">+IF(CG25&lt;0,1-CK25/CG25,CK25/CG25-1)</f>
        <v>#NAME?</v>
      </c>
      <c r="CL26" s="39" t="e">
        <f ca="1">+IF(CH25&lt;0,1-CL25/CH25,CL25/CH25-1)</f>
        <v>#NAME?</v>
      </c>
      <c r="CM26" s="40" t="e">
        <f t="shared" ref="CM26:DB26" ca="1" si="80">+IF(CI25&lt;0,1-CM25/CI25,CM25/CI25-1)</f>
        <v>#NAME?</v>
      </c>
      <c r="CN26" s="40" t="e">
        <f t="shared" ca="1" si="80"/>
        <v>#NAME?</v>
      </c>
      <c r="CO26" s="40" t="e">
        <f t="shared" ca="1" si="80"/>
        <v>#NAME?</v>
      </c>
      <c r="CP26" s="40" t="e">
        <f t="shared" ca="1" si="80"/>
        <v>#NAME?</v>
      </c>
      <c r="CQ26" s="40">
        <f t="shared" si="80"/>
        <v>0.14993132583156332</v>
      </c>
      <c r="CR26" s="40">
        <f t="shared" si="80"/>
        <v>0.14975006319256057</v>
      </c>
      <c r="CS26" s="40">
        <f t="shared" si="80"/>
        <v>0.1495679844765776</v>
      </c>
      <c r="CT26" s="40">
        <f t="shared" si="80"/>
        <v>0.14942372170997476</v>
      </c>
      <c r="CU26" s="40">
        <f t="shared" si="80"/>
        <v>0.14993430774205074</v>
      </c>
      <c r="CV26" s="40">
        <f t="shared" si="80"/>
        <v>0.1497608780403803</v>
      </c>
      <c r="CW26" s="40">
        <f t="shared" si="80"/>
        <v>0.14958661246469807</v>
      </c>
      <c r="CX26" s="40">
        <f t="shared" si="80"/>
        <v>0.1494485009252422</v>
      </c>
      <c r="CY26" s="40">
        <f t="shared" si="80"/>
        <v>0.14993716033754501</v>
      </c>
      <c r="CZ26" s="40">
        <f t="shared" si="80"/>
        <v>0.14977122707807733</v>
      </c>
      <c r="DA26" s="40">
        <f t="shared" si="80"/>
        <v>0.1496044436461752</v>
      </c>
      <c r="DB26" s="40">
        <f t="shared" si="80"/>
        <v>0.14947222604427668</v>
      </c>
      <c r="DE26" s="122"/>
      <c r="DF26" s="39">
        <v>-0.10538112811900147</v>
      </c>
    </row>
    <row r="27" spans="1:110" s="39" customFormat="1" x14ac:dyDescent="0.2">
      <c r="A27" s="39" t="s">
        <v>446</v>
      </c>
      <c r="AB27" s="40"/>
      <c r="AC27" s="40"/>
      <c r="AD27" s="40"/>
      <c r="AE27" s="40"/>
      <c r="AJ27" s="39" t="e">
        <f t="shared" ref="AJ27:AL27" ca="1" si="81">+IF(AI25&lt;0,1-AJ25/AI25,AJ25/AI25-1)</f>
        <v>#NAME?</v>
      </c>
      <c r="AK27" s="39" t="e">
        <f t="shared" ca="1" si="81"/>
        <v>#NAME?</v>
      </c>
      <c r="AL27" s="39" t="e">
        <f t="shared" ca="1" si="81"/>
        <v>#NAME?</v>
      </c>
      <c r="AM27" s="39" t="e">
        <f t="shared" ref="AM27:CI27" ca="1" si="82">+IF(AL25&lt;0,1-AM25/AL25,AM25/AL25-1)</f>
        <v>#NAME?</v>
      </c>
      <c r="AN27" s="39" t="e">
        <f t="shared" ca="1" si="82"/>
        <v>#NAME?</v>
      </c>
      <c r="AO27" s="39" t="e">
        <f t="shared" ca="1" si="82"/>
        <v>#NAME?</v>
      </c>
      <c r="AP27" s="39" t="e">
        <f t="shared" ca="1" si="82"/>
        <v>#NAME?</v>
      </c>
      <c r="AQ27" s="39" t="e">
        <f t="shared" ca="1" si="82"/>
        <v>#NAME?</v>
      </c>
      <c r="AR27" s="39" t="e">
        <f t="shared" ca="1" si="82"/>
        <v>#NAME?</v>
      </c>
      <c r="AS27" s="39" t="e">
        <f t="shared" ca="1" si="82"/>
        <v>#NAME?</v>
      </c>
      <c r="AT27" s="39" t="e">
        <f t="shared" ca="1" si="82"/>
        <v>#NAME?</v>
      </c>
      <c r="AU27" s="39" t="e">
        <f t="shared" ca="1" si="82"/>
        <v>#NAME?</v>
      </c>
      <c r="AV27" s="39" t="e">
        <f t="shared" ca="1" si="82"/>
        <v>#NAME?</v>
      </c>
      <c r="AW27" s="39" t="e">
        <f t="shared" ca="1" si="82"/>
        <v>#NAME?</v>
      </c>
      <c r="AX27" s="39" t="e">
        <f t="shared" ca="1" si="82"/>
        <v>#NAME?</v>
      </c>
      <c r="AY27" s="39" t="e">
        <f t="shared" ca="1" si="82"/>
        <v>#NAME?</v>
      </c>
      <c r="AZ27" s="39" t="e">
        <f t="shared" ca="1" si="82"/>
        <v>#NAME?</v>
      </c>
      <c r="BA27" s="39" t="e">
        <f t="shared" ca="1" si="82"/>
        <v>#NAME?</v>
      </c>
      <c r="BB27" s="39" t="e">
        <f t="shared" ca="1" si="82"/>
        <v>#NAME?</v>
      </c>
      <c r="BC27" s="39" t="e">
        <f t="shared" ca="1" si="82"/>
        <v>#NAME?</v>
      </c>
      <c r="BD27" s="39" t="e">
        <f t="shared" ca="1" si="82"/>
        <v>#NAME?</v>
      </c>
      <c r="BE27" s="39" t="e">
        <f t="shared" ca="1" si="82"/>
        <v>#NAME?</v>
      </c>
      <c r="BF27" s="39" t="e">
        <f t="shared" ca="1" si="82"/>
        <v>#NAME?</v>
      </c>
      <c r="BG27" s="39" t="e">
        <f t="shared" ca="1" si="82"/>
        <v>#NAME?</v>
      </c>
      <c r="BH27" s="39" t="e">
        <f t="shared" ca="1" si="82"/>
        <v>#NAME?</v>
      </c>
      <c r="BI27" s="39" t="e">
        <f t="shared" ca="1" si="82"/>
        <v>#NAME?</v>
      </c>
      <c r="BJ27" s="39" t="e">
        <f t="shared" ca="1" si="82"/>
        <v>#NAME?</v>
      </c>
      <c r="BK27" s="39" t="e">
        <f t="shared" ca="1" si="82"/>
        <v>#NAME?</v>
      </c>
      <c r="BL27" s="39" t="e">
        <f t="shared" ca="1" si="82"/>
        <v>#NAME?</v>
      </c>
      <c r="BM27" s="39" t="e">
        <f t="shared" ca="1" si="82"/>
        <v>#NAME?</v>
      </c>
      <c r="BN27" s="39" t="e">
        <f t="shared" ca="1" si="82"/>
        <v>#NAME?</v>
      </c>
      <c r="BO27" s="39" t="e">
        <f t="shared" ca="1" si="82"/>
        <v>#NAME?</v>
      </c>
      <c r="BP27" s="39" t="e">
        <f t="shared" ca="1" si="82"/>
        <v>#NAME?</v>
      </c>
      <c r="BQ27" s="39" t="e">
        <f t="shared" ca="1" si="82"/>
        <v>#NAME?</v>
      </c>
      <c r="BR27" s="39" t="e">
        <f t="shared" ca="1" si="82"/>
        <v>#NAME?</v>
      </c>
      <c r="BS27" s="39" t="e">
        <f t="shared" ca="1" si="82"/>
        <v>#NAME?</v>
      </c>
      <c r="BT27" s="39" t="e">
        <f t="shared" ca="1" si="82"/>
        <v>#NAME?</v>
      </c>
      <c r="BU27" s="39" t="e">
        <f t="shared" ca="1" si="82"/>
        <v>#NAME?</v>
      </c>
      <c r="BV27" s="39" t="e">
        <f t="shared" ca="1" si="82"/>
        <v>#NAME?</v>
      </c>
      <c r="BW27" s="39" t="e">
        <f t="shared" ca="1" si="82"/>
        <v>#NAME?</v>
      </c>
      <c r="BX27" s="39" t="e">
        <f t="shared" ca="1" si="82"/>
        <v>#NAME?</v>
      </c>
      <c r="BY27" s="39" t="e">
        <f t="shared" ca="1" si="82"/>
        <v>#NAME?</v>
      </c>
      <c r="BZ27" s="39" t="e">
        <f t="shared" ca="1" si="82"/>
        <v>#NAME?</v>
      </c>
      <c r="CA27" s="39" t="e">
        <f t="shared" ca="1" si="82"/>
        <v>#NAME?</v>
      </c>
      <c r="CB27" s="39" t="e">
        <f t="shared" ca="1" si="82"/>
        <v>#NAME?</v>
      </c>
      <c r="CC27" s="39" t="e">
        <f t="shared" ca="1" si="82"/>
        <v>#NAME?</v>
      </c>
      <c r="CD27" s="39" t="e">
        <f t="shared" ca="1" si="82"/>
        <v>#NAME?</v>
      </c>
      <c r="CE27" s="39" t="e">
        <f t="shared" ca="1" si="82"/>
        <v>#NAME?</v>
      </c>
      <c r="CF27" s="39" t="e">
        <f t="shared" ca="1" si="82"/>
        <v>#NAME?</v>
      </c>
      <c r="CG27" s="39" t="e">
        <f t="shared" ca="1" si="82"/>
        <v>#NAME?</v>
      </c>
      <c r="CH27" s="39" t="e">
        <f t="shared" ca="1" si="82"/>
        <v>#NAME?</v>
      </c>
      <c r="CI27" s="39" t="e">
        <f t="shared" ca="1" si="82"/>
        <v>#NAME?</v>
      </c>
      <c r="CJ27" s="39" t="e">
        <f ca="1">+IF(CI25&lt;0,1-CJ25/CI25,CJ25/CI25-1)</f>
        <v>#NAME?</v>
      </c>
      <c r="CK27" s="39" t="e">
        <f ca="1">+IF(CJ25&lt;0,1-CK25/CJ25,CK25/CJ25-1)</f>
        <v>#NAME?</v>
      </c>
      <c r="CL27" s="39" t="e">
        <f ca="1">+IF(CK25&lt;0,1-CL25/CK25,CL25/CK25-1)</f>
        <v>#NAME?</v>
      </c>
      <c r="CM27" s="40" t="e">
        <f ca="1">+IF(CL25&lt;0,1-CM25/CL25,CM25/CL25-1)</f>
        <v>#NAME?</v>
      </c>
      <c r="CN27" s="40">
        <f t="shared" ref="CN27:DB27" si="83">+IF(CM25&lt;0,1-CN25/CM25,CN25/CM25-1)</f>
        <v>8.3963418410300861E-2</v>
      </c>
      <c r="CO27" s="40">
        <f t="shared" si="83"/>
        <v>-7.4695228108545009E-2</v>
      </c>
      <c r="CP27" s="40">
        <f t="shared" si="83"/>
        <v>0.24545961088314994</v>
      </c>
      <c r="CQ27" s="40">
        <f t="shared" si="83"/>
        <v>-7.9459651676553222E-2</v>
      </c>
      <c r="CR27" s="40">
        <f t="shared" si="83"/>
        <v>8.3792554233119487E-2</v>
      </c>
      <c r="CS27" s="40">
        <f t="shared" si="83"/>
        <v>-7.4841762829570668E-2</v>
      </c>
      <c r="CT27" s="40">
        <f t="shared" si="83"/>
        <v>0.24530331438604458</v>
      </c>
      <c r="CU27" s="40">
        <f t="shared" si="83"/>
        <v>-7.9050738031446688E-2</v>
      </c>
      <c r="CV27" s="40">
        <f t="shared" si="83"/>
        <v>8.3629099835692111E-2</v>
      </c>
      <c r="CW27" s="40">
        <f t="shared" si="83"/>
        <v>-7.498198610197182E-2</v>
      </c>
      <c r="CX27" s="40">
        <f t="shared" si="83"/>
        <v>0.24515370342504839</v>
      </c>
      <c r="CY27" s="40">
        <f t="shared" si="83"/>
        <v>-7.8659219381631673E-2</v>
      </c>
      <c r="CZ27" s="40">
        <f t="shared" si="83"/>
        <v>8.3472734675236859E-2</v>
      </c>
      <c r="DA27" s="40">
        <f t="shared" si="83"/>
        <v>-7.5116167298453163E-2</v>
      </c>
      <c r="DB27" s="40">
        <f t="shared" si="83"/>
        <v>0.245010496570228</v>
      </c>
      <c r="DE27" s="122"/>
    </row>
    <row r="28" spans="1:110" s="23" customFormat="1" outlineLevel="1" x14ac:dyDescent="0.2">
      <c r="A28" s="23" t="s">
        <v>2</v>
      </c>
      <c r="B28" s="23" t="e">
        <f ca="1">'Annual Raw'!C11</f>
        <v>#NAME?</v>
      </c>
      <c r="C28" s="23" t="e">
        <f ca="1">'Annual Raw'!D11</f>
        <v>#NAME?</v>
      </c>
      <c r="D28" s="23" t="e">
        <f ca="1">'Annual Raw'!E11</f>
        <v>#NAME?</v>
      </c>
      <c r="E28" s="23" t="e">
        <f ca="1">'Annual Raw'!F11</f>
        <v>#NAME?</v>
      </c>
      <c r="F28" s="23" t="e">
        <f ca="1">'Annual Raw'!G11</f>
        <v>#NAME?</v>
      </c>
      <c r="G28" s="23" t="e">
        <f ca="1">'Annual Raw'!H11</f>
        <v>#NAME?</v>
      </c>
      <c r="H28" s="23" t="e">
        <f ca="1">'Annual Raw'!I11</f>
        <v>#NAME?</v>
      </c>
      <c r="I28" s="23" t="e">
        <f ca="1">'Annual Raw'!J11</f>
        <v>#NAME?</v>
      </c>
      <c r="J28" s="23" t="e">
        <f ca="1">'Annual Raw'!K11</f>
        <v>#NAME?</v>
      </c>
      <c r="K28" s="23" t="e">
        <f ca="1">'Annual Raw'!L11</f>
        <v>#NAME?</v>
      </c>
      <c r="L28" s="23" t="e">
        <f ca="1">'Annual Raw'!M11</f>
        <v>#NAME?</v>
      </c>
      <c r="M28" s="23" t="e">
        <f ca="1">'Annual Raw'!N11</f>
        <v>#NAME?</v>
      </c>
      <c r="N28" s="23" t="e">
        <f ca="1">'Annual Raw'!O11</f>
        <v>#NAME?</v>
      </c>
      <c r="O28" s="23" t="e">
        <f ca="1">'Annual Raw'!P11</f>
        <v>#NAME?</v>
      </c>
      <c r="P28" s="23" t="e">
        <f ca="1">'Annual Raw'!Q11</f>
        <v>#NAME?</v>
      </c>
      <c r="Q28" s="23" t="e">
        <f ca="1">'Annual Raw'!R11</f>
        <v>#NAME?</v>
      </c>
      <c r="R28" s="23" t="e">
        <f ca="1">'Annual Raw'!S11</f>
        <v>#NAME?</v>
      </c>
      <c r="S28" s="23" t="e">
        <f ca="1">'Annual Raw'!T11</f>
        <v>#NAME?</v>
      </c>
      <c r="T28" s="23" t="e">
        <f ca="1">'Annual Raw'!U11</f>
        <v>#NAME?</v>
      </c>
      <c r="U28" s="23" t="e">
        <f ca="1">'Annual Raw'!V11</f>
        <v>#NAME?</v>
      </c>
      <c r="V28" s="23" t="e">
        <f ca="1">'Annual Raw'!W11</f>
        <v>#NAME?</v>
      </c>
      <c r="W28" s="23" t="e">
        <f ca="1">'Annual Raw'!X11</f>
        <v>#NAME?</v>
      </c>
      <c r="X28" s="23" t="e">
        <f ca="1">'Annual Raw'!Y11</f>
        <v>#NAME?</v>
      </c>
      <c r="Y28" s="23" t="e">
        <f ca="1">'Annual Raw'!Z11</f>
        <v>#NAME?</v>
      </c>
      <c r="Z28" s="23" t="e">
        <f ca="1">'Annual Raw'!AA11</f>
        <v>#NAME?</v>
      </c>
      <c r="AA28" s="23" t="e">
        <f ca="1">'Annual Raw'!AB11</f>
        <v>#NAME?</v>
      </c>
      <c r="AB28" s="76">
        <f>+SUM(CM28:CP28)</f>
        <v>0</v>
      </c>
      <c r="AC28" s="76">
        <f>+SUM(CQ28:CT28)</f>
        <v>0</v>
      </c>
      <c r="AD28" s="76">
        <f>+SUM(CU28:CX28)</f>
        <v>0</v>
      </c>
      <c r="AE28" s="76">
        <f>+SUM(CY28:DB28)</f>
        <v>0</v>
      </c>
      <c r="AI28" s="23" t="e">
        <f ca="1">'QTR Raw'!C10</f>
        <v>#NAME?</v>
      </c>
      <c r="AJ28" s="23" t="e">
        <f ca="1">'QTR Raw'!D10</f>
        <v>#NAME?</v>
      </c>
      <c r="AK28" s="23" t="e">
        <f ca="1">'QTR Raw'!E10</f>
        <v>#NAME?</v>
      </c>
      <c r="AL28" s="23" t="e">
        <f ca="1">'QTR Raw'!F10</f>
        <v>#NAME?</v>
      </c>
      <c r="AM28" s="23" t="e">
        <f ca="1">'QTR Raw'!G10</f>
        <v>#NAME?</v>
      </c>
      <c r="AN28" s="23" t="e">
        <f ca="1">'QTR Raw'!H10</f>
        <v>#NAME?</v>
      </c>
      <c r="AO28" s="23" t="e">
        <f ca="1">'QTR Raw'!I10</f>
        <v>#NAME?</v>
      </c>
      <c r="AP28" s="23" t="e">
        <f ca="1">'QTR Raw'!J10</f>
        <v>#NAME?</v>
      </c>
      <c r="AQ28" s="23" t="e">
        <f ca="1">'QTR Raw'!K10</f>
        <v>#NAME?</v>
      </c>
      <c r="AR28" s="23" t="e">
        <f ca="1">'QTR Raw'!L10</f>
        <v>#NAME?</v>
      </c>
      <c r="AS28" s="23" t="e">
        <f ca="1">'QTR Raw'!M10</f>
        <v>#NAME?</v>
      </c>
      <c r="AT28" s="23" t="e">
        <f ca="1">'QTR Raw'!N10</f>
        <v>#NAME?</v>
      </c>
      <c r="AU28" s="23" t="e">
        <f ca="1">'QTR Raw'!O10</f>
        <v>#NAME?</v>
      </c>
      <c r="AV28" s="23" t="e">
        <f ca="1">'QTR Raw'!P10</f>
        <v>#NAME?</v>
      </c>
      <c r="AW28" s="23" t="e">
        <f ca="1">'QTR Raw'!Q10</f>
        <v>#NAME?</v>
      </c>
      <c r="AX28" s="23" t="e">
        <f ca="1">'QTR Raw'!R10</f>
        <v>#NAME?</v>
      </c>
      <c r="AY28" s="23" t="e">
        <f ca="1">'QTR Raw'!S10</f>
        <v>#NAME?</v>
      </c>
      <c r="AZ28" s="23" t="e">
        <f ca="1">'QTR Raw'!T10</f>
        <v>#NAME?</v>
      </c>
      <c r="BA28" s="23" t="e">
        <f ca="1">'QTR Raw'!U10</f>
        <v>#NAME?</v>
      </c>
      <c r="BB28" s="23" t="e">
        <f ca="1">'QTR Raw'!V10</f>
        <v>#NAME?</v>
      </c>
      <c r="BC28" s="23" t="e">
        <f ca="1">'QTR Raw'!W10</f>
        <v>#NAME?</v>
      </c>
      <c r="BD28" s="23" t="e">
        <f ca="1">'QTR Raw'!X10</f>
        <v>#NAME?</v>
      </c>
      <c r="BE28" s="23" t="e">
        <f ca="1">'QTR Raw'!Y10</f>
        <v>#NAME?</v>
      </c>
      <c r="BF28" s="23" t="e">
        <f ca="1">'QTR Raw'!Z10</f>
        <v>#NAME?</v>
      </c>
      <c r="BG28" s="23" t="e">
        <f ca="1">'QTR Raw'!AA10</f>
        <v>#NAME?</v>
      </c>
      <c r="BH28" s="23" t="e">
        <f ca="1">'QTR Raw'!AB10</f>
        <v>#NAME?</v>
      </c>
      <c r="BI28" s="23" t="e">
        <f ca="1">'QTR Raw'!AC10</f>
        <v>#NAME?</v>
      </c>
      <c r="BJ28" s="23" t="e">
        <f ca="1">'QTR Raw'!AD10</f>
        <v>#NAME?</v>
      </c>
      <c r="BK28" s="23" t="e">
        <f ca="1">'QTR Raw'!AE10</f>
        <v>#NAME?</v>
      </c>
      <c r="BL28" s="23" t="e">
        <f ca="1">'QTR Raw'!AF10</f>
        <v>#NAME?</v>
      </c>
      <c r="BM28" s="23" t="e">
        <f ca="1">'QTR Raw'!AG10</f>
        <v>#NAME?</v>
      </c>
      <c r="BN28" s="23" t="e">
        <f ca="1">'QTR Raw'!AH10</f>
        <v>#NAME?</v>
      </c>
      <c r="BO28" s="23" t="e">
        <f ca="1">'QTR Raw'!AI10</f>
        <v>#NAME?</v>
      </c>
      <c r="BP28" s="23" t="e">
        <f ca="1">'QTR Raw'!AJ10</f>
        <v>#NAME?</v>
      </c>
      <c r="BQ28" s="23" t="e">
        <f ca="1">'QTR Raw'!AK10</f>
        <v>#NAME?</v>
      </c>
      <c r="BR28" s="23" t="e">
        <f ca="1">'QTR Raw'!AL10</f>
        <v>#NAME?</v>
      </c>
      <c r="BS28" s="23" t="e">
        <f ca="1">'QTR Raw'!AM10</f>
        <v>#NAME?</v>
      </c>
      <c r="BT28" s="23" t="e">
        <f ca="1">'QTR Raw'!AN10</f>
        <v>#NAME?</v>
      </c>
      <c r="BU28" s="23" t="e">
        <f ca="1">'QTR Raw'!AO10</f>
        <v>#NAME?</v>
      </c>
      <c r="BV28" s="23" t="e">
        <f ca="1">'QTR Raw'!AP10</f>
        <v>#NAME?</v>
      </c>
      <c r="BW28" s="23" t="e">
        <f ca="1">'QTR Raw'!AQ10</f>
        <v>#NAME?</v>
      </c>
      <c r="BX28" s="23" t="e">
        <f ca="1">'QTR Raw'!AR10</f>
        <v>#NAME?</v>
      </c>
      <c r="BY28" s="23" t="e">
        <f ca="1">'QTR Raw'!AS10</f>
        <v>#NAME?</v>
      </c>
      <c r="BZ28" s="23" t="e">
        <f ca="1">'QTR Raw'!AT10</f>
        <v>#NAME?</v>
      </c>
      <c r="CA28" s="23" t="e">
        <f ca="1">'QTR Raw'!AU10</f>
        <v>#NAME?</v>
      </c>
      <c r="CB28" s="23" t="e">
        <f ca="1">'QTR Raw'!AV10</f>
        <v>#NAME?</v>
      </c>
      <c r="CC28" s="23" t="e">
        <f ca="1">'QTR Raw'!AW10</f>
        <v>#NAME?</v>
      </c>
      <c r="CD28" s="23" t="e">
        <f ca="1">'QTR Raw'!AX10</f>
        <v>#NAME?</v>
      </c>
      <c r="CE28" s="23" t="e">
        <f ca="1">'QTR Raw'!AY10</f>
        <v>#NAME?</v>
      </c>
      <c r="CF28" s="23" t="e">
        <f ca="1">'QTR Raw'!AZ10</f>
        <v>#NAME?</v>
      </c>
      <c r="CG28" s="23" t="e">
        <f ca="1">'QTR Raw'!BA10</f>
        <v>#NAME?</v>
      </c>
      <c r="CH28" s="23" t="e">
        <f ca="1">'QTR Raw'!BB10</f>
        <v>#NAME?</v>
      </c>
      <c r="CI28" s="23" t="e">
        <f ca="1">'QTR Raw'!BC10</f>
        <v>#NAME?</v>
      </c>
      <c r="CJ28" s="23" t="e">
        <f ca="1">'QTR Raw'!BD10</f>
        <v>#NAME?</v>
      </c>
      <c r="CK28" s="23" t="e">
        <f ca="1">'QTR Raw'!BE10</f>
        <v>#NAME?</v>
      </c>
      <c r="CL28" s="23" t="e">
        <f ca="1">'QTR Raw'!BF10</f>
        <v>#NAME?</v>
      </c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/>
      <c r="DB28" s="24"/>
      <c r="DE28" s="123"/>
      <c r="DF28" s="23">
        <v>-13.334</v>
      </c>
    </row>
    <row r="29" spans="1:110" s="23" customFormat="1" outlineLevel="1" x14ac:dyDescent="0.2">
      <c r="A29" s="23" t="s">
        <v>3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76">
        <f>+SUM(CM29:CP29)</f>
        <v>0</v>
      </c>
      <c r="AC29" s="76">
        <f>+SUM(CQ29:CT29)</f>
        <v>0</v>
      </c>
      <c r="AD29" s="76">
        <f>+SUM(CU29:CX29)</f>
        <v>0</v>
      </c>
      <c r="AE29" s="76">
        <f>+SUM(CY29:DB29)</f>
        <v>0</v>
      </c>
      <c r="AI29" s="23" t="e">
        <f ca="1">'QTR Raw'!C12</f>
        <v>#NAME?</v>
      </c>
      <c r="AJ29" s="23" t="e">
        <f ca="1">'QTR Raw'!D12</f>
        <v>#NAME?</v>
      </c>
      <c r="AK29" s="23" t="e">
        <f ca="1">'QTR Raw'!E12</f>
        <v>#NAME?</v>
      </c>
      <c r="AL29" s="23" t="e">
        <f ca="1">'QTR Raw'!F12</f>
        <v>#NAME?</v>
      </c>
      <c r="AM29" s="23" t="e">
        <f ca="1">'QTR Raw'!G12</f>
        <v>#NAME?</v>
      </c>
      <c r="AN29" s="23" t="e">
        <f ca="1">'QTR Raw'!H12</f>
        <v>#NAME?</v>
      </c>
      <c r="AO29" s="23" t="e">
        <f ca="1">'QTR Raw'!I12</f>
        <v>#NAME?</v>
      </c>
      <c r="AP29" s="23" t="e">
        <f ca="1">'QTR Raw'!J12</f>
        <v>#NAME?</v>
      </c>
      <c r="AQ29" s="23" t="e">
        <f ca="1">'QTR Raw'!K12</f>
        <v>#NAME?</v>
      </c>
      <c r="AR29" s="23" t="e">
        <f ca="1">'QTR Raw'!L12</f>
        <v>#NAME?</v>
      </c>
      <c r="AS29" s="23" t="e">
        <f ca="1">'QTR Raw'!M12</f>
        <v>#NAME?</v>
      </c>
      <c r="AT29" s="23" t="e">
        <f ca="1">'QTR Raw'!N12</f>
        <v>#NAME?</v>
      </c>
      <c r="AU29" s="23" t="e">
        <f ca="1">'QTR Raw'!O12</f>
        <v>#NAME?</v>
      </c>
      <c r="AV29" s="23" t="e">
        <f ca="1">'QTR Raw'!P12</f>
        <v>#NAME?</v>
      </c>
      <c r="AW29" s="23" t="e">
        <f ca="1">'QTR Raw'!Q12</f>
        <v>#NAME?</v>
      </c>
      <c r="AX29" s="23" t="e">
        <f ca="1">'QTR Raw'!R12</f>
        <v>#NAME?</v>
      </c>
      <c r="AY29" s="23" t="e">
        <f ca="1">'QTR Raw'!S12</f>
        <v>#NAME?</v>
      </c>
      <c r="AZ29" s="23" t="e">
        <f ca="1">'QTR Raw'!T12</f>
        <v>#NAME?</v>
      </c>
      <c r="BA29" s="23" t="e">
        <f ca="1">'QTR Raw'!U12</f>
        <v>#NAME?</v>
      </c>
      <c r="BB29" s="23" t="e">
        <f ca="1">'QTR Raw'!V12</f>
        <v>#NAME?</v>
      </c>
      <c r="BC29" s="23" t="e">
        <f ca="1">'QTR Raw'!W12</f>
        <v>#NAME?</v>
      </c>
      <c r="BD29" s="23" t="e">
        <f ca="1">'QTR Raw'!X12</f>
        <v>#NAME?</v>
      </c>
      <c r="BE29" s="23" t="e">
        <f ca="1">'QTR Raw'!Y12</f>
        <v>#NAME?</v>
      </c>
      <c r="BF29" s="23" t="e">
        <f ca="1">'QTR Raw'!Z12</f>
        <v>#NAME?</v>
      </c>
      <c r="BG29" s="23" t="e">
        <f ca="1">'QTR Raw'!AA12</f>
        <v>#NAME?</v>
      </c>
      <c r="BH29" s="23" t="e">
        <f ca="1">'QTR Raw'!AB12</f>
        <v>#NAME?</v>
      </c>
      <c r="BI29" s="23" t="e">
        <f ca="1">'QTR Raw'!AC12</f>
        <v>#NAME?</v>
      </c>
      <c r="BJ29" s="23" t="e">
        <f ca="1">'QTR Raw'!AD12</f>
        <v>#NAME?</v>
      </c>
      <c r="BK29" s="23" t="e">
        <f ca="1">'QTR Raw'!AE12</f>
        <v>#NAME?</v>
      </c>
      <c r="BL29" s="23" t="e">
        <f ca="1">'QTR Raw'!AF12</f>
        <v>#NAME?</v>
      </c>
      <c r="BM29" s="23" t="e">
        <f ca="1">'QTR Raw'!AG12</f>
        <v>#NAME?</v>
      </c>
      <c r="BN29" s="23" t="e">
        <f ca="1">'QTR Raw'!AH12</f>
        <v>#NAME?</v>
      </c>
      <c r="BO29" s="23" t="e">
        <f ca="1">'QTR Raw'!AI12</f>
        <v>#NAME?</v>
      </c>
      <c r="BP29" s="23" t="e">
        <f ca="1">'QTR Raw'!AJ12</f>
        <v>#NAME?</v>
      </c>
      <c r="BQ29" s="23" t="e">
        <f ca="1">'QTR Raw'!AK12</f>
        <v>#NAME?</v>
      </c>
      <c r="BR29" s="23" t="e">
        <f ca="1">'QTR Raw'!AL12</f>
        <v>#NAME?</v>
      </c>
      <c r="BS29" s="23" t="e">
        <f ca="1">'QTR Raw'!AM12</f>
        <v>#NAME?</v>
      </c>
      <c r="BT29" s="23" t="e">
        <f ca="1">'QTR Raw'!AN12</f>
        <v>#NAME?</v>
      </c>
      <c r="BU29" s="23" t="e">
        <f ca="1">'QTR Raw'!AO12</f>
        <v>#NAME?</v>
      </c>
      <c r="BV29" s="23" t="e">
        <f ca="1">'QTR Raw'!AP12</f>
        <v>#NAME?</v>
      </c>
      <c r="BW29" s="23" t="e">
        <f ca="1">'QTR Raw'!AQ12</f>
        <v>#NAME?</v>
      </c>
      <c r="BX29" s="23" t="e">
        <f ca="1">'QTR Raw'!AR12</f>
        <v>#NAME?</v>
      </c>
      <c r="BY29" s="23" t="e">
        <f ca="1">'QTR Raw'!AS12</f>
        <v>#NAME?</v>
      </c>
      <c r="BZ29" s="23" t="e">
        <f ca="1">'QTR Raw'!AT12</f>
        <v>#NAME?</v>
      </c>
      <c r="CA29" s="23" t="e">
        <f ca="1">'QTR Raw'!AU12</f>
        <v>#NAME?</v>
      </c>
      <c r="CB29" s="23" t="e">
        <f ca="1">'QTR Raw'!AV12</f>
        <v>#NAME?</v>
      </c>
      <c r="CC29" s="23" t="e">
        <f ca="1">'QTR Raw'!AW12</f>
        <v>#NAME?</v>
      </c>
      <c r="CD29" s="23" t="e">
        <f ca="1">'QTR Raw'!AX12</f>
        <v>#NAME?</v>
      </c>
      <c r="CE29" s="23" t="e">
        <f ca="1">'QTR Raw'!AY12</f>
        <v>#NAME?</v>
      </c>
      <c r="CF29" s="23" t="e">
        <f ca="1">'QTR Raw'!AZ12</f>
        <v>#NAME?</v>
      </c>
      <c r="CG29" s="23" t="e">
        <f ca="1">'QTR Raw'!BA12</f>
        <v>#NAME?</v>
      </c>
      <c r="CH29" s="23" t="e">
        <f ca="1">'QTR Raw'!BB12</f>
        <v>#NAME?</v>
      </c>
      <c r="CI29" s="23" t="e">
        <f ca="1">'QTR Raw'!BC12</f>
        <v>#NAME?</v>
      </c>
      <c r="CJ29" s="23" t="e">
        <f ca="1">'QTR Raw'!BD12</f>
        <v>#NAME?</v>
      </c>
      <c r="CK29" s="23" t="e">
        <f ca="1">'QTR Raw'!BE12</f>
        <v>#NAME?</v>
      </c>
      <c r="CL29" s="23" t="e">
        <f ca="1">'QTR Raw'!BF12</f>
        <v>#NAME?</v>
      </c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E29" s="123"/>
      <c r="DF29" s="23">
        <v>0</v>
      </c>
    </row>
    <row r="30" spans="1:110" s="23" customFormat="1" outlineLevel="1" x14ac:dyDescent="0.2">
      <c r="A30" s="23" t="s">
        <v>4</v>
      </c>
      <c r="B30" s="23" t="e">
        <f ca="1">'Annual Raw'!C12</f>
        <v>#NAME?</v>
      </c>
      <c r="C30" s="23" t="e">
        <f ca="1">'Annual Raw'!D12</f>
        <v>#NAME?</v>
      </c>
      <c r="D30" s="23" t="e">
        <f ca="1">'Annual Raw'!E12</f>
        <v>#NAME?</v>
      </c>
      <c r="E30" s="23" t="e">
        <f ca="1">'Annual Raw'!F12</f>
        <v>#NAME?</v>
      </c>
      <c r="F30" s="23" t="e">
        <f ca="1">'Annual Raw'!G12</f>
        <v>#NAME?</v>
      </c>
      <c r="G30" s="23" t="e">
        <f ca="1">'Annual Raw'!H12</f>
        <v>#NAME?</v>
      </c>
      <c r="H30" s="23" t="e">
        <f ca="1">'Annual Raw'!I12</f>
        <v>#NAME?</v>
      </c>
      <c r="I30" s="23" t="e">
        <f ca="1">'Annual Raw'!J12</f>
        <v>#NAME?</v>
      </c>
      <c r="J30" s="23" t="e">
        <f ca="1">'Annual Raw'!K12</f>
        <v>#NAME?</v>
      </c>
      <c r="K30" s="23" t="e">
        <f ca="1">'Annual Raw'!L12</f>
        <v>#NAME?</v>
      </c>
      <c r="L30" s="23" t="e">
        <f ca="1">'Annual Raw'!M12</f>
        <v>#NAME?</v>
      </c>
      <c r="M30" s="23" t="e">
        <f ca="1">'Annual Raw'!N12</f>
        <v>#NAME?</v>
      </c>
      <c r="N30" s="23" t="e">
        <f ca="1">'Annual Raw'!O12</f>
        <v>#NAME?</v>
      </c>
      <c r="O30" s="23" t="e">
        <f ca="1">'Annual Raw'!P12</f>
        <v>#NAME?</v>
      </c>
      <c r="P30" s="23" t="e">
        <f ca="1">'Annual Raw'!Q12</f>
        <v>#NAME?</v>
      </c>
      <c r="Q30" s="23" t="e">
        <f ca="1">'Annual Raw'!R12</f>
        <v>#NAME?</v>
      </c>
      <c r="R30" s="23" t="e">
        <f ca="1">'Annual Raw'!S12</f>
        <v>#NAME?</v>
      </c>
      <c r="S30" s="23" t="e">
        <f ca="1">'Annual Raw'!T12</f>
        <v>#NAME?</v>
      </c>
      <c r="T30" s="23" t="e">
        <f ca="1">'Annual Raw'!U12</f>
        <v>#NAME?</v>
      </c>
      <c r="U30" s="23" t="e">
        <f ca="1">'Annual Raw'!V12</f>
        <v>#NAME?</v>
      </c>
      <c r="V30" s="23" t="e">
        <f ca="1">'Annual Raw'!W12</f>
        <v>#NAME?</v>
      </c>
      <c r="W30" s="23" t="e">
        <f ca="1">'Annual Raw'!X12</f>
        <v>#NAME?</v>
      </c>
      <c r="X30" s="23" t="e">
        <f ca="1">'Annual Raw'!Y12</f>
        <v>#NAME?</v>
      </c>
      <c r="Y30" s="23" t="e">
        <f ca="1">'Annual Raw'!Z12</f>
        <v>#NAME?</v>
      </c>
      <c r="Z30" s="23" t="e">
        <f ca="1">'Annual Raw'!AA12</f>
        <v>#NAME?</v>
      </c>
      <c r="AA30" s="23" t="e">
        <f ca="1">'Annual Raw'!AB12</f>
        <v>#NAME?</v>
      </c>
      <c r="AB30" s="24" t="e">
        <f ca="1">+SUM(CM30:CP30)</f>
        <v>#NAME?</v>
      </c>
      <c r="AC30" s="24" t="e">
        <f ca="1">+SUM(CQ30:CT30)</f>
        <v>#NAME?</v>
      </c>
      <c r="AD30" s="24" t="e">
        <f ca="1">+SUM(CU30:CX30)</f>
        <v>#NAME?</v>
      </c>
      <c r="AE30" s="24" t="e">
        <f ca="1">+SUM(CY30:DB30)</f>
        <v>#NAME?</v>
      </c>
      <c r="AI30" s="23" t="e">
        <f ca="1">'QTR Raw'!C11</f>
        <v>#NAME?</v>
      </c>
      <c r="AJ30" s="23" t="e">
        <f ca="1">'QTR Raw'!D11</f>
        <v>#NAME?</v>
      </c>
      <c r="AK30" s="23" t="e">
        <f ca="1">'QTR Raw'!E11</f>
        <v>#NAME?</v>
      </c>
      <c r="AL30" s="23" t="e">
        <f ca="1">'QTR Raw'!F11</f>
        <v>#NAME?</v>
      </c>
      <c r="AM30" s="23" t="e">
        <f ca="1">'QTR Raw'!G11</f>
        <v>#NAME?</v>
      </c>
      <c r="AN30" s="23" t="e">
        <f ca="1">'QTR Raw'!H11</f>
        <v>#NAME?</v>
      </c>
      <c r="AO30" s="23" t="e">
        <f ca="1">'QTR Raw'!I11</f>
        <v>#NAME?</v>
      </c>
      <c r="AP30" s="23" t="e">
        <f ca="1">'QTR Raw'!J11</f>
        <v>#NAME?</v>
      </c>
      <c r="AQ30" s="23" t="e">
        <f ca="1">'QTR Raw'!K11</f>
        <v>#NAME?</v>
      </c>
      <c r="AR30" s="23" t="e">
        <f ca="1">'QTR Raw'!L11</f>
        <v>#NAME?</v>
      </c>
      <c r="AS30" s="23" t="e">
        <f ca="1">'QTR Raw'!M11</f>
        <v>#NAME?</v>
      </c>
      <c r="AT30" s="23" t="e">
        <f ca="1">'QTR Raw'!N11</f>
        <v>#NAME?</v>
      </c>
      <c r="AU30" s="23" t="e">
        <f ca="1">'QTR Raw'!O11</f>
        <v>#NAME?</v>
      </c>
      <c r="AV30" s="23" t="e">
        <f ca="1">'QTR Raw'!P11</f>
        <v>#NAME?</v>
      </c>
      <c r="AW30" s="23" t="e">
        <f ca="1">'QTR Raw'!Q11</f>
        <v>#NAME?</v>
      </c>
      <c r="AX30" s="23" t="e">
        <f ca="1">'QTR Raw'!R11</f>
        <v>#NAME?</v>
      </c>
      <c r="AY30" s="23" t="e">
        <f ca="1">'QTR Raw'!S11</f>
        <v>#NAME?</v>
      </c>
      <c r="AZ30" s="23" t="e">
        <f ca="1">'QTR Raw'!T11</f>
        <v>#NAME?</v>
      </c>
      <c r="BA30" s="23" t="e">
        <f ca="1">'QTR Raw'!U11</f>
        <v>#NAME?</v>
      </c>
      <c r="BB30" s="23" t="e">
        <f ca="1">'QTR Raw'!V11</f>
        <v>#NAME?</v>
      </c>
      <c r="BC30" s="23" t="e">
        <f ca="1">'QTR Raw'!W11</f>
        <v>#NAME?</v>
      </c>
      <c r="BD30" s="23" t="e">
        <f ca="1">'QTR Raw'!X11</f>
        <v>#NAME?</v>
      </c>
      <c r="BE30" s="23" t="e">
        <f ca="1">'QTR Raw'!Y11</f>
        <v>#NAME?</v>
      </c>
      <c r="BF30" s="23" t="e">
        <f ca="1">'QTR Raw'!Z11</f>
        <v>#NAME?</v>
      </c>
      <c r="BG30" s="23" t="e">
        <f ca="1">'QTR Raw'!AA11</f>
        <v>#NAME?</v>
      </c>
      <c r="BH30" s="23" t="e">
        <f ca="1">'QTR Raw'!AB11</f>
        <v>#NAME?</v>
      </c>
      <c r="BI30" s="23" t="e">
        <f ca="1">'QTR Raw'!AC11</f>
        <v>#NAME?</v>
      </c>
      <c r="BJ30" s="23" t="e">
        <f ca="1">'QTR Raw'!AD11</f>
        <v>#NAME?</v>
      </c>
      <c r="BK30" s="23" t="e">
        <f ca="1">'QTR Raw'!AE11</f>
        <v>#NAME?</v>
      </c>
      <c r="BL30" s="23" t="e">
        <f ca="1">'QTR Raw'!AF11</f>
        <v>#NAME?</v>
      </c>
      <c r="BM30" s="23" t="e">
        <f ca="1">'QTR Raw'!AG11</f>
        <v>#NAME?</v>
      </c>
      <c r="BN30" s="23" t="e">
        <f ca="1">'QTR Raw'!AH11</f>
        <v>#NAME?</v>
      </c>
      <c r="BO30" s="23" t="e">
        <f ca="1">'QTR Raw'!AI11</f>
        <v>#NAME?</v>
      </c>
      <c r="BP30" s="23" t="e">
        <f ca="1">'QTR Raw'!AJ11</f>
        <v>#NAME?</v>
      </c>
      <c r="BQ30" s="23" t="e">
        <f ca="1">'QTR Raw'!AK11</f>
        <v>#NAME?</v>
      </c>
      <c r="BR30" s="23" t="e">
        <f ca="1">'QTR Raw'!AL11</f>
        <v>#NAME?</v>
      </c>
      <c r="BS30" s="23" t="e">
        <f ca="1">'QTR Raw'!AM11</f>
        <v>#NAME?</v>
      </c>
      <c r="BT30" s="23" t="e">
        <f ca="1">'QTR Raw'!AN11</f>
        <v>#NAME?</v>
      </c>
      <c r="BU30" s="23" t="e">
        <f ca="1">'QTR Raw'!AO11</f>
        <v>#NAME?</v>
      </c>
      <c r="BV30" s="23" t="e">
        <f ca="1">'QTR Raw'!AP11</f>
        <v>#NAME?</v>
      </c>
      <c r="BW30" s="23" t="e">
        <f ca="1">'QTR Raw'!AQ11</f>
        <v>#NAME?</v>
      </c>
      <c r="BX30" s="23" t="e">
        <f ca="1">'QTR Raw'!AR11</f>
        <v>#NAME?</v>
      </c>
      <c r="BY30" s="23" t="e">
        <f ca="1">'QTR Raw'!AS11</f>
        <v>#NAME?</v>
      </c>
      <c r="BZ30" s="23" t="e">
        <f ca="1">'QTR Raw'!AT11</f>
        <v>#NAME?</v>
      </c>
      <c r="CA30" s="23" t="e">
        <f ca="1">'QTR Raw'!AU11</f>
        <v>#NAME?</v>
      </c>
      <c r="CB30" s="23" t="e">
        <f ca="1">'QTR Raw'!AV11</f>
        <v>#NAME?</v>
      </c>
      <c r="CC30" s="23" t="e">
        <f ca="1">'QTR Raw'!AW11</f>
        <v>#NAME?</v>
      </c>
      <c r="CD30" s="23" t="e">
        <f ca="1">'QTR Raw'!AX11</f>
        <v>#NAME?</v>
      </c>
      <c r="CE30" s="23" t="e">
        <f ca="1">'QTR Raw'!AY11</f>
        <v>#NAME?</v>
      </c>
      <c r="CF30" s="23" t="e">
        <f ca="1">'QTR Raw'!AZ11</f>
        <v>#NAME?</v>
      </c>
      <c r="CG30" s="23" t="e">
        <f ca="1">'QTR Raw'!BA11</f>
        <v>#NAME?</v>
      </c>
      <c r="CH30" s="23" t="e">
        <f ca="1">'QTR Raw'!BB11</f>
        <v>#NAME?</v>
      </c>
      <c r="CI30" s="23" t="e">
        <f ca="1">'QTR Raw'!BC11</f>
        <v>#NAME?</v>
      </c>
      <c r="CJ30" s="23" t="e">
        <f ca="1">'QTR Raw'!BD11</f>
        <v>#NAME?</v>
      </c>
      <c r="CK30" s="23" t="e">
        <f ca="1">'QTR Raw'!BE11</f>
        <v>#NAME?</v>
      </c>
      <c r="CL30" s="23" t="e">
        <f ca="1">'QTR Raw'!BF11</f>
        <v>#NAME?</v>
      </c>
      <c r="CM30" s="24" t="e">
        <f t="shared" ref="CM30:DB30" ca="1" si="84">+CM25-CM31</f>
        <v>#NAME?</v>
      </c>
      <c r="CN30" s="24" t="e">
        <f t="shared" ca="1" si="84"/>
        <v>#NAME?</v>
      </c>
      <c r="CO30" s="24" t="e">
        <f t="shared" ca="1" si="84"/>
        <v>#NAME?</v>
      </c>
      <c r="CP30" s="24" t="e">
        <f t="shared" ca="1" si="84"/>
        <v>#NAME?</v>
      </c>
      <c r="CQ30" s="24" t="e">
        <f t="shared" ca="1" si="84"/>
        <v>#NAME?</v>
      </c>
      <c r="CR30" s="24" t="e">
        <f t="shared" ca="1" si="84"/>
        <v>#NAME?</v>
      </c>
      <c r="CS30" s="24" t="e">
        <f t="shared" ca="1" si="84"/>
        <v>#NAME?</v>
      </c>
      <c r="CT30" s="24" t="e">
        <f t="shared" ca="1" si="84"/>
        <v>#NAME?</v>
      </c>
      <c r="CU30" s="24" t="e">
        <f t="shared" ca="1" si="84"/>
        <v>#NAME?</v>
      </c>
      <c r="CV30" s="24" t="e">
        <f t="shared" ca="1" si="84"/>
        <v>#NAME?</v>
      </c>
      <c r="CW30" s="24" t="e">
        <f t="shared" ca="1" si="84"/>
        <v>#NAME?</v>
      </c>
      <c r="CX30" s="24" t="e">
        <f t="shared" ca="1" si="84"/>
        <v>#NAME?</v>
      </c>
      <c r="CY30" s="24" t="e">
        <f t="shared" ca="1" si="84"/>
        <v>#NAME?</v>
      </c>
      <c r="CZ30" s="24" t="e">
        <f t="shared" ca="1" si="84"/>
        <v>#NAME?</v>
      </c>
      <c r="DA30" s="24" t="e">
        <f t="shared" ca="1" si="84"/>
        <v>#NAME?</v>
      </c>
      <c r="DB30" s="24" t="e">
        <f t="shared" ca="1" si="84"/>
        <v>#NAME?</v>
      </c>
      <c r="DE30" s="123"/>
      <c r="DF30" s="23">
        <v>78.733999999999995</v>
      </c>
    </row>
    <row r="31" spans="1:110" s="31" customFormat="1" x14ac:dyDescent="0.2">
      <c r="A31" s="31" t="s">
        <v>5</v>
      </c>
      <c r="B31" s="31" t="e">
        <f t="shared" ref="B31:T31" ca="1" si="85">B25-B28-B30-B29</f>
        <v>#NAME?</v>
      </c>
      <c r="C31" s="31" t="e">
        <f t="shared" ca="1" si="85"/>
        <v>#NAME?</v>
      </c>
      <c r="D31" s="31" t="e">
        <f t="shared" ca="1" si="85"/>
        <v>#NAME?</v>
      </c>
      <c r="E31" s="31" t="e">
        <f t="shared" ca="1" si="85"/>
        <v>#NAME?</v>
      </c>
      <c r="F31" s="31" t="e">
        <f t="shared" ca="1" si="85"/>
        <v>#NAME?</v>
      </c>
      <c r="G31" s="31" t="e">
        <f t="shared" ca="1" si="85"/>
        <v>#NAME?</v>
      </c>
      <c r="H31" s="31" t="e">
        <f t="shared" ca="1" si="85"/>
        <v>#NAME?</v>
      </c>
      <c r="I31" s="31" t="e">
        <f t="shared" ca="1" si="85"/>
        <v>#NAME?</v>
      </c>
      <c r="J31" s="31" t="e">
        <f t="shared" ca="1" si="85"/>
        <v>#NAME?</v>
      </c>
      <c r="K31" s="31" t="e">
        <f t="shared" ca="1" si="85"/>
        <v>#NAME?</v>
      </c>
      <c r="L31" s="31" t="e">
        <f t="shared" ca="1" si="85"/>
        <v>#NAME?</v>
      </c>
      <c r="M31" s="31" t="e">
        <f t="shared" ca="1" si="85"/>
        <v>#NAME?</v>
      </c>
      <c r="N31" s="31" t="e">
        <f t="shared" ca="1" si="85"/>
        <v>#NAME?</v>
      </c>
      <c r="O31" s="31" t="e">
        <f t="shared" ca="1" si="85"/>
        <v>#NAME?</v>
      </c>
      <c r="P31" s="31" t="e">
        <f t="shared" ca="1" si="85"/>
        <v>#NAME?</v>
      </c>
      <c r="Q31" s="31" t="e">
        <f t="shared" ca="1" si="85"/>
        <v>#NAME?</v>
      </c>
      <c r="R31" s="31" t="e">
        <f t="shared" ca="1" si="85"/>
        <v>#NAME?</v>
      </c>
      <c r="S31" s="31" t="e">
        <f t="shared" ca="1" si="85"/>
        <v>#NAME?</v>
      </c>
      <c r="T31" s="31" t="e">
        <f t="shared" ca="1" si="85"/>
        <v>#NAME?</v>
      </c>
      <c r="U31" s="31" t="e">
        <f t="shared" ref="U31:Z31" ca="1" si="86">U25-U28-U30-U29</f>
        <v>#NAME?</v>
      </c>
      <c r="V31" s="31" t="e">
        <f t="shared" ca="1" si="86"/>
        <v>#NAME?</v>
      </c>
      <c r="W31" s="31" t="e">
        <f t="shared" ca="1" si="86"/>
        <v>#NAME?</v>
      </c>
      <c r="X31" s="31" t="e">
        <f t="shared" ca="1" si="86"/>
        <v>#NAME?</v>
      </c>
      <c r="Y31" s="31" t="e">
        <f t="shared" ca="1" si="86"/>
        <v>#NAME?</v>
      </c>
      <c r="Z31" s="31" t="e">
        <f t="shared" ca="1" si="86"/>
        <v>#NAME?</v>
      </c>
      <c r="AA31" s="31" t="e">
        <f t="shared" ref="AA31" ca="1" si="87">AA25-AA28-AA30-AA29</f>
        <v>#NAME?</v>
      </c>
      <c r="AB31" s="32" t="e">
        <f t="shared" ref="AA31:AD31" ca="1" si="88">AB25-AB28-AB30-AB29</f>
        <v>#NAME?</v>
      </c>
      <c r="AC31" s="32" t="e">
        <f t="shared" ca="1" si="88"/>
        <v>#NAME?</v>
      </c>
      <c r="AD31" s="32" t="e">
        <f t="shared" ca="1" si="88"/>
        <v>#NAME?</v>
      </c>
      <c r="AE31" s="32" t="e">
        <f t="shared" ref="AE31" ca="1" si="89">AE25-AE28-AE30-AE29</f>
        <v>#NAME?</v>
      </c>
      <c r="AI31" s="31" t="e">
        <f t="shared" ref="AI31" ca="1" si="90">AI25-AI28-AI30-AI29</f>
        <v>#NAME?</v>
      </c>
      <c r="AJ31" s="31" t="e">
        <f t="shared" ref="AJ31" ca="1" si="91">AJ25-AJ28-AJ30-AJ29</f>
        <v>#NAME?</v>
      </c>
      <c r="AK31" s="31" t="e">
        <f t="shared" ref="AK31:AM31" ca="1" si="92">AK25-AK28-AK30-AK29</f>
        <v>#NAME?</v>
      </c>
      <c r="AL31" s="31" t="e">
        <f t="shared" ca="1" si="92"/>
        <v>#NAME?</v>
      </c>
      <c r="AM31" s="31" t="e">
        <f t="shared" ca="1" si="92"/>
        <v>#NAME?</v>
      </c>
      <c r="AN31" s="31" t="e">
        <f t="shared" ref="AN31:AO31" ca="1" si="93">AN25-AN28-AN30-AN29</f>
        <v>#NAME?</v>
      </c>
      <c r="AO31" s="31" t="e">
        <f t="shared" ca="1" si="93"/>
        <v>#NAME?</v>
      </c>
      <c r="AP31" s="31" t="e">
        <f t="shared" ref="AP31:CD31" ca="1" si="94">AP25-AP28-AP30-AP29</f>
        <v>#NAME?</v>
      </c>
      <c r="AQ31" s="31" t="e">
        <f t="shared" ca="1" si="94"/>
        <v>#NAME?</v>
      </c>
      <c r="AR31" s="31" t="e">
        <f t="shared" ca="1" si="94"/>
        <v>#NAME?</v>
      </c>
      <c r="AS31" s="31" t="e">
        <f t="shared" ca="1" si="94"/>
        <v>#NAME?</v>
      </c>
      <c r="AT31" s="31" t="e">
        <f t="shared" ca="1" si="94"/>
        <v>#NAME?</v>
      </c>
      <c r="AU31" s="31" t="e">
        <f t="shared" ca="1" si="94"/>
        <v>#NAME?</v>
      </c>
      <c r="AV31" s="31" t="e">
        <f t="shared" ca="1" si="94"/>
        <v>#NAME?</v>
      </c>
      <c r="AW31" s="31" t="e">
        <f t="shared" ca="1" si="94"/>
        <v>#NAME?</v>
      </c>
      <c r="AX31" s="31" t="e">
        <f t="shared" ca="1" si="94"/>
        <v>#NAME?</v>
      </c>
      <c r="AY31" s="31" t="e">
        <f t="shared" ca="1" si="94"/>
        <v>#NAME?</v>
      </c>
      <c r="AZ31" s="31" t="e">
        <f t="shared" ca="1" si="94"/>
        <v>#NAME?</v>
      </c>
      <c r="BA31" s="31" t="e">
        <f t="shared" ca="1" si="94"/>
        <v>#NAME?</v>
      </c>
      <c r="BB31" s="31" t="e">
        <f t="shared" ca="1" si="94"/>
        <v>#NAME?</v>
      </c>
      <c r="BC31" s="31" t="e">
        <f t="shared" ca="1" si="94"/>
        <v>#NAME?</v>
      </c>
      <c r="BD31" s="31" t="e">
        <f t="shared" ca="1" si="94"/>
        <v>#NAME?</v>
      </c>
      <c r="BE31" s="31" t="e">
        <f t="shared" ca="1" si="94"/>
        <v>#NAME?</v>
      </c>
      <c r="BF31" s="31" t="e">
        <f t="shared" ca="1" si="94"/>
        <v>#NAME?</v>
      </c>
      <c r="BG31" s="31" t="e">
        <f t="shared" ca="1" si="94"/>
        <v>#NAME?</v>
      </c>
      <c r="BH31" s="31" t="e">
        <f t="shared" ca="1" si="94"/>
        <v>#NAME?</v>
      </c>
      <c r="BI31" s="31" t="e">
        <f t="shared" ca="1" si="94"/>
        <v>#NAME?</v>
      </c>
      <c r="BJ31" s="31" t="e">
        <f t="shared" ca="1" si="94"/>
        <v>#NAME?</v>
      </c>
      <c r="BK31" s="31" t="e">
        <f t="shared" ca="1" si="94"/>
        <v>#NAME?</v>
      </c>
      <c r="BL31" s="31" t="e">
        <f t="shared" ca="1" si="94"/>
        <v>#NAME?</v>
      </c>
      <c r="BM31" s="31" t="e">
        <f t="shared" ca="1" si="94"/>
        <v>#NAME?</v>
      </c>
      <c r="BN31" s="31" t="e">
        <f t="shared" ca="1" si="94"/>
        <v>#NAME?</v>
      </c>
      <c r="BO31" s="31" t="e">
        <f t="shared" ca="1" si="94"/>
        <v>#NAME?</v>
      </c>
      <c r="BP31" s="31" t="e">
        <f t="shared" ca="1" si="94"/>
        <v>#NAME?</v>
      </c>
      <c r="BQ31" s="31" t="e">
        <f t="shared" ca="1" si="94"/>
        <v>#NAME?</v>
      </c>
      <c r="BR31" s="31" t="e">
        <f t="shared" ca="1" si="94"/>
        <v>#NAME?</v>
      </c>
      <c r="BS31" s="31" t="e">
        <f t="shared" ca="1" si="94"/>
        <v>#NAME?</v>
      </c>
      <c r="BT31" s="31" t="e">
        <f t="shared" ca="1" si="94"/>
        <v>#NAME?</v>
      </c>
      <c r="BU31" s="31" t="e">
        <f t="shared" ca="1" si="94"/>
        <v>#NAME?</v>
      </c>
      <c r="BV31" s="31" t="e">
        <f t="shared" ca="1" si="94"/>
        <v>#NAME?</v>
      </c>
      <c r="BW31" s="31" t="e">
        <f t="shared" ca="1" si="94"/>
        <v>#NAME?</v>
      </c>
      <c r="BX31" s="31" t="e">
        <f t="shared" ca="1" si="94"/>
        <v>#NAME?</v>
      </c>
      <c r="BY31" s="31" t="e">
        <f t="shared" ca="1" si="94"/>
        <v>#NAME?</v>
      </c>
      <c r="BZ31" s="31" t="e">
        <f t="shared" ca="1" si="94"/>
        <v>#NAME?</v>
      </c>
      <c r="CA31" s="31" t="e">
        <f t="shared" ca="1" si="94"/>
        <v>#NAME?</v>
      </c>
      <c r="CB31" s="31" t="e">
        <f t="shared" ca="1" si="94"/>
        <v>#NAME?</v>
      </c>
      <c r="CC31" s="31" t="e">
        <f t="shared" ca="1" si="94"/>
        <v>#NAME?</v>
      </c>
      <c r="CD31" s="31" t="e">
        <f t="shared" ca="1" si="94"/>
        <v>#NAME?</v>
      </c>
      <c r="CE31" s="31" t="e">
        <f t="shared" ref="CE31:CF31" ca="1" si="95">CE25-CE28-CE30-CE29</f>
        <v>#NAME?</v>
      </c>
      <c r="CF31" s="31" t="e">
        <f t="shared" ca="1" si="95"/>
        <v>#NAME?</v>
      </c>
      <c r="CG31" s="31" t="e">
        <f t="shared" ref="CG31:CH31" ca="1" si="96">CG25-CG28-CG30-CG29</f>
        <v>#NAME?</v>
      </c>
      <c r="CH31" s="31" t="e">
        <f t="shared" ca="1" si="96"/>
        <v>#NAME?</v>
      </c>
      <c r="CI31" s="31" t="e">
        <f t="shared" ref="CI31:CJ31" ca="1" si="97">CI25-CI28-CI30-CI29</f>
        <v>#NAME?</v>
      </c>
      <c r="CJ31" s="31" t="e">
        <f t="shared" ca="1" si="97"/>
        <v>#NAME?</v>
      </c>
      <c r="CK31" s="31" t="e">
        <f t="shared" ref="CK31:CL31" ca="1" si="98">CK25-CK28-CK30-CK29</f>
        <v>#NAME?</v>
      </c>
      <c r="CL31" s="31" t="e">
        <f t="shared" ca="1" si="98"/>
        <v>#NAME?</v>
      </c>
      <c r="CM31" s="32" t="e">
        <f t="shared" ref="CM31:DB31" ca="1" si="99">+CM32*CM25</f>
        <v>#NAME?</v>
      </c>
      <c r="CN31" s="32" t="e">
        <f t="shared" ca="1" si="99"/>
        <v>#NAME?</v>
      </c>
      <c r="CO31" s="32" t="e">
        <f t="shared" ca="1" si="99"/>
        <v>#NAME?</v>
      </c>
      <c r="CP31" s="32" t="e">
        <f t="shared" ca="1" si="99"/>
        <v>#NAME?</v>
      </c>
      <c r="CQ31" s="32" t="e">
        <f t="shared" ca="1" si="99"/>
        <v>#NAME?</v>
      </c>
      <c r="CR31" s="32" t="e">
        <f t="shared" ca="1" si="99"/>
        <v>#NAME?</v>
      </c>
      <c r="CS31" s="32" t="e">
        <f t="shared" ca="1" si="99"/>
        <v>#NAME?</v>
      </c>
      <c r="CT31" s="32" t="e">
        <f t="shared" ca="1" si="99"/>
        <v>#NAME?</v>
      </c>
      <c r="CU31" s="32" t="e">
        <f t="shared" ca="1" si="99"/>
        <v>#NAME?</v>
      </c>
      <c r="CV31" s="32" t="e">
        <f t="shared" ca="1" si="99"/>
        <v>#NAME?</v>
      </c>
      <c r="CW31" s="32" t="e">
        <f t="shared" ca="1" si="99"/>
        <v>#NAME?</v>
      </c>
      <c r="CX31" s="32" t="e">
        <f t="shared" ca="1" si="99"/>
        <v>#NAME?</v>
      </c>
      <c r="CY31" s="32" t="e">
        <f t="shared" ca="1" si="99"/>
        <v>#NAME?</v>
      </c>
      <c r="CZ31" s="32" t="e">
        <f t="shared" ca="1" si="99"/>
        <v>#NAME?</v>
      </c>
      <c r="DA31" s="32" t="e">
        <f t="shared" ca="1" si="99"/>
        <v>#NAME?</v>
      </c>
      <c r="DB31" s="32" t="e">
        <f t="shared" ca="1" si="99"/>
        <v>#NAME?</v>
      </c>
      <c r="DE31" s="124"/>
      <c r="DF31" s="31">
        <v>157.47300000000001</v>
      </c>
    </row>
    <row r="32" spans="1:110" s="41" customFormat="1" x14ac:dyDescent="0.2">
      <c r="A32" s="41" t="s">
        <v>6</v>
      </c>
      <c r="B32" s="41" t="e">
        <f ca="1">B31/B25</f>
        <v>#NAME?</v>
      </c>
      <c r="C32" s="41" t="e">
        <f t="shared" ref="C32:U32" ca="1" si="100">C31/C25</f>
        <v>#NAME?</v>
      </c>
      <c r="D32" s="41" t="e">
        <f t="shared" ca="1" si="100"/>
        <v>#NAME?</v>
      </c>
      <c r="E32" s="41" t="e">
        <f t="shared" ca="1" si="100"/>
        <v>#NAME?</v>
      </c>
      <c r="F32" s="41" t="e">
        <f t="shared" ca="1" si="100"/>
        <v>#NAME?</v>
      </c>
      <c r="G32" s="41" t="e">
        <f t="shared" ca="1" si="100"/>
        <v>#NAME?</v>
      </c>
      <c r="H32" s="41" t="e">
        <f t="shared" ca="1" si="100"/>
        <v>#NAME?</v>
      </c>
      <c r="I32" s="41" t="e">
        <f t="shared" ca="1" si="100"/>
        <v>#NAME?</v>
      </c>
      <c r="J32" s="41" t="e">
        <f t="shared" ca="1" si="100"/>
        <v>#NAME?</v>
      </c>
      <c r="K32" s="41" t="e">
        <f t="shared" ca="1" si="100"/>
        <v>#NAME?</v>
      </c>
      <c r="L32" s="41" t="e">
        <f t="shared" ca="1" si="100"/>
        <v>#NAME?</v>
      </c>
      <c r="M32" s="41" t="e">
        <f t="shared" ca="1" si="100"/>
        <v>#NAME?</v>
      </c>
      <c r="N32" s="41" t="e">
        <f t="shared" ca="1" si="100"/>
        <v>#NAME?</v>
      </c>
      <c r="O32" s="41" t="e">
        <f t="shared" ca="1" si="100"/>
        <v>#NAME?</v>
      </c>
      <c r="P32" s="41" t="e">
        <f t="shared" ca="1" si="100"/>
        <v>#NAME?</v>
      </c>
      <c r="Q32" s="41" t="e">
        <f t="shared" ca="1" si="100"/>
        <v>#NAME?</v>
      </c>
      <c r="R32" s="41" t="e">
        <f t="shared" ca="1" si="100"/>
        <v>#NAME?</v>
      </c>
      <c r="S32" s="41" t="e">
        <f t="shared" ca="1" si="100"/>
        <v>#NAME?</v>
      </c>
      <c r="T32" s="41" t="e">
        <f t="shared" ca="1" si="100"/>
        <v>#NAME?</v>
      </c>
      <c r="U32" s="41" t="e">
        <f t="shared" ca="1" si="100"/>
        <v>#NAME?</v>
      </c>
      <c r="V32" s="41" t="e">
        <f ca="1">V31/V25</f>
        <v>#NAME?</v>
      </c>
      <c r="W32" s="41" t="e">
        <f ca="1">W31/W25</f>
        <v>#NAME?</v>
      </c>
      <c r="X32" s="41" t="e">
        <f ca="1">X31/X25</f>
        <v>#NAME?</v>
      </c>
      <c r="Y32" s="41" t="e">
        <f ca="1">Y31/Y25</f>
        <v>#NAME?</v>
      </c>
      <c r="Z32" s="41" t="e">
        <f ca="1">Z31/Z25</f>
        <v>#NAME?</v>
      </c>
      <c r="AA32" s="41" t="e">
        <f ca="1">AA31/AA25</f>
        <v>#NAME?</v>
      </c>
      <c r="AB32" s="42" t="e">
        <f t="shared" ref="AA32:AD32" ca="1" si="101">AB31/AB25</f>
        <v>#NAME?</v>
      </c>
      <c r="AC32" s="42" t="e">
        <f t="shared" ca="1" si="101"/>
        <v>#NAME?</v>
      </c>
      <c r="AD32" s="42" t="e">
        <f t="shared" ca="1" si="101"/>
        <v>#NAME?</v>
      </c>
      <c r="AE32" s="42" t="e">
        <f t="shared" ref="AE32" ca="1" si="102">AE31/AE25</f>
        <v>#NAME?</v>
      </c>
      <c r="AI32" s="41" t="e">
        <f t="shared" ref="AI32" ca="1" si="103">AI31/AI25</f>
        <v>#NAME?</v>
      </c>
      <c r="AJ32" s="41" t="e">
        <f t="shared" ref="AJ32" ca="1" si="104">AJ31/AJ25</f>
        <v>#NAME?</v>
      </c>
      <c r="AK32" s="41" t="e">
        <f t="shared" ref="AK32:AM32" ca="1" si="105">AK31/AK25</f>
        <v>#NAME?</v>
      </c>
      <c r="AL32" s="41" t="e">
        <f t="shared" ca="1" si="105"/>
        <v>#NAME?</v>
      </c>
      <c r="AM32" s="41" t="e">
        <f t="shared" ca="1" si="105"/>
        <v>#NAME?</v>
      </c>
      <c r="AN32" s="41" t="e">
        <f t="shared" ref="AN32:AO32" ca="1" si="106">AN31/AN25</f>
        <v>#NAME?</v>
      </c>
      <c r="AO32" s="41" t="e">
        <f t="shared" ca="1" si="106"/>
        <v>#NAME?</v>
      </c>
      <c r="AP32" s="41" t="e">
        <f t="shared" ref="AP32:CD32" ca="1" si="107">AP31/AP25</f>
        <v>#NAME?</v>
      </c>
      <c r="AQ32" s="41" t="e">
        <f t="shared" ca="1" si="107"/>
        <v>#NAME?</v>
      </c>
      <c r="AR32" s="41" t="e">
        <f t="shared" ca="1" si="107"/>
        <v>#NAME?</v>
      </c>
      <c r="AS32" s="41" t="e">
        <f t="shared" ca="1" si="107"/>
        <v>#NAME?</v>
      </c>
      <c r="AT32" s="41" t="e">
        <f t="shared" ca="1" si="107"/>
        <v>#NAME?</v>
      </c>
      <c r="AU32" s="41" t="e">
        <f t="shared" ca="1" si="107"/>
        <v>#NAME?</v>
      </c>
      <c r="AV32" s="41" t="e">
        <f t="shared" ca="1" si="107"/>
        <v>#NAME?</v>
      </c>
      <c r="AW32" s="41" t="e">
        <f t="shared" ca="1" si="107"/>
        <v>#NAME?</v>
      </c>
      <c r="AX32" s="41" t="e">
        <f t="shared" ca="1" si="107"/>
        <v>#NAME?</v>
      </c>
      <c r="AY32" s="41" t="e">
        <f t="shared" ca="1" si="107"/>
        <v>#NAME?</v>
      </c>
      <c r="AZ32" s="41" t="e">
        <f t="shared" ca="1" si="107"/>
        <v>#NAME?</v>
      </c>
      <c r="BA32" s="41" t="e">
        <f t="shared" ca="1" si="107"/>
        <v>#NAME?</v>
      </c>
      <c r="BB32" s="41" t="e">
        <f t="shared" ca="1" si="107"/>
        <v>#NAME?</v>
      </c>
      <c r="BC32" s="41" t="e">
        <f t="shared" ca="1" si="107"/>
        <v>#NAME?</v>
      </c>
      <c r="BD32" s="41" t="e">
        <f t="shared" ca="1" si="107"/>
        <v>#NAME?</v>
      </c>
      <c r="BE32" s="41" t="e">
        <f t="shared" ca="1" si="107"/>
        <v>#NAME?</v>
      </c>
      <c r="BF32" s="41" t="e">
        <f t="shared" ca="1" si="107"/>
        <v>#NAME?</v>
      </c>
      <c r="BG32" s="41" t="e">
        <f t="shared" ca="1" si="107"/>
        <v>#NAME?</v>
      </c>
      <c r="BH32" s="41" t="e">
        <f t="shared" ca="1" si="107"/>
        <v>#NAME?</v>
      </c>
      <c r="BI32" s="41" t="e">
        <f t="shared" ca="1" si="107"/>
        <v>#NAME?</v>
      </c>
      <c r="BJ32" s="41" t="e">
        <f t="shared" ca="1" si="107"/>
        <v>#NAME?</v>
      </c>
      <c r="BK32" s="41" t="e">
        <f t="shared" ca="1" si="107"/>
        <v>#NAME?</v>
      </c>
      <c r="BL32" s="41" t="e">
        <f t="shared" ca="1" si="107"/>
        <v>#NAME?</v>
      </c>
      <c r="BM32" s="41" t="e">
        <f t="shared" ca="1" si="107"/>
        <v>#NAME?</v>
      </c>
      <c r="BN32" s="41" t="e">
        <f t="shared" ca="1" si="107"/>
        <v>#NAME?</v>
      </c>
      <c r="BO32" s="41" t="e">
        <f t="shared" ca="1" si="107"/>
        <v>#NAME?</v>
      </c>
      <c r="BP32" s="41" t="e">
        <f t="shared" ca="1" si="107"/>
        <v>#NAME?</v>
      </c>
      <c r="BQ32" s="41" t="e">
        <f t="shared" ca="1" si="107"/>
        <v>#NAME?</v>
      </c>
      <c r="BR32" s="41" t="e">
        <f t="shared" ca="1" si="107"/>
        <v>#NAME?</v>
      </c>
      <c r="BS32" s="41" t="e">
        <f t="shared" ca="1" si="107"/>
        <v>#NAME?</v>
      </c>
      <c r="BT32" s="41" t="e">
        <f t="shared" ca="1" si="107"/>
        <v>#NAME?</v>
      </c>
      <c r="BU32" s="41" t="e">
        <f t="shared" ca="1" si="107"/>
        <v>#NAME?</v>
      </c>
      <c r="BV32" s="41" t="e">
        <f t="shared" ca="1" si="107"/>
        <v>#NAME?</v>
      </c>
      <c r="BW32" s="41" t="e">
        <f t="shared" ca="1" si="107"/>
        <v>#NAME?</v>
      </c>
      <c r="BX32" s="41" t="e">
        <f t="shared" ca="1" si="107"/>
        <v>#NAME?</v>
      </c>
      <c r="BY32" s="41" t="e">
        <f t="shared" ca="1" si="107"/>
        <v>#NAME?</v>
      </c>
      <c r="BZ32" s="41" t="e">
        <f t="shared" ca="1" si="107"/>
        <v>#NAME?</v>
      </c>
      <c r="CA32" s="41" t="e">
        <f t="shared" ca="1" si="107"/>
        <v>#NAME?</v>
      </c>
      <c r="CB32" s="41" t="e">
        <f t="shared" ca="1" si="107"/>
        <v>#NAME?</v>
      </c>
      <c r="CC32" s="41" t="e">
        <f t="shared" ca="1" si="107"/>
        <v>#NAME?</v>
      </c>
      <c r="CD32" s="41" t="e">
        <f t="shared" ca="1" si="107"/>
        <v>#NAME?</v>
      </c>
      <c r="CE32" s="41" t="e">
        <f t="shared" ref="CE32:CF32" ca="1" si="108">CE31/CE25</f>
        <v>#NAME?</v>
      </c>
      <c r="CF32" s="41" t="e">
        <f t="shared" ca="1" si="108"/>
        <v>#NAME?</v>
      </c>
      <c r="CG32" s="41" t="e">
        <f t="shared" ref="CG32:CH32" ca="1" si="109">CG31/CG25</f>
        <v>#NAME?</v>
      </c>
      <c r="CH32" s="41" t="e">
        <f t="shared" ca="1" si="109"/>
        <v>#NAME?</v>
      </c>
      <c r="CI32" s="41" t="e">
        <f t="shared" ref="CI32:CJ32" ca="1" si="110">CI31/CI25</f>
        <v>#NAME?</v>
      </c>
      <c r="CJ32" s="41" t="e">
        <f t="shared" ca="1" si="110"/>
        <v>#NAME?</v>
      </c>
      <c r="CK32" s="41" t="e">
        <f t="shared" ref="CK32:CL32" ca="1" si="111">CK31/CK25</f>
        <v>#NAME?</v>
      </c>
      <c r="CL32" s="41" t="e">
        <f t="shared" ca="1" si="111"/>
        <v>#NAME?</v>
      </c>
      <c r="CM32" s="42" t="e">
        <f t="shared" ref="CM32:DB32" ca="1" si="112">AVERAGE(CI32:CL32)</f>
        <v>#NAME?</v>
      </c>
      <c r="CN32" s="42" t="e">
        <f t="shared" ca="1" si="112"/>
        <v>#NAME?</v>
      </c>
      <c r="CO32" s="42" t="e">
        <f t="shared" ca="1" si="112"/>
        <v>#NAME?</v>
      </c>
      <c r="CP32" s="42" t="e">
        <f t="shared" ca="1" si="112"/>
        <v>#NAME?</v>
      </c>
      <c r="CQ32" s="42" t="e">
        <f t="shared" ca="1" si="112"/>
        <v>#NAME?</v>
      </c>
      <c r="CR32" s="42" t="e">
        <f t="shared" ca="1" si="112"/>
        <v>#NAME?</v>
      </c>
      <c r="CS32" s="42" t="e">
        <f t="shared" ca="1" si="112"/>
        <v>#NAME?</v>
      </c>
      <c r="CT32" s="42" t="e">
        <f t="shared" ca="1" si="112"/>
        <v>#NAME?</v>
      </c>
      <c r="CU32" s="42" t="e">
        <f t="shared" ca="1" si="112"/>
        <v>#NAME?</v>
      </c>
      <c r="CV32" s="42" t="e">
        <f t="shared" ca="1" si="112"/>
        <v>#NAME?</v>
      </c>
      <c r="CW32" s="42" t="e">
        <f t="shared" ca="1" si="112"/>
        <v>#NAME?</v>
      </c>
      <c r="CX32" s="42" t="e">
        <f t="shared" ca="1" si="112"/>
        <v>#NAME?</v>
      </c>
      <c r="CY32" s="42" t="e">
        <f t="shared" ca="1" si="112"/>
        <v>#NAME?</v>
      </c>
      <c r="CZ32" s="42" t="e">
        <f t="shared" ca="1" si="112"/>
        <v>#NAME?</v>
      </c>
      <c r="DA32" s="42" t="e">
        <f t="shared" ca="1" si="112"/>
        <v>#NAME?</v>
      </c>
      <c r="DB32" s="42" t="e">
        <f t="shared" ca="1" si="112"/>
        <v>#NAME?</v>
      </c>
      <c r="DE32" s="125"/>
      <c r="DF32" s="41">
        <v>0.70655934096996953</v>
      </c>
    </row>
    <row r="33" spans="1:110" s="39" customFormat="1" x14ac:dyDescent="0.2">
      <c r="A33" s="39" t="s">
        <v>447</v>
      </c>
      <c r="C33" s="39" t="e">
        <f t="shared" ref="C33:AE33" ca="1" si="113">+IF(B31&lt;0,1-C31/B31,C31/B31-1)</f>
        <v>#NAME?</v>
      </c>
      <c r="D33" s="39" t="e">
        <f t="shared" ca="1" si="113"/>
        <v>#NAME?</v>
      </c>
      <c r="E33" s="39" t="e">
        <f t="shared" ca="1" si="113"/>
        <v>#NAME?</v>
      </c>
      <c r="F33" s="39" t="e">
        <f t="shared" ca="1" si="113"/>
        <v>#NAME?</v>
      </c>
      <c r="G33" s="39" t="e">
        <f t="shared" ca="1" si="113"/>
        <v>#NAME?</v>
      </c>
      <c r="H33" s="39" t="e">
        <f t="shared" ca="1" si="113"/>
        <v>#NAME?</v>
      </c>
      <c r="I33" s="39" t="e">
        <f t="shared" ca="1" si="113"/>
        <v>#NAME?</v>
      </c>
      <c r="J33" s="39" t="e">
        <f t="shared" ca="1" si="113"/>
        <v>#NAME?</v>
      </c>
      <c r="K33" s="39" t="e">
        <f t="shared" ca="1" si="113"/>
        <v>#NAME?</v>
      </c>
      <c r="L33" s="39" t="e">
        <f t="shared" ca="1" si="113"/>
        <v>#NAME?</v>
      </c>
      <c r="M33" s="39" t="e">
        <f t="shared" ca="1" si="113"/>
        <v>#NAME?</v>
      </c>
      <c r="N33" s="39" t="e">
        <f t="shared" ca="1" si="113"/>
        <v>#NAME?</v>
      </c>
      <c r="O33" s="39" t="e">
        <f t="shared" ca="1" si="113"/>
        <v>#NAME?</v>
      </c>
      <c r="P33" s="39" t="e">
        <f t="shared" ca="1" si="113"/>
        <v>#NAME?</v>
      </c>
      <c r="Q33" s="39" t="e">
        <f t="shared" ca="1" si="113"/>
        <v>#NAME?</v>
      </c>
      <c r="R33" s="39" t="e">
        <f t="shared" ca="1" si="113"/>
        <v>#NAME?</v>
      </c>
      <c r="S33" s="39" t="e">
        <f t="shared" ca="1" si="113"/>
        <v>#NAME?</v>
      </c>
      <c r="T33" s="39" t="e">
        <f t="shared" ca="1" si="113"/>
        <v>#NAME?</v>
      </c>
      <c r="U33" s="39" t="e">
        <f t="shared" ca="1" si="113"/>
        <v>#NAME?</v>
      </c>
      <c r="V33" s="39" t="e">
        <f t="shared" ca="1" si="113"/>
        <v>#NAME?</v>
      </c>
      <c r="W33" s="39" t="e">
        <f t="shared" ca="1" si="113"/>
        <v>#NAME?</v>
      </c>
      <c r="X33" s="39" t="e">
        <f t="shared" ca="1" si="113"/>
        <v>#NAME?</v>
      </c>
      <c r="Y33" s="39" t="e">
        <f t="shared" ca="1" si="113"/>
        <v>#NAME?</v>
      </c>
      <c r="Z33" s="39" t="e">
        <f t="shared" ca="1" si="113"/>
        <v>#NAME?</v>
      </c>
      <c r="AA33" s="39" t="e">
        <f t="shared" ca="1" si="113"/>
        <v>#NAME?</v>
      </c>
      <c r="AB33" s="40" t="e">
        <f t="shared" ca="1" si="113"/>
        <v>#NAME?</v>
      </c>
      <c r="AC33" s="40" t="e">
        <f t="shared" ca="1" si="113"/>
        <v>#NAME?</v>
      </c>
      <c r="AD33" s="40" t="e">
        <f t="shared" ca="1" si="113"/>
        <v>#NAME?</v>
      </c>
      <c r="AE33" s="40" t="e">
        <f t="shared" ca="1" si="113"/>
        <v>#NAME?</v>
      </c>
      <c r="AM33" s="39" t="e">
        <f ca="1">+IF(AI31&lt;0,1-AM31/AI31,AM31/AI31-1)</f>
        <v>#NAME?</v>
      </c>
      <c r="AN33" s="39" t="e">
        <f t="shared" ref="AN33" ca="1" si="114">+IF(AJ31&lt;0,1-AN31/AJ31,AN31/AJ31-1)</f>
        <v>#NAME?</v>
      </c>
      <c r="AO33" s="39" t="e">
        <f t="shared" ref="AO33" ca="1" si="115">+IF(AK31&lt;0,1-AO31/AK31,AO31/AK31-1)</f>
        <v>#NAME?</v>
      </c>
      <c r="AP33" s="39" t="e">
        <f t="shared" ref="AP33" ca="1" si="116">+IF(AL31&lt;0,1-AP31/AL31,AP31/AL31-1)</f>
        <v>#NAME?</v>
      </c>
      <c r="AQ33" s="39" t="e">
        <f t="shared" ref="AQ33" ca="1" si="117">+IF(AM31&lt;0,1-AQ31/AM31,AQ31/AM31-1)</f>
        <v>#NAME?</v>
      </c>
      <c r="AR33" s="39" t="e">
        <f t="shared" ref="AR33" ca="1" si="118">+IF(AN31&lt;0,1-AR31/AN31,AR31/AN31-1)</f>
        <v>#NAME?</v>
      </c>
      <c r="AS33" s="39" t="e">
        <f t="shared" ref="AS33" ca="1" si="119">+IF(AO31&lt;0,1-AS31/AO31,AS31/AO31-1)</f>
        <v>#NAME?</v>
      </c>
      <c r="AT33" s="39" t="e">
        <f t="shared" ref="AT33" ca="1" si="120">+IF(AP31&lt;0,1-AT31/AP31,AT31/AP31-1)</f>
        <v>#NAME?</v>
      </c>
      <c r="AU33" s="39" t="e">
        <f t="shared" ref="AU33" ca="1" si="121">+IF(AQ31&lt;0,1-AU31/AQ31,AU31/AQ31-1)</f>
        <v>#NAME?</v>
      </c>
      <c r="AV33" s="39" t="e">
        <f t="shared" ref="AV33" ca="1" si="122">+IF(AR31&lt;0,1-AV31/AR31,AV31/AR31-1)</f>
        <v>#NAME?</v>
      </c>
      <c r="AW33" s="39" t="e">
        <f t="shared" ref="AW33" ca="1" si="123">+IF(AS31&lt;0,1-AW31/AS31,AW31/AS31-1)</f>
        <v>#NAME?</v>
      </c>
      <c r="AX33" s="39" t="e">
        <f t="shared" ref="AX33" ca="1" si="124">+IF(AT31&lt;0,1-AX31/AT31,AX31/AT31-1)</f>
        <v>#NAME?</v>
      </c>
      <c r="AY33" s="39" t="e">
        <f t="shared" ref="AY33" ca="1" si="125">+IF(AU31&lt;0,1-AY31/AU31,AY31/AU31-1)</f>
        <v>#NAME?</v>
      </c>
      <c r="AZ33" s="39" t="e">
        <f t="shared" ref="AZ33" ca="1" si="126">+IF(AV31&lt;0,1-AZ31/AV31,AZ31/AV31-1)</f>
        <v>#NAME?</v>
      </c>
      <c r="BA33" s="39" t="e">
        <f t="shared" ref="BA33" ca="1" si="127">+IF(AW31&lt;0,1-BA31/AW31,BA31/AW31-1)</f>
        <v>#NAME?</v>
      </c>
      <c r="BB33" s="39" t="e">
        <f t="shared" ref="BB33" ca="1" si="128">+IF(AX31&lt;0,1-BB31/AX31,BB31/AX31-1)</f>
        <v>#NAME?</v>
      </c>
      <c r="BC33" s="39" t="e">
        <f t="shared" ref="BC33" ca="1" si="129">+IF(AY31&lt;0,1-BC31/AY31,BC31/AY31-1)</f>
        <v>#NAME?</v>
      </c>
      <c r="BD33" s="39" t="e">
        <f t="shared" ref="BD33" ca="1" si="130">+IF(AZ31&lt;0,1-BD31/AZ31,BD31/AZ31-1)</f>
        <v>#NAME?</v>
      </c>
      <c r="BE33" s="39" t="e">
        <f t="shared" ref="BE33" ca="1" si="131">+IF(BA31&lt;0,1-BE31/BA31,BE31/BA31-1)</f>
        <v>#NAME?</v>
      </c>
      <c r="BF33" s="39" t="e">
        <f t="shared" ref="BF33" ca="1" si="132">+IF(BB31&lt;0,1-BF31/BB31,BF31/BB31-1)</f>
        <v>#NAME?</v>
      </c>
      <c r="BG33" s="39" t="e">
        <f t="shared" ref="BG33" ca="1" si="133">+IF(BC31&lt;0,1-BG31/BC31,BG31/BC31-1)</f>
        <v>#NAME?</v>
      </c>
      <c r="BH33" s="39" t="e">
        <f t="shared" ref="BH33" ca="1" si="134">+IF(BD31&lt;0,1-BH31/BD31,BH31/BD31-1)</f>
        <v>#NAME?</v>
      </c>
      <c r="BI33" s="39" t="e">
        <f t="shared" ref="BI33" ca="1" si="135">+IF(BE31&lt;0,1-BI31/BE31,BI31/BE31-1)</f>
        <v>#NAME?</v>
      </c>
      <c r="BJ33" s="39" t="e">
        <f t="shared" ref="BJ33" ca="1" si="136">+IF(BF31&lt;0,1-BJ31/BF31,BJ31/BF31-1)</f>
        <v>#NAME?</v>
      </c>
      <c r="BK33" s="39" t="e">
        <f t="shared" ref="BK33" ca="1" si="137">+IF(BG31&lt;0,1-BK31/BG31,BK31/BG31-1)</f>
        <v>#NAME?</v>
      </c>
      <c r="BL33" s="39" t="e">
        <f t="shared" ref="BL33" ca="1" si="138">+IF(BH31&lt;0,1-BL31/BH31,BL31/BH31-1)</f>
        <v>#NAME?</v>
      </c>
      <c r="BM33" s="39" t="e">
        <f t="shared" ref="BM33" ca="1" si="139">+IF(BI31&lt;0,1-BM31/BI31,BM31/BI31-1)</f>
        <v>#NAME?</v>
      </c>
      <c r="BN33" s="39" t="e">
        <f t="shared" ref="BN33" ca="1" si="140">+IF(BJ31&lt;0,1-BN31/BJ31,BN31/BJ31-1)</f>
        <v>#NAME?</v>
      </c>
      <c r="BO33" s="39" t="e">
        <f t="shared" ref="BO33" ca="1" si="141">+IF(BK31&lt;0,1-BO31/BK31,BO31/BK31-1)</f>
        <v>#NAME?</v>
      </c>
      <c r="BP33" s="39" t="e">
        <f t="shared" ref="BP33" ca="1" si="142">+IF(BL31&lt;0,1-BP31/BL31,BP31/BL31-1)</f>
        <v>#NAME?</v>
      </c>
      <c r="BQ33" s="39" t="e">
        <f t="shared" ref="BQ33" ca="1" si="143">+IF(BM31&lt;0,1-BQ31/BM31,BQ31/BM31-1)</f>
        <v>#NAME?</v>
      </c>
      <c r="BR33" s="39" t="e">
        <f t="shared" ref="BR33" ca="1" si="144">+IF(BN31&lt;0,1-BR31/BN31,BR31/BN31-1)</f>
        <v>#NAME?</v>
      </c>
      <c r="BS33" s="39" t="e">
        <f t="shared" ref="BS33" ca="1" si="145">+IF(BO31&lt;0,1-BS31/BO31,BS31/BO31-1)</f>
        <v>#NAME?</v>
      </c>
      <c r="BT33" s="39" t="e">
        <f t="shared" ref="BT33" ca="1" si="146">+IF(BP31&lt;0,1-BT31/BP31,BT31/BP31-1)</f>
        <v>#NAME?</v>
      </c>
      <c r="BU33" s="39" t="e">
        <f t="shared" ref="BU33" ca="1" si="147">+IF(BQ31&lt;0,1-BU31/BQ31,BU31/BQ31-1)</f>
        <v>#NAME?</v>
      </c>
      <c r="BV33" s="39" t="e">
        <f t="shared" ref="BV33" ca="1" si="148">+IF(BR31&lt;0,1-BV31/BR31,BV31/BR31-1)</f>
        <v>#NAME?</v>
      </c>
      <c r="BW33" s="39" t="e">
        <f t="shared" ref="BW33" ca="1" si="149">+IF(BS31&lt;0,1-BW31/BS31,BW31/BS31-1)</f>
        <v>#NAME?</v>
      </c>
      <c r="BX33" s="39" t="e">
        <f t="shared" ref="BX33" ca="1" si="150">+IF(BT31&lt;0,1-BX31/BT31,BX31/BT31-1)</f>
        <v>#NAME?</v>
      </c>
      <c r="BY33" s="39" t="e">
        <f t="shared" ref="BY33" ca="1" si="151">+IF(BU31&lt;0,1-BY31/BU31,BY31/BU31-1)</f>
        <v>#NAME?</v>
      </c>
      <c r="BZ33" s="39" t="e">
        <f t="shared" ref="BZ33" ca="1" si="152">+IF(BV31&lt;0,1-BZ31/BV31,BZ31/BV31-1)</f>
        <v>#NAME?</v>
      </c>
      <c r="CA33" s="39" t="e">
        <f t="shared" ref="CA33" ca="1" si="153">+IF(BW31&lt;0,1-CA31/BW31,CA31/BW31-1)</f>
        <v>#NAME?</v>
      </c>
      <c r="CB33" s="39" t="e">
        <f t="shared" ref="CB33" ca="1" si="154">+IF(BX31&lt;0,1-CB31/BX31,CB31/BX31-1)</f>
        <v>#NAME?</v>
      </c>
      <c r="CC33" s="39" t="e">
        <f t="shared" ref="CC33" ca="1" si="155">+IF(BY31&lt;0,1-CC31/BY31,CC31/BY31-1)</f>
        <v>#NAME?</v>
      </c>
      <c r="CD33" s="39" t="e">
        <f t="shared" ref="CD33" ca="1" si="156">+IF(BZ31&lt;0,1-CD31/BZ31,CD31/BZ31-1)</f>
        <v>#NAME?</v>
      </c>
      <c r="CE33" s="39" t="e">
        <f t="shared" ref="CE33" ca="1" si="157">+IF(CA31&lt;0,1-CE31/CA31,CE31/CA31-1)</f>
        <v>#NAME?</v>
      </c>
      <c r="CF33" s="39" t="e">
        <f t="shared" ref="CF33" ca="1" si="158">+IF(CB31&lt;0,1-CF31/CB31,CF31/CB31-1)</f>
        <v>#NAME?</v>
      </c>
      <c r="CG33" s="39" t="e">
        <f t="shared" ref="CG33" ca="1" si="159">+IF(CC31&lt;0,1-CG31/CC31,CG31/CC31-1)</f>
        <v>#NAME?</v>
      </c>
      <c r="CH33" s="39" t="e">
        <f t="shared" ref="CH33:CL33" ca="1" si="160">+IF(CD31&lt;0,1-CH31/CD31,CH31/CD31-1)</f>
        <v>#NAME?</v>
      </c>
      <c r="CI33" s="39" t="e">
        <f t="shared" ca="1" si="160"/>
        <v>#NAME?</v>
      </c>
      <c r="CJ33" s="39" t="e">
        <f t="shared" ca="1" si="160"/>
        <v>#NAME?</v>
      </c>
      <c r="CK33" s="39" t="e">
        <f t="shared" ca="1" si="160"/>
        <v>#NAME?</v>
      </c>
      <c r="CL33" s="39" t="e">
        <f t="shared" ca="1" si="160"/>
        <v>#NAME?</v>
      </c>
      <c r="CM33" s="40" t="e">
        <f t="shared" ref="CM33" ca="1" si="161">+CM31/CI31-1</f>
        <v>#NAME?</v>
      </c>
      <c r="CN33" s="40" t="e">
        <f t="shared" ref="CN33" ca="1" si="162">+CN31/CJ31-1</f>
        <v>#NAME?</v>
      </c>
      <c r="CO33" s="40" t="e">
        <f t="shared" ref="CO33" ca="1" si="163">+CO31/CK31-1</f>
        <v>#NAME?</v>
      </c>
      <c r="CP33" s="40" t="e">
        <f t="shared" ref="CP33" ca="1" si="164">+CP31/CL31-1</f>
        <v>#NAME?</v>
      </c>
      <c r="CQ33" s="40" t="e">
        <f t="shared" ref="CQ33" ca="1" si="165">+CQ31/CM31-1</f>
        <v>#NAME?</v>
      </c>
      <c r="CR33" s="40" t="e">
        <f t="shared" ref="CR33" ca="1" si="166">+CR31/CN31-1</f>
        <v>#NAME?</v>
      </c>
      <c r="CS33" s="40" t="e">
        <f t="shared" ref="CS33" ca="1" si="167">+CS31/CO31-1</f>
        <v>#NAME?</v>
      </c>
      <c r="CT33" s="40" t="e">
        <f t="shared" ref="CT33" ca="1" si="168">+CT31/CP31-1</f>
        <v>#NAME?</v>
      </c>
      <c r="CU33" s="40" t="e">
        <f t="shared" ref="CU33" ca="1" si="169">+CU31/CQ31-1</f>
        <v>#NAME?</v>
      </c>
      <c r="CV33" s="40" t="e">
        <f t="shared" ref="CV33" ca="1" si="170">+CV31/CR31-1</f>
        <v>#NAME?</v>
      </c>
      <c r="CW33" s="40" t="e">
        <f t="shared" ref="CW33" ca="1" si="171">+CW31/CS31-1</f>
        <v>#NAME?</v>
      </c>
      <c r="CX33" s="40" t="e">
        <f t="shared" ref="CX33" ca="1" si="172">+CX31/CT31-1</f>
        <v>#NAME?</v>
      </c>
      <c r="CY33" s="40" t="e">
        <f t="shared" ref="CY33" ca="1" si="173">+CY31/CU31-1</f>
        <v>#NAME?</v>
      </c>
      <c r="CZ33" s="40" t="e">
        <f t="shared" ref="CZ33" ca="1" si="174">+CZ31/CV31-1</f>
        <v>#NAME?</v>
      </c>
      <c r="DA33" s="40" t="e">
        <f t="shared" ref="DA33" ca="1" si="175">+DA31/CW31-1</f>
        <v>#NAME?</v>
      </c>
      <c r="DB33" s="40" t="e">
        <f t="shared" ref="DB33" ca="1" si="176">+DB31/CX31-1</f>
        <v>#NAME?</v>
      </c>
      <c r="DE33" s="122"/>
      <c r="DF33" s="39">
        <v>-0.14969545778526516</v>
      </c>
    </row>
    <row r="34" spans="1:110" s="39" customFormat="1" x14ac:dyDescent="0.2">
      <c r="A34" s="39" t="s">
        <v>448</v>
      </c>
      <c r="AB34" s="40"/>
      <c r="AC34" s="40"/>
      <c r="AD34" s="40"/>
      <c r="AE34" s="40"/>
      <c r="AJ34" s="39" t="e">
        <f ca="1">+IF(AI31&lt;0,1-AJ31/AI31,AJ31/AI31-1)</f>
        <v>#NAME?</v>
      </c>
      <c r="AK34" s="39" t="e">
        <f t="shared" ref="AK34" ca="1" si="177">+IF(AJ31&lt;0,1-AK31/AJ31,AK31/AJ31-1)</f>
        <v>#NAME?</v>
      </c>
      <c r="AL34" s="39" t="e">
        <f t="shared" ref="AL34" ca="1" si="178">+IF(AK31&lt;0,1-AL31/AK31,AL31/AK31-1)</f>
        <v>#NAME?</v>
      </c>
      <c r="AM34" s="39" t="e">
        <f t="shared" ref="AM34" ca="1" si="179">+IF(AL31&lt;0,1-AM31/AL31,AM31/AL31-1)</f>
        <v>#NAME?</v>
      </c>
      <c r="AN34" s="39" t="e">
        <f t="shared" ref="AN34" ca="1" si="180">+IF(AM31&lt;0,1-AN31/AM31,AN31/AM31-1)</f>
        <v>#NAME?</v>
      </c>
      <c r="AO34" s="39" t="e">
        <f t="shared" ref="AO34" ca="1" si="181">+IF(AN31&lt;0,1-AO31/AN31,AO31/AN31-1)</f>
        <v>#NAME?</v>
      </c>
      <c r="AP34" s="39" t="e">
        <f t="shared" ref="AP34" ca="1" si="182">+IF(AO31&lt;0,1-AP31/AO31,AP31/AO31-1)</f>
        <v>#NAME?</v>
      </c>
      <c r="AQ34" s="39" t="e">
        <f t="shared" ref="AQ34" ca="1" si="183">+IF(AP31&lt;0,1-AQ31/AP31,AQ31/AP31-1)</f>
        <v>#NAME?</v>
      </c>
      <c r="AR34" s="39" t="e">
        <f t="shared" ref="AR34" ca="1" si="184">+IF(AQ31&lt;0,1-AR31/AQ31,AR31/AQ31-1)</f>
        <v>#NAME?</v>
      </c>
      <c r="AS34" s="39" t="e">
        <f t="shared" ref="AS34" ca="1" si="185">+IF(AR31&lt;0,1-AS31/AR31,AS31/AR31-1)</f>
        <v>#NAME?</v>
      </c>
      <c r="AT34" s="39" t="e">
        <f t="shared" ref="AT34" ca="1" si="186">+IF(AS31&lt;0,1-AT31/AS31,AT31/AS31-1)</f>
        <v>#NAME?</v>
      </c>
      <c r="AU34" s="39" t="e">
        <f t="shared" ref="AU34" ca="1" si="187">+IF(AT31&lt;0,1-AU31/AT31,AU31/AT31-1)</f>
        <v>#NAME?</v>
      </c>
      <c r="AV34" s="39" t="e">
        <f t="shared" ref="AV34" ca="1" si="188">+IF(AU31&lt;0,1-AV31/AU31,AV31/AU31-1)</f>
        <v>#NAME?</v>
      </c>
      <c r="AW34" s="39" t="e">
        <f t="shared" ref="AW34" ca="1" si="189">+IF(AV31&lt;0,1-AW31/AV31,AW31/AV31-1)</f>
        <v>#NAME?</v>
      </c>
      <c r="AX34" s="39" t="e">
        <f t="shared" ref="AX34" ca="1" si="190">+IF(AW31&lt;0,1-AX31/AW31,AX31/AW31-1)</f>
        <v>#NAME?</v>
      </c>
      <c r="AY34" s="39" t="e">
        <f t="shared" ref="AY34" ca="1" si="191">+IF(AX31&lt;0,1-AY31/AX31,AY31/AX31-1)</f>
        <v>#NAME?</v>
      </c>
      <c r="AZ34" s="39" t="e">
        <f t="shared" ref="AZ34" ca="1" si="192">+IF(AY31&lt;0,1-AZ31/AY31,AZ31/AY31-1)</f>
        <v>#NAME?</v>
      </c>
      <c r="BA34" s="39" t="e">
        <f t="shared" ref="BA34" ca="1" si="193">+IF(AZ31&lt;0,1-BA31/AZ31,BA31/AZ31-1)</f>
        <v>#NAME?</v>
      </c>
      <c r="BB34" s="39" t="e">
        <f t="shared" ref="BB34" ca="1" si="194">+IF(BA31&lt;0,1-BB31/BA31,BB31/BA31-1)</f>
        <v>#NAME?</v>
      </c>
      <c r="BC34" s="39" t="e">
        <f t="shared" ref="BC34" ca="1" si="195">+IF(BB31&lt;0,1-BC31/BB31,BC31/BB31-1)</f>
        <v>#NAME?</v>
      </c>
      <c r="BD34" s="39" t="e">
        <f t="shared" ref="BD34" ca="1" si="196">+IF(BC31&lt;0,1-BD31/BC31,BD31/BC31-1)</f>
        <v>#NAME?</v>
      </c>
      <c r="BE34" s="39" t="e">
        <f t="shared" ref="BE34" ca="1" si="197">+IF(BD31&lt;0,1-BE31/BD31,BE31/BD31-1)</f>
        <v>#NAME?</v>
      </c>
      <c r="BF34" s="39" t="e">
        <f t="shared" ref="BF34" ca="1" si="198">+IF(BE31&lt;0,1-BF31/BE31,BF31/BE31-1)</f>
        <v>#NAME?</v>
      </c>
      <c r="BG34" s="39" t="e">
        <f t="shared" ref="BG34" ca="1" si="199">+IF(BF31&lt;0,1-BG31/BF31,BG31/BF31-1)</f>
        <v>#NAME?</v>
      </c>
      <c r="BH34" s="39" t="e">
        <f t="shared" ref="BH34" ca="1" si="200">+IF(BG31&lt;0,1-BH31/BG31,BH31/BG31-1)</f>
        <v>#NAME?</v>
      </c>
      <c r="BI34" s="39" t="e">
        <f t="shared" ref="BI34" ca="1" si="201">+IF(BH31&lt;0,1-BI31/BH31,BI31/BH31-1)</f>
        <v>#NAME?</v>
      </c>
      <c r="BJ34" s="39" t="e">
        <f t="shared" ref="BJ34" ca="1" si="202">+IF(BI31&lt;0,1-BJ31/BI31,BJ31/BI31-1)</f>
        <v>#NAME?</v>
      </c>
      <c r="BK34" s="39" t="e">
        <f t="shared" ref="BK34" ca="1" si="203">+IF(BJ31&lt;0,1-BK31/BJ31,BK31/BJ31-1)</f>
        <v>#NAME?</v>
      </c>
      <c r="BL34" s="39" t="e">
        <f t="shared" ref="BL34" ca="1" si="204">+IF(BK31&lt;0,1-BL31/BK31,BL31/BK31-1)</f>
        <v>#NAME?</v>
      </c>
      <c r="BM34" s="39" t="e">
        <f t="shared" ref="BM34" ca="1" si="205">+IF(BL31&lt;0,1-BM31/BL31,BM31/BL31-1)</f>
        <v>#NAME?</v>
      </c>
      <c r="BN34" s="39" t="e">
        <f t="shared" ref="BN34" ca="1" si="206">+IF(BM31&lt;0,1-BN31/BM31,BN31/BM31-1)</f>
        <v>#NAME?</v>
      </c>
      <c r="BO34" s="39" t="e">
        <f t="shared" ref="BO34" ca="1" si="207">+IF(BN31&lt;0,1-BO31/BN31,BO31/BN31-1)</f>
        <v>#NAME?</v>
      </c>
      <c r="BP34" s="39" t="e">
        <f t="shared" ref="BP34" ca="1" si="208">+IF(BO31&lt;0,1-BP31/BO31,BP31/BO31-1)</f>
        <v>#NAME?</v>
      </c>
      <c r="BQ34" s="39" t="e">
        <f t="shared" ref="BQ34" ca="1" si="209">+IF(BP31&lt;0,1-BQ31/BP31,BQ31/BP31-1)</f>
        <v>#NAME?</v>
      </c>
      <c r="BR34" s="39" t="e">
        <f t="shared" ref="BR34" ca="1" si="210">+IF(BQ31&lt;0,1-BR31/BQ31,BR31/BQ31-1)</f>
        <v>#NAME?</v>
      </c>
      <c r="BS34" s="39" t="e">
        <f t="shared" ref="BS34" ca="1" si="211">+IF(BR31&lt;0,1-BS31/BR31,BS31/BR31-1)</f>
        <v>#NAME?</v>
      </c>
      <c r="BT34" s="39" t="e">
        <f t="shared" ref="BT34" ca="1" si="212">+IF(BS31&lt;0,1-BT31/BS31,BT31/BS31-1)</f>
        <v>#NAME?</v>
      </c>
      <c r="BU34" s="39" t="e">
        <f t="shared" ref="BU34" ca="1" si="213">+IF(BT31&lt;0,1-BU31/BT31,BU31/BT31-1)</f>
        <v>#NAME?</v>
      </c>
      <c r="BV34" s="39" t="e">
        <f t="shared" ref="BV34" ca="1" si="214">+IF(BU31&lt;0,1-BV31/BU31,BV31/BU31-1)</f>
        <v>#NAME?</v>
      </c>
      <c r="BW34" s="39" t="e">
        <f t="shared" ref="BW34" ca="1" si="215">+IF(BV31&lt;0,1-BW31/BV31,BW31/BV31-1)</f>
        <v>#NAME?</v>
      </c>
      <c r="BX34" s="39" t="e">
        <f t="shared" ref="BX34" ca="1" si="216">+IF(BW31&lt;0,1-BX31/BW31,BX31/BW31-1)</f>
        <v>#NAME?</v>
      </c>
      <c r="BY34" s="39" t="e">
        <f t="shared" ref="BY34" ca="1" si="217">+IF(BX31&lt;0,1-BY31/BX31,BY31/BX31-1)</f>
        <v>#NAME?</v>
      </c>
      <c r="BZ34" s="39" t="e">
        <f t="shared" ref="BZ34" ca="1" si="218">+IF(BY31&lt;0,1-BZ31/BY31,BZ31/BY31-1)</f>
        <v>#NAME?</v>
      </c>
      <c r="CA34" s="39" t="e">
        <f t="shared" ref="CA34" ca="1" si="219">+IF(BZ31&lt;0,1-CA31/BZ31,CA31/BZ31-1)</f>
        <v>#NAME?</v>
      </c>
      <c r="CB34" s="39" t="e">
        <f t="shared" ref="CB34" ca="1" si="220">+IF(CA31&lt;0,1-CB31/CA31,CB31/CA31-1)</f>
        <v>#NAME?</v>
      </c>
      <c r="CC34" s="39" t="e">
        <f t="shared" ref="CC34" ca="1" si="221">+IF(CB31&lt;0,1-CC31/CB31,CC31/CB31-1)</f>
        <v>#NAME?</v>
      </c>
      <c r="CD34" s="39" t="e">
        <f t="shared" ref="CD34" ca="1" si="222">+IF(CC31&lt;0,1-CD31/CC31,CD31/CC31-1)</f>
        <v>#NAME?</v>
      </c>
      <c r="CE34" s="39" t="e">
        <f t="shared" ref="CE34" ca="1" si="223">+IF(CD31&lt;0,1-CE31/CD31,CE31/CD31-1)</f>
        <v>#NAME?</v>
      </c>
      <c r="CF34" s="39" t="e">
        <f t="shared" ref="CF34" ca="1" si="224">+IF(CE31&lt;0,1-CF31/CE31,CF31/CE31-1)</f>
        <v>#NAME?</v>
      </c>
      <c r="CG34" s="39" t="e">
        <f t="shared" ref="CG34" ca="1" si="225">+IF(CF31&lt;0,1-CG31/CF31,CG31/CF31-1)</f>
        <v>#NAME?</v>
      </c>
      <c r="CH34" s="39" t="e">
        <f t="shared" ref="CH34:CL34" ca="1" si="226">+IF(CG31&lt;0,1-CH31/CG31,CH31/CG31-1)</f>
        <v>#NAME?</v>
      </c>
      <c r="CI34" s="39" t="e">
        <f t="shared" ca="1" si="226"/>
        <v>#NAME?</v>
      </c>
      <c r="CJ34" s="39" t="e">
        <f t="shared" ca="1" si="226"/>
        <v>#NAME?</v>
      </c>
      <c r="CK34" s="39" t="e">
        <f t="shared" ca="1" si="226"/>
        <v>#NAME?</v>
      </c>
      <c r="CL34" s="39" t="e">
        <f t="shared" ca="1" si="226"/>
        <v>#NAME?</v>
      </c>
      <c r="CM34" s="40" t="e">
        <f t="shared" ref="CM34" ca="1" si="227">+CM31/CL31-1</f>
        <v>#NAME?</v>
      </c>
      <c r="CN34" s="40" t="e">
        <f t="shared" ref="CN34" ca="1" si="228">+CN31/CM31-1</f>
        <v>#NAME?</v>
      </c>
      <c r="CO34" s="40" t="e">
        <f t="shared" ref="CO34" ca="1" si="229">+CO31/CN31-1</f>
        <v>#NAME?</v>
      </c>
      <c r="CP34" s="40" t="e">
        <f t="shared" ref="CP34" ca="1" si="230">+CP31/CO31-1</f>
        <v>#NAME?</v>
      </c>
      <c r="CQ34" s="40" t="e">
        <f t="shared" ref="CQ34" ca="1" si="231">+CQ31/CP31-1</f>
        <v>#NAME?</v>
      </c>
      <c r="CR34" s="40" t="e">
        <f t="shared" ref="CR34" ca="1" si="232">+CR31/CQ31-1</f>
        <v>#NAME?</v>
      </c>
      <c r="CS34" s="40" t="e">
        <f t="shared" ref="CS34" ca="1" si="233">+CS31/CR31-1</f>
        <v>#NAME?</v>
      </c>
      <c r="CT34" s="40" t="e">
        <f t="shared" ref="CT34" ca="1" si="234">+CT31/CS31-1</f>
        <v>#NAME?</v>
      </c>
      <c r="CU34" s="40" t="e">
        <f t="shared" ref="CU34" ca="1" si="235">+CU31/CT31-1</f>
        <v>#NAME?</v>
      </c>
      <c r="CV34" s="40" t="e">
        <f t="shared" ref="CV34" ca="1" si="236">+CV31/CU31-1</f>
        <v>#NAME?</v>
      </c>
      <c r="CW34" s="40" t="e">
        <f t="shared" ref="CW34" ca="1" si="237">+CW31/CV31-1</f>
        <v>#NAME?</v>
      </c>
      <c r="CX34" s="40" t="e">
        <f t="shared" ref="CX34" ca="1" si="238">+CX31/CW31-1</f>
        <v>#NAME?</v>
      </c>
      <c r="CY34" s="40" t="e">
        <f t="shared" ref="CY34" ca="1" si="239">+CY31/CX31-1</f>
        <v>#NAME?</v>
      </c>
      <c r="CZ34" s="40" t="e">
        <f t="shared" ref="CZ34" ca="1" si="240">+CZ31/CY31-1</f>
        <v>#NAME?</v>
      </c>
      <c r="DA34" s="40" t="e">
        <f t="shared" ref="DA34" ca="1" si="241">+DA31/CZ31-1</f>
        <v>#NAME?</v>
      </c>
      <c r="DB34" s="40" t="e">
        <f t="shared" ref="DB34" ca="1" si="242">+DB31/DA31-1</f>
        <v>#NAME?</v>
      </c>
      <c r="DE34" s="122"/>
    </row>
    <row r="35" spans="1:110" s="23" customFormat="1" outlineLevel="1" x14ac:dyDescent="0.2">
      <c r="A35" s="23" t="s">
        <v>8</v>
      </c>
      <c r="B35" s="23" t="e">
        <f ca="1">'Annual Raw'!C14</f>
        <v>#NAME?</v>
      </c>
      <c r="C35" s="23" t="e">
        <f ca="1">'Annual Raw'!D14</f>
        <v>#NAME?</v>
      </c>
      <c r="D35" s="23" t="e">
        <f ca="1">'Annual Raw'!E14</f>
        <v>#NAME?</v>
      </c>
      <c r="E35" s="23" t="e">
        <f ca="1">'Annual Raw'!F14</f>
        <v>#NAME?</v>
      </c>
      <c r="F35" s="23" t="e">
        <f ca="1">'Annual Raw'!G14</f>
        <v>#NAME?</v>
      </c>
      <c r="G35" s="23" t="e">
        <f ca="1">'Annual Raw'!H14</f>
        <v>#NAME?</v>
      </c>
      <c r="H35" s="23" t="e">
        <f ca="1">'Annual Raw'!I14</f>
        <v>#NAME?</v>
      </c>
      <c r="I35" s="23" t="e">
        <f ca="1">'Annual Raw'!J14</f>
        <v>#NAME?</v>
      </c>
      <c r="J35" s="23" t="e">
        <f ca="1">'Annual Raw'!K14</f>
        <v>#NAME?</v>
      </c>
      <c r="K35" s="23" t="e">
        <f ca="1">'Annual Raw'!L14</f>
        <v>#NAME?</v>
      </c>
      <c r="L35" s="23" t="e">
        <f ca="1">'Annual Raw'!M14</f>
        <v>#NAME?</v>
      </c>
      <c r="M35" s="23" t="e">
        <f ca="1">'Annual Raw'!N14</f>
        <v>#NAME?</v>
      </c>
      <c r="N35" s="23" t="e">
        <f ca="1">'Annual Raw'!O14</f>
        <v>#NAME?</v>
      </c>
      <c r="O35" s="23" t="e">
        <f ca="1">'Annual Raw'!P14</f>
        <v>#NAME?</v>
      </c>
      <c r="P35" s="23" t="e">
        <f ca="1">'Annual Raw'!Q14</f>
        <v>#NAME?</v>
      </c>
      <c r="Q35" s="23" t="e">
        <f ca="1">'Annual Raw'!R14</f>
        <v>#NAME?</v>
      </c>
      <c r="R35" s="23" t="e">
        <f ca="1">'Annual Raw'!S14</f>
        <v>#NAME?</v>
      </c>
      <c r="S35" s="23" t="e">
        <f ca="1">'Annual Raw'!T14</f>
        <v>#NAME?</v>
      </c>
      <c r="T35" s="23" t="e">
        <f ca="1">'Annual Raw'!U14</f>
        <v>#NAME?</v>
      </c>
      <c r="U35" s="23" t="e">
        <f ca="1">'Annual Raw'!V14</f>
        <v>#NAME?</v>
      </c>
      <c r="V35" s="23" t="e">
        <f ca="1">'Annual Raw'!W14</f>
        <v>#NAME?</v>
      </c>
      <c r="W35" s="23" t="e">
        <f ca="1">'Annual Raw'!X14</f>
        <v>#NAME?</v>
      </c>
      <c r="X35" s="23" t="e">
        <f ca="1">'Annual Raw'!Y14</f>
        <v>#NAME?</v>
      </c>
      <c r="Y35" s="23" t="e">
        <f ca="1">'Annual Raw'!Z14</f>
        <v>#NAME?</v>
      </c>
      <c r="Z35" s="23" t="e">
        <f ca="1">'Annual Raw'!AA14</f>
        <v>#NAME?</v>
      </c>
      <c r="AA35" s="23" t="e">
        <f ca="1">'Annual Raw'!AB14</f>
        <v>#NAME?</v>
      </c>
      <c r="AB35" s="76" t="e">
        <f t="shared" ref="AB35:AB40" ca="1" si="243">+SUM(CM35:CP35)</f>
        <v>#NAME?</v>
      </c>
      <c r="AC35" s="76" t="e">
        <f t="shared" ref="AC35:AC40" ca="1" si="244">+SUM(CQ35:CT35)</f>
        <v>#NAME?</v>
      </c>
      <c r="AD35" s="76" t="e">
        <f t="shared" ref="AD35:AD40" ca="1" si="245">+SUM(CU35:CX35)</f>
        <v>#NAME?</v>
      </c>
      <c r="AE35" s="76" t="e">
        <f t="shared" ref="AE35:AE40" ca="1" si="246">+SUM(CY35:DB35)</f>
        <v>#NAME?</v>
      </c>
      <c r="AI35" s="23" t="e">
        <f ca="1">'QTR Raw'!C16</f>
        <v>#NAME?</v>
      </c>
      <c r="AJ35" s="23" t="e">
        <f ca="1">'QTR Raw'!D16</f>
        <v>#NAME?</v>
      </c>
      <c r="AK35" s="23" t="e">
        <f ca="1">'QTR Raw'!E16</f>
        <v>#NAME?</v>
      </c>
      <c r="AL35" s="23" t="e">
        <f ca="1">'QTR Raw'!F16</f>
        <v>#NAME?</v>
      </c>
      <c r="AM35" s="23" t="e">
        <f ca="1">'QTR Raw'!G16</f>
        <v>#NAME?</v>
      </c>
      <c r="AN35" s="23" t="e">
        <f ca="1">'QTR Raw'!H16</f>
        <v>#NAME?</v>
      </c>
      <c r="AO35" s="23" t="e">
        <f ca="1">'QTR Raw'!I16</f>
        <v>#NAME?</v>
      </c>
      <c r="AP35" s="23" t="e">
        <f ca="1">'QTR Raw'!J16</f>
        <v>#NAME?</v>
      </c>
      <c r="AQ35" s="23" t="e">
        <f ca="1">'QTR Raw'!K16</f>
        <v>#NAME?</v>
      </c>
      <c r="AR35" s="23" t="e">
        <f ca="1">'QTR Raw'!L16</f>
        <v>#NAME?</v>
      </c>
      <c r="AS35" s="23" t="e">
        <f ca="1">'QTR Raw'!M16</f>
        <v>#NAME?</v>
      </c>
      <c r="AT35" s="23" t="e">
        <f ca="1">'QTR Raw'!N16</f>
        <v>#NAME?</v>
      </c>
      <c r="AU35" s="23" t="e">
        <f ca="1">'QTR Raw'!O16</f>
        <v>#NAME?</v>
      </c>
      <c r="AV35" s="23" t="e">
        <f ca="1">'QTR Raw'!P16</f>
        <v>#NAME?</v>
      </c>
      <c r="AW35" s="23" t="e">
        <f ca="1">'QTR Raw'!Q16</f>
        <v>#NAME?</v>
      </c>
      <c r="AX35" s="23" t="e">
        <f ca="1">'QTR Raw'!R16</f>
        <v>#NAME?</v>
      </c>
      <c r="AY35" s="23" t="e">
        <f ca="1">'QTR Raw'!S16</f>
        <v>#NAME?</v>
      </c>
      <c r="AZ35" s="23" t="e">
        <f ca="1">'QTR Raw'!T16</f>
        <v>#NAME?</v>
      </c>
      <c r="BA35" s="23" t="e">
        <f ca="1">'QTR Raw'!U16</f>
        <v>#NAME?</v>
      </c>
      <c r="BB35" s="23" t="e">
        <f ca="1">'QTR Raw'!V16</f>
        <v>#NAME?</v>
      </c>
      <c r="BC35" s="23" t="e">
        <f ca="1">'QTR Raw'!W16</f>
        <v>#NAME?</v>
      </c>
      <c r="BD35" s="23" t="e">
        <f ca="1">'QTR Raw'!X16</f>
        <v>#NAME?</v>
      </c>
      <c r="BE35" s="23" t="e">
        <f ca="1">'QTR Raw'!Y16</f>
        <v>#NAME?</v>
      </c>
      <c r="BF35" s="23" t="e">
        <f ca="1">'QTR Raw'!Z16</f>
        <v>#NAME?</v>
      </c>
      <c r="BG35" s="23" t="e">
        <f ca="1">'QTR Raw'!AA16</f>
        <v>#NAME?</v>
      </c>
      <c r="BH35" s="23" t="e">
        <f ca="1">'QTR Raw'!AB16</f>
        <v>#NAME?</v>
      </c>
      <c r="BI35" s="23" t="e">
        <f ca="1">'QTR Raw'!AC16</f>
        <v>#NAME?</v>
      </c>
      <c r="BJ35" s="23" t="e">
        <f ca="1">'QTR Raw'!AD16</f>
        <v>#NAME?</v>
      </c>
      <c r="BK35" s="23" t="e">
        <f ca="1">'QTR Raw'!AE16</f>
        <v>#NAME?</v>
      </c>
      <c r="BL35" s="23" t="e">
        <f ca="1">'QTR Raw'!AF16</f>
        <v>#NAME?</v>
      </c>
      <c r="BM35" s="23" t="e">
        <f ca="1">'QTR Raw'!AG16</f>
        <v>#NAME?</v>
      </c>
      <c r="BN35" s="23" t="e">
        <f ca="1">'QTR Raw'!AH16</f>
        <v>#NAME?</v>
      </c>
      <c r="BO35" s="23" t="e">
        <f ca="1">'QTR Raw'!AI16</f>
        <v>#NAME?</v>
      </c>
      <c r="BP35" s="23" t="e">
        <f ca="1">'QTR Raw'!AJ16</f>
        <v>#NAME?</v>
      </c>
      <c r="BQ35" s="23" t="e">
        <f ca="1">'QTR Raw'!AK16</f>
        <v>#NAME?</v>
      </c>
      <c r="BR35" s="23" t="e">
        <f ca="1">'QTR Raw'!AL16</f>
        <v>#NAME?</v>
      </c>
      <c r="BS35" s="23" t="e">
        <f ca="1">'QTR Raw'!AM16</f>
        <v>#NAME?</v>
      </c>
      <c r="BT35" s="23" t="e">
        <f ca="1">'QTR Raw'!AN16</f>
        <v>#NAME?</v>
      </c>
      <c r="BU35" s="23" t="e">
        <f ca="1">'QTR Raw'!AO16</f>
        <v>#NAME?</v>
      </c>
      <c r="BV35" s="23" t="e">
        <f ca="1">'QTR Raw'!AP16</f>
        <v>#NAME?</v>
      </c>
      <c r="BW35" s="23" t="e">
        <f ca="1">'QTR Raw'!AQ16</f>
        <v>#NAME?</v>
      </c>
      <c r="BX35" s="23" t="e">
        <f ca="1">'QTR Raw'!AR16</f>
        <v>#NAME?</v>
      </c>
      <c r="BY35" s="23" t="e">
        <f ca="1">'QTR Raw'!AS16</f>
        <v>#NAME?</v>
      </c>
      <c r="BZ35" s="23" t="e">
        <f ca="1">'QTR Raw'!AT16</f>
        <v>#NAME?</v>
      </c>
      <c r="CA35" s="23" t="e">
        <f ca="1">'QTR Raw'!AU16</f>
        <v>#NAME?</v>
      </c>
      <c r="CB35" s="23" t="e">
        <f ca="1">'QTR Raw'!AV16</f>
        <v>#NAME?</v>
      </c>
      <c r="CC35" s="23" t="e">
        <f ca="1">'QTR Raw'!AW16</f>
        <v>#NAME?</v>
      </c>
      <c r="CD35" s="23" t="e">
        <f ca="1">'QTR Raw'!AX16</f>
        <v>#NAME?</v>
      </c>
      <c r="CE35" s="23" t="e">
        <f ca="1">'QTR Raw'!AY16</f>
        <v>#NAME?</v>
      </c>
      <c r="CF35" s="23" t="e">
        <f ca="1">'QTR Raw'!AZ16</f>
        <v>#NAME?</v>
      </c>
      <c r="CG35" s="23" t="e">
        <f ca="1">'QTR Raw'!BA16</f>
        <v>#NAME?</v>
      </c>
      <c r="CH35" s="23" t="e">
        <f ca="1">'QTR Raw'!BB16</f>
        <v>#NAME?</v>
      </c>
      <c r="CI35" s="23" t="e">
        <f ca="1">'QTR Raw'!BC16</f>
        <v>#NAME?</v>
      </c>
      <c r="CJ35" s="23" t="e">
        <f ca="1">'QTR Raw'!BD16</f>
        <v>#NAME?</v>
      </c>
      <c r="CK35" s="23" t="e">
        <f ca="1">'QTR Raw'!BE16</f>
        <v>#NAME?</v>
      </c>
      <c r="CL35" s="23" t="e">
        <f ca="1">'QTR Raw'!BF16</f>
        <v>#NAME?</v>
      </c>
      <c r="CM35" s="24" t="e">
        <f t="shared" ref="CM35:DB35" ca="1" si="247">CI35*107%</f>
        <v>#NAME?</v>
      </c>
      <c r="CN35" s="24" t="e">
        <f t="shared" ca="1" si="247"/>
        <v>#NAME?</v>
      </c>
      <c r="CO35" s="24" t="e">
        <f t="shared" ca="1" si="247"/>
        <v>#NAME?</v>
      </c>
      <c r="CP35" s="24" t="e">
        <f t="shared" ca="1" si="247"/>
        <v>#NAME?</v>
      </c>
      <c r="CQ35" s="24" t="e">
        <f t="shared" ca="1" si="247"/>
        <v>#NAME?</v>
      </c>
      <c r="CR35" s="24" t="e">
        <f t="shared" ca="1" si="247"/>
        <v>#NAME?</v>
      </c>
      <c r="CS35" s="24" t="e">
        <f t="shared" ca="1" si="247"/>
        <v>#NAME?</v>
      </c>
      <c r="CT35" s="24" t="e">
        <f t="shared" ca="1" si="247"/>
        <v>#NAME?</v>
      </c>
      <c r="CU35" s="24" t="e">
        <f t="shared" ca="1" si="247"/>
        <v>#NAME?</v>
      </c>
      <c r="CV35" s="24" t="e">
        <f t="shared" ca="1" si="247"/>
        <v>#NAME?</v>
      </c>
      <c r="CW35" s="24" t="e">
        <f t="shared" ca="1" si="247"/>
        <v>#NAME?</v>
      </c>
      <c r="CX35" s="24" t="e">
        <f t="shared" ca="1" si="247"/>
        <v>#NAME?</v>
      </c>
      <c r="CY35" s="24" t="e">
        <f t="shared" ca="1" si="247"/>
        <v>#NAME?</v>
      </c>
      <c r="CZ35" s="24" t="e">
        <f t="shared" ca="1" si="247"/>
        <v>#NAME?</v>
      </c>
      <c r="DA35" s="24" t="e">
        <f t="shared" ca="1" si="247"/>
        <v>#NAME?</v>
      </c>
      <c r="DB35" s="24" t="e">
        <f t="shared" ca="1" si="247"/>
        <v>#NAME?</v>
      </c>
      <c r="DE35" s="123"/>
      <c r="DF35" s="23">
        <v>50.745999999999995</v>
      </c>
    </row>
    <row r="36" spans="1:110" s="23" customFormat="1" outlineLevel="1" x14ac:dyDescent="0.2">
      <c r="A36" s="23" t="s">
        <v>10</v>
      </c>
      <c r="B36" s="23" t="e">
        <f ca="1">'Annual Raw'!C17</f>
        <v>#NAME?</v>
      </c>
      <c r="C36" s="23" t="e">
        <f ca="1">'Annual Raw'!D17</f>
        <v>#NAME?</v>
      </c>
      <c r="D36" s="23" t="e">
        <f ca="1">'Annual Raw'!E17</f>
        <v>#NAME?</v>
      </c>
      <c r="E36" s="23" t="e">
        <f ca="1">'Annual Raw'!F17</f>
        <v>#NAME?</v>
      </c>
      <c r="F36" s="23" t="e">
        <f ca="1">'Annual Raw'!G17</f>
        <v>#NAME?</v>
      </c>
      <c r="G36" s="23" t="e">
        <f ca="1">'Annual Raw'!H17</f>
        <v>#NAME?</v>
      </c>
      <c r="H36" s="23" t="e">
        <f ca="1">'Annual Raw'!I17</f>
        <v>#NAME?</v>
      </c>
      <c r="I36" s="23" t="e">
        <f ca="1">'Annual Raw'!J17</f>
        <v>#NAME?</v>
      </c>
      <c r="J36" s="23" t="e">
        <f ca="1">'Annual Raw'!K17</f>
        <v>#NAME?</v>
      </c>
      <c r="K36" s="23" t="e">
        <f ca="1">'Annual Raw'!L17</f>
        <v>#NAME?</v>
      </c>
      <c r="L36" s="23" t="e">
        <f ca="1">'Annual Raw'!M17</f>
        <v>#NAME?</v>
      </c>
      <c r="M36" s="23" t="e">
        <f ca="1">'Annual Raw'!N17</f>
        <v>#NAME?</v>
      </c>
      <c r="N36" s="23" t="e">
        <f ca="1">'Annual Raw'!O17</f>
        <v>#NAME?</v>
      </c>
      <c r="O36" s="23" t="e">
        <f ca="1">'Annual Raw'!P17</f>
        <v>#NAME?</v>
      </c>
      <c r="P36" s="23" t="e">
        <f ca="1">'Annual Raw'!Q17</f>
        <v>#NAME?</v>
      </c>
      <c r="Q36" s="23" t="e">
        <f ca="1">'Annual Raw'!R17</f>
        <v>#NAME?</v>
      </c>
      <c r="R36" s="23" t="e">
        <f ca="1">'Annual Raw'!S17</f>
        <v>#NAME?</v>
      </c>
      <c r="S36" s="23" t="e">
        <f ca="1">'Annual Raw'!T17</f>
        <v>#NAME?</v>
      </c>
      <c r="T36" s="23" t="e">
        <f ca="1">'Annual Raw'!U17</f>
        <v>#NAME?</v>
      </c>
      <c r="U36" s="23" t="e">
        <f ca="1">'Annual Raw'!V17</f>
        <v>#NAME?</v>
      </c>
      <c r="V36" s="23" t="e">
        <f ca="1">'Annual Raw'!W17</f>
        <v>#NAME?</v>
      </c>
      <c r="W36" s="23" t="e">
        <f ca="1">'Annual Raw'!X17</f>
        <v>#NAME?</v>
      </c>
      <c r="X36" s="23" t="e">
        <f ca="1">'Annual Raw'!Y17</f>
        <v>#NAME?</v>
      </c>
      <c r="Y36" s="23" t="e">
        <f ca="1">'Annual Raw'!Z17</f>
        <v>#NAME?</v>
      </c>
      <c r="Z36" s="23" t="e">
        <f ca="1">'Annual Raw'!AA17</f>
        <v>#NAME?</v>
      </c>
      <c r="AA36" s="23" t="e">
        <f ca="1">'Annual Raw'!AB17</f>
        <v>#NAME?</v>
      </c>
      <c r="AB36" s="76">
        <f t="shared" si="243"/>
        <v>0</v>
      </c>
      <c r="AC36" s="76">
        <f t="shared" si="244"/>
        <v>0</v>
      </c>
      <c r="AD36" s="76">
        <f t="shared" si="245"/>
        <v>0</v>
      </c>
      <c r="AE36" s="76">
        <f t="shared" si="246"/>
        <v>0</v>
      </c>
      <c r="AI36" s="23" t="e">
        <f ca="1">'QTR Raw'!C17</f>
        <v>#NAME?</v>
      </c>
      <c r="AJ36" s="23" t="e">
        <f ca="1">'QTR Raw'!D17</f>
        <v>#NAME?</v>
      </c>
      <c r="AK36" s="23" t="e">
        <f ca="1">'QTR Raw'!E17</f>
        <v>#NAME?</v>
      </c>
      <c r="AL36" s="23" t="e">
        <f ca="1">'QTR Raw'!F17</f>
        <v>#NAME?</v>
      </c>
      <c r="AM36" s="23" t="e">
        <f ca="1">'QTR Raw'!G17</f>
        <v>#NAME?</v>
      </c>
      <c r="AN36" s="23" t="e">
        <f ca="1">'QTR Raw'!H17</f>
        <v>#NAME?</v>
      </c>
      <c r="AO36" s="23" t="e">
        <f ca="1">'QTR Raw'!I17</f>
        <v>#NAME?</v>
      </c>
      <c r="AP36" s="23" t="e">
        <f ca="1">'QTR Raw'!J17</f>
        <v>#NAME?</v>
      </c>
      <c r="AQ36" s="23" t="e">
        <f ca="1">'QTR Raw'!K17</f>
        <v>#NAME?</v>
      </c>
      <c r="AR36" s="23" t="e">
        <f ca="1">'QTR Raw'!L17</f>
        <v>#NAME?</v>
      </c>
      <c r="AS36" s="23" t="e">
        <f ca="1">'QTR Raw'!M17</f>
        <v>#NAME?</v>
      </c>
      <c r="AT36" s="23" t="e">
        <f ca="1">'QTR Raw'!N17</f>
        <v>#NAME?</v>
      </c>
      <c r="AU36" s="23" t="e">
        <f ca="1">'QTR Raw'!O17</f>
        <v>#NAME?</v>
      </c>
      <c r="AV36" s="23" t="e">
        <f ca="1">'QTR Raw'!P17</f>
        <v>#NAME?</v>
      </c>
      <c r="AW36" s="23" t="e">
        <f ca="1">'QTR Raw'!Q17</f>
        <v>#NAME?</v>
      </c>
      <c r="AX36" s="23" t="e">
        <f ca="1">'QTR Raw'!R17</f>
        <v>#NAME?</v>
      </c>
      <c r="AY36" s="23" t="e">
        <f ca="1">'QTR Raw'!S17</f>
        <v>#NAME?</v>
      </c>
      <c r="AZ36" s="23" t="e">
        <f ca="1">'QTR Raw'!T17</f>
        <v>#NAME?</v>
      </c>
      <c r="BA36" s="23" t="e">
        <f ca="1">'QTR Raw'!U17</f>
        <v>#NAME?</v>
      </c>
      <c r="BB36" s="23" t="e">
        <f ca="1">'QTR Raw'!V17</f>
        <v>#NAME?</v>
      </c>
      <c r="BC36" s="23" t="e">
        <f ca="1">'QTR Raw'!W17</f>
        <v>#NAME?</v>
      </c>
      <c r="BD36" s="23" t="e">
        <f ca="1">'QTR Raw'!X17</f>
        <v>#NAME?</v>
      </c>
      <c r="BE36" s="23" t="e">
        <f ca="1">'QTR Raw'!Y17</f>
        <v>#NAME?</v>
      </c>
      <c r="BF36" s="23" t="e">
        <f ca="1">'QTR Raw'!Z17</f>
        <v>#NAME?</v>
      </c>
      <c r="BG36" s="23" t="e">
        <f ca="1">'QTR Raw'!AA17</f>
        <v>#NAME?</v>
      </c>
      <c r="BH36" s="23" t="e">
        <f ca="1">'QTR Raw'!AB17</f>
        <v>#NAME?</v>
      </c>
      <c r="BI36" s="23" t="e">
        <f ca="1">'QTR Raw'!AC17</f>
        <v>#NAME?</v>
      </c>
      <c r="BJ36" s="23" t="e">
        <f ca="1">'QTR Raw'!AD17</f>
        <v>#NAME?</v>
      </c>
      <c r="BK36" s="23" t="e">
        <f ca="1">'QTR Raw'!AE17</f>
        <v>#NAME?</v>
      </c>
      <c r="BL36" s="23" t="e">
        <f ca="1">'QTR Raw'!AF17</f>
        <v>#NAME?</v>
      </c>
      <c r="BM36" s="23" t="e">
        <f ca="1">'QTR Raw'!AG17</f>
        <v>#NAME?</v>
      </c>
      <c r="BN36" s="23" t="e">
        <f ca="1">'QTR Raw'!AH17</f>
        <v>#NAME?</v>
      </c>
      <c r="BO36" s="23" t="e">
        <f ca="1">'QTR Raw'!AI17</f>
        <v>#NAME?</v>
      </c>
      <c r="BP36" s="23" t="e">
        <f ca="1">'QTR Raw'!AJ17</f>
        <v>#NAME?</v>
      </c>
      <c r="BQ36" s="23" t="e">
        <f ca="1">'QTR Raw'!AK17</f>
        <v>#NAME?</v>
      </c>
      <c r="BR36" s="23" t="e">
        <f ca="1">'QTR Raw'!AL17</f>
        <v>#NAME?</v>
      </c>
      <c r="BS36" s="23" t="e">
        <f ca="1">'QTR Raw'!AM17</f>
        <v>#NAME?</v>
      </c>
      <c r="BT36" s="23" t="e">
        <f ca="1">'QTR Raw'!AN17</f>
        <v>#NAME?</v>
      </c>
      <c r="BU36" s="23" t="e">
        <f ca="1">'QTR Raw'!AO17</f>
        <v>#NAME?</v>
      </c>
      <c r="BV36" s="23" t="e">
        <f ca="1">'QTR Raw'!AP17</f>
        <v>#NAME?</v>
      </c>
      <c r="BW36" s="23" t="e">
        <f ca="1">'QTR Raw'!AQ17</f>
        <v>#NAME?</v>
      </c>
      <c r="BX36" s="23" t="e">
        <f ca="1">'QTR Raw'!AR17</f>
        <v>#NAME?</v>
      </c>
      <c r="BY36" s="23" t="e">
        <f ca="1">'QTR Raw'!AS17</f>
        <v>#NAME?</v>
      </c>
      <c r="BZ36" s="23" t="e">
        <f ca="1">'QTR Raw'!AT17</f>
        <v>#NAME?</v>
      </c>
      <c r="CA36" s="23" t="e">
        <f ca="1">'QTR Raw'!AU17</f>
        <v>#NAME?</v>
      </c>
      <c r="CB36" s="23" t="e">
        <f ca="1">'QTR Raw'!AV17</f>
        <v>#NAME?</v>
      </c>
      <c r="CC36" s="23" t="e">
        <f ca="1">'QTR Raw'!AW17</f>
        <v>#NAME?</v>
      </c>
      <c r="CD36" s="23" t="e">
        <f ca="1">'QTR Raw'!AX17</f>
        <v>#NAME?</v>
      </c>
      <c r="CE36" s="23" t="e">
        <f ca="1">'QTR Raw'!AY17</f>
        <v>#NAME?</v>
      </c>
      <c r="CF36" s="23" t="e">
        <f ca="1">'QTR Raw'!AZ17</f>
        <v>#NAME?</v>
      </c>
      <c r="CG36" s="23" t="e">
        <f ca="1">'QTR Raw'!BA17</f>
        <v>#NAME?</v>
      </c>
      <c r="CH36" s="23" t="e">
        <f ca="1">'QTR Raw'!BB17</f>
        <v>#NAME?</v>
      </c>
      <c r="CI36" s="23" t="e">
        <f ca="1">'QTR Raw'!BC17</f>
        <v>#NAME?</v>
      </c>
      <c r="CJ36" s="23" t="e">
        <f ca="1">'QTR Raw'!BD17</f>
        <v>#NAME?</v>
      </c>
      <c r="CK36" s="23" t="e">
        <f ca="1">'QTR Raw'!BE17</f>
        <v>#NAME?</v>
      </c>
      <c r="CL36" s="23" t="e">
        <f ca="1">'QTR Raw'!BF17</f>
        <v>#NAME?</v>
      </c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/>
      <c r="DB36" s="24"/>
      <c r="DE36" s="123"/>
      <c r="DF36" s="23">
        <v>0</v>
      </c>
    </row>
    <row r="37" spans="1:110" s="23" customFormat="1" outlineLevel="1" x14ac:dyDescent="0.2">
      <c r="A37" s="23" t="s">
        <v>12</v>
      </c>
      <c r="B37" s="23" t="e">
        <f ca="1">'Annual Raw'!C19-'Annual Raw'!C20</f>
        <v>#NAME?</v>
      </c>
      <c r="C37" s="23" t="e">
        <f ca="1">'Annual Raw'!D19-'Annual Raw'!D20</f>
        <v>#NAME?</v>
      </c>
      <c r="D37" s="23" t="e">
        <f ca="1">'Annual Raw'!E19-'Annual Raw'!E20</f>
        <v>#NAME?</v>
      </c>
      <c r="E37" s="23" t="e">
        <f ca="1">'Annual Raw'!F19-'Annual Raw'!F20</f>
        <v>#NAME?</v>
      </c>
      <c r="F37" s="23" t="e">
        <f ca="1">'Annual Raw'!G19-'Annual Raw'!G20</f>
        <v>#NAME?</v>
      </c>
      <c r="G37" s="23" t="e">
        <f ca="1">'Annual Raw'!H19-'Annual Raw'!H20</f>
        <v>#NAME?</v>
      </c>
      <c r="H37" s="23" t="e">
        <f ca="1">'Annual Raw'!I19-'Annual Raw'!I20</f>
        <v>#NAME?</v>
      </c>
      <c r="I37" s="23" t="e">
        <f ca="1">'Annual Raw'!J19-'Annual Raw'!J20</f>
        <v>#NAME?</v>
      </c>
      <c r="J37" s="23" t="e">
        <f ca="1">'Annual Raw'!K19-'Annual Raw'!K20</f>
        <v>#NAME?</v>
      </c>
      <c r="K37" s="23" t="e">
        <f ca="1">'Annual Raw'!L19-'Annual Raw'!L20</f>
        <v>#NAME?</v>
      </c>
      <c r="L37" s="23" t="e">
        <f ca="1">'Annual Raw'!M19-'Annual Raw'!M20</f>
        <v>#NAME?</v>
      </c>
      <c r="M37" s="23" t="e">
        <f ca="1">'Annual Raw'!N19-'Annual Raw'!N20</f>
        <v>#NAME?</v>
      </c>
      <c r="N37" s="23" t="e">
        <f ca="1">'Annual Raw'!O19-'Annual Raw'!O20</f>
        <v>#NAME?</v>
      </c>
      <c r="O37" s="23" t="e">
        <f ca="1">'Annual Raw'!P19-'Annual Raw'!P20</f>
        <v>#NAME?</v>
      </c>
      <c r="P37" s="23" t="e">
        <f ca="1">'Annual Raw'!Q19-'Annual Raw'!Q20</f>
        <v>#NAME?</v>
      </c>
      <c r="Q37" s="23" t="e">
        <f ca="1">'Annual Raw'!R19-'Annual Raw'!R20</f>
        <v>#NAME?</v>
      </c>
      <c r="R37" s="23" t="e">
        <f ca="1">'Annual Raw'!S19-'Annual Raw'!S20</f>
        <v>#NAME?</v>
      </c>
      <c r="S37" s="23" t="e">
        <f ca="1">'Annual Raw'!T19-'Annual Raw'!T20</f>
        <v>#NAME?</v>
      </c>
      <c r="T37" s="23" t="e">
        <f ca="1">'Annual Raw'!U19-'Annual Raw'!U20</f>
        <v>#NAME?</v>
      </c>
      <c r="U37" s="23" t="e">
        <f ca="1">'Annual Raw'!V19-'Annual Raw'!V20</f>
        <v>#NAME?</v>
      </c>
      <c r="V37" s="23" t="e">
        <f ca="1">'Annual Raw'!W19-'Annual Raw'!W20</f>
        <v>#NAME?</v>
      </c>
      <c r="W37" s="23" t="e">
        <f ca="1">'Annual Raw'!X19-'Annual Raw'!X20</f>
        <v>#NAME?</v>
      </c>
      <c r="X37" s="23" t="e">
        <f ca="1">'Annual Raw'!Y19-'Annual Raw'!Y20</f>
        <v>#NAME?</v>
      </c>
      <c r="Y37" s="23" t="e">
        <f ca="1">'Annual Raw'!Z19-'Annual Raw'!Z20</f>
        <v>#NAME?</v>
      </c>
      <c r="Z37" s="23" t="e">
        <f ca="1">'Annual Raw'!AA19-'Annual Raw'!AA20</f>
        <v>#NAME?</v>
      </c>
      <c r="AA37" s="23" t="e">
        <f ca="1">'Annual Raw'!AB19-'Annual Raw'!AB20</f>
        <v>#NAME?</v>
      </c>
      <c r="AB37" s="76">
        <f t="shared" si="243"/>
        <v>0</v>
      </c>
      <c r="AC37" s="76">
        <f t="shared" si="244"/>
        <v>0</v>
      </c>
      <c r="AD37" s="76">
        <f t="shared" si="245"/>
        <v>0</v>
      </c>
      <c r="AE37" s="76">
        <f t="shared" si="246"/>
        <v>0</v>
      </c>
      <c r="AI37" s="23" t="e">
        <f ca="1">+'QTR Raw'!C21</f>
        <v>#NAME?</v>
      </c>
      <c r="AJ37" s="23" t="e">
        <f ca="1">+'QTR Raw'!D21</f>
        <v>#NAME?</v>
      </c>
      <c r="AK37" s="23" t="e">
        <f ca="1">+'QTR Raw'!E21</f>
        <v>#NAME?</v>
      </c>
      <c r="AL37" s="23" t="e">
        <f ca="1">+'QTR Raw'!F21</f>
        <v>#NAME?</v>
      </c>
      <c r="AM37" s="23" t="e">
        <f ca="1">+'QTR Raw'!G21</f>
        <v>#NAME?</v>
      </c>
      <c r="AN37" s="23" t="e">
        <f ca="1">+'QTR Raw'!H21</f>
        <v>#NAME?</v>
      </c>
      <c r="AO37" s="23" t="e">
        <f ca="1">+'QTR Raw'!I21</f>
        <v>#NAME?</v>
      </c>
      <c r="AP37" s="23" t="e">
        <f ca="1">+'QTR Raw'!J21</f>
        <v>#NAME?</v>
      </c>
      <c r="AQ37" s="23" t="e">
        <f ca="1">+'QTR Raw'!K21</f>
        <v>#NAME?</v>
      </c>
      <c r="AR37" s="23" t="e">
        <f ca="1">+'QTR Raw'!L21</f>
        <v>#NAME?</v>
      </c>
      <c r="AS37" s="23" t="e">
        <f ca="1">+'QTR Raw'!M21</f>
        <v>#NAME?</v>
      </c>
      <c r="AT37" s="23" t="e">
        <f ca="1">+'QTR Raw'!N21</f>
        <v>#NAME?</v>
      </c>
      <c r="AU37" s="23" t="e">
        <f ca="1">+'QTR Raw'!O21</f>
        <v>#NAME?</v>
      </c>
      <c r="AV37" s="23" t="e">
        <f ca="1">+'QTR Raw'!P21</f>
        <v>#NAME?</v>
      </c>
      <c r="AW37" s="23" t="e">
        <f ca="1">+'QTR Raw'!Q21</f>
        <v>#NAME?</v>
      </c>
      <c r="AX37" s="23" t="e">
        <f ca="1">+'QTR Raw'!R21</f>
        <v>#NAME?</v>
      </c>
      <c r="AY37" s="23" t="e">
        <f ca="1">+'QTR Raw'!S21</f>
        <v>#NAME?</v>
      </c>
      <c r="AZ37" s="23" t="e">
        <f ca="1">+'QTR Raw'!T21</f>
        <v>#NAME?</v>
      </c>
      <c r="BA37" s="23" t="e">
        <f ca="1">+'QTR Raw'!U21</f>
        <v>#NAME?</v>
      </c>
      <c r="BB37" s="23" t="e">
        <f ca="1">+'QTR Raw'!V21</f>
        <v>#NAME?</v>
      </c>
      <c r="BC37" s="23" t="e">
        <f ca="1">+'QTR Raw'!W21</f>
        <v>#NAME?</v>
      </c>
      <c r="BD37" s="23" t="e">
        <f ca="1">+'QTR Raw'!X21</f>
        <v>#NAME?</v>
      </c>
      <c r="BE37" s="23" t="e">
        <f ca="1">+'QTR Raw'!Y21</f>
        <v>#NAME?</v>
      </c>
      <c r="BF37" s="23" t="e">
        <f ca="1">+'QTR Raw'!Z21</f>
        <v>#NAME?</v>
      </c>
      <c r="BG37" s="23" t="e">
        <f ca="1">+'QTR Raw'!AA21</f>
        <v>#NAME?</v>
      </c>
      <c r="BH37" s="23" t="e">
        <f ca="1">+'QTR Raw'!AB21</f>
        <v>#NAME?</v>
      </c>
      <c r="BI37" s="23" t="e">
        <f ca="1">+'QTR Raw'!AC21</f>
        <v>#NAME?</v>
      </c>
      <c r="BJ37" s="23" t="e">
        <f ca="1">+'QTR Raw'!AD21</f>
        <v>#NAME?</v>
      </c>
      <c r="BK37" s="23" t="e">
        <f ca="1">+'QTR Raw'!AE21</f>
        <v>#NAME?</v>
      </c>
      <c r="BL37" s="23" t="e">
        <f ca="1">+'QTR Raw'!AF21</f>
        <v>#NAME?</v>
      </c>
      <c r="BM37" s="23" t="e">
        <f ca="1">+'QTR Raw'!AG21</f>
        <v>#NAME?</v>
      </c>
      <c r="BN37" s="23" t="e">
        <f ca="1">+'QTR Raw'!AH21</f>
        <v>#NAME?</v>
      </c>
      <c r="BO37" s="23" t="e">
        <f ca="1">+'QTR Raw'!AI21</f>
        <v>#NAME?</v>
      </c>
      <c r="BP37" s="23" t="e">
        <f ca="1">+'QTR Raw'!AJ21</f>
        <v>#NAME?</v>
      </c>
      <c r="BQ37" s="23" t="e">
        <f ca="1">+'QTR Raw'!AK21</f>
        <v>#NAME?</v>
      </c>
      <c r="BR37" s="23" t="e">
        <f ca="1">+'QTR Raw'!AL21</f>
        <v>#NAME?</v>
      </c>
      <c r="BS37" s="23" t="e">
        <f ca="1">+'QTR Raw'!AM21</f>
        <v>#NAME?</v>
      </c>
      <c r="BT37" s="23" t="e">
        <f ca="1">+'QTR Raw'!AN21</f>
        <v>#NAME?</v>
      </c>
      <c r="BU37" s="23" t="e">
        <f ca="1">+'QTR Raw'!AO21</f>
        <v>#NAME?</v>
      </c>
      <c r="BV37" s="23" t="e">
        <f ca="1">+'QTR Raw'!AP21</f>
        <v>#NAME?</v>
      </c>
      <c r="BW37" s="23" t="e">
        <f ca="1">+'QTR Raw'!AQ21</f>
        <v>#NAME?</v>
      </c>
      <c r="BX37" s="23" t="e">
        <f ca="1">+'QTR Raw'!AR21</f>
        <v>#NAME?</v>
      </c>
      <c r="BY37" s="23" t="e">
        <f ca="1">+'QTR Raw'!AS21</f>
        <v>#NAME?</v>
      </c>
      <c r="BZ37" s="23" t="e">
        <f ca="1">+'QTR Raw'!AT21</f>
        <v>#NAME?</v>
      </c>
      <c r="CA37" s="23" t="e">
        <f ca="1">+'QTR Raw'!AU21</f>
        <v>#NAME?</v>
      </c>
      <c r="CB37" s="23" t="e">
        <f ca="1">+'QTR Raw'!AV21</f>
        <v>#NAME?</v>
      </c>
      <c r="CC37" s="23" t="e">
        <f ca="1">+'QTR Raw'!AW21</f>
        <v>#NAME?</v>
      </c>
      <c r="CD37" s="23" t="e">
        <f ca="1">+'QTR Raw'!AX21</f>
        <v>#NAME?</v>
      </c>
      <c r="CE37" s="23" t="e">
        <f ca="1">+'QTR Raw'!AY21</f>
        <v>#NAME?</v>
      </c>
      <c r="CF37" s="23" t="e">
        <f ca="1">+'QTR Raw'!AZ21</f>
        <v>#NAME?</v>
      </c>
      <c r="CG37" s="23" t="e">
        <f ca="1">+'QTR Raw'!BA21</f>
        <v>#NAME?</v>
      </c>
      <c r="CH37" s="23" t="e">
        <f ca="1">+'QTR Raw'!BB21</f>
        <v>#NAME?</v>
      </c>
      <c r="CI37" s="23" t="e">
        <f ca="1">+'QTR Raw'!BC21</f>
        <v>#NAME?</v>
      </c>
      <c r="CJ37" s="23" t="e">
        <f ca="1">+'QTR Raw'!BD21</f>
        <v>#NAME?</v>
      </c>
      <c r="CK37" s="23" t="e">
        <f ca="1">+'QTR Raw'!BE21</f>
        <v>#NAME?</v>
      </c>
      <c r="CL37" s="23" t="e">
        <f ca="1">+'QTR Raw'!BF21</f>
        <v>#NAME?</v>
      </c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24"/>
      <c r="DB37" s="24"/>
      <c r="DE37" s="123"/>
      <c r="DF37" s="23">
        <v>0</v>
      </c>
    </row>
    <row r="38" spans="1:110" s="23" customFormat="1" outlineLevel="1" x14ac:dyDescent="0.2">
      <c r="A38" s="23" t="s">
        <v>9</v>
      </c>
      <c r="B38" s="23" t="e">
        <f ca="1">'Annual Raw'!C15+'Annual Raw'!C16</f>
        <v>#NAME?</v>
      </c>
      <c r="C38" s="23" t="e">
        <f ca="1">'Annual Raw'!D15+'Annual Raw'!D16</f>
        <v>#NAME?</v>
      </c>
      <c r="D38" s="23" t="e">
        <f ca="1">'Annual Raw'!E15+'Annual Raw'!E16</f>
        <v>#NAME?</v>
      </c>
      <c r="E38" s="23" t="e">
        <f ca="1">'Annual Raw'!F15+'Annual Raw'!F16</f>
        <v>#NAME?</v>
      </c>
      <c r="F38" s="23" t="e">
        <f ca="1">'Annual Raw'!G15+'Annual Raw'!G16</f>
        <v>#NAME?</v>
      </c>
      <c r="G38" s="23" t="e">
        <f ca="1">'Annual Raw'!H15+'Annual Raw'!H16</f>
        <v>#NAME?</v>
      </c>
      <c r="H38" s="23" t="e">
        <f ca="1">'Annual Raw'!I15+'Annual Raw'!I16</f>
        <v>#NAME?</v>
      </c>
      <c r="I38" s="23" t="e">
        <f ca="1">'Annual Raw'!J15+'Annual Raw'!J16</f>
        <v>#NAME?</v>
      </c>
      <c r="J38" s="23" t="e">
        <f ca="1">'Annual Raw'!K15+'Annual Raw'!K16</f>
        <v>#NAME?</v>
      </c>
      <c r="K38" s="23" t="e">
        <f ca="1">'Annual Raw'!L15+'Annual Raw'!L16</f>
        <v>#NAME?</v>
      </c>
      <c r="L38" s="23" t="e">
        <f ca="1">'Annual Raw'!M15+'Annual Raw'!M16</f>
        <v>#NAME?</v>
      </c>
      <c r="M38" s="23" t="e">
        <f ca="1">'Annual Raw'!N15+'Annual Raw'!N16</f>
        <v>#NAME?</v>
      </c>
      <c r="N38" s="23" t="e">
        <f ca="1">'Annual Raw'!O15+'Annual Raw'!O16</f>
        <v>#NAME?</v>
      </c>
      <c r="O38" s="23" t="e">
        <f ca="1">'Annual Raw'!P15+'Annual Raw'!P16</f>
        <v>#NAME?</v>
      </c>
      <c r="P38" s="23" t="e">
        <f ca="1">'Annual Raw'!Q15+'Annual Raw'!Q16</f>
        <v>#NAME?</v>
      </c>
      <c r="Q38" s="23" t="e">
        <f ca="1">'Annual Raw'!R15+'Annual Raw'!R16</f>
        <v>#NAME?</v>
      </c>
      <c r="R38" s="23" t="e">
        <f ca="1">'Annual Raw'!S15+'Annual Raw'!S16</f>
        <v>#NAME?</v>
      </c>
      <c r="S38" s="23" t="e">
        <f ca="1">'Annual Raw'!T15+'Annual Raw'!T16</f>
        <v>#NAME?</v>
      </c>
      <c r="T38" s="23" t="e">
        <f ca="1">'Annual Raw'!U15+'Annual Raw'!U16</f>
        <v>#NAME?</v>
      </c>
      <c r="U38" s="23" t="e">
        <f ca="1">'Annual Raw'!V15+'Annual Raw'!V16</f>
        <v>#NAME?</v>
      </c>
      <c r="V38" s="23" t="e">
        <f ca="1">'Annual Raw'!W15+'Annual Raw'!W16</f>
        <v>#NAME?</v>
      </c>
      <c r="W38" s="23" t="e">
        <f ca="1">'Annual Raw'!X15+'Annual Raw'!X16</f>
        <v>#NAME?</v>
      </c>
      <c r="X38" s="23" t="e">
        <f ca="1">'Annual Raw'!Y15+'Annual Raw'!Y16</f>
        <v>#NAME?</v>
      </c>
      <c r="Y38" s="23" t="e">
        <f ca="1">'Annual Raw'!Z15+'Annual Raw'!Z16</f>
        <v>#NAME?</v>
      </c>
      <c r="Z38" s="23" t="e">
        <f ca="1">'Annual Raw'!AA15+'Annual Raw'!AA16</f>
        <v>#NAME?</v>
      </c>
      <c r="AA38" s="23" t="e">
        <f ca="1">'Annual Raw'!AB15+'Annual Raw'!AB16</f>
        <v>#NAME?</v>
      </c>
      <c r="AB38" s="76" t="e">
        <f t="shared" ca="1" si="243"/>
        <v>#NAME?</v>
      </c>
      <c r="AC38" s="76" t="e">
        <f t="shared" ca="1" si="244"/>
        <v>#NAME?</v>
      </c>
      <c r="AD38" s="76" t="e">
        <f t="shared" ca="1" si="245"/>
        <v>#NAME?</v>
      </c>
      <c r="AE38" s="76" t="e">
        <f t="shared" ca="1" si="246"/>
        <v>#NAME?</v>
      </c>
      <c r="AI38" s="23" t="e">
        <f ca="1">'QTR Raw'!C14</f>
        <v>#NAME?</v>
      </c>
      <c r="AJ38" s="23" t="e">
        <f ca="1">'QTR Raw'!D14</f>
        <v>#NAME?</v>
      </c>
      <c r="AK38" s="23" t="e">
        <f ca="1">'QTR Raw'!E14</f>
        <v>#NAME?</v>
      </c>
      <c r="AL38" s="23" t="e">
        <f ca="1">'QTR Raw'!F14</f>
        <v>#NAME?</v>
      </c>
      <c r="AM38" s="23" t="e">
        <f ca="1">'QTR Raw'!G14</f>
        <v>#NAME?</v>
      </c>
      <c r="AN38" s="23" t="e">
        <f ca="1">'QTR Raw'!H14</f>
        <v>#NAME?</v>
      </c>
      <c r="AO38" s="23" t="e">
        <f ca="1">'QTR Raw'!I14</f>
        <v>#NAME?</v>
      </c>
      <c r="AP38" s="23" t="e">
        <f ca="1">'QTR Raw'!J14</f>
        <v>#NAME?</v>
      </c>
      <c r="AQ38" s="23" t="e">
        <f ca="1">'QTR Raw'!K14</f>
        <v>#NAME?</v>
      </c>
      <c r="AR38" s="23" t="e">
        <f ca="1">'QTR Raw'!L14</f>
        <v>#NAME?</v>
      </c>
      <c r="AS38" s="23" t="e">
        <f ca="1">'QTR Raw'!M14</f>
        <v>#NAME?</v>
      </c>
      <c r="AT38" s="23" t="e">
        <f ca="1">'QTR Raw'!N14</f>
        <v>#NAME?</v>
      </c>
      <c r="AU38" s="23" t="e">
        <f ca="1">'QTR Raw'!O14</f>
        <v>#NAME?</v>
      </c>
      <c r="AV38" s="23" t="e">
        <f ca="1">'QTR Raw'!P14</f>
        <v>#NAME?</v>
      </c>
      <c r="AW38" s="23" t="e">
        <f ca="1">'QTR Raw'!Q14</f>
        <v>#NAME?</v>
      </c>
      <c r="AX38" s="23" t="e">
        <f ca="1">'QTR Raw'!R14</f>
        <v>#NAME?</v>
      </c>
      <c r="AY38" s="23" t="e">
        <f ca="1">'QTR Raw'!S14</f>
        <v>#NAME?</v>
      </c>
      <c r="AZ38" s="23" t="e">
        <f ca="1">'QTR Raw'!T14</f>
        <v>#NAME?</v>
      </c>
      <c r="BA38" s="23" t="e">
        <f ca="1">'QTR Raw'!U14</f>
        <v>#NAME?</v>
      </c>
      <c r="BB38" s="23" t="e">
        <f ca="1">'QTR Raw'!V14</f>
        <v>#NAME?</v>
      </c>
      <c r="BC38" s="23" t="e">
        <f ca="1">'QTR Raw'!W14</f>
        <v>#NAME?</v>
      </c>
      <c r="BD38" s="23" t="e">
        <f ca="1">'QTR Raw'!X14</f>
        <v>#NAME?</v>
      </c>
      <c r="BE38" s="23" t="e">
        <f ca="1">'QTR Raw'!Y14</f>
        <v>#NAME?</v>
      </c>
      <c r="BF38" s="23" t="e">
        <f ca="1">'QTR Raw'!Z14</f>
        <v>#NAME?</v>
      </c>
      <c r="BG38" s="23" t="e">
        <f ca="1">'QTR Raw'!AA14</f>
        <v>#NAME?</v>
      </c>
      <c r="BH38" s="23" t="e">
        <f ca="1">'QTR Raw'!AB14</f>
        <v>#NAME?</v>
      </c>
      <c r="BI38" s="23" t="e">
        <f ca="1">'QTR Raw'!AC14</f>
        <v>#NAME?</v>
      </c>
      <c r="BJ38" s="23" t="e">
        <f ca="1">'QTR Raw'!AD14</f>
        <v>#NAME?</v>
      </c>
      <c r="BK38" s="23" t="e">
        <f ca="1">'QTR Raw'!AE14</f>
        <v>#NAME?</v>
      </c>
      <c r="BL38" s="23" t="e">
        <f ca="1">'QTR Raw'!AF14</f>
        <v>#NAME?</v>
      </c>
      <c r="BM38" s="23" t="e">
        <f ca="1">'QTR Raw'!AG14</f>
        <v>#NAME?</v>
      </c>
      <c r="BN38" s="23" t="e">
        <f ca="1">'QTR Raw'!AH14</f>
        <v>#NAME?</v>
      </c>
      <c r="BO38" s="23" t="e">
        <f ca="1">'QTR Raw'!AI14</f>
        <v>#NAME?</v>
      </c>
      <c r="BP38" s="23" t="e">
        <f ca="1">'QTR Raw'!AJ14</f>
        <v>#NAME?</v>
      </c>
      <c r="BQ38" s="23" t="e">
        <f ca="1">'QTR Raw'!AK14</f>
        <v>#NAME?</v>
      </c>
      <c r="BR38" s="23" t="e">
        <f ca="1">'QTR Raw'!AL14</f>
        <v>#NAME?</v>
      </c>
      <c r="BS38" s="23" t="e">
        <f ca="1">'QTR Raw'!AM14</f>
        <v>#NAME?</v>
      </c>
      <c r="BT38" s="23" t="e">
        <f ca="1">'QTR Raw'!AN14</f>
        <v>#NAME?</v>
      </c>
      <c r="BU38" s="23" t="e">
        <f ca="1">'QTR Raw'!AO14</f>
        <v>#NAME?</v>
      </c>
      <c r="BV38" s="23" t="e">
        <f ca="1">'QTR Raw'!AP14</f>
        <v>#NAME?</v>
      </c>
      <c r="BW38" s="23" t="e">
        <f ca="1">'QTR Raw'!AQ14</f>
        <v>#NAME?</v>
      </c>
      <c r="BX38" s="23" t="e">
        <f ca="1">'QTR Raw'!AR14</f>
        <v>#NAME?</v>
      </c>
      <c r="BY38" s="23" t="e">
        <f ca="1">'QTR Raw'!AS14</f>
        <v>#NAME?</v>
      </c>
      <c r="BZ38" s="23" t="e">
        <f ca="1">'QTR Raw'!AT14</f>
        <v>#NAME?</v>
      </c>
      <c r="CA38" s="23" t="e">
        <f ca="1">'QTR Raw'!AU14</f>
        <v>#NAME?</v>
      </c>
      <c r="CB38" s="23" t="e">
        <f ca="1">'QTR Raw'!AV14</f>
        <v>#NAME?</v>
      </c>
      <c r="CC38" s="23" t="e">
        <f ca="1">'QTR Raw'!AW14</f>
        <v>#NAME?</v>
      </c>
      <c r="CD38" s="23" t="e">
        <f ca="1">'QTR Raw'!AX14</f>
        <v>#NAME?</v>
      </c>
      <c r="CE38" s="23" t="e">
        <f ca="1">'QTR Raw'!AY14</f>
        <v>#NAME?</v>
      </c>
      <c r="CF38" s="23" t="e">
        <f ca="1">'QTR Raw'!AZ14</f>
        <v>#NAME?</v>
      </c>
      <c r="CG38" s="23" t="e">
        <f ca="1">'QTR Raw'!BA14</f>
        <v>#NAME?</v>
      </c>
      <c r="CH38" s="23" t="e">
        <f ca="1">'QTR Raw'!BB14</f>
        <v>#NAME?</v>
      </c>
      <c r="CI38" s="23" t="e">
        <f ca="1">'QTR Raw'!BC14</f>
        <v>#NAME?</v>
      </c>
      <c r="CJ38" s="23" t="e">
        <f ca="1">'QTR Raw'!BD14</f>
        <v>#NAME?</v>
      </c>
      <c r="CK38" s="23" t="e">
        <f ca="1">'QTR Raw'!BE14</f>
        <v>#NAME?</v>
      </c>
      <c r="CL38" s="23" t="e">
        <f ca="1">'QTR Raw'!BF14</f>
        <v>#NAME?</v>
      </c>
      <c r="CM38" s="24" t="e">
        <f t="shared" ref="CM38:DB38" ca="1" si="248">CM41-CM35-CM36-CM37-CM39-CM40</f>
        <v>#NAME?</v>
      </c>
      <c r="CN38" s="24" t="e">
        <f t="shared" ca="1" si="248"/>
        <v>#NAME?</v>
      </c>
      <c r="CO38" s="24" t="e">
        <f t="shared" ca="1" si="248"/>
        <v>#NAME?</v>
      </c>
      <c r="CP38" s="24" t="e">
        <f t="shared" ca="1" si="248"/>
        <v>#NAME?</v>
      </c>
      <c r="CQ38" s="24" t="e">
        <f t="shared" ca="1" si="248"/>
        <v>#NAME?</v>
      </c>
      <c r="CR38" s="24" t="e">
        <f t="shared" ca="1" si="248"/>
        <v>#NAME?</v>
      </c>
      <c r="CS38" s="24" t="e">
        <f t="shared" ca="1" si="248"/>
        <v>#NAME?</v>
      </c>
      <c r="CT38" s="24" t="e">
        <f t="shared" ca="1" si="248"/>
        <v>#NAME?</v>
      </c>
      <c r="CU38" s="24" t="e">
        <f t="shared" ca="1" si="248"/>
        <v>#NAME?</v>
      </c>
      <c r="CV38" s="24" t="e">
        <f t="shared" ca="1" si="248"/>
        <v>#NAME?</v>
      </c>
      <c r="CW38" s="24" t="e">
        <f t="shared" ca="1" si="248"/>
        <v>#NAME?</v>
      </c>
      <c r="CX38" s="24" t="e">
        <f t="shared" ca="1" si="248"/>
        <v>#NAME?</v>
      </c>
      <c r="CY38" s="24" t="e">
        <f t="shared" ca="1" si="248"/>
        <v>#NAME?</v>
      </c>
      <c r="CZ38" s="24" t="e">
        <f t="shared" ca="1" si="248"/>
        <v>#NAME?</v>
      </c>
      <c r="DA38" s="24" t="e">
        <f t="shared" ca="1" si="248"/>
        <v>#NAME?</v>
      </c>
      <c r="DB38" s="24" t="e">
        <f t="shared" ca="1" si="248"/>
        <v>#NAME?</v>
      </c>
      <c r="DE38" s="123"/>
      <c r="DF38" s="23">
        <v>58.83</v>
      </c>
    </row>
    <row r="39" spans="1:110" s="23" customFormat="1" outlineLevel="1" x14ac:dyDescent="0.2">
      <c r="A39" s="23" t="s">
        <v>7</v>
      </c>
      <c r="B39" s="23" t="e">
        <f ca="1">'Annual Raw'!C13</f>
        <v>#NAME?</v>
      </c>
      <c r="C39" s="23" t="e">
        <f ca="1">'Annual Raw'!D13</f>
        <v>#NAME?</v>
      </c>
      <c r="D39" s="23" t="e">
        <f ca="1">'Annual Raw'!E13</f>
        <v>#NAME?</v>
      </c>
      <c r="E39" s="23" t="e">
        <f ca="1">'Annual Raw'!F13</f>
        <v>#NAME?</v>
      </c>
      <c r="F39" s="23" t="e">
        <f ca="1">'Annual Raw'!G13</f>
        <v>#NAME?</v>
      </c>
      <c r="G39" s="23" t="e">
        <f ca="1">'Annual Raw'!H13</f>
        <v>#NAME?</v>
      </c>
      <c r="H39" s="23" t="e">
        <f ca="1">'Annual Raw'!I13</f>
        <v>#NAME?</v>
      </c>
      <c r="I39" s="23" t="e">
        <f ca="1">'Annual Raw'!J13</f>
        <v>#NAME?</v>
      </c>
      <c r="J39" s="23" t="e">
        <f ca="1">'Annual Raw'!K13</f>
        <v>#NAME?</v>
      </c>
      <c r="K39" s="23" t="e">
        <f ca="1">'Annual Raw'!L13</f>
        <v>#NAME?</v>
      </c>
      <c r="L39" s="23" t="e">
        <f ca="1">'Annual Raw'!M13</f>
        <v>#NAME?</v>
      </c>
      <c r="M39" s="23" t="e">
        <f ca="1">'Annual Raw'!N13</f>
        <v>#NAME?</v>
      </c>
      <c r="N39" s="23" t="e">
        <f ca="1">'Annual Raw'!O13</f>
        <v>#NAME?</v>
      </c>
      <c r="O39" s="23" t="e">
        <f ca="1">'Annual Raw'!P13</f>
        <v>#NAME?</v>
      </c>
      <c r="P39" s="23" t="e">
        <f ca="1">'Annual Raw'!Q13</f>
        <v>#NAME?</v>
      </c>
      <c r="Q39" s="23" t="e">
        <f ca="1">'Annual Raw'!R13</f>
        <v>#NAME?</v>
      </c>
      <c r="R39" s="23" t="e">
        <f ca="1">'Annual Raw'!S13</f>
        <v>#NAME?</v>
      </c>
      <c r="S39" s="23" t="e">
        <f ca="1">'Annual Raw'!T13</f>
        <v>#NAME?</v>
      </c>
      <c r="T39" s="23" t="e">
        <f ca="1">'Annual Raw'!U13</f>
        <v>#NAME?</v>
      </c>
      <c r="U39" s="23" t="e">
        <f ca="1">'Annual Raw'!V13</f>
        <v>#NAME?</v>
      </c>
      <c r="V39" s="23" t="e">
        <f ca="1">'Annual Raw'!W13</f>
        <v>#NAME?</v>
      </c>
      <c r="W39" s="23" t="e">
        <f ca="1">'Annual Raw'!X13</f>
        <v>#NAME?</v>
      </c>
      <c r="X39" s="23" t="e">
        <f ca="1">'Annual Raw'!Y13</f>
        <v>#NAME?</v>
      </c>
      <c r="Y39" s="23" t="e">
        <f ca="1">'Annual Raw'!Z13</f>
        <v>#NAME?</v>
      </c>
      <c r="Z39" s="23" t="e">
        <f ca="1">'Annual Raw'!AA13</f>
        <v>#NAME?</v>
      </c>
      <c r="AA39" s="23" t="e">
        <f ca="1">'Annual Raw'!AB13</f>
        <v>#NAME?</v>
      </c>
      <c r="AB39" s="76">
        <f t="shared" si="243"/>
        <v>0</v>
      </c>
      <c r="AC39" s="76">
        <f t="shared" si="244"/>
        <v>0</v>
      </c>
      <c r="AD39" s="76">
        <f t="shared" si="245"/>
        <v>0</v>
      </c>
      <c r="AE39" s="76">
        <f t="shared" si="246"/>
        <v>0</v>
      </c>
      <c r="AI39" s="23" t="e">
        <f ca="1">'QTR Raw'!C15</f>
        <v>#NAME?</v>
      </c>
      <c r="AJ39" s="23" t="e">
        <f ca="1">'QTR Raw'!D15</f>
        <v>#NAME?</v>
      </c>
      <c r="AK39" s="23" t="e">
        <f ca="1">'QTR Raw'!E15</f>
        <v>#NAME?</v>
      </c>
      <c r="AL39" s="23" t="e">
        <f ca="1">'QTR Raw'!F15</f>
        <v>#NAME?</v>
      </c>
      <c r="AM39" s="23" t="e">
        <f ca="1">'QTR Raw'!G15</f>
        <v>#NAME?</v>
      </c>
      <c r="AN39" s="23" t="e">
        <f ca="1">'QTR Raw'!H15</f>
        <v>#NAME?</v>
      </c>
      <c r="AO39" s="23" t="e">
        <f ca="1">'QTR Raw'!I15</f>
        <v>#NAME?</v>
      </c>
      <c r="AP39" s="23" t="e">
        <f ca="1">'QTR Raw'!J15</f>
        <v>#NAME?</v>
      </c>
      <c r="AQ39" s="23" t="e">
        <f ca="1">'QTR Raw'!K15</f>
        <v>#NAME?</v>
      </c>
      <c r="AR39" s="23" t="e">
        <f ca="1">'QTR Raw'!L15</f>
        <v>#NAME?</v>
      </c>
      <c r="AS39" s="23" t="e">
        <f ca="1">'QTR Raw'!M15</f>
        <v>#NAME?</v>
      </c>
      <c r="AT39" s="23" t="e">
        <f ca="1">'QTR Raw'!N15</f>
        <v>#NAME?</v>
      </c>
      <c r="AU39" s="23" t="e">
        <f ca="1">'QTR Raw'!O15</f>
        <v>#NAME?</v>
      </c>
      <c r="AV39" s="23" t="e">
        <f ca="1">'QTR Raw'!P15</f>
        <v>#NAME?</v>
      </c>
      <c r="AW39" s="23" t="e">
        <f ca="1">'QTR Raw'!Q15</f>
        <v>#NAME?</v>
      </c>
      <c r="AX39" s="23" t="e">
        <f ca="1">'QTR Raw'!R15</f>
        <v>#NAME?</v>
      </c>
      <c r="AY39" s="23" t="e">
        <f ca="1">'QTR Raw'!S15</f>
        <v>#NAME?</v>
      </c>
      <c r="AZ39" s="23" t="e">
        <f ca="1">'QTR Raw'!T15</f>
        <v>#NAME?</v>
      </c>
      <c r="BA39" s="23" t="e">
        <f ca="1">'QTR Raw'!U15</f>
        <v>#NAME?</v>
      </c>
      <c r="BB39" s="23" t="e">
        <f ca="1">'QTR Raw'!V15</f>
        <v>#NAME?</v>
      </c>
      <c r="BC39" s="23" t="e">
        <f ca="1">'QTR Raw'!W15</f>
        <v>#NAME?</v>
      </c>
      <c r="BD39" s="23" t="e">
        <f ca="1">'QTR Raw'!X15</f>
        <v>#NAME?</v>
      </c>
      <c r="BE39" s="23" t="e">
        <f ca="1">'QTR Raw'!Y15</f>
        <v>#NAME?</v>
      </c>
      <c r="BF39" s="23" t="e">
        <f ca="1">'QTR Raw'!Z15</f>
        <v>#NAME?</v>
      </c>
      <c r="BG39" s="23" t="e">
        <f ca="1">'QTR Raw'!AA15</f>
        <v>#NAME?</v>
      </c>
      <c r="BH39" s="23" t="e">
        <f ca="1">'QTR Raw'!AB15</f>
        <v>#NAME?</v>
      </c>
      <c r="BI39" s="23" t="e">
        <f ca="1">'QTR Raw'!AC15</f>
        <v>#NAME?</v>
      </c>
      <c r="BJ39" s="23" t="e">
        <f ca="1">'QTR Raw'!AD15</f>
        <v>#NAME?</v>
      </c>
      <c r="BK39" s="23" t="e">
        <f ca="1">'QTR Raw'!AE15</f>
        <v>#NAME?</v>
      </c>
      <c r="BL39" s="23" t="e">
        <f ca="1">'QTR Raw'!AF15</f>
        <v>#NAME?</v>
      </c>
      <c r="BM39" s="23" t="e">
        <f ca="1">'QTR Raw'!AG15</f>
        <v>#NAME?</v>
      </c>
      <c r="BN39" s="23" t="e">
        <f ca="1">'QTR Raw'!AH15</f>
        <v>#NAME?</v>
      </c>
      <c r="BO39" s="23" t="e">
        <f ca="1">'QTR Raw'!AI15</f>
        <v>#NAME?</v>
      </c>
      <c r="BP39" s="23" t="e">
        <f ca="1">'QTR Raw'!AJ15</f>
        <v>#NAME?</v>
      </c>
      <c r="BQ39" s="23" t="e">
        <f ca="1">'QTR Raw'!AK15</f>
        <v>#NAME?</v>
      </c>
      <c r="BR39" s="23" t="e">
        <f ca="1">'QTR Raw'!AL15</f>
        <v>#NAME?</v>
      </c>
      <c r="BS39" s="23" t="e">
        <f ca="1">'QTR Raw'!AM15</f>
        <v>#NAME?</v>
      </c>
      <c r="BT39" s="23" t="e">
        <f ca="1">'QTR Raw'!AN15</f>
        <v>#NAME?</v>
      </c>
      <c r="BU39" s="23" t="e">
        <f ca="1">'QTR Raw'!AO15</f>
        <v>#NAME?</v>
      </c>
      <c r="BV39" s="23" t="e">
        <f ca="1">'QTR Raw'!AP15</f>
        <v>#NAME?</v>
      </c>
      <c r="BW39" s="23" t="e">
        <f ca="1">'QTR Raw'!AQ15</f>
        <v>#NAME?</v>
      </c>
      <c r="BX39" s="23" t="e">
        <f ca="1">'QTR Raw'!AR15</f>
        <v>#NAME?</v>
      </c>
      <c r="BY39" s="23" t="e">
        <f ca="1">'QTR Raw'!AS15</f>
        <v>#NAME?</v>
      </c>
      <c r="BZ39" s="23" t="e">
        <f ca="1">'QTR Raw'!AT15</f>
        <v>#NAME?</v>
      </c>
      <c r="CA39" s="23" t="e">
        <f ca="1">'QTR Raw'!AU15</f>
        <v>#NAME?</v>
      </c>
      <c r="CB39" s="23" t="e">
        <f ca="1">'QTR Raw'!AV15</f>
        <v>#NAME?</v>
      </c>
      <c r="CC39" s="23" t="e">
        <f ca="1">'QTR Raw'!AW15</f>
        <v>#NAME?</v>
      </c>
      <c r="CD39" s="23" t="e">
        <f ca="1">'QTR Raw'!AX15</f>
        <v>#NAME?</v>
      </c>
      <c r="CE39" s="23" t="e">
        <f ca="1">'QTR Raw'!AY15</f>
        <v>#NAME?</v>
      </c>
      <c r="CF39" s="23" t="e">
        <f ca="1">'QTR Raw'!AZ15</f>
        <v>#NAME?</v>
      </c>
      <c r="CG39" s="23" t="e">
        <f ca="1">'QTR Raw'!BA15</f>
        <v>#NAME?</v>
      </c>
      <c r="CH39" s="23" t="e">
        <f ca="1">'QTR Raw'!BB15</f>
        <v>#NAME?</v>
      </c>
      <c r="CI39" s="23" t="e">
        <f ca="1">'QTR Raw'!BC15</f>
        <v>#NAME?</v>
      </c>
      <c r="CJ39" s="23" t="e">
        <f ca="1">'QTR Raw'!BD15</f>
        <v>#NAME?</v>
      </c>
      <c r="CK39" s="23" t="e">
        <f ca="1">'QTR Raw'!BE15</f>
        <v>#NAME?</v>
      </c>
      <c r="CL39" s="23" t="e">
        <f ca="1">'QTR Raw'!BF15</f>
        <v>#NAME?</v>
      </c>
      <c r="CM39" s="24"/>
      <c r="CN39" s="24"/>
      <c r="CO39" s="24"/>
      <c r="CP39" s="24"/>
      <c r="CQ39" s="24"/>
      <c r="CR39" s="24"/>
      <c r="CS39" s="24"/>
      <c r="CT39" s="24"/>
      <c r="CU39" s="24"/>
      <c r="CV39" s="24"/>
      <c r="CW39" s="24"/>
      <c r="CX39" s="24"/>
      <c r="CY39" s="24"/>
      <c r="CZ39" s="24"/>
      <c r="DA39" s="24"/>
      <c r="DB39" s="24"/>
      <c r="DE39" s="123"/>
      <c r="DF39" s="23">
        <v>0</v>
      </c>
    </row>
    <row r="40" spans="1:110" s="23" customFormat="1" outlineLevel="1" x14ac:dyDescent="0.2">
      <c r="A40" s="23" t="s">
        <v>11</v>
      </c>
      <c r="B40" s="23" t="e">
        <f ca="1">'Annual Raw'!C18</f>
        <v>#NAME?</v>
      </c>
      <c r="C40" s="23" t="e">
        <f ca="1">'Annual Raw'!D18</f>
        <v>#NAME?</v>
      </c>
      <c r="D40" s="23" t="e">
        <f ca="1">'Annual Raw'!E18</f>
        <v>#NAME?</v>
      </c>
      <c r="E40" s="23" t="e">
        <f ca="1">'Annual Raw'!F18</f>
        <v>#NAME?</v>
      </c>
      <c r="F40" s="23" t="e">
        <f ca="1">'Annual Raw'!G18</f>
        <v>#NAME?</v>
      </c>
      <c r="G40" s="23" t="e">
        <f ca="1">'Annual Raw'!H18</f>
        <v>#NAME?</v>
      </c>
      <c r="H40" s="23" t="e">
        <f ca="1">'Annual Raw'!I18</f>
        <v>#NAME?</v>
      </c>
      <c r="I40" s="23" t="e">
        <f ca="1">'Annual Raw'!J18</f>
        <v>#NAME?</v>
      </c>
      <c r="J40" s="23" t="e">
        <f ca="1">'Annual Raw'!K18</f>
        <v>#NAME?</v>
      </c>
      <c r="K40" s="23" t="e">
        <f ca="1">'Annual Raw'!L18</f>
        <v>#NAME?</v>
      </c>
      <c r="L40" s="23" t="e">
        <f ca="1">'Annual Raw'!M18</f>
        <v>#NAME?</v>
      </c>
      <c r="M40" s="23" t="e">
        <f ca="1">'Annual Raw'!N18</f>
        <v>#NAME?</v>
      </c>
      <c r="N40" s="23" t="e">
        <f ca="1">'Annual Raw'!O18</f>
        <v>#NAME?</v>
      </c>
      <c r="O40" s="23" t="e">
        <f ca="1">'Annual Raw'!P18</f>
        <v>#NAME?</v>
      </c>
      <c r="P40" s="23" t="e">
        <f ca="1">'Annual Raw'!Q18</f>
        <v>#NAME?</v>
      </c>
      <c r="Q40" s="23" t="e">
        <f ca="1">'Annual Raw'!R18</f>
        <v>#NAME?</v>
      </c>
      <c r="R40" s="23" t="e">
        <f ca="1">'Annual Raw'!S18</f>
        <v>#NAME?</v>
      </c>
      <c r="S40" s="23" t="e">
        <f ca="1">'Annual Raw'!T18</f>
        <v>#NAME?</v>
      </c>
      <c r="T40" s="23" t="e">
        <f ca="1">'Annual Raw'!U18</f>
        <v>#NAME?</v>
      </c>
      <c r="U40" s="23" t="e">
        <f ca="1">'Annual Raw'!V18</f>
        <v>#NAME?</v>
      </c>
      <c r="V40" s="23" t="e">
        <f ca="1">'Annual Raw'!W18</f>
        <v>#NAME?</v>
      </c>
      <c r="W40" s="23" t="e">
        <f ca="1">'Annual Raw'!X18</f>
        <v>#NAME?</v>
      </c>
      <c r="X40" s="23" t="e">
        <f ca="1">'Annual Raw'!Y18</f>
        <v>#NAME?</v>
      </c>
      <c r="Y40" s="23" t="e">
        <f ca="1">'Annual Raw'!Z18</f>
        <v>#NAME?</v>
      </c>
      <c r="Z40" s="23" t="e">
        <f ca="1">'Annual Raw'!AA18</f>
        <v>#NAME?</v>
      </c>
      <c r="AA40" s="23" t="e">
        <f ca="1">'Annual Raw'!AB18</f>
        <v>#NAME?</v>
      </c>
      <c r="AB40" s="76">
        <f t="shared" si="243"/>
        <v>0</v>
      </c>
      <c r="AC40" s="76">
        <f t="shared" si="244"/>
        <v>0</v>
      </c>
      <c r="AD40" s="76">
        <f t="shared" si="245"/>
        <v>0</v>
      </c>
      <c r="AE40" s="76">
        <f t="shared" si="246"/>
        <v>0</v>
      </c>
      <c r="AI40" s="23" t="e">
        <f ca="1">'QTR Raw'!C18</f>
        <v>#NAME?</v>
      </c>
      <c r="AJ40" s="23" t="e">
        <f ca="1">'QTR Raw'!D18</f>
        <v>#NAME?</v>
      </c>
      <c r="AK40" s="23" t="e">
        <f ca="1">'QTR Raw'!E18</f>
        <v>#NAME?</v>
      </c>
      <c r="AL40" s="23" t="e">
        <f ca="1">'QTR Raw'!F18</f>
        <v>#NAME?</v>
      </c>
      <c r="AM40" s="23" t="e">
        <f ca="1">'QTR Raw'!G18</f>
        <v>#NAME?</v>
      </c>
      <c r="AN40" s="23" t="e">
        <f ca="1">'QTR Raw'!H18</f>
        <v>#NAME?</v>
      </c>
      <c r="AO40" s="23" t="e">
        <f ca="1">'QTR Raw'!I18</f>
        <v>#NAME?</v>
      </c>
      <c r="AP40" s="23" t="e">
        <f ca="1">'QTR Raw'!J18</f>
        <v>#NAME?</v>
      </c>
      <c r="AQ40" s="23" t="e">
        <f ca="1">'QTR Raw'!K18</f>
        <v>#NAME?</v>
      </c>
      <c r="AR40" s="23" t="e">
        <f ca="1">'QTR Raw'!L18</f>
        <v>#NAME?</v>
      </c>
      <c r="AS40" s="23" t="e">
        <f ca="1">'QTR Raw'!M18</f>
        <v>#NAME?</v>
      </c>
      <c r="AT40" s="23" t="e">
        <f ca="1">'QTR Raw'!N18</f>
        <v>#NAME?</v>
      </c>
      <c r="AU40" s="23" t="e">
        <f ca="1">'QTR Raw'!O18</f>
        <v>#NAME?</v>
      </c>
      <c r="AV40" s="23" t="e">
        <f ca="1">'QTR Raw'!P18</f>
        <v>#NAME?</v>
      </c>
      <c r="AW40" s="23" t="e">
        <f ca="1">'QTR Raw'!Q18</f>
        <v>#NAME?</v>
      </c>
      <c r="AX40" s="23" t="e">
        <f ca="1">'QTR Raw'!R18</f>
        <v>#NAME?</v>
      </c>
      <c r="AY40" s="23" t="e">
        <f ca="1">'QTR Raw'!S18</f>
        <v>#NAME?</v>
      </c>
      <c r="AZ40" s="23" t="e">
        <f ca="1">'QTR Raw'!T18</f>
        <v>#NAME?</v>
      </c>
      <c r="BA40" s="23" t="e">
        <f ca="1">'QTR Raw'!U18</f>
        <v>#NAME?</v>
      </c>
      <c r="BB40" s="23" t="e">
        <f ca="1">'QTR Raw'!V18</f>
        <v>#NAME?</v>
      </c>
      <c r="BC40" s="23" t="e">
        <f ca="1">'QTR Raw'!W18</f>
        <v>#NAME?</v>
      </c>
      <c r="BD40" s="23" t="e">
        <f ca="1">'QTR Raw'!X18</f>
        <v>#NAME?</v>
      </c>
      <c r="BE40" s="23" t="e">
        <f ca="1">'QTR Raw'!Y18</f>
        <v>#NAME?</v>
      </c>
      <c r="BF40" s="23" t="e">
        <f ca="1">'QTR Raw'!Z18</f>
        <v>#NAME?</v>
      </c>
      <c r="BG40" s="23" t="e">
        <f ca="1">'QTR Raw'!AA18</f>
        <v>#NAME?</v>
      </c>
      <c r="BH40" s="23" t="e">
        <f ca="1">'QTR Raw'!AB18</f>
        <v>#NAME?</v>
      </c>
      <c r="BI40" s="23" t="e">
        <f ca="1">'QTR Raw'!AC18</f>
        <v>#NAME?</v>
      </c>
      <c r="BJ40" s="23" t="e">
        <f ca="1">'QTR Raw'!AD18</f>
        <v>#NAME?</v>
      </c>
      <c r="BK40" s="23" t="e">
        <f ca="1">'QTR Raw'!AE18</f>
        <v>#NAME?</v>
      </c>
      <c r="BL40" s="23" t="e">
        <f ca="1">'QTR Raw'!AF18</f>
        <v>#NAME?</v>
      </c>
      <c r="BM40" s="23" t="e">
        <f ca="1">'QTR Raw'!AG18</f>
        <v>#NAME?</v>
      </c>
      <c r="BN40" s="23" t="e">
        <f ca="1">'QTR Raw'!AH18</f>
        <v>#NAME?</v>
      </c>
      <c r="BO40" s="23" t="e">
        <f ca="1">'QTR Raw'!AI18</f>
        <v>#NAME?</v>
      </c>
      <c r="BP40" s="23" t="e">
        <f ca="1">'QTR Raw'!AJ18</f>
        <v>#NAME?</v>
      </c>
      <c r="BQ40" s="23" t="e">
        <f ca="1">'QTR Raw'!AK18</f>
        <v>#NAME?</v>
      </c>
      <c r="BR40" s="23" t="e">
        <f ca="1">'QTR Raw'!AL18</f>
        <v>#NAME?</v>
      </c>
      <c r="BS40" s="23" t="e">
        <f ca="1">'QTR Raw'!AM18</f>
        <v>#NAME?</v>
      </c>
      <c r="BT40" s="23" t="e">
        <f ca="1">'QTR Raw'!AN18</f>
        <v>#NAME?</v>
      </c>
      <c r="BU40" s="23" t="e">
        <f ca="1">'QTR Raw'!AO18</f>
        <v>#NAME?</v>
      </c>
      <c r="BV40" s="23" t="e">
        <f ca="1">'QTR Raw'!AP18</f>
        <v>#NAME?</v>
      </c>
      <c r="BW40" s="23" t="e">
        <f ca="1">'QTR Raw'!AQ18</f>
        <v>#NAME?</v>
      </c>
      <c r="BX40" s="23" t="e">
        <f ca="1">'QTR Raw'!AR18</f>
        <v>#NAME?</v>
      </c>
      <c r="BY40" s="23" t="e">
        <f ca="1">'QTR Raw'!AS18</f>
        <v>#NAME?</v>
      </c>
      <c r="BZ40" s="23" t="e">
        <f ca="1">'QTR Raw'!AT18</f>
        <v>#NAME?</v>
      </c>
      <c r="CA40" s="23" t="e">
        <f ca="1">'QTR Raw'!AU18</f>
        <v>#NAME?</v>
      </c>
      <c r="CB40" s="23" t="e">
        <f ca="1">'QTR Raw'!AV18</f>
        <v>#NAME?</v>
      </c>
      <c r="CC40" s="23" t="e">
        <f ca="1">'QTR Raw'!AW18</f>
        <v>#NAME?</v>
      </c>
      <c r="CD40" s="23" t="e">
        <f ca="1">'QTR Raw'!AX18</f>
        <v>#NAME?</v>
      </c>
      <c r="CE40" s="23" t="e">
        <f ca="1">'QTR Raw'!AY18</f>
        <v>#NAME?</v>
      </c>
      <c r="CF40" s="23" t="e">
        <f ca="1">'QTR Raw'!AZ18</f>
        <v>#NAME?</v>
      </c>
      <c r="CG40" s="23" t="e">
        <f ca="1">'QTR Raw'!BA18</f>
        <v>#NAME?</v>
      </c>
      <c r="CH40" s="23" t="e">
        <f ca="1">'QTR Raw'!BB18</f>
        <v>#NAME?</v>
      </c>
      <c r="CI40" s="23" t="e">
        <f ca="1">'QTR Raw'!BC18</f>
        <v>#NAME?</v>
      </c>
      <c r="CJ40" s="23" t="e">
        <f ca="1">'QTR Raw'!BD18</f>
        <v>#NAME?</v>
      </c>
      <c r="CK40" s="23" t="e">
        <f ca="1">'QTR Raw'!BE18</f>
        <v>#NAME?</v>
      </c>
      <c r="CL40" s="23" t="e">
        <f ca="1">'QTR Raw'!BF18</f>
        <v>#NAME?</v>
      </c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E40" s="123"/>
      <c r="DF40" s="23">
        <v>0</v>
      </c>
    </row>
    <row r="41" spans="1:110" s="22" customFormat="1" x14ac:dyDescent="0.2">
      <c r="A41" s="33" t="s">
        <v>348</v>
      </c>
      <c r="B41" s="22" t="e">
        <f t="shared" ref="B41:E41" ca="1" si="249">+SUM(B35:B40)</f>
        <v>#NAME?</v>
      </c>
      <c r="C41" s="22" t="e">
        <f t="shared" ca="1" si="249"/>
        <v>#NAME?</v>
      </c>
      <c r="D41" s="22" t="e">
        <f t="shared" ca="1" si="249"/>
        <v>#NAME?</v>
      </c>
      <c r="E41" s="22" t="e">
        <f t="shared" ca="1" si="249"/>
        <v>#NAME?</v>
      </c>
      <c r="F41" s="22" t="e">
        <f t="shared" ref="F41:AE41" ca="1" si="250">+SUM(F35:F40)</f>
        <v>#NAME?</v>
      </c>
      <c r="G41" s="22" t="e">
        <f t="shared" ca="1" si="250"/>
        <v>#NAME?</v>
      </c>
      <c r="H41" s="22" t="e">
        <f t="shared" ca="1" si="250"/>
        <v>#NAME?</v>
      </c>
      <c r="I41" s="22" t="e">
        <f t="shared" ca="1" si="250"/>
        <v>#NAME?</v>
      </c>
      <c r="J41" s="22" t="e">
        <f t="shared" ca="1" si="250"/>
        <v>#NAME?</v>
      </c>
      <c r="K41" s="22" t="e">
        <f t="shared" ca="1" si="250"/>
        <v>#NAME?</v>
      </c>
      <c r="L41" s="22" t="e">
        <f t="shared" ca="1" si="250"/>
        <v>#NAME?</v>
      </c>
      <c r="M41" s="22" t="e">
        <f t="shared" ca="1" si="250"/>
        <v>#NAME?</v>
      </c>
      <c r="N41" s="22" t="e">
        <f t="shared" ca="1" si="250"/>
        <v>#NAME?</v>
      </c>
      <c r="O41" s="22" t="e">
        <f t="shared" ca="1" si="250"/>
        <v>#NAME?</v>
      </c>
      <c r="P41" s="22" t="e">
        <f t="shared" ca="1" si="250"/>
        <v>#NAME?</v>
      </c>
      <c r="Q41" s="22" t="e">
        <f t="shared" ca="1" si="250"/>
        <v>#NAME?</v>
      </c>
      <c r="R41" s="22" t="e">
        <f t="shared" ca="1" si="250"/>
        <v>#NAME?</v>
      </c>
      <c r="S41" s="22" t="e">
        <f t="shared" ca="1" si="250"/>
        <v>#NAME?</v>
      </c>
      <c r="T41" s="22" t="e">
        <f t="shared" ca="1" si="250"/>
        <v>#NAME?</v>
      </c>
      <c r="U41" s="22" t="e">
        <f t="shared" ca="1" si="250"/>
        <v>#NAME?</v>
      </c>
      <c r="V41" s="22" t="e">
        <f t="shared" ca="1" si="250"/>
        <v>#NAME?</v>
      </c>
      <c r="W41" s="22" t="e">
        <f t="shared" ca="1" si="250"/>
        <v>#NAME?</v>
      </c>
      <c r="X41" s="22" t="e">
        <f t="shared" ca="1" si="250"/>
        <v>#NAME?</v>
      </c>
      <c r="Y41" s="22" t="e">
        <f t="shared" ca="1" si="250"/>
        <v>#NAME?</v>
      </c>
      <c r="Z41" s="22" t="e">
        <f t="shared" ref="Z41:AA41" ca="1" si="251">+SUM(Z35:Z40)</f>
        <v>#NAME?</v>
      </c>
      <c r="AA41" s="22" t="e">
        <f t="shared" ca="1" si="251"/>
        <v>#NAME?</v>
      </c>
      <c r="AB41" s="21" t="e">
        <f t="shared" ca="1" si="250"/>
        <v>#NAME?</v>
      </c>
      <c r="AC41" s="21" t="e">
        <f t="shared" ca="1" si="250"/>
        <v>#NAME?</v>
      </c>
      <c r="AD41" s="21" t="e">
        <f t="shared" ca="1" si="250"/>
        <v>#NAME?</v>
      </c>
      <c r="AE41" s="21" t="e">
        <f t="shared" ca="1" si="250"/>
        <v>#NAME?</v>
      </c>
      <c r="AI41" s="22" t="e">
        <f t="shared" ref="AI41:BN41" ca="1" si="252">+SUM(AI35:AI40)</f>
        <v>#NAME?</v>
      </c>
      <c r="AJ41" s="22" t="e">
        <f t="shared" ca="1" si="252"/>
        <v>#NAME?</v>
      </c>
      <c r="AK41" s="22" t="e">
        <f t="shared" ca="1" si="252"/>
        <v>#NAME?</v>
      </c>
      <c r="AL41" s="22" t="e">
        <f t="shared" ca="1" si="252"/>
        <v>#NAME?</v>
      </c>
      <c r="AM41" s="22" t="e">
        <f t="shared" ca="1" si="252"/>
        <v>#NAME?</v>
      </c>
      <c r="AN41" s="22" t="e">
        <f t="shared" ca="1" si="252"/>
        <v>#NAME?</v>
      </c>
      <c r="AO41" s="22" t="e">
        <f t="shared" ca="1" si="252"/>
        <v>#NAME?</v>
      </c>
      <c r="AP41" s="22" t="e">
        <f t="shared" ca="1" si="252"/>
        <v>#NAME?</v>
      </c>
      <c r="AQ41" s="22" t="e">
        <f t="shared" ca="1" si="252"/>
        <v>#NAME?</v>
      </c>
      <c r="AR41" s="22" t="e">
        <f t="shared" ca="1" si="252"/>
        <v>#NAME?</v>
      </c>
      <c r="AS41" s="22" t="e">
        <f t="shared" ca="1" si="252"/>
        <v>#NAME?</v>
      </c>
      <c r="AT41" s="22" t="e">
        <f t="shared" ca="1" si="252"/>
        <v>#NAME?</v>
      </c>
      <c r="AU41" s="22" t="e">
        <f t="shared" ca="1" si="252"/>
        <v>#NAME?</v>
      </c>
      <c r="AV41" s="22" t="e">
        <f t="shared" ca="1" si="252"/>
        <v>#NAME?</v>
      </c>
      <c r="AW41" s="22" t="e">
        <f t="shared" ca="1" si="252"/>
        <v>#NAME?</v>
      </c>
      <c r="AX41" s="22" t="e">
        <f t="shared" ca="1" si="252"/>
        <v>#NAME?</v>
      </c>
      <c r="AY41" s="22" t="e">
        <f t="shared" ca="1" si="252"/>
        <v>#NAME?</v>
      </c>
      <c r="AZ41" s="22" t="e">
        <f t="shared" ca="1" si="252"/>
        <v>#NAME?</v>
      </c>
      <c r="BA41" s="22" t="e">
        <f t="shared" ca="1" si="252"/>
        <v>#NAME?</v>
      </c>
      <c r="BB41" s="22" t="e">
        <f t="shared" ca="1" si="252"/>
        <v>#NAME?</v>
      </c>
      <c r="BC41" s="22" t="e">
        <f t="shared" ca="1" si="252"/>
        <v>#NAME?</v>
      </c>
      <c r="BD41" s="22" t="e">
        <f t="shared" ca="1" si="252"/>
        <v>#NAME?</v>
      </c>
      <c r="BE41" s="22" t="e">
        <f t="shared" ca="1" si="252"/>
        <v>#NAME?</v>
      </c>
      <c r="BF41" s="22" t="e">
        <f t="shared" ca="1" si="252"/>
        <v>#NAME?</v>
      </c>
      <c r="BG41" s="22" t="e">
        <f t="shared" ca="1" si="252"/>
        <v>#NAME?</v>
      </c>
      <c r="BH41" s="22" t="e">
        <f t="shared" ca="1" si="252"/>
        <v>#NAME?</v>
      </c>
      <c r="BI41" s="22" t="e">
        <f t="shared" ca="1" si="252"/>
        <v>#NAME?</v>
      </c>
      <c r="BJ41" s="22" t="e">
        <f t="shared" ca="1" si="252"/>
        <v>#NAME?</v>
      </c>
      <c r="BK41" s="22" t="e">
        <f t="shared" ca="1" si="252"/>
        <v>#NAME?</v>
      </c>
      <c r="BL41" s="22" t="e">
        <f t="shared" ca="1" si="252"/>
        <v>#NAME?</v>
      </c>
      <c r="BM41" s="22" t="e">
        <f t="shared" ca="1" si="252"/>
        <v>#NAME?</v>
      </c>
      <c r="BN41" s="22" t="e">
        <f t="shared" ca="1" si="252"/>
        <v>#NAME?</v>
      </c>
      <c r="BO41" s="22" t="e">
        <f t="shared" ref="BO41:CH41" ca="1" si="253">+SUM(BO35:BO40)</f>
        <v>#NAME?</v>
      </c>
      <c r="BP41" s="22" t="e">
        <f t="shared" ca="1" si="253"/>
        <v>#NAME?</v>
      </c>
      <c r="BQ41" s="22" t="e">
        <f t="shared" ca="1" si="253"/>
        <v>#NAME?</v>
      </c>
      <c r="BR41" s="22" t="e">
        <f t="shared" ca="1" si="253"/>
        <v>#NAME?</v>
      </c>
      <c r="BS41" s="22" t="e">
        <f t="shared" ca="1" si="253"/>
        <v>#NAME?</v>
      </c>
      <c r="BT41" s="22" t="e">
        <f t="shared" ca="1" si="253"/>
        <v>#NAME?</v>
      </c>
      <c r="BU41" s="22" t="e">
        <f t="shared" ca="1" si="253"/>
        <v>#NAME?</v>
      </c>
      <c r="BV41" s="22" t="e">
        <f t="shared" ca="1" si="253"/>
        <v>#NAME?</v>
      </c>
      <c r="BW41" s="22" t="e">
        <f t="shared" ca="1" si="253"/>
        <v>#NAME?</v>
      </c>
      <c r="BX41" s="22" t="e">
        <f t="shared" ca="1" si="253"/>
        <v>#NAME?</v>
      </c>
      <c r="BY41" s="22" t="e">
        <f t="shared" ca="1" si="253"/>
        <v>#NAME?</v>
      </c>
      <c r="BZ41" s="22" t="e">
        <f t="shared" ca="1" si="253"/>
        <v>#NAME?</v>
      </c>
      <c r="CA41" s="22" t="e">
        <f t="shared" ca="1" si="253"/>
        <v>#NAME?</v>
      </c>
      <c r="CB41" s="22" t="e">
        <f t="shared" ca="1" si="253"/>
        <v>#NAME?</v>
      </c>
      <c r="CC41" s="22" t="e">
        <f t="shared" ca="1" si="253"/>
        <v>#NAME?</v>
      </c>
      <c r="CD41" s="22" t="e">
        <f t="shared" ca="1" si="253"/>
        <v>#NAME?</v>
      </c>
      <c r="CE41" s="22" t="e">
        <f t="shared" ca="1" si="253"/>
        <v>#NAME?</v>
      </c>
      <c r="CF41" s="22" t="e">
        <f t="shared" ca="1" si="253"/>
        <v>#NAME?</v>
      </c>
      <c r="CG41" s="22" t="e">
        <f t="shared" ca="1" si="253"/>
        <v>#NAME?</v>
      </c>
      <c r="CH41" s="22" t="e">
        <f t="shared" ca="1" si="253"/>
        <v>#NAME?</v>
      </c>
      <c r="CI41" s="22" t="e">
        <f t="shared" ref="CI41:CJ41" ca="1" si="254">+SUM(CI35:CI40)</f>
        <v>#NAME?</v>
      </c>
      <c r="CJ41" s="22" t="e">
        <f t="shared" ca="1" si="254"/>
        <v>#NAME?</v>
      </c>
      <c r="CK41" s="22" t="e">
        <f t="shared" ref="CK41:CL41" ca="1" si="255">+SUM(CK35:CK40)</f>
        <v>#NAME?</v>
      </c>
      <c r="CL41" s="22" t="e">
        <f t="shared" ca="1" si="255"/>
        <v>#NAME?</v>
      </c>
      <c r="CM41" s="21" t="e">
        <f t="shared" ref="CM41:DB41" ca="1" si="256">CM42*CM25</f>
        <v>#NAME?</v>
      </c>
      <c r="CN41" s="21" t="e">
        <f t="shared" ca="1" si="256"/>
        <v>#NAME?</v>
      </c>
      <c r="CO41" s="21" t="e">
        <f t="shared" ca="1" si="256"/>
        <v>#NAME?</v>
      </c>
      <c r="CP41" s="21" t="e">
        <f t="shared" ca="1" si="256"/>
        <v>#NAME?</v>
      </c>
      <c r="CQ41" s="21" t="e">
        <f t="shared" ca="1" si="256"/>
        <v>#NAME?</v>
      </c>
      <c r="CR41" s="21" t="e">
        <f t="shared" ca="1" si="256"/>
        <v>#NAME?</v>
      </c>
      <c r="CS41" s="21" t="e">
        <f t="shared" ca="1" si="256"/>
        <v>#NAME?</v>
      </c>
      <c r="CT41" s="21" t="e">
        <f t="shared" ca="1" si="256"/>
        <v>#NAME?</v>
      </c>
      <c r="CU41" s="21" t="e">
        <f t="shared" ca="1" si="256"/>
        <v>#NAME?</v>
      </c>
      <c r="CV41" s="21" t="e">
        <f t="shared" ca="1" si="256"/>
        <v>#NAME?</v>
      </c>
      <c r="CW41" s="21" t="e">
        <f t="shared" ca="1" si="256"/>
        <v>#NAME?</v>
      </c>
      <c r="CX41" s="21" t="e">
        <f t="shared" ca="1" si="256"/>
        <v>#NAME?</v>
      </c>
      <c r="CY41" s="21" t="e">
        <f t="shared" ca="1" si="256"/>
        <v>#NAME?</v>
      </c>
      <c r="CZ41" s="21" t="e">
        <f t="shared" ca="1" si="256"/>
        <v>#NAME?</v>
      </c>
      <c r="DA41" s="21" t="e">
        <f t="shared" ca="1" si="256"/>
        <v>#NAME?</v>
      </c>
      <c r="DB41" s="21" t="e">
        <f t="shared" ca="1" si="256"/>
        <v>#NAME?</v>
      </c>
      <c r="DE41" s="126"/>
      <c r="DF41" s="22">
        <v>109.57599999999999</v>
      </c>
    </row>
    <row r="42" spans="1:110" s="44" customFormat="1" x14ac:dyDescent="0.2">
      <c r="A42" s="43" t="s">
        <v>349</v>
      </c>
      <c r="B42" s="44" t="e">
        <f t="shared" ref="B42:E42" ca="1" si="257">B41/B25</f>
        <v>#NAME?</v>
      </c>
      <c r="C42" s="44" t="e">
        <f t="shared" ca="1" si="257"/>
        <v>#NAME?</v>
      </c>
      <c r="D42" s="44" t="e">
        <f t="shared" ca="1" si="257"/>
        <v>#NAME?</v>
      </c>
      <c r="E42" s="44" t="e">
        <f t="shared" ca="1" si="257"/>
        <v>#NAME?</v>
      </c>
      <c r="F42" s="44" t="e">
        <f t="shared" ref="F42:AE42" ca="1" si="258">F41/F25</f>
        <v>#NAME?</v>
      </c>
      <c r="G42" s="44" t="e">
        <f t="shared" ca="1" si="258"/>
        <v>#NAME?</v>
      </c>
      <c r="H42" s="44" t="e">
        <f t="shared" ca="1" si="258"/>
        <v>#NAME?</v>
      </c>
      <c r="I42" s="44" t="e">
        <f t="shared" ca="1" si="258"/>
        <v>#NAME?</v>
      </c>
      <c r="J42" s="44" t="e">
        <f t="shared" ca="1" si="258"/>
        <v>#NAME?</v>
      </c>
      <c r="K42" s="44" t="e">
        <f t="shared" ca="1" si="258"/>
        <v>#NAME?</v>
      </c>
      <c r="L42" s="44" t="e">
        <f t="shared" ca="1" si="258"/>
        <v>#NAME?</v>
      </c>
      <c r="M42" s="44" t="e">
        <f t="shared" ca="1" si="258"/>
        <v>#NAME?</v>
      </c>
      <c r="N42" s="44" t="e">
        <f t="shared" ca="1" si="258"/>
        <v>#NAME?</v>
      </c>
      <c r="O42" s="44" t="e">
        <f t="shared" ca="1" si="258"/>
        <v>#NAME?</v>
      </c>
      <c r="P42" s="44" t="e">
        <f t="shared" ca="1" si="258"/>
        <v>#NAME?</v>
      </c>
      <c r="Q42" s="44" t="e">
        <f t="shared" ca="1" si="258"/>
        <v>#NAME?</v>
      </c>
      <c r="R42" s="44" t="e">
        <f t="shared" ca="1" si="258"/>
        <v>#NAME?</v>
      </c>
      <c r="S42" s="44" t="e">
        <f t="shared" ca="1" si="258"/>
        <v>#NAME?</v>
      </c>
      <c r="T42" s="44" t="e">
        <f t="shared" ca="1" si="258"/>
        <v>#NAME?</v>
      </c>
      <c r="U42" s="44" t="e">
        <f t="shared" ca="1" si="258"/>
        <v>#NAME?</v>
      </c>
      <c r="V42" s="44" t="e">
        <f t="shared" ca="1" si="258"/>
        <v>#NAME?</v>
      </c>
      <c r="W42" s="44" t="e">
        <f t="shared" ca="1" si="258"/>
        <v>#NAME?</v>
      </c>
      <c r="X42" s="44" t="e">
        <f t="shared" ca="1" si="258"/>
        <v>#NAME?</v>
      </c>
      <c r="Y42" s="44" t="e">
        <f t="shared" ca="1" si="258"/>
        <v>#NAME?</v>
      </c>
      <c r="Z42" s="44" t="e">
        <f t="shared" ref="Z42:AA42" ca="1" si="259">Z41/Z25</f>
        <v>#NAME?</v>
      </c>
      <c r="AA42" s="44" t="e">
        <f t="shared" ca="1" si="259"/>
        <v>#NAME?</v>
      </c>
      <c r="AB42" s="52" t="e">
        <f t="shared" ca="1" si="258"/>
        <v>#NAME?</v>
      </c>
      <c r="AC42" s="52" t="e">
        <f t="shared" ca="1" si="258"/>
        <v>#NAME?</v>
      </c>
      <c r="AD42" s="52" t="e">
        <f t="shared" ca="1" si="258"/>
        <v>#NAME?</v>
      </c>
      <c r="AE42" s="52" t="e">
        <f t="shared" ca="1" si="258"/>
        <v>#NAME?</v>
      </c>
      <c r="AI42" s="44" t="e">
        <f t="shared" ref="AI42:BN42" ca="1" si="260">AI41/AI25</f>
        <v>#NAME?</v>
      </c>
      <c r="AJ42" s="44" t="e">
        <f t="shared" ca="1" si="260"/>
        <v>#NAME?</v>
      </c>
      <c r="AK42" s="44" t="e">
        <f t="shared" ca="1" si="260"/>
        <v>#NAME?</v>
      </c>
      <c r="AL42" s="44" t="e">
        <f t="shared" ca="1" si="260"/>
        <v>#NAME?</v>
      </c>
      <c r="AM42" s="44" t="e">
        <f t="shared" ca="1" si="260"/>
        <v>#NAME?</v>
      </c>
      <c r="AN42" s="44" t="e">
        <f t="shared" ca="1" si="260"/>
        <v>#NAME?</v>
      </c>
      <c r="AO42" s="44" t="e">
        <f t="shared" ca="1" si="260"/>
        <v>#NAME?</v>
      </c>
      <c r="AP42" s="44" t="e">
        <f t="shared" ca="1" si="260"/>
        <v>#NAME?</v>
      </c>
      <c r="AQ42" s="44" t="e">
        <f t="shared" ca="1" si="260"/>
        <v>#NAME?</v>
      </c>
      <c r="AR42" s="44" t="e">
        <f t="shared" ca="1" si="260"/>
        <v>#NAME?</v>
      </c>
      <c r="AS42" s="44" t="e">
        <f t="shared" ca="1" si="260"/>
        <v>#NAME?</v>
      </c>
      <c r="AT42" s="44" t="e">
        <f t="shared" ca="1" si="260"/>
        <v>#NAME?</v>
      </c>
      <c r="AU42" s="44" t="e">
        <f t="shared" ca="1" si="260"/>
        <v>#NAME?</v>
      </c>
      <c r="AV42" s="44" t="e">
        <f t="shared" ca="1" si="260"/>
        <v>#NAME?</v>
      </c>
      <c r="AW42" s="44" t="e">
        <f t="shared" ca="1" si="260"/>
        <v>#NAME?</v>
      </c>
      <c r="AX42" s="44" t="e">
        <f t="shared" ca="1" si="260"/>
        <v>#NAME?</v>
      </c>
      <c r="AY42" s="44" t="e">
        <f t="shared" ca="1" si="260"/>
        <v>#NAME?</v>
      </c>
      <c r="AZ42" s="44" t="e">
        <f t="shared" ca="1" si="260"/>
        <v>#NAME?</v>
      </c>
      <c r="BA42" s="44" t="e">
        <f t="shared" ca="1" si="260"/>
        <v>#NAME?</v>
      </c>
      <c r="BB42" s="44" t="e">
        <f t="shared" ca="1" si="260"/>
        <v>#NAME?</v>
      </c>
      <c r="BC42" s="44" t="e">
        <f t="shared" ca="1" si="260"/>
        <v>#NAME?</v>
      </c>
      <c r="BD42" s="44" t="e">
        <f t="shared" ca="1" si="260"/>
        <v>#NAME?</v>
      </c>
      <c r="BE42" s="44" t="e">
        <f t="shared" ca="1" si="260"/>
        <v>#NAME?</v>
      </c>
      <c r="BF42" s="44" t="e">
        <f t="shared" ca="1" si="260"/>
        <v>#NAME?</v>
      </c>
      <c r="BG42" s="44" t="e">
        <f t="shared" ca="1" si="260"/>
        <v>#NAME?</v>
      </c>
      <c r="BH42" s="44" t="e">
        <f t="shared" ca="1" si="260"/>
        <v>#NAME?</v>
      </c>
      <c r="BI42" s="44" t="e">
        <f t="shared" ca="1" si="260"/>
        <v>#NAME?</v>
      </c>
      <c r="BJ42" s="44" t="e">
        <f t="shared" ca="1" si="260"/>
        <v>#NAME?</v>
      </c>
      <c r="BK42" s="44" t="e">
        <f t="shared" ca="1" si="260"/>
        <v>#NAME?</v>
      </c>
      <c r="BL42" s="44" t="e">
        <f t="shared" ca="1" si="260"/>
        <v>#NAME?</v>
      </c>
      <c r="BM42" s="44" t="e">
        <f t="shared" ca="1" si="260"/>
        <v>#NAME?</v>
      </c>
      <c r="BN42" s="44" t="e">
        <f t="shared" ca="1" si="260"/>
        <v>#NAME?</v>
      </c>
      <c r="BO42" s="44" t="e">
        <f t="shared" ref="BO42:CH42" ca="1" si="261">BO41/BO25</f>
        <v>#NAME?</v>
      </c>
      <c r="BP42" s="44" t="e">
        <f t="shared" ca="1" si="261"/>
        <v>#NAME?</v>
      </c>
      <c r="BQ42" s="44" t="e">
        <f t="shared" ca="1" si="261"/>
        <v>#NAME?</v>
      </c>
      <c r="BR42" s="44" t="e">
        <f t="shared" ca="1" si="261"/>
        <v>#NAME?</v>
      </c>
      <c r="BS42" s="44" t="e">
        <f t="shared" ca="1" si="261"/>
        <v>#NAME?</v>
      </c>
      <c r="BT42" s="44" t="e">
        <f t="shared" ca="1" si="261"/>
        <v>#NAME?</v>
      </c>
      <c r="BU42" s="44" t="e">
        <f t="shared" ca="1" si="261"/>
        <v>#NAME?</v>
      </c>
      <c r="BV42" s="44" t="e">
        <f t="shared" ca="1" si="261"/>
        <v>#NAME?</v>
      </c>
      <c r="BW42" s="44" t="e">
        <f t="shared" ca="1" si="261"/>
        <v>#NAME?</v>
      </c>
      <c r="BX42" s="44" t="e">
        <f t="shared" ca="1" si="261"/>
        <v>#NAME?</v>
      </c>
      <c r="BY42" s="44" t="e">
        <f t="shared" ca="1" si="261"/>
        <v>#NAME?</v>
      </c>
      <c r="BZ42" s="44" t="e">
        <f t="shared" ca="1" si="261"/>
        <v>#NAME?</v>
      </c>
      <c r="CA42" s="44" t="e">
        <f t="shared" ca="1" si="261"/>
        <v>#NAME?</v>
      </c>
      <c r="CB42" s="44" t="e">
        <f t="shared" ca="1" si="261"/>
        <v>#NAME?</v>
      </c>
      <c r="CC42" s="44" t="e">
        <f t="shared" ca="1" si="261"/>
        <v>#NAME?</v>
      </c>
      <c r="CD42" s="44" t="e">
        <f t="shared" ca="1" si="261"/>
        <v>#NAME?</v>
      </c>
      <c r="CE42" s="44" t="e">
        <f t="shared" ca="1" si="261"/>
        <v>#NAME?</v>
      </c>
      <c r="CF42" s="44" t="e">
        <f t="shared" ca="1" si="261"/>
        <v>#NAME?</v>
      </c>
      <c r="CG42" s="44" t="e">
        <f t="shared" ca="1" si="261"/>
        <v>#NAME?</v>
      </c>
      <c r="CH42" s="44" t="e">
        <f t="shared" ca="1" si="261"/>
        <v>#NAME?</v>
      </c>
      <c r="CI42" s="44" t="e">
        <f t="shared" ref="CI42:CJ42" ca="1" si="262">CI41/CI25</f>
        <v>#NAME?</v>
      </c>
      <c r="CJ42" s="44" t="e">
        <f t="shared" ca="1" si="262"/>
        <v>#NAME?</v>
      </c>
      <c r="CK42" s="44" t="e">
        <f t="shared" ref="CK42:CL42" ca="1" si="263">CK41/CK25</f>
        <v>#NAME?</v>
      </c>
      <c r="CL42" s="44" t="e">
        <f t="shared" ca="1" si="263"/>
        <v>#NAME?</v>
      </c>
      <c r="CM42" s="52" t="e">
        <f t="shared" ref="CM42:DB42" ca="1" si="264">AVERAGE(CI42:CL42)</f>
        <v>#NAME?</v>
      </c>
      <c r="CN42" s="52" t="e">
        <f t="shared" ca="1" si="264"/>
        <v>#NAME?</v>
      </c>
      <c r="CO42" s="52" t="e">
        <f t="shared" ca="1" si="264"/>
        <v>#NAME?</v>
      </c>
      <c r="CP42" s="52" t="e">
        <f t="shared" ca="1" si="264"/>
        <v>#NAME?</v>
      </c>
      <c r="CQ42" s="52" t="e">
        <f t="shared" ca="1" si="264"/>
        <v>#NAME?</v>
      </c>
      <c r="CR42" s="52" t="e">
        <f t="shared" ca="1" si="264"/>
        <v>#NAME?</v>
      </c>
      <c r="CS42" s="52" t="e">
        <f t="shared" ca="1" si="264"/>
        <v>#NAME?</v>
      </c>
      <c r="CT42" s="52" t="e">
        <f t="shared" ca="1" si="264"/>
        <v>#NAME?</v>
      </c>
      <c r="CU42" s="52" t="e">
        <f t="shared" ca="1" si="264"/>
        <v>#NAME?</v>
      </c>
      <c r="CV42" s="52" t="e">
        <f t="shared" ca="1" si="264"/>
        <v>#NAME?</v>
      </c>
      <c r="CW42" s="52" t="e">
        <f t="shared" ca="1" si="264"/>
        <v>#NAME?</v>
      </c>
      <c r="CX42" s="52" t="e">
        <f t="shared" ca="1" si="264"/>
        <v>#NAME?</v>
      </c>
      <c r="CY42" s="52" t="e">
        <f t="shared" ca="1" si="264"/>
        <v>#NAME?</v>
      </c>
      <c r="CZ42" s="52" t="e">
        <f t="shared" ca="1" si="264"/>
        <v>#NAME?</v>
      </c>
      <c r="DA42" s="52" t="e">
        <f t="shared" ca="1" si="264"/>
        <v>#NAME?</v>
      </c>
      <c r="DB42" s="52" t="e">
        <f t="shared" ca="1" si="264"/>
        <v>#NAME?</v>
      </c>
      <c r="DE42" s="128"/>
      <c r="DF42" s="44">
        <v>0.49165219654242548</v>
      </c>
    </row>
    <row r="43" spans="1:110" s="26" customFormat="1" x14ac:dyDescent="0.2">
      <c r="A43" s="34" t="s">
        <v>13</v>
      </c>
      <c r="B43" s="26" t="e">
        <f t="shared" ref="B43:E43" ca="1" si="265">B31-B41</f>
        <v>#NAME?</v>
      </c>
      <c r="C43" s="26" t="e">
        <f t="shared" ca="1" si="265"/>
        <v>#NAME?</v>
      </c>
      <c r="D43" s="26" t="e">
        <f t="shared" ca="1" si="265"/>
        <v>#NAME?</v>
      </c>
      <c r="E43" s="26" t="e">
        <f t="shared" ca="1" si="265"/>
        <v>#NAME?</v>
      </c>
      <c r="F43" s="26" t="e">
        <f t="shared" ref="F43:AE43" ca="1" si="266">F31-F41</f>
        <v>#NAME?</v>
      </c>
      <c r="G43" s="26" t="e">
        <f t="shared" ca="1" si="266"/>
        <v>#NAME?</v>
      </c>
      <c r="H43" s="26" t="e">
        <f t="shared" ca="1" si="266"/>
        <v>#NAME?</v>
      </c>
      <c r="I43" s="26" t="e">
        <f t="shared" ca="1" si="266"/>
        <v>#NAME?</v>
      </c>
      <c r="J43" s="26" t="e">
        <f t="shared" ca="1" si="266"/>
        <v>#NAME?</v>
      </c>
      <c r="K43" s="26" t="e">
        <f t="shared" ca="1" si="266"/>
        <v>#NAME?</v>
      </c>
      <c r="L43" s="26" t="e">
        <f t="shared" ca="1" si="266"/>
        <v>#NAME?</v>
      </c>
      <c r="M43" s="26" t="e">
        <f t="shared" ca="1" si="266"/>
        <v>#NAME?</v>
      </c>
      <c r="N43" s="26" t="e">
        <f t="shared" ca="1" si="266"/>
        <v>#NAME?</v>
      </c>
      <c r="O43" s="26" t="e">
        <f t="shared" ca="1" si="266"/>
        <v>#NAME?</v>
      </c>
      <c r="P43" s="26" t="e">
        <f t="shared" ca="1" si="266"/>
        <v>#NAME?</v>
      </c>
      <c r="Q43" s="26" t="e">
        <f t="shared" ca="1" si="266"/>
        <v>#NAME?</v>
      </c>
      <c r="R43" s="26" t="e">
        <f t="shared" ca="1" si="266"/>
        <v>#NAME?</v>
      </c>
      <c r="S43" s="26" t="e">
        <f t="shared" ca="1" si="266"/>
        <v>#NAME?</v>
      </c>
      <c r="T43" s="26" t="e">
        <f t="shared" ca="1" si="266"/>
        <v>#NAME?</v>
      </c>
      <c r="U43" s="26" t="e">
        <f t="shared" ca="1" si="266"/>
        <v>#NAME?</v>
      </c>
      <c r="V43" s="26" t="e">
        <f t="shared" ca="1" si="266"/>
        <v>#NAME?</v>
      </c>
      <c r="W43" s="26" t="e">
        <f t="shared" ca="1" si="266"/>
        <v>#NAME?</v>
      </c>
      <c r="X43" s="26" t="e">
        <f t="shared" ca="1" si="266"/>
        <v>#NAME?</v>
      </c>
      <c r="Y43" s="26" t="e">
        <f t="shared" ca="1" si="266"/>
        <v>#NAME?</v>
      </c>
      <c r="Z43" s="26" t="e">
        <f t="shared" ref="Z43:AA43" ca="1" si="267">Z31-Z41</f>
        <v>#NAME?</v>
      </c>
      <c r="AA43" s="26" t="e">
        <f t="shared" ca="1" si="267"/>
        <v>#NAME?</v>
      </c>
      <c r="AB43" s="27" t="e">
        <f t="shared" ca="1" si="266"/>
        <v>#NAME?</v>
      </c>
      <c r="AC43" s="27" t="e">
        <f t="shared" ca="1" si="266"/>
        <v>#NAME?</v>
      </c>
      <c r="AD43" s="27" t="e">
        <f t="shared" ca="1" si="266"/>
        <v>#NAME?</v>
      </c>
      <c r="AE43" s="27" t="e">
        <f t="shared" ca="1" si="266"/>
        <v>#NAME?</v>
      </c>
      <c r="AI43" s="26" t="e">
        <f t="shared" ref="AI43:BN43" ca="1" si="268">AI31-AI41</f>
        <v>#NAME?</v>
      </c>
      <c r="AJ43" s="26" t="e">
        <f t="shared" ca="1" si="268"/>
        <v>#NAME?</v>
      </c>
      <c r="AK43" s="26" t="e">
        <f t="shared" ca="1" si="268"/>
        <v>#NAME?</v>
      </c>
      <c r="AL43" s="26" t="e">
        <f t="shared" ca="1" si="268"/>
        <v>#NAME?</v>
      </c>
      <c r="AM43" s="26" t="e">
        <f t="shared" ca="1" si="268"/>
        <v>#NAME?</v>
      </c>
      <c r="AN43" s="26" t="e">
        <f t="shared" ca="1" si="268"/>
        <v>#NAME?</v>
      </c>
      <c r="AO43" s="26" t="e">
        <f t="shared" ca="1" si="268"/>
        <v>#NAME?</v>
      </c>
      <c r="AP43" s="26" t="e">
        <f t="shared" ca="1" si="268"/>
        <v>#NAME?</v>
      </c>
      <c r="AQ43" s="26" t="e">
        <f t="shared" ca="1" si="268"/>
        <v>#NAME?</v>
      </c>
      <c r="AR43" s="26" t="e">
        <f t="shared" ca="1" si="268"/>
        <v>#NAME?</v>
      </c>
      <c r="AS43" s="26" t="e">
        <f t="shared" ca="1" si="268"/>
        <v>#NAME?</v>
      </c>
      <c r="AT43" s="26" t="e">
        <f t="shared" ca="1" si="268"/>
        <v>#NAME?</v>
      </c>
      <c r="AU43" s="26" t="e">
        <f t="shared" ca="1" si="268"/>
        <v>#NAME?</v>
      </c>
      <c r="AV43" s="26" t="e">
        <f t="shared" ca="1" si="268"/>
        <v>#NAME?</v>
      </c>
      <c r="AW43" s="26" t="e">
        <f t="shared" ca="1" si="268"/>
        <v>#NAME?</v>
      </c>
      <c r="AX43" s="26" t="e">
        <f t="shared" ca="1" si="268"/>
        <v>#NAME?</v>
      </c>
      <c r="AY43" s="26" t="e">
        <f t="shared" ca="1" si="268"/>
        <v>#NAME?</v>
      </c>
      <c r="AZ43" s="26" t="e">
        <f t="shared" ca="1" si="268"/>
        <v>#NAME?</v>
      </c>
      <c r="BA43" s="26" t="e">
        <f t="shared" ca="1" si="268"/>
        <v>#NAME?</v>
      </c>
      <c r="BB43" s="26" t="e">
        <f t="shared" ca="1" si="268"/>
        <v>#NAME?</v>
      </c>
      <c r="BC43" s="26" t="e">
        <f t="shared" ca="1" si="268"/>
        <v>#NAME?</v>
      </c>
      <c r="BD43" s="26" t="e">
        <f t="shared" ca="1" si="268"/>
        <v>#NAME?</v>
      </c>
      <c r="BE43" s="26" t="e">
        <f t="shared" ca="1" si="268"/>
        <v>#NAME?</v>
      </c>
      <c r="BF43" s="26" t="e">
        <f t="shared" ca="1" si="268"/>
        <v>#NAME?</v>
      </c>
      <c r="BG43" s="26" t="e">
        <f t="shared" ca="1" si="268"/>
        <v>#NAME?</v>
      </c>
      <c r="BH43" s="26" t="e">
        <f t="shared" ca="1" si="268"/>
        <v>#NAME?</v>
      </c>
      <c r="BI43" s="26" t="e">
        <f t="shared" ca="1" si="268"/>
        <v>#NAME?</v>
      </c>
      <c r="BJ43" s="26" t="e">
        <f t="shared" ca="1" si="268"/>
        <v>#NAME?</v>
      </c>
      <c r="BK43" s="26" t="e">
        <f t="shared" ca="1" si="268"/>
        <v>#NAME?</v>
      </c>
      <c r="BL43" s="26" t="e">
        <f t="shared" ca="1" si="268"/>
        <v>#NAME?</v>
      </c>
      <c r="BM43" s="26" t="e">
        <f t="shared" ca="1" si="268"/>
        <v>#NAME?</v>
      </c>
      <c r="BN43" s="26" t="e">
        <f t="shared" ca="1" si="268"/>
        <v>#NAME?</v>
      </c>
      <c r="BO43" s="26" t="e">
        <f t="shared" ref="BO43:CT43" ca="1" si="269">BO31-BO41</f>
        <v>#NAME?</v>
      </c>
      <c r="BP43" s="26" t="e">
        <f t="shared" ca="1" si="269"/>
        <v>#NAME?</v>
      </c>
      <c r="BQ43" s="26" t="e">
        <f t="shared" ca="1" si="269"/>
        <v>#NAME?</v>
      </c>
      <c r="BR43" s="26" t="e">
        <f t="shared" ca="1" si="269"/>
        <v>#NAME?</v>
      </c>
      <c r="BS43" s="26" t="e">
        <f t="shared" ca="1" si="269"/>
        <v>#NAME?</v>
      </c>
      <c r="BT43" s="26" t="e">
        <f t="shared" ca="1" si="269"/>
        <v>#NAME?</v>
      </c>
      <c r="BU43" s="26" t="e">
        <f t="shared" ca="1" si="269"/>
        <v>#NAME?</v>
      </c>
      <c r="BV43" s="26" t="e">
        <f t="shared" ca="1" si="269"/>
        <v>#NAME?</v>
      </c>
      <c r="BW43" s="26" t="e">
        <f t="shared" ca="1" si="269"/>
        <v>#NAME?</v>
      </c>
      <c r="BX43" s="26" t="e">
        <f t="shared" ca="1" si="269"/>
        <v>#NAME?</v>
      </c>
      <c r="BY43" s="26" t="e">
        <f t="shared" ca="1" si="269"/>
        <v>#NAME?</v>
      </c>
      <c r="BZ43" s="26" t="e">
        <f t="shared" ca="1" si="269"/>
        <v>#NAME?</v>
      </c>
      <c r="CA43" s="26" t="e">
        <f t="shared" ca="1" si="269"/>
        <v>#NAME?</v>
      </c>
      <c r="CB43" s="26" t="e">
        <f t="shared" ca="1" si="269"/>
        <v>#NAME?</v>
      </c>
      <c r="CC43" s="26" t="e">
        <f t="shared" ca="1" si="269"/>
        <v>#NAME?</v>
      </c>
      <c r="CD43" s="26" t="e">
        <f t="shared" ca="1" si="269"/>
        <v>#NAME?</v>
      </c>
      <c r="CE43" s="26" t="e">
        <f t="shared" ca="1" si="269"/>
        <v>#NAME?</v>
      </c>
      <c r="CF43" s="26" t="e">
        <f t="shared" ca="1" si="269"/>
        <v>#NAME?</v>
      </c>
      <c r="CG43" s="26" t="e">
        <f t="shared" ca="1" si="269"/>
        <v>#NAME?</v>
      </c>
      <c r="CH43" s="26" t="e">
        <f t="shared" ca="1" si="269"/>
        <v>#NAME?</v>
      </c>
      <c r="CI43" s="26" t="e">
        <f t="shared" ref="CI43:CJ43" ca="1" si="270">CI31-CI41</f>
        <v>#NAME?</v>
      </c>
      <c r="CJ43" s="26" t="e">
        <f t="shared" ca="1" si="270"/>
        <v>#NAME?</v>
      </c>
      <c r="CK43" s="26" t="e">
        <f t="shared" ref="CK43:CL43" ca="1" si="271">CK31-CK41</f>
        <v>#NAME?</v>
      </c>
      <c r="CL43" s="26" t="e">
        <f t="shared" ca="1" si="271"/>
        <v>#NAME?</v>
      </c>
      <c r="CM43" s="27" t="e">
        <f t="shared" ca="1" si="269"/>
        <v>#NAME?</v>
      </c>
      <c r="CN43" s="27" t="e">
        <f t="shared" ca="1" si="269"/>
        <v>#NAME?</v>
      </c>
      <c r="CO43" s="27" t="e">
        <f t="shared" ca="1" si="269"/>
        <v>#NAME?</v>
      </c>
      <c r="CP43" s="27" t="e">
        <f t="shared" ca="1" si="269"/>
        <v>#NAME?</v>
      </c>
      <c r="CQ43" s="27" t="e">
        <f t="shared" ca="1" si="269"/>
        <v>#NAME?</v>
      </c>
      <c r="CR43" s="27" t="e">
        <f t="shared" ca="1" si="269"/>
        <v>#NAME?</v>
      </c>
      <c r="CS43" s="27" t="e">
        <f t="shared" ca="1" si="269"/>
        <v>#NAME?</v>
      </c>
      <c r="CT43" s="27" t="e">
        <f t="shared" ca="1" si="269"/>
        <v>#NAME?</v>
      </c>
      <c r="CU43" s="27" t="e">
        <f t="shared" ref="CU43:DB43" ca="1" si="272">CU31-CU41</f>
        <v>#NAME?</v>
      </c>
      <c r="CV43" s="27" t="e">
        <f t="shared" ca="1" si="272"/>
        <v>#NAME?</v>
      </c>
      <c r="CW43" s="27" t="e">
        <f t="shared" ca="1" si="272"/>
        <v>#NAME?</v>
      </c>
      <c r="CX43" s="27" t="e">
        <f t="shared" ca="1" si="272"/>
        <v>#NAME?</v>
      </c>
      <c r="CY43" s="27" t="e">
        <f t="shared" ca="1" si="272"/>
        <v>#NAME?</v>
      </c>
      <c r="CZ43" s="27" t="e">
        <f t="shared" ca="1" si="272"/>
        <v>#NAME?</v>
      </c>
      <c r="DA43" s="27" t="e">
        <f t="shared" ca="1" si="272"/>
        <v>#NAME?</v>
      </c>
      <c r="DB43" s="27" t="e">
        <f t="shared" ca="1" si="272"/>
        <v>#NAME?</v>
      </c>
      <c r="DE43" s="121"/>
      <c r="DF43" s="26">
        <v>47.89700000000002</v>
      </c>
    </row>
    <row r="44" spans="1:110" s="168" customFormat="1" x14ac:dyDescent="0.2">
      <c r="A44" s="165" t="s">
        <v>14</v>
      </c>
      <c r="B44" s="166" t="e">
        <f t="shared" ref="B44:E44" ca="1" si="273">B43/B25</f>
        <v>#NAME?</v>
      </c>
      <c r="C44" s="166" t="e">
        <f t="shared" ca="1" si="273"/>
        <v>#NAME?</v>
      </c>
      <c r="D44" s="166" t="e">
        <f t="shared" ca="1" si="273"/>
        <v>#NAME?</v>
      </c>
      <c r="E44" s="166" t="e">
        <f t="shared" ca="1" si="273"/>
        <v>#NAME?</v>
      </c>
      <c r="F44" s="166" t="e">
        <f t="shared" ref="F44:AE44" ca="1" si="274">F43/F25</f>
        <v>#NAME?</v>
      </c>
      <c r="G44" s="166" t="e">
        <f t="shared" ca="1" si="274"/>
        <v>#NAME?</v>
      </c>
      <c r="H44" s="166" t="e">
        <f t="shared" ca="1" si="274"/>
        <v>#NAME?</v>
      </c>
      <c r="I44" s="166" t="e">
        <f t="shared" ca="1" si="274"/>
        <v>#NAME?</v>
      </c>
      <c r="J44" s="166" t="e">
        <f t="shared" ca="1" si="274"/>
        <v>#NAME?</v>
      </c>
      <c r="K44" s="166" t="e">
        <f t="shared" ca="1" si="274"/>
        <v>#NAME?</v>
      </c>
      <c r="L44" s="166" t="e">
        <f t="shared" ca="1" si="274"/>
        <v>#NAME?</v>
      </c>
      <c r="M44" s="166" t="e">
        <f t="shared" ca="1" si="274"/>
        <v>#NAME?</v>
      </c>
      <c r="N44" s="166" t="e">
        <f t="shared" ca="1" si="274"/>
        <v>#NAME?</v>
      </c>
      <c r="O44" s="166" t="e">
        <f t="shared" ca="1" si="274"/>
        <v>#NAME?</v>
      </c>
      <c r="P44" s="166" t="e">
        <f t="shared" ca="1" si="274"/>
        <v>#NAME?</v>
      </c>
      <c r="Q44" s="166" t="e">
        <f t="shared" ca="1" si="274"/>
        <v>#NAME?</v>
      </c>
      <c r="R44" s="166" t="e">
        <f t="shared" ca="1" si="274"/>
        <v>#NAME?</v>
      </c>
      <c r="S44" s="166" t="e">
        <f t="shared" ca="1" si="274"/>
        <v>#NAME?</v>
      </c>
      <c r="T44" s="166" t="e">
        <f t="shared" ca="1" si="274"/>
        <v>#NAME?</v>
      </c>
      <c r="U44" s="166" t="e">
        <f t="shared" ca="1" si="274"/>
        <v>#NAME?</v>
      </c>
      <c r="V44" s="166" t="e">
        <f t="shared" ca="1" si="274"/>
        <v>#NAME?</v>
      </c>
      <c r="W44" s="166" t="e">
        <f t="shared" ca="1" si="274"/>
        <v>#NAME?</v>
      </c>
      <c r="X44" s="166" t="e">
        <f t="shared" ca="1" si="274"/>
        <v>#NAME?</v>
      </c>
      <c r="Y44" s="166" t="e">
        <f t="shared" ca="1" si="274"/>
        <v>#NAME?</v>
      </c>
      <c r="Z44" s="166" t="e">
        <f t="shared" ref="Z44:AA44" ca="1" si="275">Z43/Z25</f>
        <v>#NAME?</v>
      </c>
      <c r="AA44" s="166" t="e">
        <f t="shared" ca="1" si="275"/>
        <v>#NAME?</v>
      </c>
      <c r="AB44" s="167" t="e">
        <f t="shared" ca="1" si="274"/>
        <v>#NAME?</v>
      </c>
      <c r="AC44" s="167" t="e">
        <f t="shared" ca="1" si="274"/>
        <v>#NAME?</v>
      </c>
      <c r="AD44" s="167" t="e">
        <f t="shared" ca="1" si="274"/>
        <v>#NAME?</v>
      </c>
      <c r="AE44" s="167" t="e">
        <f t="shared" ca="1" si="274"/>
        <v>#NAME?</v>
      </c>
      <c r="AI44" s="166" t="e">
        <f t="shared" ref="AI44:BN44" ca="1" si="276">AI43/AI25</f>
        <v>#NAME?</v>
      </c>
      <c r="AJ44" s="166" t="e">
        <f t="shared" ca="1" si="276"/>
        <v>#NAME?</v>
      </c>
      <c r="AK44" s="166" t="e">
        <f t="shared" ca="1" si="276"/>
        <v>#NAME?</v>
      </c>
      <c r="AL44" s="166" t="e">
        <f t="shared" ca="1" si="276"/>
        <v>#NAME?</v>
      </c>
      <c r="AM44" s="166" t="e">
        <f t="shared" ca="1" si="276"/>
        <v>#NAME?</v>
      </c>
      <c r="AN44" s="166" t="e">
        <f t="shared" ca="1" si="276"/>
        <v>#NAME?</v>
      </c>
      <c r="AO44" s="166" t="e">
        <f t="shared" ca="1" si="276"/>
        <v>#NAME?</v>
      </c>
      <c r="AP44" s="166" t="e">
        <f t="shared" ca="1" si="276"/>
        <v>#NAME?</v>
      </c>
      <c r="AQ44" s="166" t="e">
        <f t="shared" ca="1" si="276"/>
        <v>#NAME?</v>
      </c>
      <c r="AR44" s="166" t="e">
        <f t="shared" ca="1" si="276"/>
        <v>#NAME?</v>
      </c>
      <c r="AS44" s="166" t="e">
        <f t="shared" ca="1" si="276"/>
        <v>#NAME?</v>
      </c>
      <c r="AT44" s="166" t="e">
        <f t="shared" ca="1" si="276"/>
        <v>#NAME?</v>
      </c>
      <c r="AU44" s="166" t="e">
        <f t="shared" ca="1" si="276"/>
        <v>#NAME?</v>
      </c>
      <c r="AV44" s="166" t="e">
        <f t="shared" ca="1" si="276"/>
        <v>#NAME?</v>
      </c>
      <c r="AW44" s="166" t="e">
        <f t="shared" ca="1" si="276"/>
        <v>#NAME?</v>
      </c>
      <c r="AX44" s="166" t="e">
        <f t="shared" ca="1" si="276"/>
        <v>#NAME?</v>
      </c>
      <c r="AY44" s="166" t="e">
        <f t="shared" ca="1" si="276"/>
        <v>#NAME?</v>
      </c>
      <c r="AZ44" s="166" t="e">
        <f t="shared" ca="1" si="276"/>
        <v>#NAME?</v>
      </c>
      <c r="BA44" s="166" t="e">
        <f t="shared" ca="1" si="276"/>
        <v>#NAME?</v>
      </c>
      <c r="BB44" s="166" t="e">
        <f t="shared" ca="1" si="276"/>
        <v>#NAME?</v>
      </c>
      <c r="BC44" s="166" t="e">
        <f t="shared" ca="1" si="276"/>
        <v>#NAME?</v>
      </c>
      <c r="BD44" s="166" t="e">
        <f t="shared" ca="1" si="276"/>
        <v>#NAME?</v>
      </c>
      <c r="BE44" s="166" t="e">
        <f t="shared" ca="1" si="276"/>
        <v>#NAME?</v>
      </c>
      <c r="BF44" s="166" t="e">
        <f t="shared" ca="1" si="276"/>
        <v>#NAME?</v>
      </c>
      <c r="BG44" s="166" t="e">
        <f t="shared" ca="1" si="276"/>
        <v>#NAME?</v>
      </c>
      <c r="BH44" s="166" t="e">
        <f t="shared" ca="1" si="276"/>
        <v>#NAME?</v>
      </c>
      <c r="BI44" s="166" t="e">
        <f t="shared" ca="1" si="276"/>
        <v>#NAME?</v>
      </c>
      <c r="BJ44" s="166" t="e">
        <f t="shared" ca="1" si="276"/>
        <v>#NAME?</v>
      </c>
      <c r="BK44" s="166" t="e">
        <f t="shared" ca="1" si="276"/>
        <v>#NAME?</v>
      </c>
      <c r="BL44" s="166" t="e">
        <f t="shared" ca="1" si="276"/>
        <v>#NAME?</v>
      </c>
      <c r="BM44" s="166" t="e">
        <f t="shared" ca="1" si="276"/>
        <v>#NAME?</v>
      </c>
      <c r="BN44" s="166" t="e">
        <f t="shared" ca="1" si="276"/>
        <v>#NAME?</v>
      </c>
      <c r="BO44" s="166" t="e">
        <f t="shared" ref="BO44:CT44" ca="1" si="277">BO43/BO25</f>
        <v>#NAME?</v>
      </c>
      <c r="BP44" s="166" t="e">
        <f t="shared" ca="1" si="277"/>
        <v>#NAME?</v>
      </c>
      <c r="BQ44" s="166" t="e">
        <f t="shared" ca="1" si="277"/>
        <v>#NAME?</v>
      </c>
      <c r="BR44" s="166" t="e">
        <f t="shared" ca="1" si="277"/>
        <v>#NAME?</v>
      </c>
      <c r="BS44" s="166" t="e">
        <f t="shared" ca="1" si="277"/>
        <v>#NAME?</v>
      </c>
      <c r="BT44" s="166" t="e">
        <f t="shared" ca="1" si="277"/>
        <v>#NAME?</v>
      </c>
      <c r="BU44" s="166" t="e">
        <f t="shared" ca="1" si="277"/>
        <v>#NAME?</v>
      </c>
      <c r="BV44" s="166" t="e">
        <f t="shared" ca="1" si="277"/>
        <v>#NAME?</v>
      </c>
      <c r="BW44" s="166" t="e">
        <f t="shared" ca="1" si="277"/>
        <v>#NAME?</v>
      </c>
      <c r="BX44" s="166" t="e">
        <f t="shared" ca="1" si="277"/>
        <v>#NAME?</v>
      </c>
      <c r="BY44" s="166" t="e">
        <f t="shared" ca="1" si="277"/>
        <v>#NAME?</v>
      </c>
      <c r="BZ44" s="166" t="e">
        <f t="shared" ca="1" si="277"/>
        <v>#NAME?</v>
      </c>
      <c r="CA44" s="166" t="e">
        <f t="shared" ca="1" si="277"/>
        <v>#NAME?</v>
      </c>
      <c r="CB44" s="166" t="e">
        <f t="shared" ca="1" si="277"/>
        <v>#NAME?</v>
      </c>
      <c r="CC44" s="166" t="e">
        <f t="shared" ca="1" si="277"/>
        <v>#NAME?</v>
      </c>
      <c r="CD44" s="166" t="e">
        <f t="shared" ca="1" si="277"/>
        <v>#NAME?</v>
      </c>
      <c r="CE44" s="166" t="e">
        <f t="shared" ca="1" si="277"/>
        <v>#NAME?</v>
      </c>
      <c r="CF44" s="166" t="e">
        <f t="shared" ca="1" si="277"/>
        <v>#NAME?</v>
      </c>
      <c r="CG44" s="166" t="e">
        <f t="shared" ca="1" si="277"/>
        <v>#NAME?</v>
      </c>
      <c r="CH44" s="166" t="e">
        <f t="shared" ca="1" si="277"/>
        <v>#NAME?</v>
      </c>
      <c r="CI44" s="166" t="e">
        <f t="shared" ref="CI44:CJ44" ca="1" si="278">CI43/CI25</f>
        <v>#NAME?</v>
      </c>
      <c r="CJ44" s="166" t="e">
        <f t="shared" ca="1" si="278"/>
        <v>#NAME?</v>
      </c>
      <c r="CK44" s="166" t="e">
        <f t="shared" ref="CK44:CL44" ca="1" si="279">CK43/CK25</f>
        <v>#NAME?</v>
      </c>
      <c r="CL44" s="166" t="e">
        <f t="shared" ca="1" si="279"/>
        <v>#NAME?</v>
      </c>
      <c r="CM44" s="167" t="e">
        <f t="shared" ca="1" si="277"/>
        <v>#NAME?</v>
      </c>
      <c r="CN44" s="167" t="e">
        <f t="shared" ca="1" si="277"/>
        <v>#NAME?</v>
      </c>
      <c r="CO44" s="167" t="e">
        <f t="shared" ca="1" si="277"/>
        <v>#NAME?</v>
      </c>
      <c r="CP44" s="167" t="e">
        <f t="shared" ca="1" si="277"/>
        <v>#NAME?</v>
      </c>
      <c r="CQ44" s="167" t="e">
        <f t="shared" ca="1" si="277"/>
        <v>#NAME?</v>
      </c>
      <c r="CR44" s="167" t="e">
        <f t="shared" ca="1" si="277"/>
        <v>#NAME?</v>
      </c>
      <c r="CS44" s="167" t="e">
        <f t="shared" ca="1" si="277"/>
        <v>#NAME?</v>
      </c>
      <c r="CT44" s="167" t="e">
        <f t="shared" ca="1" si="277"/>
        <v>#NAME?</v>
      </c>
      <c r="CU44" s="167" t="e">
        <f t="shared" ref="CU44:DB44" ca="1" si="280">CU43/CU25</f>
        <v>#NAME?</v>
      </c>
      <c r="CV44" s="167" t="e">
        <f t="shared" ca="1" si="280"/>
        <v>#NAME?</v>
      </c>
      <c r="CW44" s="167" t="e">
        <f t="shared" ca="1" si="280"/>
        <v>#NAME?</v>
      </c>
      <c r="CX44" s="167" t="e">
        <f t="shared" ca="1" si="280"/>
        <v>#NAME?</v>
      </c>
      <c r="CY44" s="167" t="e">
        <f t="shared" ca="1" si="280"/>
        <v>#NAME?</v>
      </c>
      <c r="CZ44" s="167" t="e">
        <f t="shared" ca="1" si="280"/>
        <v>#NAME?</v>
      </c>
      <c r="DA44" s="167" t="e">
        <f t="shared" ca="1" si="280"/>
        <v>#NAME?</v>
      </c>
      <c r="DB44" s="167" t="e">
        <f t="shared" ca="1" si="280"/>
        <v>#NAME?</v>
      </c>
      <c r="DE44" s="169"/>
      <c r="DF44" s="168">
        <v>0.21490714442754402</v>
      </c>
    </row>
    <row r="45" spans="1:110" s="38" customFormat="1" x14ac:dyDescent="0.2">
      <c r="A45" s="39" t="s">
        <v>449</v>
      </c>
      <c r="B45" s="39"/>
      <c r="C45" s="39" t="e">
        <f t="shared" ref="C45:E45" ca="1" si="281">+IF(B43&lt;0,1-C43/B43,C43/B43-1)</f>
        <v>#NAME?</v>
      </c>
      <c r="D45" s="39" t="e">
        <f t="shared" ca="1" si="281"/>
        <v>#NAME?</v>
      </c>
      <c r="E45" s="39" t="e">
        <f t="shared" ca="1" si="281"/>
        <v>#NAME?</v>
      </c>
      <c r="F45" s="39" t="e">
        <f t="shared" ref="F45:Y45" ca="1" si="282">+IF(E43&lt;0,1-F43/E43,F43/E43-1)</f>
        <v>#NAME?</v>
      </c>
      <c r="G45" s="39" t="e">
        <f t="shared" ca="1" si="282"/>
        <v>#NAME?</v>
      </c>
      <c r="H45" s="39" t="e">
        <f t="shared" ca="1" si="282"/>
        <v>#NAME?</v>
      </c>
      <c r="I45" s="39" t="e">
        <f t="shared" ca="1" si="282"/>
        <v>#NAME?</v>
      </c>
      <c r="J45" s="39" t="e">
        <f t="shared" ca="1" si="282"/>
        <v>#NAME?</v>
      </c>
      <c r="K45" s="39" t="e">
        <f t="shared" ca="1" si="282"/>
        <v>#NAME?</v>
      </c>
      <c r="L45" s="39" t="e">
        <f t="shared" ca="1" si="282"/>
        <v>#NAME?</v>
      </c>
      <c r="M45" s="39" t="e">
        <f t="shared" ca="1" si="282"/>
        <v>#NAME?</v>
      </c>
      <c r="N45" s="39" t="e">
        <f t="shared" ca="1" si="282"/>
        <v>#NAME?</v>
      </c>
      <c r="O45" s="39" t="e">
        <f t="shared" ca="1" si="282"/>
        <v>#NAME?</v>
      </c>
      <c r="P45" s="39" t="e">
        <f t="shared" ca="1" si="282"/>
        <v>#NAME?</v>
      </c>
      <c r="Q45" s="39" t="e">
        <f t="shared" ca="1" si="282"/>
        <v>#NAME?</v>
      </c>
      <c r="R45" s="39" t="e">
        <f t="shared" ca="1" si="282"/>
        <v>#NAME?</v>
      </c>
      <c r="S45" s="39" t="e">
        <f t="shared" ca="1" si="282"/>
        <v>#NAME?</v>
      </c>
      <c r="T45" s="39" t="e">
        <f t="shared" ca="1" si="282"/>
        <v>#NAME?</v>
      </c>
      <c r="U45" s="39" t="e">
        <f t="shared" ca="1" si="282"/>
        <v>#NAME?</v>
      </c>
      <c r="V45" s="39" t="e">
        <f t="shared" ca="1" si="282"/>
        <v>#NAME?</v>
      </c>
      <c r="W45" s="39" t="e">
        <f t="shared" ca="1" si="282"/>
        <v>#NAME?</v>
      </c>
      <c r="X45" s="39" t="e">
        <f t="shared" ca="1" si="282"/>
        <v>#NAME?</v>
      </c>
      <c r="Y45" s="39" t="e">
        <f t="shared" ca="1" si="282"/>
        <v>#NAME?</v>
      </c>
      <c r="Z45" s="39" t="e">
        <f t="shared" ref="Z45:AE45" ca="1" si="283">+IF(Y43&lt;0,1-Z43/Y43,Z43/Y43-1)</f>
        <v>#NAME?</v>
      </c>
      <c r="AA45" s="39" t="e">
        <f t="shared" ca="1" si="283"/>
        <v>#NAME?</v>
      </c>
      <c r="AB45" s="40" t="e">
        <f t="shared" ca="1" si="283"/>
        <v>#NAME?</v>
      </c>
      <c r="AC45" s="40" t="e">
        <f t="shared" ca="1" si="283"/>
        <v>#NAME?</v>
      </c>
      <c r="AD45" s="40" t="e">
        <f t="shared" ca="1" si="283"/>
        <v>#NAME?</v>
      </c>
      <c r="AE45" s="40" t="e">
        <f t="shared" ca="1" si="283"/>
        <v>#NAME?</v>
      </c>
      <c r="AI45" s="39"/>
      <c r="AJ45" s="39"/>
      <c r="AK45" s="39"/>
      <c r="AL45" s="39"/>
      <c r="AM45" s="39" t="e">
        <f ca="1">+IF(AI43&lt;0,1-AM43/AI43,AM43/AI43-1)</f>
        <v>#NAME?</v>
      </c>
      <c r="AN45" s="39" t="e">
        <f t="shared" ref="AN45" ca="1" si="284">+IF(AJ43&lt;0,1-AN43/AJ43,AN43/AJ43-1)</f>
        <v>#NAME?</v>
      </c>
      <c r="AO45" s="39" t="e">
        <f t="shared" ref="AO45" ca="1" si="285">+IF(AK43&lt;0,1-AO43/AK43,AO43/AK43-1)</f>
        <v>#NAME?</v>
      </c>
      <c r="AP45" s="39" t="e">
        <f t="shared" ref="AP45" ca="1" si="286">+IF(AL43&lt;0,1-AP43/AL43,AP43/AL43-1)</f>
        <v>#NAME?</v>
      </c>
      <c r="AQ45" s="39" t="e">
        <f t="shared" ref="AQ45" ca="1" si="287">+IF(AM43&lt;0,1-AQ43/AM43,AQ43/AM43-1)</f>
        <v>#NAME?</v>
      </c>
      <c r="AR45" s="39" t="e">
        <f t="shared" ref="AR45" ca="1" si="288">+IF(AN43&lt;0,1-AR43/AN43,AR43/AN43-1)</f>
        <v>#NAME?</v>
      </c>
      <c r="AS45" s="39" t="e">
        <f t="shared" ref="AS45" ca="1" si="289">+IF(AO43&lt;0,1-AS43/AO43,AS43/AO43-1)</f>
        <v>#NAME?</v>
      </c>
      <c r="AT45" s="39" t="e">
        <f t="shared" ref="AT45" ca="1" si="290">+IF(AP43&lt;0,1-AT43/AP43,AT43/AP43-1)</f>
        <v>#NAME?</v>
      </c>
      <c r="AU45" s="39" t="e">
        <f t="shared" ref="AU45" ca="1" si="291">+IF(AQ43&lt;0,1-AU43/AQ43,AU43/AQ43-1)</f>
        <v>#NAME?</v>
      </c>
      <c r="AV45" s="39" t="e">
        <f t="shared" ref="AV45" ca="1" si="292">+IF(AR43&lt;0,1-AV43/AR43,AV43/AR43-1)</f>
        <v>#NAME?</v>
      </c>
      <c r="AW45" s="39" t="e">
        <f t="shared" ref="AW45" ca="1" si="293">+IF(AS43&lt;0,1-AW43/AS43,AW43/AS43-1)</f>
        <v>#NAME?</v>
      </c>
      <c r="AX45" s="39" t="e">
        <f t="shared" ref="AX45" ca="1" si="294">+IF(AT43&lt;0,1-AX43/AT43,AX43/AT43-1)</f>
        <v>#NAME?</v>
      </c>
      <c r="AY45" s="39" t="e">
        <f t="shared" ref="AY45" ca="1" si="295">+IF(AU43&lt;0,1-AY43/AU43,AY43/AU43-1)</f>
        <v>#NAME?</v>
      </c>
      <c r="AZ45" s="39" t="e">
        <f t="shared" ref="AZ45" ca="1" si="296">+IF(AV43&lt;0,1-AZ43/AV43,AZ43/AV43-1)</f>
        <v>#NAME?</v>
      </c>
      <c r="BA45" s="39" t="e">
        <f t="shared" ref="BA45" ca="1" si="297">+IF(AW43&lt;0,1-BA43/AW43,BA43/AW43-1)</f>
        <v>#NAME?</v>
      </c>
      <c r="BB45" s="39" t="e">
        <f t="shared" ref="BB45" ca="1" si="298">+IF(AX43&lt;0,1-BB43/AX43,BB43/AX43-1)</f>
        <v>#NAME?</v>
      </c>
      <c r="BC45" s="39" t="e">
        <f t="shared" ref="BC45" ca="1" si="299">+IF(AY43&lt;0,1-BC43/AY43,BC43/AY43-1)</f>
        <v>#NAME?</v>
      </c>
      <c r="BD45" s="39" t="e">
        <f t="shared" ref="BD45" ca="1" si="300">+IF(AZ43&lt;0,1-BD43/AZ43,BD43/AZ43-1)</f>
        <v>#NAME?</v>
      </c>
      <c r="BE45" s="39" t="e">
        <f t="shared" ref="BE45" ca="1" si="301">+IF(BA43&lt;0,1-BE43/BA43,BE43/BA43-1)</f>
        <v>#NAME?</v>
      </c>
      <c r="BF45" s="39" t="e">
        <f t="shared" ref="BF45" ca="1" si="302">+IF(BB43&lt;0,1-BF43/BB43,BF43/BB43-1)</f>
        <v>#NAME?</v>
      </c>
      <c r="BG45" s="39" t="e">
        <f t="shared" ref="BG45" ca="1" si="303">+IF(BC43&lt;0,1-BG43/BC43,BG43/BC43-1)</f>
        <v>#NAME?</v>
      </c>
      <c r="BH45" s="39" t="e">
        <f t="shared" ref="BH45" ca="1" si="304">+IF(BD43&lt;0,1-BH43/BD43,BH43/BD43-1)</f>
        <v>#NAME?</v>
      </c>
      <c r="BI45" s="39" t="e">
        <f t="shared" ref="BI45" ca="1" si="305">+IF(BE43&lt;0,1-BI43/BE43,BI43/BE43-1)</f>
        <v>#NAME?</v>
      </c>
      <c r="BJ45" s="39" t="e">
        <f t="shared" ref="BJ45" ca="1" si="306">+IF(BF43&lt;0,1-BJ43/BF43,BJ43/BF43-1)</f>
        <v>#NAME?</v>
      </c>
      <c r="BK45" s="39" t="e">
        <f t="shared" ref="BK45" ca="1" si="307">+IF(BG43&lt;0,1-BK43/BG43,BK43/BG43-1)</f>
        <v>#NAME?</v>
      </c>
      <c r="BL45" s="39" t="e">
        <f t="shared" ref="BL45" ca="1" si="308">+IF(BH43&lt;0,1-BL43/BH43,BL43/BH43-1)</f>
        <v>#NAME?</v>
      </c>
      <c r="BM45" s="39" t="e">
        <f t="shared" ref="BM45" ca="1" si="309">+IF(BI43&lt;0,1-BM43/BI43,BM43/BI43-1)</f>
        <v>#NAME?</v>
      </c>
      <c r="BN45" s="39" t="e">
        <f t="shared" ref="BN45" ca="1" si="310">+IF(BJ43&lt;0,1-BN43/BJ43,BN43/BJ43-1)</f>
        <v>#NAME?</v>
      </c>
      <c r="BO45" s="39" t="e">
        <f t="shared" ref="BO45" ca="1" si="311">+IF(BK43&lt;0,1-BO43/BK43,BO43/BK43-1)</f>
        <v>#NAME?</v>
      </c>
      <c r="BP45" s="39" t="e">
        <f t="shared" ref="BP45" ca="1" si="312">+IF(BL43&lt;0,1-BP43/BL43,BP43/BL43-1)</f>
        <v>#NAME?</v>
      </c>
      <c r="BQ45" s="39" t="e">
        <f t="shared" ref="BQ45" ca="1" si="313">+IF(BM43&lt;0,1-BQ43/BM43,BQ43/BM43-1)</f>
        <v>#NAME?</v>
      </c>
      <c r="BR45" s="39" t="e">
        <f t="shared" ref="BR45" ca="1" si="314">+IF(BN43&lt;0,1-BR43/BN43,BR43/BN43-1)</f>
        <v>#NAME?</v>
      </c>
      <c r="BS45" s="39" t="e">
        <f t="shared" ref="BS45" ca="1" si="315">+IF(BO43&lt;0,1-BS43/BO43,BS43/BO43-1)</f>
        <v>#NAME?</v>
      </c>
      <c r="BT45" s="39" t="e">
        <f t="shared" ref="BT45" ca="1" si="316">+IF(BP43&lt;0,1-BT43/BP43,BT43/BP43-1)</f>
        <v>#NAME?</v>
      </c>
      <c r="BU45" s="39" t="e">
        <f t="shared" ref="BU45" ca="1" si="317">+IF(BQ43&lt;0,1-BU43/BQ43,BU43/BQ43-1)</f>
        <v>#NAME?</v>
      </c>
      <c r="BV45" s="39" t="e">
        <f t="shared" ref="BV45" ca="1" si="318">+IF(BR43&lt;0,1-BV43/BR43,BV43/BR43-1)</f>
        <v>#NAME?</v>
      </c>
      <c r="BW45" s="39" t="e">
        <f t="shared" ref="BW45" ca="1" si="319">+IF(BS43&lt;0,1-BW43/BS43,BW43/BS43-1)</f>
        <v>#NAME?</v>
      </c>
      <c r="BX45" s="39" t="e">
        <f t="shared" ref="BX45" ca="1" si="320">+IF(BT43&lt;0,1-BX43/BT43,BX43/BT43-1)</f>
        <v>#NAME?</v>
      </c>
      <c r="BY45" s="39" t="e">
        <f t="shared" ref="BY45" ca="1" si="321">+IF(BU43&lt;0,1-BY43/BU43,BY43/BU43-1)</f>
        <v>#NAME?</v>
      </c>
      <c r="BZ45" s="39" t="e">
        <f t="shared" ref="BZ45" ca="1" si="322">+IF(BV43&lt;0,1-BZ43/BV43,BZ43/BV43-1)</f>
        <v>#NAME?</v>
      </c>
      <c r="CA45" s="39" t="e">
        <f t="shared" ref="CA45" ca="1" si="323">+IF(BW43&lt;0,1-CA43/BW43,CA43/BW43-1)</f>
        <v>#NAME?</v>
      </c>
      <c r="CB45" s="39" t="e">
        <f t="shared" ref="CB45" ca="1" si="324">+IF(BX43&lt;0,1-CB43/BX43,CB43/BX43-1)</f>
        <v>#NAME?</v>
      </c>
      <c r="CC45" s="39" t="e">
        <f t="shared" ref="CC45" ca="1" si="325">+IF(BY43&lt;0,1-CC43/BY43,CC43/BY43-1)</f>
        <v>#NAME?</v>
      </c>
      <c r="CD45" s="39" t="e">
        <f t="shared" ref="CD45" ca="1" si="326">+IF(BZ43&lt;0,1-CD43/BZ43,CD43/BZ43-1)</f>
        <v>#NAME?</v>
      </c>
      <c r="CE45" s="39" t="e">
        <f t="shared" ref="CE45" ca="1" si="327">+IF(CA43&lt;0,1-CE43/CA43,CE43/CA43-1)</f>
        <v>#NAME?</v>
      </c>
      <c r="CF45" s="39" t="e">
        <f t="shared" ref="CF45" ca="1" si="328">+IF(CB43&lt;0,1-CF43/CB43,CF43/CB43-1)</f>
        <v>#NAME?</v>
      </c>
      <c r="CG45" s="39" t="e">
        <f t="shared" ref="CG45" ca="1" si="329">+IF(CC43&lt;0,1-CG43/CC43,CG43/CC43-1)</f>
        <v>#NAME?</v>
      </c>
      <c r="CH45" s="39" t="e">
        <f t="shared" ref="CH45:CL45" ca="1" si="330">+IF(CD43&lt;0,1-CH43/CD43,CH43/CD43-1)</f>
        <v>#NAME?</v>
      </c>
      <c r="CI45" s="39" t="e">
        <f t="shared" ca="1" si="330"/>
        <v>#NAME?</v>
      </c>
      <c r="CJ45" s="39" t="e">
        <f t="shared" ca="1" si="330"/>
        <v>#NAME?</v>
      </c>
      <c r="CK45" s="39" t="e">
        <f t="shared" ca="1" si="330"/>
        <v>#NAME?</v>
      </c>
      <c r="CL45" s="39" t="e">
        <f t="shared" ca="1" si="330"/>
        <v>#NAME?</v>
      </c>
      <c r="CM45" s="40" t="e">
        <f t="shared" ref="CM45" ca="1" si="331">+CM43/CI43-1</f>
        <v>#NAME?</v>
      </c>
      <c r="CN45" s="40" t="e">
        <f t="shared" ref="CN45" ca="1" si="332">+CN43/CJ43-1</f>
        <v>#NAME?</v>
      </c>
      <c r="CO45" s="40" t="e">
        <f t="shared" ref="CO45" ca="1" si="333">+CO43/CK43-1</f>
        <v>#NAME?</v>
      </c>
      <c r="CP45" s="40" t="e">
        <f t="shared" ref="CP45" ca="1" si="334">+CP43/CL43-1</f>
        <v>#NAME?</v>
      </c>
      <c r="CQ45" s="40" t="e">
        <f t="shared" ref="CQ45" ca="1" si="335">+CQ43/CM43-1</f>
        <v>#NAME?</v>
      </c>
      <c r="CR45" s="40" t="e">
        <f t="shared" ref="CR45" ca="1" si="336">+CR43/CN43-1</f>
        <v>#NAME?</v>
      </c>
      <c r="CS45" s="40" t="e">
        <f t="shared" ref="CS45" ca="1" si="337">+CS43/CO43-1</f>
        <v>#NAME?</v>
      </c>
      <c r="CT45" s="40" t="e">
        <f t="shared" ref="CT45" ca="1" si="338">+CT43/CP43-1</f>
        <v>#NAME?</v>
      </c>
      <c r="CU45" s="40" t="e">
        <f t="shared" ref="CU45" ca="1" si="339">+CU43/CQ43-1</f>
        <v>#NAME?</v>
      </c>
      <c r="CV45" s="40" t="e">
        <f t="shared" ref="CV45" ca="1" si="340">+CV43/CR43-1</f>
        <v>#NAME?</v>
      </c>
      <c r="CW45" s="40" t="e">
        <f t="shared" ref="CW45" ca="1" si="341">+CW43/CS43-1</f>
        <v>#NAME?</v>
      </c>
      <c r="CX45" s="40" t="e">
        <f t="shared" ref="CX45" ca="1" si="342">+CX43/CT43-1</f>
        <v>#NAME?</v>
      </c>
      <c r="CY45" s="40" t="e">
        <f t="shared" ref="CY45" ca="1" si="343">+CY43/CU43-1</f>
        <v>#NAME?</v>
      </c>
      <c r="CZ45" s="40" t="e">
        <f t="shared" ref="CZ45" ca="1" si="344">+CZ43/CV43-1</f>
        <v>#NAME?</v>
      </c>
      <c r="DA45" s="40" t="e">
        <f t="shared" ref="DA45" ca="1" si="345">+DA43/CW43-1</f>
        <v>#NAME?</v>
      </c>
      <c r="DB45" s="40" t="e">
        <f t="shared" ref="DB45" ca="1" si="346">+DB43/CX43-1</f>
        <v>#NAME?</v>
      </c>
      <c r="DE45" s="122"/>
      <c r="DF45" s="38">
        <v>-0.48220131198297933</v>
      </c>
    </row>
    <row r="46" spans="1:110" s="38" customFormat="1" x14ac:dyDescent="0.2">
      <c r="A46" s="39" t="s">
        <v>450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40"/>
      <c r="AC46" s="40"/>
      <c r="AD46" s="40"/>
      <c r="AE46" s="40"/>
      <c r="AI46" s="39"/>
      <c r="AJ46" s="39" t="e">
        <f ca="1">+IF(AI43&lt;0,1-AJ43/AI43,AJ43/AI43-1)</f>
        <v>#NAME?</v>
      </c>
      <c r="AK46" s="39" t="e">
        <f t="shared" ref="AK46:AM46" ca="1" si="347">+IF(AJ43&lt;0,1-AK43/AJ43,AK43/AJ43-1)</f>
        <v>#NAME?</v>
      </c>
      <c r="AL46" s="39" t="e">
        <f t="shared" ca="1" si="347"/>
        <v>#NAME?</v>
      </c>
      <c r="AM46" s="39" t="e">
        <f t="shared" ca="1" si="347"/>
        <v>#NAME?</v>
      </c>
      <c r="AN46" s="39" t="e">
        <f t="shared" ref="AN46" ca="1" si="348">+IF(AM43&lt;0,1-AN43/AM43,AN43/AM43-1)</f>
        <v>#NAME?</v>
      </c>
      <c r="AO46" s="39" t="e">
        <f t="shared" ref="AO46" ca="1" si="349">+IF(AN43&lt;0,1-AO43/AN43,AO43/AN43-1)</f>
        <v>#NAME?</v>
      </c>
      <c r="AP46" s="39" t="e">
        <f t="shared" ref="AP46" ca="1" si="350">+IF(AO43&lt;0,1-AP43/AO43,AP43/AO43-1)</f>
        <v>#NAME?</v>
      </c>
      <c r="AQ46" s="39" t="e">
        <f t="shared" ref="AQ46" ca="1" si="351">+IF(AP43&lt;0,1-AQ43/AP43,AQ43/AP43-1)</f>
        <v>#NAME?</v>
      </c>
      <c r="AR46" s="39" t="e">
        <f t="shared" ref="AR46" ca="1" si="352">+IF(AQ43&lt;0,1-AR43/AQ43,AR43/AQ43-1)</f>
        <v>#NAME?</v>
      </c>
      <c r="AS46" s="39" t="e">
        <f t="shared" ref="AS46" ca="1" si="353">+IF(AR43&lt;0,1-AS43/AR43,AS43/AR43-1)</f>
        <v>#NAME?</v>
      </c>
      <c r="AT46" s="39" t="e">
        <f t="shared" ref="AT46" ca="1" si="354">+IF(AS43&lt;0,1-AT43/AS43,AT43/AS43-1)</f>
        <v>#NAME?</v>
      </c>
      <c r="AU46" s="39" t="e">
        <f t="shared" ref="AU46" ca="1" si="355">+IF(AT43&lt;0,1-AU43/AT43,AU43/AT43-1)</f>
        <v>#NAME?</v>
      </c>
      <c r="AV46" s="39" t="e">
        <f t="shared" ref="AV46" ca="1" si="356">+IF(AU43&lt;0,1-AV43/AU43,AV43/AU43-1)</f>
        <v>#NAME?</v>
      </c>
      <c r="AW46" s="39" t="e">
        <f t="shared" ref="AW46" ca="1" si="357">+IF(AV43&lt;0,1-AW43/AV43,AW43/AV43-1)</f>
        <v>#NAME?</v>
      </c>
      <c r="AX46" s="39" t="e">
        <f t="shared" ref="AX46" ca="1" si="358">+IF(AW43&lt;0,1-AX43/AW43,AX43/AW43-1)</f>
        <v>#NAME?</v>
      </c>
      <c r="AY46" s="39" t="e">
        <f t="shared" ref="AY46" ca="1" si="359">+IF(AX43&lt;0,1-AY43/AX43,AY43/AX43-1)</f>
        <v>#NAME?</v>
      </c>
      <c r="AZ46" s="39" t="e">
        <f t="shared" ref="AZ46" ca="1" si="360">+IF(AY43&lt;0,1-AZ43/AY43,AZ43/AY43-1)</f>
        <v>#NAME?</v>
      </c>
      <c r="BA46" s="39" t="e">
        <f t="shared" ref="BA46" ca="1" si="361">+IF(AZ43&lt;0,1-BA43/AZ43,BA43/AZ43-1)</f>
        <v>#NAME?</v>
      </c>
      <c r="BB46" s="39" t="e">
        <f t="shared" ref="BB46" ca="1" si="362">+IF(BA43&lt;0,1-BB43/BA43,BB43/BA43-1)</f>
        <v>#NAME?</v>
      </c>
      <c r="BC46" s="39" t="e">
        <f t="shared" ref="BC46" ca="1" si="363">+IF(BB43&lt;0,1-BC43/BB43,BC43/BB43-1)</f>
        <v>#NAME?</v>
      </c>
      <c r="BD46" s="39" t="e">
        <f t="shared" ref="BD46" ca="1" si="364">+IF(BC43&lt;0,1-BD43/BC43,BD43/BC43-1)</f>
        <v>#NAME?</v>
      </c>
      <c r="BE46" s="39" t="e">
        <f t="shared" ref="BE46" ca="1" si="365">+IF(BD43&lt;0,1-BE43/BD43,BE43/BD43-1)</f>
        <v>#NAME?</v>
      </c>
      <c r="BF46" s="39" t="e">
        <f t="shared" ref="BF46" ca="1" si="366">+IF(BE43&lt;0,1-BF43/BE43,BF43/BE43-1)</f>
        <v>#NAME?</v>
      </c>
      <c r="BG46" s="39" t="e">
        <f t="shared" ref="BG46" ca="1" si="367">+IF(BF43&lt;0,1-BG43/BF43,BG43/BF43-1)</f>
        <v>#NAME?</v>
      </c>
      <c r="BH46" s="39" t="e">
        <f t="shared" ref="BH46" ca="1" si="368">+IF(BG43&lt;0,1-BH43/BG43,BH43/BG43-1)</f>
        <v>#NAME?</v>
      </c>
      <c r="BI46" s="39" t="e">
        <f t="shared" ref="BI46" ca="1" si="369">+IF(BH43&lt;0,1-BI43/BH43,BI43/BH43-1)</f>
        <v>#NAME?</v>
      </c>
      <c r="BJ46" s="39" t="e">
        <f t="shared" ref="BJ46" ca="1" si="370">+IF(BI43&lt;0,1-BJ43/BI43,BJ43/BI43-1)</f>
        <v>#NAME?</v>
      </c>
      <c r="BK46" s="39" t="e">
        <f t="shared" ref="BK46" ca="1" si="371">+IF(BJ43&lt;0,1-BK43/BJ43,BK43/BJ43-1)</f>
        <v>#NAME?</v>
      </c>
      <c r="BL46" s="39" t="e">
        <f t="shared" ref="BL46" ca="1" si="372">+IF(BK43&lt;0,1-BL43/BK43,BL43/BK43-1)</f>
        <v>#NAME?</v>
      </c>
      <c r="BM46" s="39" t="e">
        <f t="shared" ref="BM46" ca="1" si="373">+IF(BL43&lt;0,1-BM43/BL43,BM43/BL43-1)</f>
        <v>#NAME?</v>
      </c>
      <c r="BN46" s="39" t="e">
        <f t="shared" ref="BN46" ca="1" si="374">+IF(BM43&lt;0,1-BN43/BM43,BN43/BM43-1)</f>
        <v>#NAME?</v>
      </c>
      <c r="BO46" s="39" t="e">
        <f t="shared" ref="BO46" ca="1" si="375">+IF(BN43&lt;0,1-BO43/BN43,BO43/BN43-1)</f>
        <v>#NAME?</v>
      </c>
      <c r="BP46" s="39" t="e">
        <f t="shared" ref="BP46" ca="1" si="376">+IF(BO43&lt;0,1-BP43/BO43,BP43/BO43-1)</f>
        <v>#NAME?</v>
      </c>
      <c r="BQ46" s="39" t="e">
        <f t="shared" ref="BQ46" ca="1" si="377">+IF(BP43&lt;0,1-BQ43/BP43,BQ43/BP43-1)</f>
        <v>#NAME?</v>
      </c>
      <c r="BR46" s="39" t="e">
        <f t="shared" ref="BR46" ca="1" si="378">+IF(BQ43&lt;0,1-BR43/BQ43,BR43/BQ43-1)</f>
        <v>#NAME?</v>
      </c>
      <c r="BS46" s="39" t="e">
        <f t="shared" ref="BS46" ca="1" si="379">+IF(BR43&lt;0,1-BS43/BR43,BS43/BR43-1)</f>
        <v>#NAME?</v>
      </c>
      <c r="BT46" s="39" t="e">
        <f t="shared" ref="BT46" ca="1" si="380">+IF(BS43&lt;0,1-BT43/BS43,BT43/BS43-1)</f>
        <v>#NAME?</v>
      </c>
      <c r="BU46" s="39" t="e">
        <f t="shared" ref="BU46" ca="1" si="381">+IF(BT43&lt;0,1-BU43/BT43,BU43/BT43-1)</f>
        <v>#NAME?</v>
      </c>
      <c r="BV46" s="39" t="e">
        <f t="shared" ref="BV46" ca="1" si="382">+IF(BU43&lt;0,1-BV43/BU43,BV43/BU43-1)</f>
        <v>#NAME?</v>
      </c>
      <c r="BW46" s="39" t="e">
        <f t="shared" ref="BW46" ca="1" si="383">+IF(BV43&lt;0,1-BW43/BV43,BW43/BV43-1)</f>
        <v>#NAME?</v>
      </c>
      <c r="BX46" s="39" t="e">
        <f t="shared" ref="BX46" ca="1" si="384">+IF(BW43&lt;0,1-BX43/BW43,BX43/BW43-1)</f>
        <v>#NAME?</v>
      </c>
      <c r="BY46" s="39" t="e">
        <f t="shared" ref="BY46" ca="1" si="385">+IF(BX43&lt;0,1-BY43/BX43,BY43/BX43-1)</f>
        <v>#NAME?</v>
      </c>
      <c r="BZ46" s="39" t="e">
        <f t="shared" ref="BZ46" ca="1" si="386">+IF(BY43&lt;0,1-BZ43/BY43,BZ43/BY43-1)</f>
        <v>#NAME?</v>
      </c>
      <c r="CA46" s="39" t="e">
        <f t="shared" ref="CA46" ca="1" si="387">+IF(BZ43&lt;0,1-CA43/BZ43,CA43/BZ43-1)</f>
        <v>#NAME?</v>
      </c>
      <c r="CB46" s="39" t="e">
        <f t="shared" ref="CB46" ca="1" si="388">+IF(CA43&lt;0,1-CB43/CA43,CB43/CA43-1)</f>
        <v>#NAME?</v>
      </c>
      <c r="CC46" s="39" t="e">
        <f t="shared" ref="CC46" ca="1" si="389">+IF(CB43&lt;0,1-CC43/CB43,CC43/CB43-1)</f>
        <v>#NAME?</v>
      </c>
      <c r="CD46" s="39" t="e">
        <f t="shared" ref="CD46" ca="1" si="390">+IF(CC43&lt;0,1-CD43/CC43,CD43/CC43-1)</f>
        <v>#NAME?</v>
      </c>
      <c r="CE46" s="39" t="e">
        <f t="shared" ref="CE46" ca="1" si="391">+IF(CD43&lt;0,1-CE43/CD43,CE43/CD43-1)</f>
        <v>#NAME?</v>
      </c>
      <c r="CF46" s="39" t="e">
        <f t="shared" ref="CF46" ca="1" si="392">+IF(CE43&lt;0,1-CF43/CE43,CF43/CE43-1)</f>
        <v>#NAME?</v>
      </c>
      <c r="CG46" s="39" t="e">
        <f t="shared" ref="CG46" ca="1" si="393">+IF(CF43&lt;0,1-CG43/CF43,CG43/CF43-1)</f>
        <v>#NAME?</v>
      </c>
      <c r="CH46" s="39" t="e">
        <f t="shared" ref="CH46:CI46" ca="1" si="394">+IF(CG43&lt;0,1-CH43/CG43,CH43/CG43-1)</f>
        <v>#NAME?</v>
      </c>
      <c r="CI46" s="39" t="e">
        <f t="shared" ca="1" si="394"/>
        <v>#NAME?</v>
      </c>
      <c r="CJ46" s="39" t="e">
        <f ca="1">+IF(CI43&gt;1,CJ43/CI43-1,1-CJ43/CI43)</f>
        <v>#NAME?</v>
      </c>
      <c r="CK46" s="39" t="e">
        <f ca="1">+IF(CJ43&gt;1,CK43/CJ43-1,1-CK43/CJ43)</f>
        <v>#NAME?</v>
      </c>
      <c r="CL46" s="39" t="e">
        <f ca="1">+IF(CK43&gt;1,CL43/CK43-1,1-CL43/CK43)</f>
        <v>#NAME?</v>
      </c>
      <c r="CM46" s="40" t="e">
        <f t="shared" ref="CM46" ca="1" si="395">+CM43/CL43-1</f>
        <v>#NAME?</v>
      </c>
      <c r="CN46" s="40" t="e">
        <f t="shared" ref="CN46" ca="1" si="396">+CN43/CM43-1</f>
        <v>#NAME?</v>
      </c>
      <c r="CO46" s="40" t="e">
        <f t="shared" ref="CO46" ca="1" si="397">+CO43/CN43-1</f>
        <v>#NAME?</v>
      </c>
      <c r="CP46" s="40" t="e">
        <f t="shared" ref="CP46" ca="1" si="398">+CP43/CO43-1</f>
        <v>#NAME?</v>
      </c>
      <c r="CQ46" s="40" t="e">
        <f t="shared" ref="CQ46" ca="1" si="399">+CQ43/CP43-1</f>
        <v>#NAME?</v>
      </c>
      <c r="CR46" s="40" t="e">
        <f t="shared" ref="CR46" ca="1" si="400">+CR43/CQ43-1</f>
        <v>#NAME?</v>
      </c>
      <c r="CS46" s="40" t="e">
        <f t="shared" ref="CS46" ca="1" si="401">+CS43/CR43-1</f>
        <v>#NAME?</v>
      </c>
      <c r="CT46" s="40" t="e">
        <f t="shared" ref="CT46" ca="1" si="402">+CT43/CS43-1</f>
        <v>#NAME?</v>
      </c>
      <c r="CU46" s="40" t="e">
        <f t="shared" ref="CU46" ca="1" si="403">+CU43/CT43-1</f>
        <v>#NAME?</v>
      </c>
      <c r="CV46" s="40" t="e">
        <f t="shared" ref="CV46" ca="1" si="404">+CV43/CU43-1</f>
        <v>#NAME?</v>
      </c>
      <c r="CW46" s="40" t="e">
        <f t="shared" ref="CW46" ca="1" si="405">+CW43/CV43-1</f>
        <v>#NAME?</v>
      </c>
      <c r="CX46" s="40" t="e">
        <f t="shared" ref="CX46" ca="1" si="406">+CX43/CW43-1</f>
        <v>#NAME?</v>
      </c>
      <c r="CY46" s="40" t="e">
        <f t="shared" ref="CY46" ca="1" si="407">+CY43/CX43-1</f>
        <v>#NAME?</v>
      </c>
      <c r="CZ46" s="40" t="e">
        <f t="shared" ref="CZ46" ca="1" si="408">+CZ43/CY43-1</f>
        <v>#NAME?</v>
      </c>
      <c r="DA46" s="40" t="e">
        <f t="shared" ref="DA46" ca="1" si="409">+DA43/CZ43-1</f>
        <v>#NAME?</v>
      </c>
      <c r="DB46" s="40" t="e">
        <f t="shared" ref="DB46" ca="1" si="410">+DB43/DA43-1</f>
        <v>#NAME?</v>
      </c>
      <c r="DE46" s="122"/>
    </row>
    <row r="47" spans="1:110" s="23" customFormat="1" x14ac:dyDescent="0.2">
      <c r="A47" s="23" t="s">
        <v>15</v>
      </c>
      <c r="B47" s="23" t="e">
        <f ca="1">'Annual Raw'!C27</f>
        <v>#NAME?</v>
      </c>
      <c r="C47" s="23" t="e">
        <f ca="1">'Annual Raw'!D27</f>
        <v>#NAME?</v>
      </c>
      <c r="D47" s="23" t="e">
        <f ca="1">'Annual Raw'!E27</f>
        <v>#NAME?</v>
      </c>
      <c r="E47" s="23" t="e">
        <f ca="1">'Annual Raw'!F27</f>
        <v>#NAME?</v>
      </c>
      <c r="F47" s="23" t="e">
        <f ca="1">'Annual Raw'!G27</f>
        <v>#NAME?</v>
      </c>
      <c r="G47" s="23" t="e">
        <f ca="1">'Annual Raw'!H27</f>
        <v>#NAME?</v>
      </c>
      <c r="H47" s="23" t="e">
        <f ca="1">'Annual Raw'!I27</f>
        <v>#NAME?</v>
      </c>
      <c r="I47" s="23" t="e">
        <f ca="1">'Annual Raw'!J27</f>
        <v>#NAME?</v>
      </c>
      <c r="J47" s="23" t="e">
        <f ca="1">'Annual Raw'!K27</f>
        <v>#NAME?</v>
      </c>
      <c r="K47" s="23" t="e">
        <f ca="1">'Annual Raw'!L27</f>
        <v>#NAME?</v>
      </c>
      <c r="L47" s="23" t="e">
        <f ca="1">'Annual Raw'!M27</f>
        <v>#NAME?</v>
      </c>
      <c r="M47" s="23" t="e">
        <f ca="1">'Annual Raw'!N27</f>
        <v>#NAME?</v>
      </c>
      <c r="N47" s="23" t="e">
        <f ca="1">'Annual Raw'!O27</f>
        <v>#NAME?</v>
      </c>
      <c r="O47" s="23" t="e">
        <f ca="1">'Annual Raw'!P27</f>
        <v>#NAME?</v>
      </c>
      <c r="P47" s="23" t="e">
        <f ca="1">'Annual Raw'!Q27</f>
        <v>#NAME?</v>
      </c>
      <c r="Q47" s="23" t="e">
        <f ca="1">'Annual Raw'!R27</f>
        <v>#NAME?</v>
      </c>
      <c r="R47" s="23" t="e">
        <f ca="1">'Annual Raw'!S27</f>
        <v>#NAME?</v>
      </c>
      <c r="S47" s="23" t="e">
        <f ca="1">'Annual Raw'!T27</f>
        <v>#NAME?</v>
      </c>
      <c r="T47" s="23" t="e">
        <f ca="1">'Annual Raw'!U27</f>
        <v>#NAME?</v>
      </c>
      <c r="U47" s="23" t="e">
        <f ca="1">'Annual Raw'!V27</f>
        <v>#NAME?</v>
      </c>
      <c r="V47" s="23" t="e">
        <f ca="1">'Annual Raw'!W27</f>
        <v>#NAME?</v>
      </c>
      <c r="W47" s="23" t="e">
        <f ca="1">'Annual Raw'!X27</f>
        <v>#NAME?</v>
      </c>
      <c r="X47" s="23" t="e">
        <f ca="1">'Annual Raw'!Y27</f>
        <v>#NAME?</v>
      </c>
      <c r="Y47" s="23" t="e">
        <f ca="1">'Annual Raw'!Z27</f>
        <v>#NAME?</v>
      </c>
      <c r="Z47" s="23" t="e">
        <f ca="1">'Annual Raw'!AA27</f>
        <v>#NAME?</v>
      </c>
      <c r="AA47" s="23" t="e">
        <f ca="1">'Annual Raw'!AB27</f>
        <v>#NAME?</v>
      </c>
      <c r="AB47" s="76" t="e">
        <f ca="1">+SUM(CM47:CP47)</f>
        <v>#NAME?</v>
      </c>
      <c r="AC47" s="76" t="e">
        <f ca="1">+SUM(CQ47:CT47)</f>
        <v>#NAME?</v>
      </c>
      <c r="AD47" s="76" t="e">
        <f ca="1">+SUM(CU47:CX47)</f>
        <v>#NAME?</v>
      </c>
      <c r="AE47" s="76" t="e">
        <f ca="1">+SUM(CY47:DB47)</f>
        <v>#NAME?</v>
      </c>
      <c r="AI47" s="23" t="e">
        <f ca="1">'QTR Raw'!C28</f>
        <v>#NAME?</v>
      </c>
      <c r="AJ47" s="23" t="e">
        <f ca="1">'QTR Raw'!D28</f>
        <v>#NAME?</v>
      </c>
      <c r="AK47" s="23" t="e">
        <f ca="1">'QTR Raw'!E28</f>
        <v>#NAME?</v>
      </c>
      <c r="AL47" s="23" t="e">
        <f ca="1">'QTR Raw'!F28</f>
        <v>#NAME?</v>
      </c>
      <c r="AM47" s="23" t="e">
        <f ca="1">'QTR Raw'!G28</f>
        <v>#NAME?</v>
      </c>
      <c r="AN47" s="23" t="e">
        <f ca="1">'QTR Raw'!H28</f>
        <v>#NAME?</v>
      </c>
      <c r="AO47" s="23" t="e">
        <f ca="1">'QTR Raw'!I28</f>
        <v>#NAME?</v>
      </c>
      <c r="AP47" s="23" t="e">
        <f ca="1">'QTR Raw'!J28</f>
        <v>#NAME?</v>
      </c>
      <c r="AQ47" s="23" t="e">
        <f ca="1">'QTR Raw'!K28</f>
        <v>#NAME?</v>
      </c>
      <c r="AR47" s="23" t="e">
        <f ca="1">'QTR Raw'!L28</f>
        <v>#NAME?</v>
      </c>
      <c r="AS47" s="23" t="e">
        <f ca="1">'QTR Raw'!M28</f>
        <v>#NAME?</v>
      </c>
      <c r="AT47" s="23" t="e">
        <f ca="1">'QTR Raw'!N28</f>
        <v>#NAME?</v>
      </c>
      <c r="AU47" s="23" t="e">
        <f ca="1">'QTR Raw'!O28</f>
        <v>#NAME?</v>
      </c>
      <c r="AV47" s="23" t="e">
        <f ca="1">'QTR Raw'!P28</f>
        <v>#NAME?</v>
      </c>
      <c r="AW47" s="23" t="e">
        <f ca="1">'QTR Raw'!Q28</f>
        <v>#NAME?</v>
      </c>
      <c r="AX47" s="23" t="e">
        <f ca="1">'QTR Raw'!R28</f>
        <v>#NAME?</v>
      </c>
      <c r="AY47" s="23" t="e">
        <f ca="1">'QTR Raw'!S28</f>
        <v>#NAME?</v>
      </c>
      <c r="AZ47" s="23" t="e">
        <f ca="1">'QTR Raw'!T28</f>
        <v>#NAME?</v>
      </c>
      <c r="BA47" s="23" t="e">
        <f ca="1">'QTR Raw'!U28</f>
        <v>#NAME?</v>
      </c>
      <c r="BB47" s="23" t="e">
        <f ca="1">'QTR Raw'!V28</f>
        <v>#NAME?</v>
      </c>
      <c r="BC47" s="23" t="e">
        <f ca="1">'QTR Raw'!W28</f>
        <v>#NAME?</v>
      </c>
      <c r="BD47" s="23" t="e">
        <f ca="1">'QTR Raw'!X28</f>
        <v>#NAME?</v>
      </c>
      <c r="BE47" s="23" t="e">
        <f ca="1">'QTR Raw'!Y28</f>
        <v>#NAME?</v>
      </c>
      <c r="BF47" s="23" t="e">
        <f ca="1">'QTR Raw'!Z28</f>
        <v>#NAME?</v>
      </c>
      <c r="BG47" s="23" t="e">
        <f ca="1">'QTR Raw'!AA28</f>
        <v>#NAME?</v>
      </c>
      <c r="BH47" s="23" t="e">
        <f ca="1">'QTR Raw'!AB28</f>
        <v>#NAME?</v>
      </c>
      <c r="BI47" s="23" t="e">
        <f ca="1">'QTR Raw'!AC28</f>
        <v>#NAME?</v>
      </c>
      <c r="BJ47" s="23" t="e">
        <f ca="1">'QTR Raw'!AD28</f>
        <v>#NAME?</v>
      </c>
      <c r="BK47" s="23" t="e">
        <f ca="1">'QTR Raw'!AE28</f>
        <v>#NAME?</v>
      </c>
      <c r="BL47" s="23" t="e">
        <f ca="1">'QTR Raw'!AF28</f>
        <v>#NAME?</v>
      </c>
      <c r="BM47" s="23" t="e">
        <f ca="1">'QTR Raw'!AG28</f>
        <v>#NAME?</v>
      </c>
      <c r="BN47" s="23" t="e">
        <f ca="1">'QTR Raw'!AH28</f>
        <v>#NAME?</v>
      </c>
      <c r="BO47" s="23" t="e">
        <f ca="1">'QTR Raw'!AI28</f>
        <v>#NAME?</v>
      </c>
      <c r="BP47" s="23" t="e">
        <f ca="1">'QTR Raw'!AJ28</f>
        <v>#NAME?</v>
      </c>
      <c r="BQ47" s="23" t="e">
        <f ca="1">'QTR Raw'!AK28</f>
        <v>#NAME?</v>
      </c>
      <c r="BR47" s="23" t="e">
        <f ca="1">'QTR Raw'!AL28</f>
        <v>#NAME?</v>
      </c>
      <c r="BS47" s="23" t="e">
        <f ca="1">'QTR Raw'!AM28</f>
        <v>#NAME?</v>
      </c>
      <c r="BT47" s="23" t="e">
        <f ca="1">'QTR Raw'!AN28</f>
        <v>#NAME?</v>
      </c>
      <c r="BU47" s="23" t="e">
        <f ca="1">'QTR Raw'!AO28</f>
        <v>#NAME?</v>
      </c>
      <c r="BV47" s="23" t="e">
        <f ca="1">'QTR Raw'!AP28</f>
        <v>#NAME?</v>
      </c>
      <c r="BW47" s="23" t="e">
        <f ca="1">'QTR Raw'!AQ28</f>
        <v>#NAME?</v>
      </c>
      <c r="BX47" s="23" t="e">
        <f ca="1">'QTR Raw'!AR28</f>
        <v>#NAME?</v>
      </c>
      <c r="BY47" s="23" t="e">
        <f ca="1">'QTR Raw'!AS28</f>
        <v>#NAME?</v>
      </c>
      <c r="BZ47" s="23" t="e">
        <f ca="1">'QTR Raw'!AT28</f>
        <v>#NAME?</v>
      </c>
      <c r="CA47" s="23" t="e">
        <f ca="1">'QTR Raw'!AU28</f>
        <v>#NAME?</v>
      </c>
      <c r="CB47" s="23" t="e">
        <f ca="1">'QTR Raw'!AV28</f>
        <v>#NAME?</v>
      </c>
      <c r="CC47" s="23" t="e">
        <f ca="1">'QTR Raw'!AW28</f>
        <v>#NAME?</v>
      </c>
      <c r="CD47" s="23" t="e">
        <f ca="1">'QTR Raw'!AX28</f>
        <v>#NAME?</v>
      </c>
      <c r="CE47" s="23" t="e">
        <f ca="1">'QTR Raw'!AY28</f>
        <v>#NAME?</v>
      </c>
      <c r="CF47" s="23" t="e">
        <f ca="1">'QTR Raw'!AZ28</f>
        <v>#NAME?</v>
      </c>
      <c r="CG47" s="23" t="e">
        <f ca="1">'QTR Raw'!BA28</f>
        <v>#NAME?</v>
      </c>
      <c r="CH47" s="23" t="e">
        <f ca="1">'QTR Raw'!BB28</f>
        <v>#NAME?</v>
      </c>
      <c r="CI47" s="23" t="e">
        <f ca="1">'QTR Raw'!BC28</f>
        <v>#NAME?</v>
      </c>
      <c r="CJ47" s="23" t="e">
        <f ca="1">'QTR Raw'!BD28</f>
        <v>#NAME?</v>
      </c>
      <c r="CK47" s="23" t="e">
        <f ca="1">'QTR Raw'!BE28</f>
        <v>#NAME?</v>
      </c>
      <c r="CL47" s="23" t="e">
        <f ca="1">'QTR Raw'!BF28</f>
        <v>#NAME?</v>
      </c>
      <c r="CM47" s="24" t="e">
        <f t="shared" ref="CM47:DB47" ca="1" si="411">CM48*CL149</f>
        <v>#NAME?</v>
      </c>
      <c r="CN47" s="24" t="e">
        <f t="shared" ca="1" si="411"/>
        <v>#NAME?</v>
      </c>
      <c r="CO47" s="24" t="e">
        <f t="shared" ca="1" si="411"/>
        <v>#NAME?</v>
      </c>
      <c r="CP47" s="24" t="e">
        <f t="shared" ca="1" si="411"/>
        <v>#NAME?</v>
      </c>
      <c r="CQ47" s="24" t="e">
        <f t="shared" ca="1" si="411"/>
        <v>#NAME?</v>
      </c>
      <c r="CR47" s="24" t="e">
        <f t="shared" ca="1" si="411"/>
        <v>#NAME?</v>
      </c>
      <c r="CS47" s="24" t="e">
        <f t="shared" ca="1" si="411"/>
        <v>#NAME?</v>
      </c>
      <c r="CT47" s="24" t="e">
        <f t="shared" ca="1" si="411"/>
        <v>#NAME?</v>
      </c>
      <c r="CU47" s="24" t="e">
        <f t="shared" ca="1" si="411"/>
        <v>#NAME?</v>
      </c>
      <c r="CV47" s="24" t="e">
        <f t="shared" ca="1" si="411"/>
        <v>#NAME?</v>
      </c>
      <c r="CW47" s="24" t="e">
        <f t="shared" ca="1" si="411"/>
        <v>#NAME?</v>
      </c>
      <c r="CX47" s="24" t="e">
        <f t="shared" ca="1" si="411"/>
        <v>#NAME?</v>
      </c>
      <c r="CY47" s="24" t="e">
        <f t="shared" ca="1" si="411"/>
        <v>#NAME?</v>
      </c>
      <c r="CZ47" s="24" t="e">
        <f t="shared" ca="1" si="411"/>
        <v>#NAME?</v>
      </c>
      <c r="DA47" s="24" t="e">
        <f t="shared" ca="1" si="411"/>
        <v>#NAME?</v>
      </c>
      <c r="DB47" s="24" t="e">
        <f t="shared" ca="1" si="411"/>
        <v>#NAME?</v>
      </c>
      <c r="DE47" s="123"/>
      <c r="DF47" s="23">
        <v>20.076000000000001</v>
      </c>
    </row>
    <row r="48" spans="1:110" s="46" customFormat="1" x14ac:dyDescent="0.2">
      <c r="A48" s="46" t="s">
        <v>483</v>
      </c>
      <c r="B48" s="46" t="e">
        <f t="shared" ref="B48:D48" ca="1" si="412">+B47/B149</f>
        <v>#NAME?</v>
      </c>
      <c r="C48" s="46" t="e">
        <f t="shared" ca="1" si="412"/>
        <v>#NAME?</v>
      </c>
      <c r="D48" s="46" t="e">
        <f t="shared" ca="1" si="412"/>
        <v>#NAME?</v>
      </c>
      <c r="E48" s="46" t="e">
        <f t="shared" ref="E48:AE48" ca="1" si="413">+E47/E149</f>
        <v>#NAME?</v>
      </c>
      <c r="F48" s="46" t="e">
        <f t="shared" ca="1" si="413"/>
        <v>#NAME?</v>
      </c>
      <c r="G48" s="46" t="e">
        <f t="shared" ca="1" si="413"/>
        <v>#NAME?</v>
      </c>
      <c r="H48" s="46" t="e">
        <f t="shared" ca="1" si="413"/>
        <v>#NAME?</v>
      </c>
      <c r="I48" s="46" t="e">
        <f t="shared" ca="1" si="413"/>
        <v>#NAME?</v>
      </c>
      <c r="J48" s="46" t="e">
        <f t="shared" ca="1" si="413"/>
        <v>#NAME?</v>
      </c>
      <c r="K48" s="46" t="e">
        <f t="shared" ca="1" si="413"/>
        <v>#NAME?</v>
      </c>
      <c r="L48" s="46" t="e">
        <f t="shared" ca="1" si="413"/>
        <v>#NAME?</v>
      </c>
      <c r="M48" s="46" t="e">
        <f t="shared" ca="1" si="413"/>
        <v>#NAME?</v>
      </c>
      <c r="N48" s="46" t="e">
        <f t="shared" ca="1" si="413"/>
        <v>#NAME?</v>
      </c>
      <c r="O48" s="46" t="e">
        <f t="shared" ca="1" si="413"/>
        <v>#NAME?</v>
      </c>
      <c r="P48" s="46" t="e">
        <f t="shared" ca="1" si="413"/>
        <v>#NAME?</v>
      </c>
      <c r="Q48" s="46" t="e">
        <f t="shared" ca="1" si="413"/>
        <v>#NAME?</v>
      </c>
      <c r="R48" s="46" t="e">
        <f t="shared" ca="1" si="413"/>
        <v>#NAME?</v>
      </c>
      <c r="S48" s="46" t="e">
        <f t="shared" ca="1" si="413"/>
        <v>#NAME?</v>
      </c>
      <c r="T48" s="46" t="e">
        <f t="shared" ca="1" si="413"/>
        <v>#NAME?</v>
      </c>
      <c r="U48" s="46" t="e">
        <f t="shared" ca="1" si="413"/>
        <v>#NAME?</v>
      </c>
      <c r="V48" s="46" t="e">
        <f t="shared" ca="1" si="413"/>
        <v>#NAME?</v>
      </c>
      <c r="W48" s="46" t="e">
        <f t="shared" ca="1" si="413"/>
        <v>#NAME?</v>
      </c>
      <c r="X48" s="46" t="e">
        <f t="shared" ca="1" si="413"/>
        <v>#NAME?</v>
      </c>
      <c r="Y48" s="46" t="e">
        <f t="shared" ca="1" si="413"/>
        <v>#NAME?</v>
      </c>
      <c r="Z48" s="46" t="e">
        <f t="shared" ca="1" si="413"/>
        <v>#NAME?</v>
      </c>
      <c r="AA48" s="46" t="e">
        <f t="shared" ref="AA48" ca="1" si="414">+AA47/AA149</f>
        <v>#NAME?</v>
      </c>
      <c r="AB48" s="110" t="e">
        <f t="shared" ca="1" si="413"/>
        <v>#NAME?</v>
      </c>
      <c r="AC48" s="110" t="e">
        <f t="shared" ca="1" si="413"/>
        <v>#NAME?</v>
      </c>
      <c r="AD48" s="110" t="e">
        <f t="shared" ca="1" si="413"/>
        <v>#NAME?</v>
      </c>
      <c r="AE48" s="110" t="e">
        <f t="shared" ca="1" si="413"/>
        <v>#NAME?</v>
      </c>
      <c r="AI48" s="46" t="e">
        <f t="shared" ref="AI48:BN48" ca="1" si="415">+AI47/AH149</f>
        <v>#NAME?</v>
      </c>
      <c r="AJ48" s="46" t="e">
        <f t="shared" ca="1" si="415"/>
        <v>#NAME?</v>
      </c>
      <c r="AK48" s="46" t="e">
        <f t="shared" ca="1" si="415"/>
        <v>#NAME?</v>
      </c>
      <c r="AL48" s="46" t="e">
        <f t="shared" ca="1" si="415"/>
        <v>#NAME?</v>
      </c>
      <c r="AM48" s="46" t="e">
        <f t="shared" ca="1" si="415"/>
        <v>#NAME?</v>
      </c>
      <c r="AN48" s="46" t="e">
        <f t="shared" ca="1" si="415"/>
        <v>#NAME?</v>
      </c>
      <c r="AO48" s="46" t="e">
        <f t="shared" ca="1" si="415"/>
        <v>#NAME?</v>
      </c>
      <c r="AP48" s="46" t="e">
        <f t="shared" ca="1" si="415"/>
        <v>#NAME?</v>
      </c>
      <c r="AQ48" s="46" t="e">
        <f t="shared" ca="1" si="415"/>
        <v>#NAME?</v>
      </c>
      <c r="AR48" s="46" t="e">
        <f t="shared" ca="1" si="415"/>
        <v>#NAME?</v>
      </c>
      <c r="AS48" s="46" t="e">
        <f t="shared" ca="1" si="415"/>
        <v>#NAME?</v>
      </c>
      <c r="AT48" s="46" t="e">
        <f t="shared" ca="1" si="415"/>
        <v>#NAME?</v>
      </c>
      <c r="AU48" s="46" t="e">
        <f t="shared" ca="1" si="415"/>
        <v>#NAME?</v>
      </c>
      <c r="AV48" s="46" t="e">
        <f t="shared" ca="1" si="415"/>
        <v>#NAME?</v>
      </c>
      <c r="AW48" s="46" t="e">
        <f t="shared" ca="1" si="415"/>
        <v>#NAME?</v>
      </c>
      <c r="AX48" s="46" t="e">
        <f t="shared" ca="1" si="415"/>
        <v>#NAME?</v>
      </c>
      <c r="AY48" s="46" t="e">
        <f t="shared" ca="1" si="415"/>
        <v>#NAME?</v>
      </c>
      <c r="AZ48" s="46" t="e">
        <f t="shared" ca="1" si="415"/>
        <v>#NAME?</v>
      </c>
      <c r="BA48" s="46" t="e">
        <f t="shared" ca="1" si="415"/>
        <v>#NAME?</v>
      </c>
      <c r="BB48" s="46" t="e">
        <f t="shared" ca="1" si="415"/>
        <v>#NAME?</v>
      </c>
      <c r="BC48" s="46" t="e">
        <f t="shared" ca="1" si="415"/>
        <v>#NAME?</v>
      </c>
      <c r="BD48" s="46" t="e">
        <f t="shared" ca="1" si="415"/>
        <v>#NAME?</v>
      </c>
      <c r="BE48" s="46" t="e">
        <f t="shared" ca="1" si="415"/>
        <v>#NAME?</v>
      </c>
      <c r="BF48" s="46" t="e">
        <f t="shared" ca="1" si="415"/>
        <v>#NAME?</v>
      </c>
      <c r="BG48" s="46" t="e">
        <f t="shared" ca="1" si="415"/>
        <v>#NAME?</v>
      </c>
      <c r="BH48" s="46" t="e">
        <f t="shared" ca="1" si="415"/>
        <v>#NAME?</v>
      </c>
      <c r="BI48" s="46" t="e">
        <f t="shared" ca="1" si="415"/>
        <v>#NAME?</v>
      </c>
      <c r="BJ48" s="46" t="e">
        <f t="shared" ca="1" si="415"/>
        <v>#NAME?</v>
      </c>
      <c r="BK48" s="46" t="e">
        <f t="shared" ca="1" si="415"/>
        <v>#NAME?</v>
      </c>
      <c r="BL48" s="46" t="e">
        <f t="shared" ca="1" si="415"/>
        <v>#NAME?</v>
      </c>
      <c r="BM48" s="46" t="e">
        <f t="shared" ca="1" si="415"/>
        <v>#NAME?</v>
      </c>
      <c r="BN48" s="46" t="e">
        <f t="shared" ca="1" si="415"/>
        <v>#NAME?</v>
      </c>
      <c r="BO48" s="46" t="e">
        <f t="shared" ref="BO48:CL48" ca="1" si="416">+BO47/BN149</f>
        <v>#NAME?</v>
      </c>
      <c r="BP48" s="46" t="e">
        <f t="shared" ca="1" si="416"/>
        <v>#NAME?</v>
      </c>
      <c r="BQ48" s="46" t="e">
        <f t="shared" ca="1" si="416"/>
        <v>#NAME?</v>
      </c>
      <c r="BR48" s="46" t="e">
        <f t="shared" ca="1" si="416"/>
        <v>#NAME?</v>
      </c>
      <c r="BS48" s="46" t="e">
        <f t="shared" ca="1" si="416"/>
        <v>#NAME?</v>
      </c>
      <c r="BT48" s="46" t="e">
        <f t="shared" ca="1" si="416"/>
        <v>#NAME?</v>
      </c>
      <c r="BU48" s="46" t="e">
        <f t="shared" ca="1" si="416"/>
        <v>#NAME?</v>
      </c>
      <c r="BV48" s="46" t="e">
        <f t="shared" ca="1" si="416"/>
        <v>#NAME?</v>
      </c>
      <c r="BW48" s="46" t="e">
        <f t="shared" ca="1" si="416"/>
        <v>#NAME?</v>
      </c>
      <c r="BX48" s="46" t="e">
        <f t="shared" ca="1" si="416"/>
        <v>#NAME?</v>
      </c>
      <c r="BY48" s="46" t="e">
        <f t="shared" ca="1" si="416"/>
        <v>#NAME?</v>
      </c>
      <c r="BZ48" s="46" t="e">
        <f t="shared" ca="1" si="416"/>
        <v>#NAME?</v>
      </c>
      <c r="CA48" s="46" t="e">
        <f t="shared" ca="1" si="416"/>
        <v>#NAME?</v>
      </c>
      <c r="CB48" s="46" t="e">
        <f t="shared" ca="1" si="416"/>
        <v>#NAME?</v>
      </c>
      <c r="CC48" s="46" t="e">
        <f t="shared" ca="1" si="416"/>
        <v>#NAME?</v>
      </c>
      <c r="CD48" s="46" t="e">
        <f t="shared" ca="1" si="416"/>
        <v>#NAME?</v>
      </c>
      <c r="CE48" s="46" t="e">
        <f t="shared" ca="1" si="416"/>
        <v>#NAME?</v>
      </c>
      <c r="CF48" s="46" t="e">
        <f t="shared" ca="1" si="416"/>
        <v>#NAME?</v>
      </c>
      <c r="CG48" s="46" t="e">
        <f t="shared" ca="1" si="416"/>
        <v>#NAME?</v>
      </c>
      <c r="CH48" s="46" t="e">
        <f t="shared" ca="1" si="416"/>
        <v>#NAME?</v>
      </c>
      <c r="CI48" s="46" t="e">
        <f t="shared" ca="1" si="416"/>
        <v>#NAME?</v>
      </c>
      <c r="CJ48" s="46" t="e">
        <f t="shared" ca="1" si="416"/>
        <v>#NAME?</v>
      </c>
      <c r="CK48" s="46" t="e">
        <f t="shared" ca="1" si="416"/>
        <v>#NAME?</v>
      </c>
      <c r="CL48" s="46" t="e">
        <f t="shared" ca="1" si="416"/>
        <v>#NAME?</v>
      </c>
      <c r="CM48" s="47" t="e">
        <f t="shared" ref="CM48" ca="1" si="417">CL48</f>
        <v>#NAME?</v>
      </c>
      <c r="CN48" s="47" t="e">
        <f t="shared" ref="CN48" ca="1" si="418">CM48</f>
        <v>#NAME?</v>
      </c>
      <c r="CO48" s="47" t="e">
        <f t="shared" ref="CO48" ca="1" si="419">CN48</f>
        <v>#NAME?</v>
      </c>
      <c r="CP48" s="47" t="e">
        <f t="shared" ref="CP48" ca="1" si="420">CO48</f>
        <v>#NAME?</v>
      </c>
      <c r="CQ48" s="47" t="e">
        <f t="shared" ref="CQ48" ca="1" si="421">CP48</f>
        <v>#NAME?</v>
      </c>
      <c r="CR48" s="47" t="e">
        <f t="shared" ref="CR48" ca="1" si="422">CQ48</f>
        <v>#NAME?</v>
      </c>
      <c r="CS48" s="47" t="e">
        <f t="shared" ref="CS48" ca="1" si="423">CR48</f>
        <v>#NAME?</v>
      </c>
      <c r="CT48" s="47" t="e">
        <f t="shared" ref="CT48" ca="1" si="424">CS48</f>
        <v>#NAME?</v>
      </c>
      <c r="CU48" s="47" t="e">
        <f t="shared" ref="CU48" ca="1" si="425">CT48</f>
        <v>#NAME?</v>
      </c>
      <c r="CV48" s="47" t="e">
        <f t="shared" ref="CV48" ca="1" si="426">CU48</f>
        <v>#NAME?</v>
      </c>
      <c r="CW48" s="47" t="e">
        <f t="shared" ref="CW48" ca="1" si="427">CV48</f>
        <v>#NAME?</v>
      </c>
      <c r="CX48" s="47" t="e">
        <f t="shared" ref="CX48" ca="1" si="428">CW48</f>
        <v>#NAME?</v>
      </c>
      <c r="CY48" s="47" t="e">
        <f t="shared" ref="CY48" ca="1" si="429">CX48</f>
        <v>#NAME?</v>
      </c>
      <c r="CZ48" s="47" t="e">
        <f t="shared" ref="CZ48" ca="1" si="430">CY48</f>
        <v>#NAME?</v>
      </c>
      <c r="DA48" s="47" t="e">
        <f t="shared" ref="DA48" ca="1" si="431">CZ48</f>
        <v>#NAME?</v>
      </c>
      <c r="DB48" s="47" t="e">
        <f t="shared" ref="DB48" ca="1" si="432">DA48</f>
        <v>#NAME?</v>
      </c>
      <c r="DE48" s="130"/>
      <c r="DF48" s="46">
        <v>0.11080815551557033</v>
      </c>
    </row>
    <row r="49" spans="1:110" s="26" customFormat="1" x14ac:dyDescent="0.2">
      <c r="A49" s="34" t="s">
        <v>16</v>
      </c>
      <c r="B49" s="26" t="e">
        <f ca="1">B43-B47</f>
        <v>#NAME?</v>
      </c>
      <c r="C49" s="26" t="e">
        <f t="shared" ref="C49:T49" ca="1" si="433">C43-C47</f>
        <v>#NAME?</v>
      </c>
      <c r="D49" s="26" t="e">
        <f ca="1">D43-D47</f>
        <v>#NAME?</v>
      </c>
      <c r="E49" s="26" t="e">
        <f t="shared" ca="1" si="433"/>
        <v>#NAME?</v>
      </c>
      <c r="F49" s="26" t="e">
        <f t="shared" ca="1" si="433"/>
        <v>#NAME?</v>
      </c>
      <c r="G49" s="26" t="e">
        <f t="shared" ca="1" si="433"/>
        <v>#NAME?</v>
      </c>
      <c r="H49" s="26" t="e">
        <f t="shared" ca="1" si="433"/>
        <v>#NAME?</v>
      </c>
      <c r="I49" s="26" t="e">
        <f t="shared" ca="1" si="433"/>
        <v>#NAME?</v>
      </c>
      <c r="J49" s="26" t="e">
        <f t="shared" ca="1" si="433"/>
        <v>#NAME?</v>
      </c>
      <c r="K49" s="26" t="e">
        <f t="shared" ca="1" si="433"/>
        <v>#NAME?</v>
      </c>
      <c r="L49" s="26" t="e">
        <f t="shared" ca="1" si="433"/>
        <v>#NAME?</v>
      </c>
      <c r="M49" s="26" t="e">
        <f t="shared" ca="1" si="433"/>
        <v>#NAME?</v>
      </c>
      <c r="N49" s="26" t="e">
        <f t="shared" ca="1" si="433"/>
        <v>#NAME?</v>
      </c>
      <c r="O49" s="26" t="e">
        <f t="shared" ca="1" si="433"/>
        <v>#NAME?</v>
      </c>
      <c r="P49" s="26" t="e">
        <f t="shared" ca="1" si="433"/>
        <v>#NAME?</v>
      </c>
      <c r="Q49" s="26" t="e">
        <f t="shared" ca="1" si="433"/>
        <v>#NAME?</v>
      </c>
      <c r="R49" s="26" t="e">
        <f t="shared" ca="1" si="433"/>
        <v>#NAME?</v>
      </c>
      <c r="S49" s="26" t="e">
        <f t="shared" ca="1" si="433"/>
        <v>#NAME?</v>
      </c>
      <c r="T49" s="26" t="e">
        <f t="shared" ca="1" si="433"/>
        <v>#NAME?</v>
      </c>
      <c r="U49" s="26" t="e">
        <f t="shared" ref="U49:Z49" ca="1" si="434">U43-U47</f>
        <v>#NAME?</v>
      </c>
      <c r="V49" s="26" t="e">
        <f t="shared" ca="1" si="434"/>
        <v>#NAME?</v>
      </c>
      <c r="W49" s="26" t="e">
        <f t="shared" ca="1" si="434"/>
        <v>#NAME?</v>
      </c>
      <c r="X49" s="26" t="e">
        <f t="shared" ca="1" si="434"/>
        <v>#NAME?</v>
      </c>
      <c r="Y49" s="26" t="e">
        <f t="shared" ca="1" si="434"/>
        <v>#NAME?</v>
      </c>
      <c r="Z49" s="26" t="e">
        <f t="shared" ca="1" si="434"/>
        <v>#NAME?</v>
      </c>
      <c r="AA49" s="26" t="e">
        <f t="shared" ref="AA49" ca="1" si="435">AA43-AA47</f>
        <v>#NAME?</v>
      </c>
      <c r="AB49" s="27" t="e">
        <f t="shared" ref="AA49:AD49" ca="1" si="436">AB43-AB47</f>
        <v>#NAME?</v>
      </c>
      <c r="AC49" s="27" t="e">
        <f t="shared" ca="1" si="436"/>
        <v>#NAME?</v>
      </c>
      <c r="AD49" s="27" t="e">
        <f t="shared" ca="1" si="436"/>
        <v>#NAME?</v>
      </c>
      <c r="AE49" s="27" t="e">
        <f t="shared" ref="AE49" ca="1" si="437">AE43-AE47</f>
        <v>#NAME?</v>
      </c>
      <c r="AI49" s="26" t="e">
        <f t="shared" ref="AI49" ca="1" si="438">AI43-AI47</f>
        <v>#NAME?</v>
      </c>
      <c r="AJ49" s="26" t="e">
        <f t="shared" ref="AJ49" ca="1" si="439">AJ43-AJ47</f>
        <v>#NAME?</v>
      </c>
      <c r="AK49" s="26" t="e">
        <f t="shared" ref="AK49:AM49" ca="1" si="440">AK43-AK47</f>
        <v>#NAME?</v>
      </c>
      <c r="AL49" s="26" t="e">
        <f t="shared" ca="1" si="440"/>
        <v>#NAME?</v>
      </c>
      <c r="AM49" s="26" t="e">
        <f t="shared" ca="1" si="440"/>
        <v>#NAME?</v>
      </c>
      <c r="AN49" s="26" t="e">
        <f t="shared" ref="AN49:AO49" ca="1" si="441">AN43-AN47</f>
        <v>#NAME?</v>
      </c>
      <c r="AO49" s="26" t="e">
        <f t="shared" ca="1" si="441"/>
        <v>#NAME?</v>
      </c>
      <c r="AP49" s="26" t="e">
        <f t="shared" ref="AP49:CD49" ca="1" si="442">AP43-AP47</f>
        <v>#NAME?</v>
      </c>
      <c r="AQ49" s="26" t="e">
        <f t="shared" ca="1" si="442"/>
        <v>#NAME?</v>
      </c>
      <c r="AR49" s="26" t="e">
        <f t="shared" ca="1" si="442"/>
        <v>#NAME?</v>
      </c>
      <c r="AS49" s="26" t="e">
        <f t="shared" ca="1" si="442"/>
        <v>#NAME?</v>
      </c>
      <c r="AT49" s="26" t="e">
        <f t="shared" ca="1" si="442"/>
        <v>#NAME?</v>
      </c>
      <c r="AU49" s="26" t="e">
        <f t="shared" ca="1" si="442"/>
        <v>#NAME?</v>
      </c>
      <c r="AV49" s="26" t="e">
        <f t="shared" ca="1" si="442"/>
        <v>#NAME?</v>
      </c>
      <c r="AW49" s="26" t="e">
        <f t="shared" ca="1" si="442"/>
        <v>#NAME?</v>
      </c>
      <c r="AX49" s="26" t="e">
        <f t="shared" ca="1" si="442"/>
        <v>#NAME?</v>
      </c>
      <c r="AY49" s="26" t="e">
        <f t="shared" ca="1" si="442"/>
        <v>#NAME?</v>
      </c>
      <c r="AZ49" s="26" t="e">
        <f t="shared" ca="1" si="442"/>
        <v>#NAME?</v>
      </c>
      <c r="BA49" s="26" t="e">
        <f t="shared" ca="1" si="442"/>
        <v>#NAME?</v>
      </c>
      <c r="BB49" s="26" t="e">
        <f t="shared" ca="1" si="442"/>
        <v>#NAME?</v>
      </c>
      <c r="BC49" s="26" t="e">
        <f t="shared" ca="1" si="442"/>
        <v>#NAME?</v>
      </c>
      <c r="BD49" s="26" t="e">
        <f t="shared" ca="1" si="442"/>
        <v>#NAME?</v>
      </c>
      <c r="BE49" s="26" t="e">
        <f t="shared" ca="1" si="442"/>
        <v>#NAME?</v>
      </c>
      <c r="BF49" s="26" t="e">
        <f t="shared" ca="1" si="442"/>
        <v>#NAME?</v>
      </c>
      <c r="BG49" s="26" t="e">
        <f t="shared" ca="1" si="442"/>
        <v>#NAME?</v>
      </c>
      <c r="BH49" s="26" t="e">
        <f t="shared" ca="1" si="442"/>
        <v>#NAME?</v>
      </c>
      <c r="BI49" s="26" t="e">
        <f t="shared" ca="1" si="442"/>
        <v>#NAME?</v>
      </c>
      <c r="BJ49" s="26" t="e">
        <f t="shared" ca="1" si="442"/>
        <v>#NAME?</v>
      </c>
      <c r="BK49" s="26" t="e">
        <f t="shared" ca="1" si="442"/>
        <v>#NAME?</v>
      </c>
      <c r="BL49" s="26" t="e">
        <f t="shared" ca="1" si="442"/>
        <v>#NAME?</v>
      </c>
      <c r="BM49" s="26" t="e">
        <f t="shared" ca="1" si="442"/>
        <v>#NAME?</v>
      </c>
      <c r="BN49" s="26" t="e">
        <f t="shared" ca="1" si="442"/>
        <v>#NAME?</v>
      </c>
      <c r="BO49" s="26" t="e">
        <f t="shared" ca="1" si="442"/>
        <v>#NAME?</v>
      </c>
      <c r="BP49" s="26" t="e">
        <f t="shared" ca="1" si="442"/>
        <v>#NAME?</v>
      </c>
      <c r="BQ49" s="26" t="e">
        <f t="shared" ca="1" si="442"/>
        <v>#NAME?</v>
      </c>
      <c r="BR49" s="26" t="e">
        <f t="shared" ca="1" si="442"/>
        <v>#NAME?</v>
      </c>
      <c r="BS49" s="26" t="e">
        <f t="shared" ca="1" si="442"/>
        <v>#NAME?</v>
      </c>
      <c r="BT49" s="26" t="e">
        <f t="shared" ca="1" si="442"/>
        <v>#NAME?</v>
      </c>
      <c r="BU49" s="26" t="e">
        <f t="shared" ca="1" si="442"/>
        <v>#NAME?</v>
      </c>
      <c r="BV49" s="26" t="e">
        <f t="shared" ca="1" si="442"/>
        <v>#NAME?</v>
      </c>
      <c r="BW49" s="26" t="e">
        <f t="shared" ca="1" si="442"/>
        <v>#NAME?</v>
      </c>
      <c r="BX49" s="26" t="e">
        <f t="shared" ca="1" si="442"/>
        <v>#NAME?</v>
      </c>
      <c r="BY49" s="26" t="e">
        <f t="shared" ca="1" si="442"/>
        <v>#NAME?</v>
      </c>
      <c r="BZ49" s="26" t="e">
        <f t="shared" ca="1" si="442"/>
        <v>#NAME?</v>
      </c>
      <c r="CA49" s="26" t="e">
        <f t="shared" ca="1" si="442"/>
        <v>#NAME?</v>
      </c>
      <c r="CB49" s="26" t="e">
        <f t="shared" ca="1" si="442"/>
        <v>#NAME?</v>
      </c>
      <c r="CC49" s="26" t="e">
        <f t="shared" ca="1" si="442"/>
        <v>#NAME?</v>
      </c>
      <c r="CD49" s="26" t="e">
        <f t="shared" ca="1" si="442"/>
        <v>#NAME?</v>
      </c>
      <c r="CE49" s="26" t="e">
        <f t="shared" ref="CE49:CF49" ca="1" si="443">CE43-CE47</f>
        <v>#NAME?</v>
      </c>
      <c r="CF49" s="26" t="e">
        <f t="shared" ca="1" si="443"/>
        <v>#NAME?</v>
      </c>
      <c r="CG49" s="26" t="e">
        <f t="shared" ref="CG49:CH49" ca="1" si="444">CG43-CG47</f>
        <v>#NAME?</v>
      </c>
      <c r="CH49" s="26" t="e">
        <f t="shared" ca="1" si="444"/>
        <v>#NAME?</v>
      </c>
      <c r="CI49" s="26" t="e">
        <f t="shared" ref="CI49:CJ49" ca="1" si="445">CI43-CI47</f>
        <v>#NAME?</v>
      </c>
      <c r="CJ49" s="26" t="e">
        <f t="shared" ca="1" si="445"/>
        <v>#NAME?</v>
      </c>
      <c r="CK49" s="26" t="e">
        <f t="shared" ref="CK49:CL49" ca="1" si="446">CK43-CK47</f>
        <v>#NAME?</v>
      </c>
      <c r="CL49" s="26" t="e">
        <f t="shared" ca="1" si="446"/>
        <v>#NAME?</v>
      </c>
      <c r="CM49" s="27" t="e">
        <f t="shared" ref="CM49:DB49" ca="1" si="447">CM43-CM47</f>
        <v>#NAME?</v>
      </c>
      <c r="CN49" s="27" t="e">
        <f t="shared" ca="1" si="447"/>
        <v>#NAME?</v>
      </c>
      <c r="CO49" s="27" t="e">
        <f t="shared" ca="1" si="447"/>
        <v>#NAME?</v>
      </c>
      <c r="CP49" s="27" t="e">
        <f t="shared" ca="1" si="447"/>
        <v>#NAME?</v>
      </c>
      <c r="CQ49" s="27" t="e">
        <f t="shared" ca="1" si="447"/>
        <v>#NAME?</v>
      </c>
      <c r="CR49" s="27" t="e">
        <f t="shared" ca="1" si="447"/>
        <v>#NAME?</v>
      </c>
      <c r="CS49" s="27" t="e">
        <f t="shared" ca="1" si="447"/>
        <v>#NAME?</v>
      </c>
      <c r="CT49" s="27" t="e">
        <f t="shared" ca="1" si="447"/>
        <v>#NAME?</v>
      </c>
      <c r="CU49" s="27" t="e">
        <f t="shared" ca="1" si="447"/>
        <v>#NAME?</v>
      </c>
      <c r="CV49" s="27" t="e">
        <f t="shared" ca="1" si="447"/>
        <v>#NAME?</v>
      </c>
      <c r="CW49" s="27" t="e">
        <f t="shared" ca="1" si="447"/>
        <v>#NAME?</v>
      </c>
      <c r="CX49" s="27" t="e">
        <f t="shared" ca="1" si="447"/>
        <v>#NAME?</v>
      </c>
      <c r="CY49" s="27" t="e">
        <f t="shared" ca="1" si="447"/>
        <v>#NAME?</v>
      </c>
      <c r="CZ49" s="27" t="e">
        <f t="shared" ca="1" si="447"/>
        <v>#NAME?</v>
      </c>
      <c r="DA49" s="27" t="e">
        <f t="shared" ca="1" si="447"/>
        <v>#NAME?</v>
      </c>
      <c r="DB49" s="27" t="e">
        <f t="shared" ca="1" si="447"/>
        <v>#NAME?</v>
      </c>
      <c r="DE49" s="121"/>
      <c r="DF49" s="26">
        <v>27.821000000000019</v>
      </c>
    </row>
    <row r="50" spans="1:110" s="23" customFormat="1" x14ac:dyDescent="0.2">
      <c r="A50" s="23" t="s">
        <v>17</v>
      </c>
      <c r="B50" s="23" t="e">
        <f ca="1">'Annual Raw'!C23</f>
        <v>#NAME?</v>
      </c>
      <c r="C50" s="23" t="e">
        <f ca="1">'Annual Raw'!D23</f>
        <v>#NAME?</v>
      </c>
      <c r="D50" s="23" t="e">
        <f ca="1">'Annual Raw'!E23</f>
        <v>#NAME?</v>
      </c>
      <c r="E50" s="23" t="e">
        <f ca="1">'Annual Raw'!F23</f>
        <v>#NAME?</v>
      </c>
      <c r="F50" s="23" t="e">
        <f ca="1">'Annual Raw'!G23</f>
        <v>#NAME?</v>
      </c>
      <c r="G50" s="23" t="e">
        <f ca="1">'Annual Raw'!H23</f>
        <v>#NAME?</v>
      </c>
      <c r="H50" s="23" t="e">
        <f ca="1">'Annual Raw'!I23</f>
        <v>#NAME?</v>
      </c>
      <c r="I50" s="23" t="e">
        <f ca="1">'Annual Raw'!J23</f>
        <v>#NAME?</v>
      </c>
      <c r="J50" s="23" t="e">
        <f ca="1">'Annual Raw'!K23</f>
        <v>#NAME?</v>
      </c>
      <c r="K50" s="23" t="e">
        <f ca="1">'Annual Raw'!L23</f>
        <v>#NAME?</v>
      </c>
      <c r="L50" s="23" t="e">
        <f ca="1">'Annual Raw'!M23</f>
        <v>#NAME?</v>
      </c>
      <c r="M50" s="23" t="e">
        <f ca="1">'Annual Raw'!N23</f>
        <v>#NAME?</v>
      </c>
      <c r="N50" s="23" t="e">
        <f ca="1">'Annual Raw'!O23</f>
        <v>#NAME?</v>
      </c>
      <c r="O50" s="23" t="e">
        <f ca="1">'Annual Raw'!P23</f>
        <v>#NAME?</v>
      </c>
      <c r="P50" s="23" t="e">
        <f ca="1">'Annual Raw'!Q23</f>
        <v>#NAME?</v>
      </c>
      <c r="Q50" s="23" t="e">
        <f ca="1">'Annual Raw'!R23</f>
        <v>#NAME?</v>
      </c>
      <c r="R50" s="23" t="e">
        <f ca="1">'Annual Raw'!S23</f>
        <v>#NAME?</v>
      </c>
      <c r="S50" s="23" t="e">
        <f ca="1">'Annual Raw'!T23</f>
        <v>#NAME?</v>
      </c>
      <c r="T50" s="23" t="e">
        <f ca="1">'Annual Raw'!U23</f>
        <v>#NAME?</v>
      </c>
      <c r="U50" s="23" t="e">
        <f ca="1">'Annual Raw'!V23</f>
        <v>#NAME?</v>
      </c>
      <c r="V50" s="23" t="e">
        <f ca="1">'Annual Raw'!W23</f>
        <v>#NAME?</v>
      </c>
      <c r="W50" s="23" t="e">
        <f ca="1">'Annual Raw'!X23</f>
        <v>#NAME?</v>
      </c>
      <c r="X50" s="23" t="e">
        <f ca="1">'Annual Raw'!Y23</f>
        <v>#NAME?</v>
      </c>
      <c r="Y50" s="23" t="e">
        <f ca="1">'Annual Raw'!Z23</f>
        <v>#NAME?</v>
      </c>
      <c r="Z50" s="23" t="e">
        <f ca="1">'Annual Raw'!AA23</f>
        <v>#NAME?</v>
      </c>
      <c r="AA50" s="23" t="e">
        <f ca="1">'Annual Raw'!AB23</f>
        <v>#NAME?</v>
      </c>
      <c r="AB50" s="76">
        <f t="shared" ref="AB50:AB51" si="448">+SUM(CM50:CP50)</f>
        <v>0</v>
      </c>
      <c r="AC50" s="76">
        <f t="shared" ref="AC50:AC51" si="449">+SUM(CQ50:CT50)</f>
        <v>0</v>
      </c>
      <c r="AD50" s="76">
        <f t="shared" ref="AD50:AD51" si="450">+SUM(CU50:CX50)</f>
        <v>0</v>
      </c>
      <c r="AE50" s="76">
        <f t="shared" ref="AE50:AE51" si="451">+SUM(CY50:DB50)</f>
        <v>0</v>
      </c>
      <c r="AI50" s="23" t="e">
        <f ca="1">'QTR Raw'!C23</f>
        <v>#NAME?</v>
      </c>
      <c r="AJ50" s="23" t="e">
        <f ca="1">'QTR Raw'!D23</f>
        <v>#NAME?</v>
      </c>
      <c r="AK50" s="23" t="e">
        <f ca="1">'QTR Raw'!E23</f>
        <v>#NAME?</v>
      </c>
      <c r="AL50" s="23" t="e">
        <f ca="1">'QTR Raw'!F23</f>
        <v>#NAME?</v>
      </c>
      <c r="AM50" s="23" t="e">
        <f ca="1">'QTR Raw'!G23</f>
        <v>#NAME?</v>
      </c>
      <c r="AN50" s="23" t="e">
        <f ca="1">'QTR Raw'!H23</f>
        <v>#NAME?</v>
      </c>
      <c r="AO50" s="23" t="e">
        <f ca="1">'QTR Raw'!I23</f>
        <v>#NAME?</v>
      </c>
      <c r="AP50" s="23" t="e">
        <f ca="1">'QTR Raw'!J23</f>
        <v>#NAME?</v>
      </c>
      <c r="AQ50" s="23" t="e">
        <f ca="1">'QTR Raw'!K23</f>
        <v>#NAME?</v>
      </c>
      <c r="AR50" s="23" t="e">
        <f ca="1">'QTR Raw'!L23</f>
        <v>#NAME?</v>
      </c>
      <c r="AS50" s="23" t="e">
        <f ca="1">'QTR Raw'!M23</f>
        <v>#NAME?</v>
      </c>
      <c r="AT50" s="23" t="e">
        <f ca="1">'QTR Raw'!N23</f>
        <v>#NAME?</v>
      </c>
      <c r="AU50" s="23" t="e">
        <f ca="1">'QTR Raw'!O23</f>
        <v>#NAME?</v>
      </c>
      <c r="AV50" s="23" t="e">
        <f ca="1">'QTR Raw'!P23</f>
        <v>#NAME?</v>
      </c>
      <c r="AW50" s="23" t="e">
        <f ca="1">'QTR Raw'!Q23</f>
        <v>#NAME?</v>
      </c>
      <c r="AX50" s="23" t="e">
        <f ca="1">'QTR Raw'!R23</f>
        <v>#NAME?</v>
      </c>
      <c r="AY50" s="23" t="e">
        <f ca="1">'QTR Raw'!S23</f>
        <v>#NAME?</v>
      </c>
      <c r="AZ50" s="23" t="e">
        <f ca="1">'QTR Raw'!T23</f>
        <v>#NAME?</v>
      </c>
      <c r="BA50" s="23" t="e">
        <f ca="1">'QTR Raw'!U23</f>
        <v>#NAME?</v>
      </c>
      <c r="BB50" s="23" t="e">
        <f ca="1">'QTR Raw'!V23</f>
        <v>#NAME?</v>
      </c>
      <c r="BC50" s="23" t="e">
        <f ca="1">'QTR Raw'!W23</f>
        <v>#NAME?</v>
      </c>
      <c r="BD50" s="23" t="e">
        <f ca="1">'QTR Raw'!X23</f>
        <v>#NAME?</v>
      </c>
      <c r="BE50" s="23" t="e">
        <f ca="1">'QTR Raw'!Y23</f>
        <v>#NAME?</v>
      </c>
      <c r="BF50" s="23" t="e">
        <f ca="1">'QTR Raw'!Z23</f>
        <v>#NAME?</v>
      </c>
      <c r="BG50" s="23" t="e">
        <f ca="1">'QTR Raw'!AA23</f>
        <v>#NAME?</v>
      </c>
      <c r="BH50" s="23" t="e">
        <f ca="1">'QTR Raw'!AB23</f>
        <v>#NAME?</v>
      </c>
      <c r="BI50" s="23" t="e">
        <f ca="1">'QTR Raw'!AC23</f>
        <v>#NAME?</v>
      </c>
      <c r="BJ50" s="23" t="e">
        <f ca="1">'QTR Raw'!AD23</f>
        <v>#NAME?</v>
      </c>
      <c r="BK50" s="23" t="e">
        <f ca="1">'QTR Raw'!AE23</f>
        <v>#NAME?</v>
      </c>
      <c r="BL50" s="23" t="e">
        <f ca="1">'QTR Raw'!AF23</f>
        <v>#NAME?</v>
      </c>
      <c r="BM50" s="23" t="e">
        <f ca="1">'QTR Raw'!AG23</f>
        <v>#NAME?</v>
      </c>
      <c r="BN50" s="23" t="e">
        <f ca="1">'QTR Raw'!AH23</f>
        <v>#NAME?</v>
      </c>
      <c r="BO50" s="23" t="e">
        <f ca="1">'QTR Raw'!AI23</f>
        <v>#NAME?</v>
      </c>
      <c r="BP50" s="23" t="e">
        <f ca="1">'QTR Raw'!AJ23</f>
        <v>#NAME?</v>
      </c>
      <c r="BQ50" s="23" t="e">
        <f ca="1">'QTR Raw'!AK23</f>
        <v>#NAME?</v>
      </c>
      <c r="BR50" s="23" t="e">
        <f ca="1">'QTR Raw'!AL23</f>
        <v>#NAME?</v>
      </c>
      <c r="BS50" s="23" t="e">
        <f ca="1">'QTR Raw'!AM23</f>
        <v>#NAME?</v>
      </c>
      <c r="BT50" s="23" t="e">
        <f ca="1">'QTR Raw'!AN23</f>
        <v>#NAME?</v>
      </c>
      <c r="BU50" s="23" t="e">
        <f ca="1">'QTR Raw'!AO23</f>
        <v>#NAME?</v>
      </c>
      <c r="BV50" s="23" t="e">
        <f ca="1">'QTR Raw'!AP23</f>
        <v>#NAME?</v>
      </c>
      <c r="BW50" s="23" t="e">
        <f ca="1">'QTR Raw'!AQ23</f>
        <v>#NAME?</v>
      </c>
      <c r="BX50" s="23" t="e">
        <f ca="1">'QTR Raw'!AR23</f>
        <v>#NAME?</v>
      </c>
      <c r="BY50" s="23" t="e">
        <f ca="1">'QTR Raw'!AS23</f>
        <v>#NAME?</v>
      </c>
      <c r="BZ50" s="23" t="e">
        <f ca="1">'QTR Raw'!AT23</f>
        <v>#NAME?</v>
      </c>
      <c r="CA50" s="23" t="e">
        <f ca="1">'QTR Raw'!AU23</f>
        <v>#NAME?</v>
      </c>
      <c r="CB50" s="23" t="e">
        <f ca="1">'QTR Raw'!AV23</f>
        <v>#NAME?</v>
      </c>
      <c r="CC50" s="23" t="e">
        <f ca="1">'QTR Raw'!AW23</f>
        <v>#NAME?</v>
      </c>
      <c r="CD50" s="23" t="e">
        <f ca="1">'QTR Raw'!AX23</f>
        <v>#NAME?</v>
      </c>
      <c r="CE50" s="23" t="e">
        <f ca="1">'QTR Raw'!AY23</f>
        <v>#NAME?</v>
      </c>
      <c r="CF50" s="23" t="e">
        <f ca="1">'QTR Raw'!AZ23</f>
        <v>#NAME?</v>
      </c>
      <c r="CG50" s="23" t="e">
        <f ca="1">'QTR Raw'!BA23</f>
        <v>#NAME?</v>
      </c>
      <c r="CH50" s="23" t="e">
        <f ca="1">'QTR Raw'!BB23</f>
        <v>#NAME?</v>
      </c>
      <c r="CI50" s="23" t="e">
        <f ca="1">'QTR Raw'!BC23</f>
        <v>#NAME?</v>
      </c>
      <c r="CJ50" s="23" t="e">
        <f ca="1">'QTR Raw'!BD23</f>
        <v>#NAME?</v>
      </c>
      <c r="CK50" s="23" t="e">
        <f ca="1">'QTR Raw'!BE23</f>
        <v>#NAME?</v>
      </c>
      <c r="CL50" s="23" t="e">
        <f ca="1">'QTR Raw'!BF23</f>
        <v>#NAME?</v>
      </c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E50" s="123"/>
      <c r="DF50" s="23">
        <v>2.4720000000000004</v>
      </c>
    </row>
    <row r="51" spans="1:110" s="23" customFormat="1" x14ac:dyDescent="0.2">
      <c r="A51" s="23" t="s">
        <v>18</v>
      </c>
      <c r="B51" s="23" t="e">
        <f ca="1">'Annual Raw'!C25</f>
        <v>#NAME?</v>
      </c>
      <c r="C51" s="23" t="e">
        <f ca="1">'Annual Raw'!D25</f>
        <v>#NAME?</v>
      </c>
      <c r="D51" s="23" t="e">
        <f ca="1">'Annual Raw'!E25</f>
        <v>#NAME?</v>
      </c>
      <c r="E51" s="23" t="e">
        <f ca="1">'Annual Raw'!F25</f>
        <v>#NAME?</v>
      </c>
      <c r="F51" s="23" t="e">
        <f ca="1">'Annual Raw'!G25</f>
        <v>#NAME?</v>
      </c>
      <c r="G51" s="23" t="e">
        <f ca="1">'Annual Raw'!H25</f>
        <v>#NAME?</v>
      </c>
      <c r="H51" s="23" t="e">
        <f ca="1">'Annual Raw'!I25</f>
        <v>#NAME?</v>
      </c>
      <c r="I51" s="23" t="e">
        <f ca="1">'Annual Raw'!J25</f>
        <v>#NAME?</v>
      </c>
      <c r="J51" s="23" t="e">
        <f ca="1">'Annual Raw'!K25</f>
        <v>#NAME?</v>
      </c>
      <c r="K51" s="23" t="e">
        <f ca="1">'Annual Raw'!L25</f>
        <v>#NAME?</v>
      </c>
      <c r="L51" s="23" t="e">
        <f ca="1">'Annual Raw'!M25</f>
        <v>#NAME?</v>
      </c>
      <c r="M51" s="23" t="e">
        <f ca="1">'Annual Raw'!N25</f>
        <v>#NAME?</v>
      </c>
      <c r="N51" s="23" t="e">
        <f ca="1">'Annual Raw'!O25</f>
        <v>#NAME?</v>
      </c>
      <c r="O51" s="23" t="e">
        <f ca="1">'Annual Raw'!P25</f>
        <v>#NAME?</v>
      </c>
      <c r="P51" s="23" t="e">
        <f ca="1">'Annual Raw'!Q25</f>
        <v>#NAME?</v>
      </c>
      <c r="Q51" s="23" t="e">
        <f ca="1">'Annual Raw'!R25</f>
        <v>#NAME?</v>
      </c>
      <c r="R51" s="23" t="e">
        <f ca="1">'Annual Raw'!S25</f>
        <v>#NAME?</v>
      </c>
      <c r="S51" s="23" t="e">
        <f ca="1">'Annual Raw'!T25</f>
        <v>#NAME?</v>
      </c>
      <c r="T51" s="23" t="e">
        <f ca="1">'Annual Raw'!U25</f>
        <v>#NAME?</v>
      </c>
      <c r="U51" s="23" t="e">
        <f ca="1">'Annual Raw'!V25</f>
        <v>#NAME?</v>
      </c>
      <c r="V51" s="23" t="e">
        <f ca="1">'Annual Raw'!W25</f>
        <v>#NAME?</v>
      </c>
      <c r="W51" s="23" t="e">
        <f ca="1">'Annual Raw'!X25</f>
        <v>#NAME?</v>
      </c>
      <c r="X51" s="23" t="e">
        <f ca="1">'Annual Raw'!Y25</f>
        <v>#NAME?</v>
      </c>
      <c r="Y51" s="23" t="e">
        <f ca="1">'Annual Raw'!Z25</f>
        <v>#NAME?</v>
      </c>
      <c r="Z51" s="23" t="e">
        <f ca="1">'Annual Raw'!AA25</f>
        <v>#NAME?</v>
      </c>
      <c r="AA51" s="23" t="e">
        <f ca="1">'Annual Raw'!AB25</f>
        <v>#NAME?</v>
      </c>
      <c r="AB51" s="76" t="e">
        <f t="shared" ca="1" si="448"/>
        <v>#NAME?</v>
      </c>
      <c r="AC51" s="76" t="e">
        <f t="shared" ca="1" si="449"/>
        <v>#NAME?</v>
      </c>
      <c r="AD51" s="76" t="e">
        <f t="shared" ca="1" si="450"/>
        <v>#NAME?</v>
      </c>
      <c r="AE51" s="76" t="e">
        <f t="shared" ca="1" si="451"/>
        <v>#NAME?</v>
      </c>
      <c r="AI51" s="23" t="e">
        <f ca="1">'QTR Raw'!C25</f>
        <v>#NAME?</v>
      </c>
      <c r="AJ51" s="23" t="e">
        <f ca="1">'QTR Raw'!D25</f>
        <v>#NAME?</v>
      </c>
      <c r="AK51" s="23" t="e">
        <f ca="1">'QTR Raw'!E25</f>
        <v>#NAME?</v>
      </c>
      <c r="AL51" s="23" t="e">
        <f ca="1">'QTR Raw'!F25</f>
        <v>#NAME?</v>
      </c>
      <c r="AM51" s="23" t="e">
        <f ca="1">'QTR Raw'!G25</f>
        <v>#NAME?</v>
      </c>
      <c r="AN51" s="23" t="e">
        <f ca="1">'QTR Raw'!H25</f>
        <v>#NAME?</v>
      </c>
      <c r="AO51" s="23" t="e">
        <f ca="1">'QTR Raw'!I25</f>
        <v>#NAME?</v>
      </c>
      <c r="AP51" s="23" t="e">
        <f ca="1">'QTR Raw'!J25</f>
        <v>#NAME?</v>
      </c>
      <c r="AQ51" s="23" t="e">
        <f ca="1">'QTR Raw'!K25</f>
        <v>#NAME?</v>
      </c>
      <c r="AR51" s="23" t="e">
        <f ca="1">'QTR Raw'!L25</f>
        <v>#NAME?</v>
      </c>
      <c r="AS51" s="23" t="e">
        <f ca="1">'QTR Raw'!M25</f>
        <v>#NAME?</v>
      </c>
      <c r="AT51" s="23" t="e">
        <f ca="1">'QTR Raw'!N25</f>
        <v>#NAME?</v>
      </c>
      <c r="AU51" s="23" t="e">
        <f ca="1">'QTR Raw'!O25</f>
        <v>#NAME?</v>
      </c>
      <c r="AV51" s="23" t="e">
        <f ca="1">'QTR Raw'!P25</f>
        <v>#NAME?</v>
      </c>
      <c r="AW51" s="23" t="e">
        <f ca="1">'QTR Raw'!Q25</f>
        <v>#NAME?</v>
      </c>
      <c r="AX51" s="23" t="e">
        <f ca="1">'QTR Raw'!R25</f>
        <v>#NAME?</v>
      </c>
      <c r="AY51" s="23" t="e">
        <f ca="1">'QTR Raw'!S25</f>
        <v>#NAME?</v>
      </c>
      <c r="AZ51" s="23" t="e">
        <f ca="1">'QTR Raw'!T25</f>
        <v>#NAME?</v>
      </c>
      <c r="BA51" s="23" t="e">
        <f ca="1">'QTR Raw'!U25</f>
        <v>#NAME?</v>
      </c>
      <c r="BB51" s="23" t="e">
        <f ca="1">'QTR Raw'!V25</f>
        <v>#NAME?</v>
      </c>
      <c r="BC51" s="23" t="e">
        <f ca="1">'QTR Raw'!W25</f>
        <v>#NAME?</v>
      </c>
      <c r="BD51" s="23" t="e">
        <f ca="1">'QTR Raw'!X25</f>
        <v>#NAME?</v>
      </c>
      <c r="BE51" s="23" t="e">
        <f ca="1">'QTR Raw'!Y25</f>
        <v>#NAME?</v>
      </c>
      <c r="BF51" s="23" t="e">
        <f ca="1">'QTR Raw'!Z25</f>
        <v>#NAME?</v>
      </c>
      <c r="BG51" s="23" t="e">
        <f ca="1">'QTR Raw'!AA25</f>
        <v>#NAME?</v>
      </c>
      <c r="BH51" s="23" t="e">
        <f ca="1">'QTR Raw'!AB25</f>
        <v>#NAME?</v>
      </c>
      <c r="BI51" s="23" t="e">
        <f ca="1">'QTR Raw'!AC25</f>
        <v>#NAME?</v>
      </c>
      <c r="BJ51" s="23" t="e">
        <f ca="1">'QTR Raw'!AD25</f>
        <v>#NAME?</v>
      </c>
      <c r="BK51" s="23" t="e">
        <f ca="1">'QTR Raw'!AE25</f>
        <v>#NAME?</v>
      </c>
      <c r="BL51" s="23" t="e">
        <f ca="1">'QTR Raw'!AF25</f>
        <v>#NAME?</v>
      </c>
      <c r="BM51" s="23" t="e">
        <f ca="1">'QTR Raw'!AG25</f>
        <v>#NAME?</v>
      </c>
      <c r="BN51" s="23" t="e">
        <f ca="1">'QTR Raw'!AH25</f>
        <v>#NAME?</v>
      </c>
      <c r="BO51" s="23" t="e">
        <f ca="1">'QTR Raw'!AI25</f>
        <v>#NAME?</v>
      </c>
      <c r="BP51" s="23" t="e">
        <f ca="1">'QTR Raw'!AJ25</f>
        <v>#NAME?</v>
      </c>
      <c r="BQ51" s="23" t="e">
        <f ca="1">'QTR Raw'!AK25</f>
        <v>#NAME?</v>
      </c>
      <c r="BR51" s="23" t="e">
        <f ca="1">'QTR Raw'!AL25</f>
        <v>#NAME?</v>
      </c>
      <c r="BS51" s="23" t="e">
        <f ca="1">'QTR Raw'!AM25</f>
        <v>#NAME?</v>
      </c>
      <c r="BT51" s="23" t="e">
        <f ca="1">'QTR Raw'!AN25</f>
        <v>#NAME?</v>
      </c>
      <c r="BU51" s="23" t="e">
        <f ca="1">'QTR Raw'!AO25</f>
        <v>#NAME?</v>
      </c>
      <c r="BV51" s="23" t="e">
        <f ca="1">'QTR Raw'!AP25</f>
        <v>#NAME?</v>
      </c>
      <c r="BW51" s="23" t="e">
        <f ca="1">'QTR Raw'!AQ25</f>
        <v>#NAME?</v>
      </c>
      <c r="BX51" s="23" t="e">
        <f ca="1">'QTR Raw'!AR25</f>
        <v>#NAME?</v>
      </c>
      <c r="BY51" s="23" t="e">
        <f ca="1">'QTR Raw'!AS25</f>
        <v>#NAME?</v>
      </c>
      <c r="BZ51" s="23" t="e">
        <f ca="1">'QTR Raw'!AT25</f>
        <v>#NAME?</v>
      </c>
      <c r="CA51" s="23" t="e">
        <f ca="1">'QTR Raw'!AU25</f>
        <v>#NAME?</v>
      </c>
      <c r="CB51" s="23" t="e">
        <f ca="1">'QTR Raw'!AV25</f>
        <v>#NAME?</v>
      </c>
      <c r="CC51" s="23" t="e">
        <f ca="1">'QTR Raw'!AW25</f>
        <v>#NAME?</v>
      </c>
      <c r="CD51" s="23" t="e">
        <f ca="1">'QTR Raw'!AX25</f>
        <v>#NAME?</v>
      </c>
      <c r="CE51" s="23" t="e">
        <f ca="1">'QTR Raw'!AY25</f>
        <v>#NAME?</v>
      </c>
      <c r="CF51" s="23" t="e">
        <f ca="1">'QTR Raw'!AZ25</f>
        <v>#NAME?</v>
      </c>
      <c r="CG51" s="23" t="e">
        <f ca="1">'QTR Raw'!BA25</f>
        <v>#NAME?</v>
      </c>
      <c r="CH51" s="23" t="e">
        <f ca="1">'QTR Raw'!BB25</f>
        <v>#NAME?</v>
      </c>
      <c r="CI51" s="23" t="e">
        <f ca="1">'QTR Raw'!BC25</f>
        <v>#NAME?</v>
      </c>
      <c r="CJ51" s="23" t="e">
        <f ca="1">'QTR Raw'!BD25</f>
        <v>#NAME?</v>
      </c>
      <c r="CK51" s="23" t="e">
        <f ca="1">'QTR Raw'!BE25</f>
        <v>#NAME?</v>
      </c>
      <c r="CL51" s="23" t="e">
        <f ca="1">'QTR Raw'!BF25</f>
        <v>#NAME?</v>
      </c>
      <c r="CM51" s="24" t="e">
        <f t="shared" ref="CM51:DB51" ca="1" si="452">CM52*CL183</f>
        <v>#NAME?</v>
      </c>
      <c r="CN51" s="24" t="e">
        <f t="shared" ca="1" si="452"/>
        <v>#NAME?</v>
      </c>
      <c r="CO51" s="24" t="e">
        <f t="shared" ca="1" si="452"/>
        <v>#NAME?</v>
      </c>
      <c r="CP51" s="24" t="e">
        <f t="shared" ca="1" si="452"/>
        <v>#NAME?</v>
      </c>
      <c r="CQ51" s="24" t="e">
        <f t="shared" ca="1" si="452"/>
        <v>#NAME?</v>
      </c>
      <c r="CR51" s="24" t="e">
        <f t="shared" ca="1" si="452"/>
        <v>#NAME?</v>
      </c>
      <c r="CS51" s="24" t="e">
        <f t="shared" ca="1" si="452"/>
        <v>#NAME?</v>
      </c>
      <c r="CT51" s="24" t="e">
        <f t="shared" ca="1" si="452"/>
        <v>#NAME?</v>
      </c>
      <c r="CU51" s="24" t="e">
        <f t="shared" ca="1" si="452"/>
        <v>#NAME?</v>
      </c>
      <c r="CV51" s="24" t="e">
        <f t="shared" ca="1" si="452"/>
        <v>#NAME?</v>
      </c>
      <c r="CW51" s="24" t="e">
        <f t="shared" ca="1" si="452"/>
        <v>#NAME?</v>
      </c>
      <c r="CX51" s="24" t="e">
        <f t="shared" ca="1" si="452"/>
        <v>#NAME?</v>
      </c>
      <c r="CY51" s="24" t="e">
        <f t="shared" ca="1" si="452"/>
        <v>#NAME?</v>
      </c>
      <c r="CZ51" s="24" t="e">
        <f t="shared" ca="1" si="452"/>
        <v>#NAME?</v>
      </c>
      <c r="DA51" s="24" t="e">
        <f t="shared" ca="1" si="452"/>
        <v>#NAME?</v>
      </c>
      <c r="DB51" s="24" t="e">
        <f t="shared" ca="1" si="452"/>
        <v>#NAME?</v>
      </c>
      <c r="DE51" s="123"/>
      <c r="DF51" s="23">
        <v>5.641</v>
      </c>
    </row>
    <row r="52" spans="1:110" s="46" customFormat="1" x14ac:dyDescent="0.2">
      <c r="A52" s="46" t="s">
        <v>482</v>
      </c>
      <c r="B52" s="46" t="e">
        <f t="shared" ref="B52:D52" ca="1" si="453">+B51/B143</f>
        <v>#NAME?</v>
      </c>
      <c r="C52" s="46" t="e">
        <f t="shared" ca="1" si="453"/>
        <v>#NAME?</v>
      </c>
      <c r="D52" s="46" t="e">
        <f t="shared" ca="1" si="453"/>
        <v>#NAME?</v>
      </c>
      <c r="E52" s="46" t="e">
        <f t="shared" ref="E52:AE52" ca="1" si="454">+E51/E143</f>
        <v>#NAME?</v>
      </c>
      <c r="F52" s="46" t="e">
        <f t="shared" ca="1" si="454"/>
        <v>#NAME?</v>
      </c>
      <c r="G52" s="46" t="e">
        <f t="shared" ca="1" si="454"/>
        <v>#NAME?</v>
      </c>
      <c r="H52" s="46" t="e">
        <f t="shared" ca="1" si="454"/>
        <v>#NAME?</v>
      </c>
      <c r="I52" s="46" t="e">
        <f t="shared" ca="1" si="454"/>
        <v>#NAME?</v>
      </c>
      <c r="J52" s="46" t="e">
        <f t="shared" ca="1" si="454"/>
        <v>#NAME?</v>
      </c>
      <c r="K52" s="46" t="e">
        <f t="shared" ca="1" si="454"/>
        <v>#NAME?</v>
      </c>
      <c r="L52" s="46" t="e">
        <f t="shared" ca="1" si="454"/>
        <v>#NAME?</v>
      </c>
      <c r="M52" s="46" t="e">
        <f t="shared" ca="1" si="454"/>
        <v>#NAME?</v>
      </c>
      <c r="N52" s="46" t="e">
        <f t="shared" ca="1" si="454"/>
        <v>#NAME?</v>
      </c>
      <c r="O52" s="46" t="e">
        <f t="shared" ca="1" si="454"/>
        <v>#NAME?</v>
      </c>
      <c r="P52" s="46" t="e">
        <f t="shared" ca="1" si="454"/>
        <v>#NAME?</v>
      </c>
      <c r="Q52" s="46" t="e">
        <f t="shared" ca="1" si="454"/>
        <v>#NAME?</v>
      </c>
      <c r="R52" s="46" t="e">
        <f t="shared" ca="1" si="454"/>
        <v>#NAME?</v>
      </c>
      <c r="S52" s="46" t="e">
        <f t="shared" ca="1" si="454"/>
        <v>#NAME?</v>
      </c>
      <c r="T52" s="46" t="e">
        <f t="shared" ca="1" si="454"/>
        <v>#NAME?</v>
      </c>
      <c r="U52" s="46" t="e">
        <f t="shared" ca="1" si="454"/>
        <v>#NAME?</v>
      </c>
      <c r="V52" s="46" t="e">
        <f t="shared" ca="1" si="454"/>
        <v>#NAME?</v>
      </c>
      <c r="W52" s="46" t="e">
        <f t="shared" ca="1" si="454"/>
        <v>#NAME?</v>
      </c>
      <c r="X52" s="46" t="e">
        <f t="shared" ca="1" si="454"/>
        <v>#NAME?</v>
      </c>
      <c r="Y52" s="46" t="e">
        <f t="shared" ca="1" si="454"/>
        <v>#NAME?</v>
      </c>
      <c r="Z52" s="46" t="e">
        <f t="shared" ca="1" si="454"/>
        <v>#NAME?</v>
      </c>
      <c r="AA52" s="46" t="e">
        <f t="shared" ref="AA52" ca="1" si="455">+AA51/AA143</f>
        <v>#NAME?</v>
      </c>
      <c r="AB52" s="110" t="e">
        <f t="shared" ca="1" si="454"/>
        <v>#NAME?</v>
      </c>
      <c r="AC52" s="110" t="e">
        <f t="shared" ca="1" si="454"/>
        <v>#NAME?</v>
      </c>
      <c r="AD52" s="110" t="e">
        <f t="shared" ca="1" si="454"/>
        <v>#NAME?</v>
      </c>
      <c r="AE52" s="110" t="e">
        <f t="shared" ca="1" si="454"/>
        <v>#NAME?</v>
      </c>
      <c r="AI52" s="46" t="e">
        <f t="shared" ref="AI52:BN52" ca="1" si="456">(AI51-AI50)/AH183</f>
        <v>#NAME?</v>
      </c>
      <c r="AJ52" s="46" t="e">
        <f t="shared" ca="1" si="456"/>
        <v>#NAME?</v>
      </c>
      <c r="AK52" s="46" t="e">
        <f t="shared" ca="1" si="456"/>
        <v>#NAME?</v>
      </c>
      <c r="AL52" s="46" t="e">
        <f t="shared" ca="1" si="456"/>
        <v>#NAME?</v>
      </c>
      <c r="AM52" s="46" t="e">
        <f t="shared" ca="1" si="456"/>
        <v>#NAME?</v>
      </c>
      <c r="AN52" s="46" t="e">
        <f t="shared" ca="1" si="456"/>
        <v>#NAME?</v>
      </c>
      <c r="AO52" s="46" t="e">
        <f t="shared" ca="1" si="456"/>
        <v>#NAME?</v>
      </c>
      <c r="AP52" s="46" t="e">
        <f t="shared" ca="1" si="456"/>
        <v>#NAME?</v>
      </c>
      <c r="AQ52" s="46" t="e">
        <f t="shared" ca="1" si="456"/>
        <v>#NAME?</v>
      </c>
      <c r="AR52" s="46" t="e">
        <f t="shared" ca="1" si="456"/>
        <v>#NAME?</v>
      </c>
      <c r="AS52" s="46" t="e">
        <f t="shared" ca="1" si="456"/>
        <v>#NAME?</v>
      </c>
      <c r="AT52" s="46" t="e">
        <f t="shared" ca="1" si="456"/>
        <v>#NAME?</v>
      </c>
      <c r="AU52" s="46" t="e">
        <f t="shared" ca="1" si="456"/>
        <v>#NAME?</v>
      </c>
      <c r="AV52" s="46" t="e">
        <f t="shared" ca="1" si="456"/>
        <v>#NAME?</v>
      </c>
      <c r="AW52" s="46" t="e">
        <f t="shared" ca="1" si="456"/>
        <v>#NAME?</v>
      </c>
      <c r="AX52" s="46" t="e">
        <f t="shared" ca="1" si="456"/>
        <v>#NAME?</v>
      </c>
      <c r="AY52" s="46" t="e">
        <f t="shared" ca="1" si="456"/>
        <v>#NAME?</v>
      </c>
      <c r="AZ52" s="46" t="e">
        <f t="shared" ca="1" si="456"/>
        <v>#NAME?</v>
      </c>
      <c r="BA52" s="46" t="e">
        <f t="shared" ca="1" si="456"/>
        <v>#NAME?</v>
      </c>
      <c r="BB52" s="46" t="e">
        <f t="shared" ca="1" si="456"/>
        <v>#NAME?</v>
      </c>
      <c r="BC52" s="46" t="e">
        <f t="shared" ca="1" si="456"/>
        <v>#NAME?</v>
      </c>
      <c r="BD52" s="46" t="e">
        <f t="shared" ca="1" si="456"/>
        <v>#NAME?</v>
      </c>
      <c r="BE52" s="46" t="e">
        <f t="shared" ca="1" si="456"/>
        <v>#NAME?</v>
      </c>
      <c r="BF52" s="46" t="e">
        <f t="shared" ca="1" si="456"/>
        <v>#NAME?</v>
      </c>
      <c r="BG52" s="46" t="e">
        <f t="shared" ca="1" si="456"/>
        <v>#NAME?</v>
      </c>
      <c r="BH52" s="46" t="e">
        <f t="shared" ca="1" si="456"/>
        <v>#NAME?</v>
      </c>
      <c r="BI52" s="46" t="e">
        <f t="shared" ca="1" si="456"/>
        <v>#NAME?</v>
      </c>
      <c r="BJ52" s="46" t="e">
        <f t="shared" ca="1" si="456"/>
        <v>#NAME?</v>
      </c>
      <c r="BK52" s="46" t="e">
        <f t="shared" ca="1" si="456"/>
        <v>#NAME?</v>
      </c>
      <c r="BL52" s="46" t="e">
        <f t="shared" ca="1" si="456"/>
        <v>#NAME?</v>
      </c>
      <c r="BM52" s="46" t="e">
        <f t="shared" ca="1" si="456"/>
        <v>#NAME?</v>
      </c>
      <c r="BN52" s="46" t="e">
        <f t="shared" ca="1" si="456"/>
        <v>#NAME?</v>
      </c>
      <c r="BO52" s="46" t="e">
        <f t="shared" ref="BO52:CL52" ca="1" si="457">(BO51-BO50)/BN183</f>
        <v>#NAME?</v>
      </c>
      <c r="BP52" s="46" t="e">
        <f t="shared" ca="1" si="457"/>
        <v>#NAME?</v>
      </c>
      <c r="BQ52" s="46" t="e">
        <f t="shared" ca="1" si="457"/>
        <v>#NAME?</v>
      </c>
      <c r="BR52" s="46" t="e">
        <f t="shared" ca="1" si="457"/>
        <v>#NAME?</v>
      </c>
      <c r="BS52" s="46" t="e">
        <f t="shared" ca="1" si="457"/>
        <v>#NAME?</v>
      </c>
      <c r="BT52" s="46" t="e">
        <f t="shared" ca="1" si="457"/>
        <v>#NAME?</v>
      </c>
      <c r="BU52" s="46" t="e">
        <f t="shared" ca="1" si="457"/>
        <v>#NAME?</v>
      </c>
      <c r="BV52" s="46" t="e">
        <f t="shared" ca="1" si="457"/>
        <v>#NAME?</v>
      </c>
      <c r="BW52" s="46" t="e">
        <f t="shared" ca="1" si="457"/>
        <v>#NAME?</v>
      </c>
      <c r="BX52" s="46" t="e">
        <f t="shared" ca="1" si="457"/>
        <v>#NAME?</v>
      </c>
      <c r="BY52" s="46" t="e">
        <f t="shared" ca="1" si="457"/>
        <v>#NAME?</v>
      </c>
      <c r="BZ52" s="46" t="e">
        <f t="shared" ca="1" si="457"/>
        <v>#NAME?</v>
      </c>
      <c r="CA52" s="46" t="e">
        <f t="shared" ca="1" si="457"/>
        <v>#NAME?</v>
      </c>
      <c r="CB52" s="46" t="e">
        <f t="shared" ca="1" si="457"/>
        <v>#NAME?</v>
      </c>
      <c r="CC52" s="46" t="e">
        <f t="shared" ca="1" si="457"/>
        <v>#NAME?</v>
      </c>
      <c r="CD52" s="46" t="e">
        <f t="shared" ca="1" si="457"/>
        <v>#NAME?</v>
      </c>
      <c r="CE52" s="46" t="e">
        <f t="shared" ca="1" si="457"/>
        <v>#NAME?</v>
      </c>
      <c r="CF52" s="46" t="e">
        <f t="shared" ca="1" si="457"/>
        <v>#NAME?</v>
      </c>
      <c r="CG52" s="46" t="e">
        <f t="shared" ca="1" si="457"/>
        <v>#NAME?</v>
      </c>
      <c r="CH52" s="46" t="e">
        <f t="shared" ca="1" si="457"/>
        <v>#NAME?</v>
      </c>
      <c r="CI52" s="46" t="e">
        <f t="shared" ca="1" si="457"/>
        <v>#NAME?</v>
      </c>
      <c r="CJ52" s="46" t="e">
        <f t="shared" ca="1" si="457"/>
        <v>#NAME?</v>
      </c>
      <c r="CK52" s="46" t="e">
        <f t="shared" ca="1" si="457"/>
        <v>#NAME?</v>
      </c>
      <c r="CL52" s="46" t="e">
        <f t="shared" ca="1" si="457"/>
        <v>#NAME?</v>
      </c>
      <c r="CM52" s="47" t="e">
        <f t="shared" ref="CM52" ca="1" si="458">+CL52</f>
        <v>#NAME?</v>
      </c>
      <c r="CN52" s="47" t="e">
        <f t="shared" ref="CN52" ca="1" si="459">+CM52</f>
        <v>#NAME?</v>
      </c>
      <c r="CO52" s="47" t="e">
        <f t="shared" ref="CO52" ca="1" si="460">+CN52</f>
        <v>#NAME?</v>
      </c>
      <c r="CP52" s="47" t="e">
        <f t="shared" ref="CP52" ca="1" si="461">+CO52</f>
        <v>#NAME?</v>
      </c>
      <c r="CQ52" s="47" t="e">
        <f t="shared" ref="CQ52" ca="1" si="462">+CP52</f>
        <v>#NAME?</v>
      </c>
      <c r="CR52" s="47" t="e">
        <f t="shared" ref="CR52" ca="1" si="463">+CQ52</f>
        <v>#NAME?</v>
      </c>
      <c r="CS52" s="47" t="e">
        <f t="shared" ref="CS52" ca="1" si="464">+CR52</f>
        <v>#NAME?</v>
      </c>
      <c r="CT52" s="47" t="e">
        <f t="shared" ref="CT52" ca="1" si="465">+CS52</f>
        <v>#NAME?</v>
      </c>
      <c r="CU52" s="47" t="e">
        <f t="shared" ref="CU52" ca="1" si="466">+CT52</f>
        <v>#NAME?</v>
      </c>
      <c r="CV52" s="47" t="e">
        <f t="shared" ref="CV52" ca="1" si="467">+CU52</f>
        <v>#NAME?</v>
      </c>
      <c r="CW52" s="47" t="e">
        <f t="shared" ref="CW52" ca="1" si="468">+CV52</f>
        <v>#NAME?</v>
      </c>
      <c r="CX52" s="47" t="e">
        <f t="shared" ref="CX52" ca="1" si="469">+CW52</f>
        <v>#NAME?</v>
      </c>
      <c r="CY52" s="47" t="e">
        <f t="shared" ref="CY52" ca="1" si="470">+CX52</f>
        <v>#NAME?</v>
      </c>
      <c r="CZ52" s="47" t="e">
        <f t="shared" ref="CZ52" ca="1" si="471">+CY52</f>
        <v>#NAME?</v>
      </c>
      <c r="DA52" s="47" t="e">
        <f t="shared" ref="DA52" ca="1" si="472">+CZ52</f>
        <v>#NAME?</v>
      </c>
      <c r="DB52" s="47" t="e">
        <f t="shared" ref="DB52" ca="1" si="473">+DA52</f>
        <v>#NAME?</v>
      </c>
      <c r="DE52" s="130"/>
      <c r="DF52" s="46">
        <v>0.16408272491928214</v>
      </c>
    </row>
    <row r="53" spans="1:110" s="26" customFormat="1" x14ac:dyDescent="0.2">
      <c r="A53" s="26" t="s">
        <v>20</v>
      </c>
      <c r="B53" s="26" t="e">
        <f ca="1">B49+B50-B51</f>
        <v>#NAME?</v>
      </c>
      <c r="C53" s="26" t="e">
        <f t="shared" ref="C53:T53" ca="1" si="474">C49+C50-C51</f>
        <v>#NAME?</v>
      </c>
      <c r="D53" s="26" t="e">
        <f ca="1">D49+D50-D51</f>
        <v>#NAME?</v>
      </c>
      <c r="E53" s="26" t="e">
        <f t="shared" ca="1" si="474"/>
        <v>#NAME?</v>
      </c>
      <c r="F53" s="26" t="e">
        <f t="shared" ca="1" si="474"/>
        <v>#NAME?</v>
      </c>
      <c r="G53" s="26" t="e">
        <f t="shared" ca="1" si="474"/>
        <v>#NAME?</v>
      </c>
      <c r="H53" s="26" t="e">
        <f t="shared" ca="1" si="474"/>
        <v>#NAME?</v>
      </c>
      <c r="I53" s="26" t="e">
        <f t="shared" ca="1" si="474"/>
        <v>#NAME?</v>
      </c>
      <c r="J53" s="26" t="e">
        <f t="shared" ca="1" si="474"/>
        <v>#NAME?</v>
      </c>
      <c r="K53" s="26" t="e">
        <f t="shared" ca="1" si="474"/>
        <v>#NAME?</v>
      </c>
      <c r="L53" s="26" t="e">
        <f t="shared" ca="1" si="474"/>
        <v>#NAME?</v>
      </c>
      <c r="M53" s="26" t="e">
        <f t="shared" ca="1" si="474"/>
        <v>#NAME?</v>
      </c>
      <c r="N53" s="26" t="e">
        <f t="shared" ca="1" si="474"/>
        <v>#NAME?</v>
      </c>
      <c r="O53" s="26" t="e">
        <f t="shared" ca="1" si="474"/>
        <v>#NAME?</v>
      </c>
      <c r="P53" s="26" t="e">
        <f t="shared" ca="1" si="474"/>
        <v>#NAME?</v>
      </c>
      <c r="Q53" s="26" t="e">
        <f t="shared" ca="1" si="474"/>
        <v>#NAME?</v>
      </c>
      <c r="R53" s="26" t="e">
        <f t="shared" ca="1" si="474"/>
        <v>#NAME?</v>
      </c>
      <c r="S53" s="26" t="e">
        <f t="shared" ca="1" si="474"/>
        <v>#NAME?</v>
      </c>
      <c r="T53" s="26" t="e">
        <f t="shared" ca="1" si="474"/>
        <v>#NAME?</v>
      </c>
      <c r="U53" s="26" t="e">
        <f t="shared" ref="U53:Z53" ca="1" si="475">U49+U50-U51</f>
        <v>#NAME?</v>
      </c>
      <c r="V53" s="26" t="e">
        <f t="shared" ca="1" si="475"/>
        <v>#NAME?</v>
      </c>
      <c r="W53" s="26" t="e">
        <f t="shared" ca="1" si="475"/>
        <v>#NAME?</v>
      </c>
      <c r="X53" s="26" t="e">
        <f t="shared" ca="1" si="475"/>
        <v>#NAME?</v>
      </c>
      <c r="Y53" s="26" t="e">
        <f t="shared" ca="1" si="475"/>
        <v>#NAME?</v>
      </c>
      <c r="Z53" s="26" t="e">
        <f t="shared" ca="1" si="475"/>
        <v>#NAME?</v>
      </c>
      <c r="AA53" s="26" t="e">
        <f t="shared" ref="AA53" ca="1" si="476">AA49+AA50-AA51</f>
        <v>#NAME?</v>
      </c>
      <c r="AB53" s="27" t="e">
        <f t="shared" ref="AB53:AD53" ca="1" si="477">AB49+AB50-AB51</f>
        <v>#NAME?</v>
      </c>
      <c r="AC53" s="27" t="e">
        <f t="shared" ca="1" si="477"/>
        <v>#NAME?</v>
      </c>
      <c r="AD53" s="27" t="e">
        <f t="shared" ca="1" si="477"/>
        <v>#NAME?</v>
      </c>
      <c r="AE53" s="27" t="e">
        <f t="shared" ref="AE53" ca="1" si="478">AE49+AE50-AE51</f>
        <v>#NAME?</v>
      </c>
      <c r="AI53" s="26" t="e">
        <f ca="1">AI49+AI50-AI51</f>
        <v>#NAME?</v>
      </c>
      <c r="AJ53" s="26" t="e">
        <f t="shared" ref="AJ53" ca="1" si="479">AJ49+AJ50-AJ51</f>
        <v>#NAME?</v>
      </c>
      <c r="AK53" s="26" t="e">
        <f t="shared" ref="AK53:AM53" ca="1" si="480">AK49+AK50-AK51</f>
        <v>#NAME?</v>
      </c>
      <c r="AL53" s="26" t="e">
        <f t="shared" ca="1" si="480"/>
        <v>#NAME?</v>
      </c>
      <c r="AM53" s="26" t="e">
        <f t="shared" ca="1" si="480"/>
        <v>#NAME?</v>
      </c>
      <c r="AN53" s="26" t="e">
        <f t="shared" ref="AN53:AO53" ca="1" si="481">AN49+AN50-AN51</f>
        <v>#NAME?</v>
      </c>
      <c r="AO53" s="26" t="e">
        <f t="shared" ca="1" si="481"/>
        <v>#NAME?</v>
      </c>
      <c r="AP53" s="26" t="e">
        <f t="shared" ref="AP53:CD53" ca="1" si="482">AP49+AP50-AP51</f>
        <v>#NAME?</v>
      </c>
      <c r="AQ53" s="26" t="e">
        <f t="shared" ca="1" si="482"/>
        <v>#NAME?</v>
      </c>
      <c r="AR53" s="26" t="e">
        <f t="shared" ca="1" si="482"/>
        <v>#NAME?</v>
      </c>
      <c r="AS53" s="26" t="e">
        <f t="shared" ca="1" si="482"/>
        <v>#NAME?</v>
      </c>
      <c r="AT53" s="26" t="e">
        <f t="shared" ca="1" si="482"/>
        <v>#NAME?</v>
      </c>
      <c r="AU53" s="26" t="e">
        <f t="shared" ca="1" si="482"/>
        <v>#NAME?</v>
      </c>
      <c r="AV53" s="26" t="e">
        <f t="shared" ca="1" si="482"/>
        <v>#NAME?</v>
      </c>
      <c r="AW53" s="26" t="e">
        <f t="shared" ca="1" si="482"/>
        <v>#NAME?</v>
      </c>
      <c r="AX53" s="26" t="e">
        <f t="shared" ca="1" si="482"/>
        <v>#NAME?</v>
      </c>
      <c r="AY53" s="26" t="e">
        <f t="shared" ca="1" si="482"/>
        <v>#NAME?</v>
      </c>
      <c r="AZ53" s="26" t="e">
        <f t="shared" ca="1" si="482"/>
        <v>#NAME?</v>
      </c>
      <c r="BA53" s="26" t="e">
        <f t="shared" ca="1" si="482"/>
        <v>#NAME?</v>
      </c>
      <c r="BB53" s="26" t="e">
        <f t="shared" ca="1" si="482"/>
        <v>#NAME?</v>
      </c>
      <c r="BC53" s="26" t="e">
        <f t="shared" ca="1" si="482"/>
        <v>#NAME?</v>
      </c>
      <c r="BD53" s="26" t="e">
        <f t="shared" ca="1" si="482"/>
        <v>#NAME?</v>
      </c>
      <c r="BE53" s="26" t="e">
        <f t="shared" ca="1" si="482"/>
        <v>#NAME?</v>
      </c>
      <c r="BF53" s="26" t="e">
        <f t="shared" ca="1" si="482"/>
        <v>#NAME?</v>
      </c>
      <c r="BG53" s="26" t="e">
        <f t="shared" ca="1" si="482"/>
        <v>#NAME?</v>
      </c>
      <c r="BH53" s="26" t="e">
        <f t="shared" ca="1" si="482"/>
        <v>#NAME?</v>
      </c>
      <c r="BI53" s="26" t="e">
        <f t="shared" ca="1" si="482"/>
        <v>#NAME?</v>
      </c>
      <c r="BJ53" s="26" t="e">
        <f t="shared" ca="1" si="482"/>
        <v>#NAME?</v>
      </c>
      <c r="BK53" s="26" t="e">
        <f t="shared" ca="1" si="482"/>
        <v>#NAME?</v>
      </c>
      <c r="BL53" s="26" t="e">
        <f t="shared" ca="1" si="482"/>
        <v>#NAME?</v>
      </c>
      <c r="BM53" s="26" t="e">
        <f t="shared" ca="1" si="482"/>
        <v>#NAME?</v>
      </c>
      <c r="BN53" s="26" t="e">
        <f t="shared" ca="1" si="482"/>
        <v>#NAME?</v>
      </c>
      <c r="BO53" s="26" t="e">
        <f t="shared" ca="1" si="482"/>
        <v>#NAME?</v>
      </c>
      <c r="BP53" s="26" t="e">
        <f t="shared" ca="1" si="482"/>
        <v>#NAME?</v>
      </c>
      <c r="BQ53" s="26" t="e">
        <f t="shared" ca="1" si="482"/>
        <v>#NAME?</v>
      </c>
      <c r="BR53" s="26" t="e">
        <f t="shared" ca="1" si="482"/>
        <v>#NAME?</v>
      </c>
      <c r="BS53" s="26" t="e">
        <f t="shared" ca="1" si="482"/>
        <v>#NAME?</v>
      </c>
      <c r="BT53" s="26" t="e">
        <f t="shared" ca="1" si="482"/>
        <v>#NAME?</v>
      </c>
      <c r="BU53" s="26" t="e">
        <f t="shared" ca="1" si="482"/>
        <v>#NAME?</v>
      </c>
      <c r="BV53" s="26" t="e">
        <f t="shared" ca="1" si="482"/>
        <v>#NAME?</v>
      </c>
      <c r="BW53" s="26" t="e">
        <f t="shared" ca="1" si="482"/>
        <v>#NAME?</v>
      </c>
      <c r="BX53" s="26" t="e">
        <f t="shared" ca="1" si="482"/>
        <v>#NAME?</v>
      </c>
      <c r="BY53" s="26" t="e">
        <f t="shared" ca="1" si="482"/>
        <v>#NAME?</v>
      </c>
      <c r="BZ53" s="26" t="e">
        <f t="shared" ca="1" si="482"/>
        <v>#NAME?</v>
      </c>
      <c r="CA53" s="26" t="e">
        <f t="shared" ca="1" si="482"/>
        <v>#NAME?</v>
      </c>
      <c r="CB53" s="26" t="e">
        <f t="shared" ca="1" si="482"/>
        <v>#NAME?</v>
      </c>
      <c r="CC53" s="26" t="e">
        <f t="shared" ca="1" si="482"/>
        <v>#NAME?</v>
      </c>
      <c r="CD53" s="26" t="e">
        <f t="shared" ca="1" si="482"/>
        <v>#NAME?</v>
      </c>
      <c r="CE53" s="26" t="e">
        <f t="shared" ref="CE53:CF53" ca="1" si="483">CE49+CE50-CE51</f>
        <v>#NAME?</v>
      </c>
      <c r="CF53" s="26" t="e">
        <f t="shared" ca="1" si="483"/>
        <v>#NAME?</v>
      </c>
      <c r="CG53" s="26" t="e">
        <f t="shared" ref="CG53:CH53" ca="1" si="484">CG49+CG50-CG51</f>
        <v>#NAME?</v>
      </c>
      <c r="CH53" s="26" t="e">
        <f t="shared" ca="1" si="484"/>
        <v>#NAME?</v>
      </c>
      <c r="CI53" s="26" t="e">
        <f t="shared" ref="CI53:CJ53" ca="1" si="485">CI49+CI50-CI51</f>
        <v>#NAME?</v>
      </c>
      <c r="CJ53" s="26" t="e">
        <f t="shared" ca="1" si="485"/>
        <v>#NAME?</v>
      </c>
      <c r="CK53" s="26" t="e">
        <f t="shared" ref="CK53:CL53" ca="1" si="486">CK49+CK50-CK51</f>
        <v>#NAME?</v>
      </c>
      <c r="CL53" s="26" t="e">
        <f t="shared" ca="1" si="486"/>
        <v>#NAME?</v>
      </c>
      <c r="CM53" s="27" t="e">
        <f t="shared" ref="CM53:DB53" ca="1" si="487">CM49+CM50-CM51</f>
        <v>#NAME?</v>
      </c>
      <c r="CN53" s="27" t="e">
        <f t="shared" ca="1" si="487"/>
        <v>#NAME?</v>
      </c>
      <c r="CO53" s="27" t="e">
        <f t="shared" ca="1" si="487"/>
        <v>#NAME?</v>
      </c>
      <c r="CP53" s="27" t="e">
        <f t="shared" ca="1" si="487"/>
        <v>#NAME?</v>
      </c>
      <c r="CQ53" s="27" t="e">
        <f t="shared" ca="1" si="487"/>
        <v>#NAME?</v>
      </c>
      <c r="CR53" s="27" t="e">
        <f t="shared" ca="1" si="487"/>
        <v>#NAME?</v>
      </c>
      <c r="CS53" s="27" t="e">
        <f t="shared" ca="1" si="487"/>
        <v>#NAME?</v>
      </c>
      <c r="CT53" s="27" t="e">
        <f t="shared" ca="1" si="487"/>
        <v>#NAME?</v>
      </c>
      <c r="CU53" s="27" t="e">
        <f t="shared" ca="1" si="487"/>
        <v>#NAME?</v>
      </c>
      <c r="CV53" s="27" t="e">
        <f t="shared" ca="1" si="487"/>
        <v>#NAME?</v>
      </c>
      <c r="CW53" s="27" t="e">
        <f t="shared" ca="1" si="487"/>
        <v>#NAME?</v>
      </c>
      <c r="CX53" s="27" t="e">
        <f t="shared" ca="1" si="487"/>
        <v>#NAME?</v>
      </c>
      <c r="CY53" s="27" t="e">
        <f t="shared" ca="1" si="487"/>
        <v>#NAME?</v>
      </c>
      <c r="CZ53" s="27" t="e">
        <f t="shared" ca="1" si="487"/>
        <v>#NAME?</v>
      </c>
      <c r="DA53" s="27" t="e">
        <f t="shared" ca="1" si="487"/>
        <v>#NAME?</v>
      </c>
      <c r="DB53" s="27" t="e">
        <f t="shared" ca="1" si="487"/>
        <v>#NAME?</v>
      </c>
      <c r="DE53" s="121"/>
      <c r="DF53" s="26">
        <v>24.652000000000022</v>
      </c>
    </row>
    <row r="54" spans="1:110" s="23" customFormat="1" x14ac:dyDescent="0.2">
      <c r="A54" s="23" t="s">
        <v>21</v>
      </c>
      <c r="B54" s="23" t="e">
        <f ca="1">'Annual Raw'!C30</f>
        <v>#NAME?</v>
      </c>
      <c r="C54" s="23" t="e">
        <f ca="1">'Annual Raw'!D30</f>
        <v>#NAME?</v>
      </c>
      <c r="D54" s="23" t="e">
        <f ca="1">'Annual Raw'!E30</f>
        <v>#NAME?</v>
      </c>
      <c r="E54" s="23" t="e">
        <f ca="1">'Annual Raw'!F30</f>
        <v>#NAME?</v>
      </c>
      <c r="F54" s="23" t="e">
        <f ca="1">'Annual Raw'!G30</f>
        <v>#NAME?</v>
      </c>
      <c r="G54" s="23" t="e">
        <f ca="1">'Annual Raw'!H30</f>
        <v>#NAME?</v>
      </c>
      <c r="H54" s="23" t="e">
        <f ca="1">'Annual Raw'!I30</f>
        <v>#NAME?</v>
      </c>
      <c r="I54" s="23" t="e">
        <f ca="1">'Annual Raw'!J30</f>
        <v>#NAME?</v>
      </c>
      <c r="J54" s="23" t="e">
        <f ca="1">'Annual Raw'!K30</f>
        <v>#NAME?</v>
      </c>
      <c r="K54" s="23" t="e">
        <f ca="1">'Annual Raw'!L30</f>
        <v>#NAME?</v>
      </c>
      <c r="L54" s="23" t="e">
        <f ca="1">'Annual Raw'!M30</f>
        <v>#NAME?</v>
      </c>
      <c r="M54" s="23" t="e">
        <f ca="1">'Annual Raw'!N30</f>
        <v>#NAME?</v>
      </c>
      <c r="N54" s="23" t="e">
        <f ca="1">'Annual Raw'!O30</f>
        <v>#NAME?</v>
      </c>
      <c r="O54" s="23" t="e">
        <f ca="1">'Annual Raw'!P30</f>
        <v>#NAME?</v>
      </c>
      <c r="P54" s="23" t="e">
        <f ca="1">'Annual Raw'!Q30</f>
        <v>#NAME?</v>
      </c>
      <c r="Q54" s="23" t="e">
        <f ca="1">'Annual Raw'!R30</f>
        <v>#NAME?</v>
      </c>
      <c r="R54" s="23" t="e">
        <f ca="1">'Annual Raw'!S30</f>
        <v>#NAME?</v>
      </c>
      <c r="S54" s="23" t="e">
        <f ca="1">'Annual Raw'!T30</f>
        <v>#NAME?</v>
      </c>
      <c r="T54" s="23" t="e">
        <f ca="1">'Annual Raw'!U30</f>
        <v>#NAME?</v>
      </c>
      <c r="U54" s="23" t="e">
        <f ca="1">'Annual Raw'!V30</f>
        <v>#NAME?</v>
      </c>
      <c r="V54" s="23" t="e">
        <f ca="1">'Annual Raw'!W30</f>
        <v>#NAME?</v>
      </c>
      <c r="W54" s="23" t="e">
        <f ca="1">'Annual Raw'!X30</f>
        <v>#NAME?</v>
      </c>
      <c r="X54" s="23" t="e">
        <f ca="1">'Annual Raw'!Y30</f>
        <v>#NAME?</v>
      </c>
      <c r="Y54" s="23" t="e">
        <f ca="1">'Annual Raw'!Z30</f>
        <v>#NAME?</v>
      </c>
      <c r="Z54" s="23" t="e">
        <f ca="1">'Annual Raw'!AA30</f>
        <v>#NAME?</v>
      </c>
      <c r="AA54" s="23" t="e">
        <f ca="1">'Annual Raw'!AB30</f>
        <v>#NAME?</v>
      </c>
      <c r="AB54" s="24" t="e">
        <f ca="1">+SUM(CM54:CP54)</f>
        <v>#NAME?</v>
      </c>
      <c r="AC54" s="24" t="e">
        <f ca="1">+SUM(CQ54:CT54)</f>
        <v>#NAME?</v>
      </c>
      <c r="AD54" s="24" t="e">
        <f ca="1">+SUM(CU54:CX54)</f>
        <v>#NAME?</v>
      </c>
      <c r="AE54" s="24" t="e">
        <f ca="1">+SUM(CY54:DB54)</f>
        <v>#NAME?</v>
      </c>
      <c r="AI54" s="23" t="e">
        <f ca="1">'QTR Raw'!C29</f>
        <v>#NAME?</v>
      </c>
      <c r="AJ54" s="23" t="e">
        <f ca="1">'QTR Raw'!D29</f>
        <v>#NAME?</v>
      </c>
      <c r="AK54" s="23" t="e">
        <f ca="1">'QTR Raw'!E29</f>
        <v>#NAME?</v>
      </c>
      <c r="AL54" s="23" t="e">
        <f ca="1">'QTR Raw'!F29</f>
        <v>#NAME?</v>
      </c>
      <c r="AM54" s="23" t="e">
        <f ca="1">'QTR Raw'!G29</f>
        <v>#NAME?</v>
      </c>
      <c r="AN54" s="23" t="e">
        <f ca="1">'QTR Raw'!H29</f>
        <v>#NAME?</v>
      </c>
      <c r="AO54" s="23" t="e">
        <f ca="1">'QTR Raw'!I29</f>
        <v>#NAME?</v>
      </c>
      <c r="AP54" s="23" t="e">
        <f ca="1">'QTR Raw'!J29</f>
        <v>#NAME?</v>
      </c>
      <c r="AQ54" s="23" t="e">
        <f ca="1">'QTR Raw'!K29</f>
        <v>#NAME?</v>
      </c>
      <c r="AR54" s="23" t="e">
        <f ca="1">'QTR Raw'!L29</f>
        <v>#NAME?</v>
      </c>
      <c r="AS54" s="23" t="e">
        <f ca="1">'QTR Raw'!M29</f>
        <v>#NAME?</v>
      </c>
      <c r="AT54" s="23" t="e">
        <f ca="1">'QTR Raw'!N29</f>
        <v>#NAME?</v>
      </c>
      <c r="AU54" s="23" t="e">
        <f ca="1">'QTR Raw'!O29</f>
        <v>#NAME?</v>
      </c>
      <c r="AV54" s="23" t="e">
        <f ca="1">'QTR Raw'!P29</f>
        <v>#NAME?</v>
      </c>
      <c r="AW54" s="23" t="e">
        <f ca="1">'QTR Raw'!Q29</f>
        <v>#NAME?</v>
      </c>
      <c r="AX54" s="23" t="e">
        <f ca="1">'QTR Raw'!R29</f>
        <v>#NAME?</v>
      </c>
      <c r="AY54" s="23" t="e">
        <f ca="1">'QTR Raw'!S29</f>
        <v>#NAME?</v>
      </c>
      <c r="AZ54" s="23" t="e">
        <f ca="1">'QTR Raw'!T29</f>
        <v>#NAME?</v>
      </c>
      <c r="BA54" s="23" t="e">
        <f ca="1">'QTR Raw'!U29</f>
        <v>#NAME?</v>
      </c>
      <c r="BB54" s="23" t="e">
        <f ca="1">'QTR Raw'!V29</f>
        <v>#NAME?</v>
      </c>
      <c r="BC54" s="23" t="e">
        <f ca="1">'QTR Raw'!W29</f>
        <v>#NAME?</v>
      </c>
      <c r="BD54" s="23" t="e">
        <f ca="1">'QTR Raw'!X29</f>
        <v>#NAME?</v>
      </c>
      <c r="BE54" s="23" t="e">
        <f ca="1">'QTR Raw'!Y29</f>
        <v>#NAME?</v>
      </c>
      <c r="BF54" s="23" t="e">
        <f ca="1">'QTR Raw'!Z29</f>
        <v>#NAME?</v>
      </c>
      <c r="BG54" s="23" t="e">
        <f ca="1">'QTR Raw'!AA29</f>
        <v>#NAME?</v>
      </c>
      <c r="BH54" s="23" t="e">
        <f ca="1">'QTR Raw'!AB29</f>
        <v>#NAME?</v>
      </c>
      <c r="BI54" s="23" t="e">
        <f ca="1">'QTR Raw'!AC29</f>
        <v>#NAME?</v>
      </c>
      <c r="BJ54" s="23" t="e">
        <f ca="1">'QTR Raw'!AD29</f>
        <v>#NAME?</v>
      </c>
      <c r="BK54" s="23" t="e">
        <f ca="1">'QTR Raw'!AE29</f>
        <v>#NAME?</v>
      </c>
      <c r="BL54" s="23" t="e">
        <f ca="1">'QTR Raw'!AF29</f>
        <v>#NAME?</v>
      </c>
      <c r="BM54" s="23" t="e">
        <f ca="1">'QTR Raw'!AG29</f>
        <v>#NAME?</v>
      </c>
      <c r="BN54" s="23" t="e">
        <f ca="1">'QTR Raw'!AH29</f>
        <v>#NAME?</v>
      </c>
      <c r="BO54" s="23" t="e">
        <f ca="1">'QTR Raw'!AI29</f>
        <v>#NAME?</v>
      </c>
      <c r="BP54" s="23" t="e">
        <f ca="1">'QTR Raw'!AJ29</f>
        <v>#NAME?</v>
      </c>
      <c r="BQ54" s="23" t="e">
        <f ca="1">'QTR Raw'!AK29</f>
        <v>#NAME?</v>
      </c>
      <c r="BR54" s="23" t="e">
        <f ca="1">'QTR Raw'!AL29</f>
        <v>#NAME?</v>
      </c>
      <c r="BS54" s="23" t="e">
        <f ca="1">'QTR Raw'!AM29</f>
        <v>#NAME?</v>
      </c>
      <c r="BT54" s="23" t="e">
        <f ca="1">'QTR Raw'!AN29</f>
        <v>#NAME?</v>
      </c>
      <c r="BU54" s="23" t="e">
        <f ca="1">'QTR Raw'!AO29</f>
        <v>#NAME?</v>
      </c>
      <c r="BV54" s="23" t="e">
        <f ca="1">'QTR Raw'!AP29</f>
        <v>#NAME?</v>
      </c>
      <c r="BW54" s="23" t="e">
        <f ca="1">'QTR Raw'!AQ29</f>
        <v>#NAME?</v>
      </c>
      <c r="BX54" s="23" t="e">
        <f ca="1">'QTR Raw'!AR29</f>
        <v>#NAME?</v>
      </c>
      <c r="BY54" s="23" t="e">
        <f ca="1">'QTR Raw'!AS29</f>
        <v>#NAME?</v>
      </c>
      <c r="BZ54" s="23" t="e">
        <f ca="1">'QTR Raw'!AT29</f>
        <v>#NAME?</v>
      </c>
      <c r="CA54" s="23" t="e">
        <f ca="1">'QTR Raw'!AU29</f>
        <v>#NAME?</v>
      </c>
      <c r="CB54" s="23" t="e">
        <f ca="1">'QTR Raw'!AV29</f>
        <v>#NAME?</v>
      </c>
      <c r="CC54" s="23" t="e">
        <f ca="1">'QTR Raw'!AW29</f>
        <v>#NAME?</v>
      </c>
      <c r="CD54" s="23" t="e">
        <f ca="1">'QTR Raw'!AX29</f>
        <v>#NAME?</v>
      </c>
      <c r="CE54" s="23" t="e">
        <f ca="1">'QTR Raw'!AY29</f>
        <v>#NAME?</v>
      </c>
      <c r="CF54" s="23" t="e">
        <f ca="1">'QTR Raw'!AZ29</f>
        <v>#NAME?</v>
      </c>
      <c r="CG54" s="23" t="e">
        <f ca="1">'QTR Raw'!BA29</f>
        <v>#NAME?</v>
      </c>
      <c r="CH54" s="23" t="e">
        <f ca="1">'QTR Raw'!BB29</f>
        <v>#NAME?</v>
      </c>
      <c r="CI54" s="23" t="e">
        <f ca="1">'QTR Raw'!BC29</f>
        <v>#NAME?</v>
      </c>
      <c r="CJ54" s="23" t="e">
        <f ca="1">'QTR Raw'!BD29</f>
        <v>#NAME?</v>
      </c>
      <c r="CK54" s="23" t="e">
        <f ca="1">'QTR Raw'!BE29</f>
        <v>#NAME?</v>
      </c>
      <c r="CL54" s="23" t="e">
        <f ca="1">'QTR Raw'!BF29</f>
        <v>#NAME?</v>
      </c>
      <c r="CM54" s="24" t="e">
        <f t="shared" ref="CM54:DB54" ca="1" si="488">+CM53*CM55</f>
        <v>#NAME?</v>
      </c>
      <c r="CN54" s="24" t="e">
        <f t="shared" ca="1" si="488"/>
        <v>#NAME?</v>
      </c>
      <c r="CO54" s="24" t="e">
        <f t="shared" ca="1" si="488"/>
        <v>#NAME?</v>
      </c>
      <c r="CP54" s="24" t="e">
        <f t="shared" ca="1" si="488"/>
        <v>#NAME?</v>
      </c>
      <c r="CQ54" s="24" t="e">
        <f t="shared" ca="1" si="488"/>
        <v>#NAME?</v>
      </c>
      <c r="CR54" s="24" t="e">
        <f t="shared" ca="1" si="488"/>
        <v>#NAME?</v>
      </c>
      <c r="CS54" s="24" t="e">
        <f t="shared" ca="1" si="488"/>
        <v>#NAME?</v>
      </c>
      <c r="CT54" s="24" t="e">
        <f t="shared" ca="1" si="488"/>
        <v>#NAME?</v>
      </c>
      <c r="CU54" s="24" t="e">
        <f t="shared" ca="1" si="488"/>
        <v>#NAME?</v>
      </c>
      <c r="CV54" s="24" t="e">
        <f t="shared" ca="1" si="488"/>
        <v>#NAME?</v>
      </c>
      <c r="CW54" s="24" t="e">
        <f t="shared" ca="1" si="488"/>
        <v>#NAME?</v>
      </c>
      <c r="CX54" s="24" t="e">
        <f t="shared" ca="1" si="488"/>
        <v>#NAME?</v>
      </c>
      <c r="CY54" s="24" t="e">
        <f t="shared" ca="1" si="488"/>
        <v>#NAME?</v>
      </c>
      <c r="CZ54" s="24" t="e">
        <f t="shared" ca="1" si="488"/>
        <v>#NAME?</v>
      </c>
      <c r="DA54" s="24" t="e">
        <f t="shared" ca="1" si="488"/>
        <v>#NAME?</v>
      </c>
      <c r="DB54" s="24" t="e">
        <f t="shared" ca="1" si="488"/>
        <v>#NAME?</v>
      </c>
      <c r="DE54" s="123"/>
      <c r="DF54" s="23">
        <v>9.6440000000000001</v>
      </c>
    </row>
    <row r="55" spans="1:110" s="90" customFormat="1" x14ac:dyDescent="0.2">
      <c r="A55" s="90" t="s">
        <v>106</v>
      </c>
      <c r="B55" s="90" t="e">
        <f t="shared" ref="B55:E55" ca="1" si="489">B54/B53</f>
        <v>#NAME?</v>
      </c>
      <c r="C55" s="90" t="e">
        <f t="shared" ca="1" si="489"/>
        <v>#NAME?</v>
      </c>
      <c r="D55" s="90" t="e">
        <f t="shared" ca="1" si="489"/>
        <v>#NAME?</v>
      </c>
      <c r="E55" s="90" t="e">
        <f t="shared" ca="1" si="489"/>
        <v>#NAME?</v>
      </c>
      <c r="F55" s="90" t="e">
        <f t="shared" ref="F55:T55" ca="1" si="490">F54/F53</f>
        <v>#NAME?</v>
      </c>
      <c r="G55" s="90" t="e">
        <f t="shared" ca="1" si="490"/>
        <v>#NAME?</v>
      </c>
      <c r="H55" s="90" t="e">
        <f t="shared" ca="1" si="490"/>
        <v>#NAME?</v>
      </c>
      <c r="I55" s="90" t="e">
        <f t="shared" ca="1" si="490"/>
        <v>#NAME?</v>
      </c>
      <c r="J55" s="90" t="e">
        <f t="shared" ca="1" si="490"/>
        <v>#NAME?</v>
      </c>
      <c r="K55" s="90" t="e">
        <f t="shared" ca="1" si="490"/>
        <v>#NAME?</v>
      </c>
      <c r="L55" s="90" t="e">
        <f t="shared" ca="1" si="490"/>
        <v>#NAME?</v>
      </c>
      <c r="M55" s="90" t="e">
        <f t="shared" ca="1" si="490"/>
        <v>#NAME?</v>
      </c>
      <c r="N55" s="90" t="e">
        <f t="shared" ca="1" si="490"/>
        <v>#NAME?</v>
      </c>
      <c r="O55" s="90" t="e">
        <f t="shared" ca="1" si="490"/>
        <v>#NAME?</v>
      </c>
      <c r="P55" s="90" t="e">
        <f t="shared" ca="1" si="490"/>
        <v>#NAME?</v>
      </c>
      <c r="Q55" s="90" t="e">
        <f t="shared" ca="1" si="490"/>
        <v>#NAME?</v>
      </c>
      <c r="R55" s="90" t="e">
        <f t="shared" ca="1" si="490"/>
        <v>#NAME?</v>
      </c>
      <c r="S55" s="90" t="e">
        <f t="shared" ca="1" si="490"/>
        <v>#NAME?</v>
      </c>
      <c r="T55" s="90" t="e">
        <f t="shared" ca="1" si="490"/>
        <v>#NAME?</v>
      </c>
      <c r="U55" s="90" t="e">
        <f t="shared" ref="U55:Z55" ca="1" si="491">U54/U53</f>
        <v>#NAME?</v>
      </c>
      <c r="V55" s="90" t="e">
        <f t="shared" ca="1" si="491"/>
        <v>#NAME?</v>
      </c>
      <c r="W55" s="90" t="e">
        <f t="shared" ca="1" si="491"/>
        <v>#NAME?</v>
      </c>
      <c r="X55" s="90" t="e">
        <f t="shared" ca="1" si="491"/>
        <v>#NAME?</v>
      </c>
      <c r="Y55" s="90" t="e">
        <f t="shared" ca="1" si="491"/>
        <v>#NAME?</v>
      </c>
      <c r="Z55" s="90" t="e">
        <f t="shared" ca="1" si="491"/>
        <v>#NAME?</v>
      </c>
      <c r="AA55" s="90" t="e">
        <f t="shared" ref="AA55" ca="1" si="492">AA54/AA53</f>
        <v>#NAME?</v>
      </c>
      <c r="AB55" s="91" t="e">
        <f t="shared" ref="AA55:AD55" ca="1" si="493">AB54/AB53</f>
        <v>#NAME?</v>
      </c>
      <c r="AC55" s="91" t="e">
        <f t="shared" ca="1" si="493"/>
        <v>#NAME?</v>
      </c>
      <c r="AD55" s="91" t="e">
        <f t="shared" ca="1" si="493"/>
        <v>#NAME?</v>
      </c>
      <c r="AE55" s="91" t="e">
        <f t="shared" ref="AE55" ca="1" si="494">AE54/AE53</f>
        <v>#NAME?</v>
      </c>
      <c r="AI55" s="90" t="e">
        <f t="shared" ref="AI55" ca="1" si="495">AI54/AI53</f>
        <v>#NAME?</v>
      </c>
      <c r="AJ55" s="90" t="e">
        <f t="shared" ref="AJ55" ca="1" si="496">AJ54/AJ53</f>
        <v>#NAME?</v>
      </c>
      <c r="AK55" s="90" t="e">
        <f t="shared" ref="AK55:AM55" ca="1" si="497">AK54/AK53</f>
        <v>#NAME?</v>
      </c>
      <c r="AL55" s="90" t="e">
        <f t="shared" ca="1" si="497"/>
        <v>#NAME?</v>
      </c>
      <c r="AM55" s="90" t="e">
        <f t="shared" ca="1" si="497"/>
        <v>#NAME?</v>
      </c>
      <c r="AN55" s="90" t="e">
        <f t="shared" ref="AN55:AO55" ca="1" si="498">AN54/AN53</f>
        <v>#NAME?</v>
      </c>
      <c r="AO55" s="90" t="e">
        <f t="shared" ca="1" si="498"/>
        <v>#NAME?</v>
      </c>
      <c r="AP55" s="90" t="e">
        <f t="shared" ref="AP55:CD55" ca="1" si="499">AP54/AP53</f>
        <v>#NAME?</v>
      </c>
      <c r="AQ55" s="90" t="e">
        <f t="shared" ca="1" si="499"/>
        <v>#NAME?</v>
      </c>
      <c r="AR55" s="90" t="e">
        <f t="shared" ca="1" si="499"/>
        <v>#NAME?</v>
      </c>
      <c r="AS55" s="90" t="e">
        <f t="shared" ca="1" si="499"/>
        <v>#NAME?</v>
      </c>
      <c r="AT55" s="90" t="e">
        <f t="shared" ca="1" si="499"/>
        <v>#NAME?</v>
      </c>
      <c r="AU55" s="90" t="e">
        <f t="shared" ca="1" si="499"/>
        <v>#NAME?</v>
      </c>
      <c r="AV55" s="90" t="e">
        <f t="shared" ca="1" si="499"/>
        <v>#NAME?</v>
      </c>
      <c r="AW55" s="90" t="e">
        <f t="shared" ca="1" si="499"/>
        <v>#NAME?</v>
      </c>
      <c r="AX55" s="90" t="e">
        <f t="shared" ca="1" si="499"/>
        <v>#NAME?</v>
      </c>
      <c r="AY55" s="90" t="e">
        <f t="shared" ca="1" si="499"/>
        <v>#NAME?</v>
      </c>
      <c r="AZ55" s="90" t="e">
        <f t="shared" ca="1" si="499"/>
        <v>#NAME?</v>
      </c>
      <c r="BA55" s="90" t="e">
        <f t="shared" ca="1" si="499"/>
        <v>#NAME?</v>
      </c>
      <c r="BB55" s="90" t="e">
        <f t="shared" ca="1" si="499"/>
        <v>#NAME?</v>
      </c>
      <c r="BC55" s="90" t="e">
        <f t="shared" ca="1" si="499"/>
        <v>#NAME?</v>
      </c>
      <c r="BD55" s="90" t="e">
        <f t="shared" ca="1" si="499"/>
        <v>#NAME?</v>
      </c>
      <c r="BE55" s="90" t="e">
        <f t="shared" ca="1" si="499"/>
        <v>#NAME?</v>
      </c>
      <c r="BF55" s="90" t="e">
        <f t="shared" ca="1" si="499"/>
        <v>#NAME?</v>
      </c>
      <c r="BG55" s="90" t="e">
        <f t="shared" ca="1" si="499"/>
        <v>#NAME?</v>
      </c>
      <c r="BH55" s="90" t="e">
        <f t="shared" ca="1" si="499"/>
        <v>#NAME?</v>
      </c>
      <c r="BI55" s="90" t="e">
        <f t="shared" ca="1" si="499"/>
        <v>#NAME?</v>
      </c>
      <c r="BJ55" s="90" t="e">
        <f t="shared" ca="1" si="499"/>
        <v>#NAME?</v>
      </c>
      <c r="BK55" s="90" t="e">
        <f t="shared" ca="1" si="499"/>
        <v>#NAME?</v>
      </c>
      <c r="BL55" s="90" t="e">
        <f t="shared" ca="1" si="499"/>
        <v>#NAME?</v>
      </c>
      <c r="BM55" s="90" t="e">
        <f t="shared" ca="1" si="499"/>
        <v>#NAME?</v>
      </c>
      <c r="BN55" s="90" t="e">
        <f t="shared" ca="1" si="499"/>
        <v>#NAME?</v>
      </c>
      <c r="BO55" s="90" t="e">
        <f t="shared" ca="1" si="499"/>
        <v>#NAME?</v>
      </c>
      <c r="BP55" s="90" t="e">
        <f t="shared" ca="1" si="499"/>
        <v>#NAME?</v>
      </c>
      <c r="BQ55" s="90" t="e">
        <f t="shared" ca="1" si="499"/>
        <v>#NAME?</v>
      </c>
      <c r="BR55" s="90" t="e">
        <f t="shared" ca="1" si="499"/>
        <v>#NAME?</v>
      </c>
      <c r="BS55" s="90" t="e">
        <f t="shared" ca="1" si="499"/>
        <v>#NAME?</v>
      </c>
      <c r="BT55" s="90" t="e">
        <f t="shared" ca="1" si="499"/>
        <v>#NAME?</v>
      </c>
      <c r="BU55" s="90" t="e">
        <f t="shared" ca="1" si="499"/>
        <v>#NAME?</v>
      </c>
      <c r="BV55" s="90" t="e">
        <f t="shared" ca="1" si="499"/>
        <v>#NAME?</v>
      </c>
      <c r="BW55" s="90" t="e">
        <f t="shared" ca="1" si="499"/>
        <v>#NAME?</v>
      </c>
      <c r="BX55" s="90" t="e">
        <f t="shared" ca="1" si="499"/>
        <v>#NAME?</v>
      </c>
      <c r="BY55" s="90" t="e">
        <f t="shared" ca="1" si="499"/>
        <v>#NAME?</v>
      </c>
      <c r="BZ55" s="90" t="e">
        <f t="shared" ca="1" si="499"/>
        <v>#NAME?</v>
      </c>
      <c r="CA55" s="90" t="e">
        <f t="shared" ca="1" si="499"/>
        <v>#NAME?</v>
      </c>
      <c r="CB55" s="90" t="e">
        <f t="shared" ca="1" si="499"/>
        <v>#NAME?</v>
      </c>
      <c r="CC55" s="90" t="e">
        <f t="shared" ca="1" si="499"/>
        <v>#NAME?</v>
      </c>
      <c r="CD55" s="90" t="e">
        <f t="shared" ca="1" si="499"/>
        <v>#NAME?</v>
      </c>
      <c r="CE55" s="90" t="e">
        <f t="shared" ref="CE55:CF55" ca="1" si="500">CE54/CE53</f>
        <v>#NAME?</v>
      </c>
      <c r="CF55" s="90" t="e">
        <f t="shared" ca="1" si="500"/>
        <v>#NAME?</v>
      </c>
      <c r="CG55" s="90" t="e">
        <f t="shared" ref="CG55:CH55" ca="1" si="501">CG54/CG53</f>
        <v>#NAME?</v>
      </c>
      <c r="CH55" s="90" t="e">
        <f t="shared" ca="1" si="501"/>
        <v>#NAME?</v>
      </c>
      <c r="CI55" s="90" t="e">
        <f t="shared" ref="CI55:CJ55" ca="1" si="502">CI54/CI53</f>
        <v>#NAME?</v>
      </c>
      <c r="CJ55" s="90" t="e">
        <f t="shared" ca="1" si="502"/>
        <v>#NAME?</v>
      </c>
      <c r="CK55" s="90" t="e">
        <f t="shared" ref="CK55:CL55" ca="1" si="503">CK54/CK53</f>
        <v>#NAME?</v>
      </c>
      <c r="CL55" s="90" t="e">
        <f t="shared" ca="1" si="503"/>
        <v>#NAME?</v>
      </c>
      <c r="CM55" s="91" t="e">
        <f t="shared" ref="CM55:DB55" ca="1" si="504">AVERAGE(CI55:CL55)</f>
        <v>#NAME?</v>
      </c>
      <c r="CN55" s="91" t="e">
        <f t="shared" ca="1" si="504"/>
        <v>#NAME?</v>
      </c>
      <c r="CO55" s="91" t="e">
        <f t="shared" ca="1" si="504"/>
        <v>#NAME?</v>
      </c>
      <c r="CP55" s="91" t="e">
        <f t="shared" ca="1" si="504"/>
        <v>#NAME?</v>
      </c>
      <c r="CQ55" s="91" t="e">
        <f t="shared" ca="1" si="504"/>
        <v>#NAME?</v>
      </c>
      <c r="CR55" s="91" t="e">
        <f t="shared" ca="1" si="504"/>
        <v>#NAME?</v>
      </c>
      <c r="CS55" s="91" t="e">
        <f t="shared" ca="1" si="504"/>
        <v>#NAME?</v>
      </c>
      <c r="CT55" s="91" t="e">
        <f t="shared" ca="1" si="504"/>
        <v>#NAME?</v>
      </c>
      <c r="CU55" s="91" t="e">
        <f t="shared" ca="1" si="504"/>
        <v>#NAME?</v>
      </c>
      <c r="CV55" s="91" t="e">
        <f t="shared" ca="1" si="504"/>
        <v>#NAME?</v>
      </c>
      <c r="CW55" s="91" t="e">
        <f t="shared" ca="1" si="504"/>
        <v>#NAME?</v>
      </c>
      <c r="CX55" s="91" t="e">
        <f t="shared" ca="1" si="504"/>
        <v>#NAME?</v>
      </c>
      <c r="CY55" s="91" t="e">
        <f t="shared" ca="1" si="504"/>
        <v>#NAME?</v>
      </c>
      <c r="CZ55" s="91" t="e">
        <f t="shared" ca="1" si="504"/>
        <v>#NAME?</v>
      </c>
      <c r="DA55" s="91" t="e">
        <f t="shared" ca="1" si="504"/>
        <v>#NAME?</v>
      </c>
      <c r="DB55" s="91" t="e">
        <f t="shared" ca="1" si="504"/>
        <v>#NAME?</v>
      </c>
      <c r="DE55" s="127"/>
      <c r="DF55" s="90">
        <v>0.39120558169722502</v>
      </c>
    </row>
    <row r="56" spans="1:110" s="26" customFormat="1" x14ac:dyDescent="0.2">
      <c r="A56" s="26" t="s">
        <v>22</v>
      </c>
      <c r="B56" s="26" t="e">
        <f t="shared" ref="B56:E56" ca="1" si="505">B53-B54</f>
        <v>#NAME?</v>
      </c>
      <c r="C56" s="26" t="e">
        <f t="shared" ca="1" si="505"/>
        <v>#NAME?</v>
      </c>
      <c r="D56" s="26" t="e">
        <f t="shared" ca="1" si="505"/>
        <v>#NAME?</v>
      </c>
      <c r="E56" s="26" t="e">
        <f t="shared" ca="1" si="505"/>
        <v>#NAME?</v>
      </c>
      <c r="F56" s="26" t="e">
        <f t="shared" ref="F56:T56" ca="1" si="506">F53-F54</f>
        <v>#NAME?</v>
      </c>
      <c r="G56" s="26" t="e">
        <f t="shared" ca="1" si="506"/>
        <v>#NAME?</v>
      </c>
      <c r="H56" s="26" t="e">
        <f t="shared" ca="1" si="506"/>
        <v>#NAME?</v>
      </c>
      <c r="I56" s="26" t="e">
        <f t="shared" ca="1" si="506"/>
        <v>#NAME?</v>
      </c>
      <c r="J56" s="26" t="e">
        <f t="shared" ca="1" si="506"/>
        <v>#NAME?</v>
      </c>
      <c r="K56" s="26" t="e">
        <f t="shared" ca="1" si="506"/>
        <v>#NAME?</v>
      </c>
      <c r="L56" s="26" t="e">
        <f t="shared" ca="1" si="506"/>
        <v>#NAME?</v>
      </c>
      <c r="M56" s="26" t="e">
        <f t="shared" ca="1" si="506"/>
        <v>#NAME?</v>
      </c>
      <c r="N56" s="26" t="e">
        <f t="shared" ca="1" si="506"/>
        <v>#NAME?</v>
      </c>
      <c r="O56" s="26" t="e">
        <f t="shared" ca="1" si="506"/>
        <v>#NAME?</v>
      </c>
      <c r="P56" s="26" t="e">
        <f t="shared" ca="1" si="506"/>
        <v>#NAME?</v>
      </c>
      <c r="Q56" s="26" t="e">
        <f t="shared" ca="1" si="506"/>
        <v>#NAME?</v>
      </c>
      <c r="R56" s="26" t="e">
        <f t="shared" ca="1" si="506"/>
        <v>#NAME?</v>
      </c>
      <c r="S56" s="26" t="e">
        <f t="shared" ca="1" si="506"/>
        <v>#NAME?</v>
      </c>
      <c r="T56" s="26" t="e">
        <f t="shared" ca="1" si="506"/>
        <v>#NAME?</v>
      </c>
      <c r="U56" s="26" t="e">
        <f t="shared" ref="U56:Z56" ca="1" si="507">U53-U54</f>
        <v>#NAME?</v>
      </c>
      <c r="V56" s="26" t="e">
        <f t="shared" ca="1" si="507"/>
        <v>#NAME?</v>
      </c>
      <c r="W56" s="26" t="e">
        <f t="shared" ca="1" si="507"/>
        <v>#NAME?</v>
      </c>
      <c r="X56" s="26" t="e">
        <f t="shared" ca="1" si="507"/>
        <v>#NAME?</v>
      </c>
      <c r="Y56" s="26" t="e">
        <f t="shared" ca="1" si="507"/>
        <v>#NAME?</v>
      </c>
      <c r="Z56" s="26" t="e">
        <f t="shared" ca="1" si="507"/>
        <v>#NAME?</v>
      </c>
      <c r="AA56" s="26" t="e">
        <f t="shared" ref="AA56" ca="1" si="508">AA53-AA54</f>
        <v>#NAME?</v>
      </c>
      <c r="AB56" s="27" t="e">
        <f t="shared" ref="AA56:AD56" ca="1" si="509">AB53-AB54</f>
        <v>#NAME?</v>
      </c>
      <c r="AC56" s="27" t="e">
        <f t="shared" ca="1" si="509"/>
        <v>#NAME?</v>
      </c>
      <c r="AD56" s="27" t="e">
        <f t="shared" ca="1" si="509"/>
        <v>#NAME?</v>
      </c>
      <c r="AE56" s="27" t="e">
        <f t="shared" ref="AE56" ca="1" si="510">AE53-AE54</f>
        <v>#NAME?</v>
      </c>
      <c r="AI56" s="26" t="e">
        <f ca="1">AI53-AI54</f>
        <v>#NAME?</v>
      </c>
      <c r="AJ56" s="26" t="e">
        <f t="shared" ref="AJ56" ca="1" si="511">AJ53-AJ54</f>
        <v>#NAME?</v>
      </c>
      <c r="AK56" s="26" t="e">
        <f t="shared" ref="AK56:AM56" ca="1" si="512">AK53-AK54</f>
        <v>#NAME?</v>
      </c>
      <c r="AL56" s="26" t="e">
        <f t="shared" ca="1" si="512"/>
        <v>#NAME?</v>
      </c>
      <c r="AM56" s="26" t="e">
        <f t="shared" ca="1" si="512"/>
        <v>#NAME?</v>
      </c>
      <c r="AN56" s="26" t="e">
        <f t="shared" ref="AN56:AO56" ca="1" si="513">AN53-AN54</f>
        <v>#NAME?</v>
      </c>
      <c r="AO56" s="26" t="e">
        <f t="shared" ca="1" si="513"/>
        <v>#NAME?</v>
      </c>
      <c r="AP56" s="26" t="e">
        <f t="shared" ref="AP56:CD56" ca="1" si="514">AP53-AP54</f>
        <v>#NAME?</v>
      </c>
      <c r="AQ56" s="26" t="e">
        <f t="shared" ca="1" si="514"/>
        <v>#NAME?</v>
      </c>
      <c r="AR56" s="26" t="e">
        <f t="shared" ca="1" si="514"/>
        <v>#NAME?</v>
      </c>
      <c r="AS56" s="26" t="e">
        <f t="shared" ca="1" si="514"/>
        <v>#NAME?</v>
      </c>
      <c r="AT56" s="26" t="e">
        <f t="shared" ca="1" si="514"/>
        <v>#NAME?</v>
      </c>
      <c r="AU56" s="26" t="e">
        <f t="shared" ca="1" si="514"/>
        <v>#NAME?</v>
      </c>
      <c r="AV56" s="26" t="e">
        <f t="shared" ca="1" si="514"/>
        <v>#NAME?</v>
      </c>
      <c r="AW56" s="26" t="e">
        <f t="shared" ca="1" si="514"/>
        <v>#NAME?</v>
      </c>
      <c r="AX56" s="26" t="e">
        <f t="shared" ca="1" si="514"/>
        <v>#NAME?</v>
      </c>
      <c r="AY56" s="26" t="e">
        <f t="shared" ca="1" si="514"/>
        <v>#NAME?</v>
      </c>
      <c r="AZ56" s="26" t="e">
        <f t="shared" ca="1" si="514"/>
        <v>#NAME?</v>
      </c>
      <c r="BA56" s="26" t="e">
        <f t="shared" ca="1" si="514"/>
        <v>#NAME?</v>
      </c>
      <c r="BB56" s="26" t="e">
        <f t="shared" ca="1" si="514"/>
        <v>#NAME?</v>
      </c>
      <c r="BC56" s="26" t="e">
        <f t="shared" ca="1" si="514"/>
        <v>#NAME?</v>
      </c>
      <c r="BD56" s="26" t="e">
        <f t="shared" ca="1" si="514"/>
        <v>#NAME?</v>
      </c>
      <c r="BE56" s="26" t="e">
        <f t="shared" ca="1" si="514"/>
        <v>#NAME?</v>
      </c>
      <c r="BF56" s="26" t="e">
        <f t="shared" ca="1" si="514"/>
        <v>#NAME?</v>
      </c>
      <c r="BG56" s="26" t="e">
        <f t="shared" ca="1" si="514"/>
        <v>#NAME?</v>
      </c>
      <c r="BH56" s="26" t="e">
        <f t="shared" ca="1" si="514"/>
        <v>#NAME?</v>
      </c>
      <c r="BI56" s="26" t="e">
        <f t="shared" ca="1" si="514"/>
        <v>#NAME?</v>
      </c>
      <c r="BJ56" s="26" t="e">
        <f t="shared" ca="1" si="514"/>
        <v>#NAME?</v>
      </c>
      <c r="BK56" s="26" t="e">
        <f t="shared" ca="1" si="514"/>
        <v>#NAME?</v>
      </c>
      <c r="BL56" s="26" t="e">
        <f t="shared" ca="1" si="514"/>
        <v>#NAME?</v>
      </c>
      <c r="BM56" s="26" t="e">
        <f t="shared" ca="1" si="514"/>
        <v>#NAME?</v>
      </c>
      <c r="BN56" s="26" t="e">
        <f t="shared" ca="1" si="514"/>
        <v>#NAME?</v>
      </c>
      <c r="BO56" s="26" t="e">
        <f t="shared" ca="1" si="514"/>
        <v>#NAME?</v>
      </c>
      <c r="BP56" s="26" t="e">
        <f t="shared" ca="1" si="514"/>
        <v>#NAME?</v>
      </c>
      <c r="BQ56" s="26" t="e">
        <f t="shared" ca="1" si="514"/>
        <v>#NAME?</v>
      </c>
      <c r="BR56" s="26" t="e">
        <f t="shared" ca="1" si="514"/>
        <v>#NAME?</v>
      </c>
      <c r="BS56" s="26" t="e">
        <f t="shared" ca="1" si="514"/>
        <v>#NAME?</v>
      </c>
      <c r="BT56" s="26" t="e">
        <f t="shared" ca="1" si="514"/>
        <v>#NAME?</v>
      </c>
      <c r="BU56" s="26" t="e">
        <f t="shared" ca="1" si="514"/>
        <v>#NAME?</v>
      </c>
      <c r="BV56" s="26" t="e">
        <f t="shared" ca="1" si="514"/>
        <v>#NAME?</v>
      </c>
      <c r="BW56" s="26" t="e">
        <f t="shared" ca="1" si="514"/>
        <v>#NAME?</v>
      </c>
      <c r="BX56" s="26" t="e">
        <f t="shared" ca="1" si="514"/>
        <v>#NAME?</v>
      </c>
      <c r="BY56" s="26" t="e">
        <f t="shared" ca="1" si="514"/>
        <v>#NAME?</v>
      </c>
      <c r="BZ56" s="26" t="e">
        <f t="shared" ca="1" si="514"/>
        <v>#NAME?</v>
      </c>
      <c r="CA56" s="26" t="e">
        <f t="shared" ca="1" si="514"/>
        <v>#NAME?</v>
      </c>
      <c r="CB56" s="26" t="e">
        <f t="shared" ca="1" si="514"/>
        <v>#NAME?</v>
      </c>
      <c r="CC56" s="26" t="e">
        <f t="shared" ca="1" si="514"/>
        <v>#NAME?</v>
      </c>
      <c r="CD56" s="26" t="e">
        <f t="shared" ca="1" si="514"/>
        <v>#NAME?</v>
      </c>
      <c r="CE56" s="26" t="e">
        <f t="shared" ref="CE56:CF56" ca="1" si="515">CE53-CE54</f>
        <v>#NAME?</v>
      </c>
      <c r="CF56" s="26" t="e">
        <f t="shared" ca="1" si="515"/>
        <v>#NAME?</v>
      </c>
      <c r="CG56" s="26" t="e">
        <f t="shared" ref="CG56:CH56" ca="1" si="516">CG53-CG54</f>
        <v>#NAME?</v>
      </c>
      <c r="CH56" s="26" t="e">
        <f t="shared" ca="1" si="516"/>
        <v>#NAME?</v>
      </c>
      <c r="CI56" s="26" t="e">
        <f t="shared" ref="CI56:CJ56" ca="1" si="517">CI53-CI54</f>
        <v>#NAME?</v>
      </c>
      <c r="CJ56" s="26" t="e">
        <f t="shared" ca="1" si="517"/>
        <v>#NAME?</v>
      </c>
      <c r="CK56" s="26" t="e">
        <f t="shared" ref="CK56:CL56" ca="1" si="518">CK53-CK54</f>
        <v>#NAME?</v>
      </c>
      <c r="CL56" s="26" t="e">
        <f t="shared" ca="1" si="518"/>
        <v>#NAME?</v>
      </c>
      <c r="CM56" s="27" t="e">
        <f t="shared" ref="CM56:DB56" ca="1" si="519">CM53-CM54</f>
        <v>#NAME?</v>
      </c>
      <c r="CN56" s="27" t="e">
        <f t="shared" ca="1" si="519"/>
        <v>#NAME?</v>
      </c>
      <c r="CO56" s="27" t="e">
        <f t="shared" ca="1" si="519"/>
        <v>#NAME?</v>
      </c>
      <c r="CP56" s="27" t="e">
        <f t="shared" ca="1" si="519"/>
        <v>#NAME?</v>
      </c>
      <c r="CQ56" s="27" t="e">
        <f t="shared" ca="1" si="519"/>
        <v>#NAME?</v>
      </c>
      <c r="CR56" s="27" t="e">
        <f t="shared" ca="1" si="519"/>
        <v>#NAME?</v>
      </c>
      <c r="CS56" s="27" t="e">
        <f t="shared" ca="1" si="519"/>
        <v>#NAME?</v>
      </c>
      <c r="CT56" s="27" t="e">
        <f t="shared" ca="1" si="519"/>
        <v>#NAME?</v>
      </c>
      <c r="CU56" s="27" t="e">
        <f t="shared" ca="1" si="519"/>
        <v>#NAME?</v>
      </c>
      <c r="CV56" s="27" t="e">
        <f t="shared" ca="1" si="519"/>
        <v>#NAME?</v>
      </c>
      <c r="CW56" s="27" t="e">
        <f t="shared" ca="1" si="519"/>
        <v>#NAME?</v>
      </c>
      <c r="CX56" s="27" t="e">
        <f t="shared" ca="1" si="519"/>
        <v>#NAME?</v>
      </c>
      <c r="CY56" s="27" t="e">
        <f t="shared" ca="1" si="519"/>
        <v>#NAME?</v>
      </c>
      <c r="CZ56" s="27" t="e">
        <f t="shared" ca="1" si="519"/>
        <v>#NAME?</v>
      </c>
      <c r="DA56" s="27" t="e">
        <f t="shared" ca="1" si="519"/>
        <v>#NAME?</v>
      </c>
      <c r="DB56" s="27" t="e">
        <f t="shared" ca="1" si="519"/>
        <v>#NAME?</v>
      </c>
      <c r="DE56" s="121"/>
      <c r="DF56" s="26">
        <v>15.008000000000022</v>
      </c>
    </row>
    <row r="57" spans="1:110" s="45" customFormat="1" x14ac:dyDescent="0.2">
      <c r="A57" s="45" t="s">
        <v>107</v>
      </c>
      <c r="B57" s="45" t="e">
        <f t="shared" ref="B57:E57" ca="1" si="520">+B56/B25</f>
        <v>#NAME?</v>
      </c>
      <c r="C57" s="45" t="e">
        <f t="shared" ca="1" si="520"/>
        <v>#NAME?</v>
      </c>
      <c r="D57" s="45" t="e">
        <f t="shared" ca="1" si="520"/>
        <v>#NAME?</v>
      </c>
      <c r="E57" s="45" t="e">
        <f t="shared" ca="1" si="520"/>
        <v>#NAME?</v>
      </c>
      <c r="F57" s="45" t="e">
        <f t="shared" ref="F57:AE57" ca="1" si="521">+F56/F25</f>
        <v>#NAME?</v>
      </c>
      <c r="G57" s="45" t="e">
        <f t="shared" ca="1" si="521"/>
        <v>#NAME?</v>
      </c>
      <c r="H57" s="45" t="e">
        <f t="shared" ca="1" si="521"/>
        <v>#NAME?</v>
      </c>
      <c r="I57" s="45" t="e">
        <f t="shared" ca="1" si="521"/>
        <v>#NAME?</v>
      </c>
      <c r="J57" s="45" t="e">
        <f t="shared" ca="1" si="521"/>
        <v>#NAME?</v>
      </c>
      <c r="K57" s="45" t="e">
        <f t="shared" ca="1" si="521"/>
        <v>#NAME?</v>
      </c>
      <c r="L57" s="45" t="e">
        <f t="shared" ca="1" si="521"/>
        <v>#NAME?</v>
      </c>
      <c r="M57" s="45" t="e">
        <f t="shared" ca="1" si="521"/>
        <v>#NAME?</v>
      </c>
      <c r="N57" s="45" t="e">
        <f t="shared" ca="1" si="521"/>
        <v>#NAME?</v>
      </c>
      <c r="O57" s="45" t="e">
        <f t="shared" ca="1" si="521"/>
        <v>#NAME?</v>
      </c>
      <c r="P57" s="45" t="e">
        <f t="shared" ca="1" si="521"/>
        <v>#NAME?</v>
      </c>
      <c r="Q57" s="45" t="e">
        <f t="shared" ca="1" si="521"/>
        <v>#NAME?</v>
      </c>
      <c r="R57" s="45" t="e">
        <f t="shared" ca="1" si="521"/>
        <v>#NAME?</v>
      </c>
      <c r="S57" s="45" t="e">
        <f t="shared" ca="1" si="521"/>
        <v>#NAME?</v>
      </c>
      <c r="T57" s="45" t="e">
        <f t="shared" ca="1" si="521"/>
        <v>#NAME?</v>
      </c>
      <c r="U57" s="45" t="e">
        <f t="shared" ca="1" si="521"/>
        <v>#NAME?</v>
      </c>
      <c r="V57" s="45" t="e">
        <f t="shared" ca="1" si="521"/>
        <v>#NAME?</v>
      </c>
      <c r="W57" s="45" t="e">
        <f t="shared" ca="1" si="521"/>
        <v>#NAME?</v>
      </c>
      <c r="X57" s="45" t="e">
        <f t="shared" ca="1" si="521"/>
        <v>#NAME?</v>
      </c>
      <c r="Y57" s="45" t="e">
        <f t="shared" ca="1" si="521"/>
        <v>#NAME?</v>
      </c>
      <c r="Z57" s="45" t="e">
        <f t="shared" ref="Z57:AA57" ca="1" si="522">+Z56/Z25</f>
        <v>#NAME?</v>
      </c>
      <c r="AA57" s="45" t="e">
        <f t="shared" ca="1" si="522"/>
        <v>#NAME?</v>
      </c>
      <c r="AB57" s="48" t="e">
        <f t="shared" ca="1" si="521"/>
        <v>#NAME?</v>
      </c>
      <c r="AC57" s="48" t="e">
        <f t="shared" ca="1" si="521"/>
        <v>#NAME?</v>
      </c>
      <c r="AD57" s="48" t="e">
        <f t="shared" ca="1" si="521"/>
        <v>#NAME?</v>
      </c>
      <c r="AE57" s="48" t="e">
        <f t="shared" ca="1" si="521"/>
        <v>#NAME?</v>
      </c>
      <c r="AI57" s="45" t="e">
        <f t="shared" ref="AI57:BN57" ca="1" si="523">+AI56/AI25</f>
        <v>#NAME?</v>
      </c>
      <c r="AJ57" s="45" t="e">
        <f t="shared" ca="1" si="523"/>
        <v>#NAME?</v>
      </c>
      <c r="AK57" s="45" t="e">
        <f t="shared" ca="1" si="523"/>
        <v>#NAME?</v>
      </c>
      <c r="AL57" s="45" t="e">
        <f t="shared" ca="1" si="523"/>
        <v>#NAME?</v>
      </c>
      <c r="AM57" s="45" t="e">
        <f t="shared" ca="1" si="523"/>
        <v>#NAME?</v>
      </c>
      <c r="AN57" s="45" t="e">
        <f t="shared" ca="1" si="523"/>
        <v>#NAME?</v>
      </c>
      <c r="AO57" s="45" t="e">
        <f t="shared" ca="1" si="523"/>
        <v>#NAME?</v>
      </c>
      <c r="AP57" s="45" t="e">
        <f t="shared" ca="1" si="523"/>
        <v>#NAME?</v>
      </c>
      <c r="AQ57" s="45" t="e">
        <f t="shared" ca="1" si="523"/>
        <v>#NAME?</v>
      </c>
      <c r="AR57" s="45" t="e">
        <f t="shared" ca="1" si="523"/>
        <v>#NAME?</v>
      </c>
      <c r="AS57" s="45" t="e">
        <f t="shared" ca="1" si="523"/>
        <v>#NAME?</v>
      </c>
      <c r="AT57" s="45" t="e">
        <f t="shared" ca="1" si="523"/>
        <v>#NAME?</v>
      </c>
      <c r="AU57" s="45" t="e">
        <f t="shared" ca="1" si="523"/>
        <v>#NAME?</v>
      </c>
      <c r="AV57" s="45" t="e">
        <f t="shared" ca="1" si="523"/>
        <v>#NAME?</v>
      </c>
      <c r="AW57" s="45" t="e">
        <f t="shared" ca="1" si="523"/>
        <v>#NAME?</v>
      </c>
      <c r="AX57" s="45" t="e">
        <f t="shared" ca="1" si="523"/>
        <v>#NAME?</v>
      </c>
      <c r="AY57" s="45" t="e">
        <f t="shared" ca="1" si="523"/>
        <v>#NAME?</v>
      </c>
      <c r="AZ57" s="45" t="e">
        <f t="shared" ca="1" si="523"/>
        <v>#NAME?</v>
      </c>
      <c r="BA57" s="45" t="e">
        <f t="shared" ca="1" si="523"/>
        <v>#NAME?</v>
      </c>
      <c r="BB57" s="45" t="e">
        <f t="shared" ca="1" si="523"/>
        <v>#NAME?</v>
      </c>
      <c r="BC57" s="45" t="e">
        <f t="shared" ca="1" si="523"/>
        <v>#NAME?</v>
      </c>
      <c r="BD57" s="45" t="e">
        <f t="shared" ca="1" si="523"/>
        <v>#NAME?</v>
      </c>
      <c r="BE57" s="45" t="e">
        <f t="shared" ca="1" si="523"/>
        <v>#NAME?</v>
      </c>
      <c r="BF57" s="45" t="e">
        <f t="shared" ca="1" si="523"/>
        <v>#NAME?</v>
      </c>
      <c r="BG57" s="45" t="e">
        <f t="shared" ca="1" si="523"/>
        <v>#NAME?</v>
      </c>
      <c r="BH57" s="45" t="e">
        <f t="shared" ca="1" si="523"/>
        <v>#NAME?</v>
      </c>
      <c r="BI57" s="45" t="e">
        <f t="shared" ca="1" si="523"/>
        <v>#NAME?</v>
      </c>
      <c r="BJ57" s="45" t="e">
        <f t="shared" ca="1" si="523"/>
        <v>#NAME?</v>
      </c>
      <c r="BK57" s="45" t="e">
        <f t="shared" ca="1" si="523"/>
        <v>#NAME?</v>
      </c>
      <c r="BL57" s="45" t="e">
        <f t="shared" ca="1" si="523"/>
        <v>#NAME?</v>
      </c>
      <c r="BM57" s="45" t="e">
        <f t="shared" ca="1" si="523"/>
        <v>#NAME?</v>
      </c>
      <c r="BN57" s="45" t="e">
        <f t="shared" ca="1" si="523"/>
        <v>#NAME?</v>
      </c>
      <c r="BO57" s="45" t="e">
        <f t="shared" ref="BO57:CT57" ca="1" si="524">+BO56/BO25</f>
        <v>#NAME?</v>
      </c>
      <c r="BP57" s="45" t="e">
        <f t="shared" ca="1" si="524"/>
        <v>#NAME?</v>
      </c>
      <c r="BQ57" s="45" t="e">
        <f t="shared" ca="1" si="524"/>
        <v>#NAME?</v>
      </c>
      <c r="BR57" s="45" t="e">
        <f t="shared" ca="1" si="524"/>
        <v>#NAME?</v>
      </c>
      <c r="BS57" s="45" t="e">
        <f t="shared" ca="1" si="524"/>
        <v>#NAME?</v>
      </c>
      <c r="BT57" s="45" t="e">
        <f t="shared" ca="1" si="524"/>
        <v>#NAME?</v>
      </c>
      <c r="BU57" s="45" t="e">
        <f t="shared" ca="1" si="524"/>
        <v>#NAME?</v>
      </c>
      <c r="BV57" s="45" t="e">
        <f t="shared" ca="1" si="524"/>
        <v>#NAME?</v>
      </c>
      <c r="BW57" s="45" t="e">
        <f t="shared" ca="1" si="524"/>
        <v>#NAME?</v>
      </c>
      <c r="BX57" s="45" t="e">
        <f t="shared" ca="1" si="524"/>
        <v>#NAME?</v>
      </c>
      <c r="BY57" s="45" t="e">
        <f t="shared" ca="1" si="524"/>
        <v>#NAME?</v>
      </c>
      <c r="BZ57" s="45" t="e">
        <f t="shared" ca="1" si="524"/>
        <v>#NAME?</v>
      </c>
      <c r="CA57" s="45" t="e">
        <f t="shared" ca="1" si="524"/>
        <v>#NAME?</v>
      </c>
      <c r="CB57" s="45" t="e">
        <f t="shared" ca="1" si="524"/>
        <v>#NAME?</v>
      </c>
      <c r="CC57" s="45" t="e">
        <f t="shared" ca="1" si="524"/>
        <v>#NAME?</v>
      </c>
      <c r="CD57" s="45" t="e">
        <f t="shared" ca="1" si="524"/>
        <v>#NAME?</v>
      </c>
      <c r="CE57" s="45" t="e">
        <f t="shared" ca="1" si="524"/>
        <v>#NAME?</v>
      </c>
      <c r="CF57" s="45" t="e">
        <f t="shared" ca="1" si="524"/>
        <v>#NAME?</v>
      </c>
      <c r="CG57" s="45" t="e">
        <f t="shared" ca="1" si="524"/>
        <v>#NAME?</v>
      </c>
      <c r="CH57" s="45" t="e">
        <f t="shared" ca="1" si="524"/>
        <v>#NAME?</v>
      </c>
      <c r="CI57" s="45" t="e">
        <f t="shared" ref="CI57:CJ57" ca="1" si="525">+CI56/CI25</f>
        <v>#NAME?</v>
      </c>
      <c r="CJ57" s="45" t="e">
        <f t="shared" ca="1" si="525"/>
        <v>#NAME?</v>
      </c>
      <c r="CK57" s="45" t="e">
        <f t="shared" ref="CK57:CL57" ca="1" si="526">+CK56/CK25</f>
        <v>#NAME?</v>
      </c>
      <c r="CL57" s="45" t="e">
        <f t="shared" ca="1" si="526"/>
        <v>#NAME?</v>
      </c>
      <c r="CM57" s="48" t="e">
        <f t="shared" ca="1" si="524"/>
        <v>#NAME?</v>
      </c>
      <c r="CN57" s="48" t="e">
        <f t="shared" ca="1" si="524"/>
        <v>#NAME?</v>
      </c>
      <c r="CO57" s="48" t="e">
        <f t="shared" ca="1" si="524"/>
        <v>#NAME?</v>
      </c>
      <c r="CP57" s="48" t="e">
        <f t="shared" ca="1" si="524"/>
        <v>#NAME?</v>
      </c>
      <c r="CQ57" s="48" t="e">
        <f t="shared" ca="1" si="524"/>
        <v>#NAME?</v>
      </c>
      <c r="CR57" s="48" t="e">
        <f t="shared" ca="1" si="524"/>
        <v>#NAME?</v>
      </c>
      <c r="CS57" s="48" t="e">
        <f t="shared" ca="1" si="524"/>
        <v>#NAME?</v>
      </c>
      <c r="CT57" s="48" t="e">
        <f t="shared" ca="1" si="524"/>
        <v>#NAME?</v>
      </c>
      <c r="CU57" s="48" t="e">
        <f t="shared" ref="CU57:DB57" ca="1" si="527">+CU56/CU25</f>
        <v>#NAME?</v>
      </c>
      <c r="CV57" s="48" t="e">
        <f t="shared" ca="1" si="527"/>
        <v>#NAME?</v>
      </c>
      <c r="CW57" s="48" t="e">
        <f t="shared" ca="1" si="527"/>
        <v>#NAME?</v>
      </c>
      <c r="CX57" s="48" t="e">
        <f t="shared" ca="1" si="527"/>
        <v>#NAME?</v>
      </c>
      <c r="CY57" s="48" t="e">
        <f t="shared" ca="1" si="527"/>
        <v>#NAME?</v>
      </c>
      <c r="CZ57" s="48" t="e">
        <f t="shared" ca="1" si="527"/>
        <v>#NAME?</v>
      </c>
      <c r="DA57" s="48" t="e">
        <f t="shared" ca="1" si="527"/>
        <v>#NAME?</v>
      </c>
      <c r="DB57" s="48" t="e">
        <f t="shared" ca="1" si="527"/>
        <v>#NAME?</v>
      </c>
      <c r="DE57" s="129"/>
      <c r="DF57" s="45">
        <v>6.7338798329093355E-2</v>
      </c>
    </row>
    <row r="58" spans="1:110" s="39" customFormat="1" x14ac:dyDescent="0.2">
      <c r="A58" s="39" t="s">
        <v>451</v>
      </c>
      <c r="C58" s="39" t="e">
        <f t="shared" ref="C58:E58" ca="1" si="528">+IF(B56&lt;0,1-C56/B56,C56/B56-1)</f>
        <v>#NAME?</v>
      </c>
      <c r="D58" s="39" t="e">
        <f t="shared" ca="1" si="528"/>
        <v>#NAME?</v>
      </c>
      <c r="E58" s="39" t="e">
        <f t="shared" ca="1" si="528"/>
        <v>#NAME?</v>
      </c>
      <c r="F58" s="39" t="e">
        <f t="shared" ref="F58:AE58" ca="1" si="529">+IF(E56&lt;0,1-F56/E56,F56/E56-1)</f>
        <v>#NAME?</v>
      </c>
      <c r="G58" s="39" t="e">
        <f t="shared" ca="1" si="529"/>
        <v>#NAME?</v>
      </c>
      <c r="H58" s="39" t="e">
        <f t="shared" ca="1" si="529"/>
        <v>#NAME?</v>
      </c>
      <c r="I58" s="39" t="e">
        <f t="shared" ca="1" si="529"/>
        <v>#NAME?</v>
      </c>
      <c r="J58" s="39" t="e">
        <f t="shared" ca="1" si="529"/>
        <v>#NAME?</v>
      </c>
      <c r="K58" s="39" t="e">
        <f t="shared" ca="1" si="529"/>
        <v>#NAME?</v>
      </c>
      <c r="L58" s="39" t="e">
        <f t="shared" ca="1" si="529"/>
        <v>#NAME?</v>
      </c>
      <c r="M58" s="39" t="e">
        <f t="shared" ca="1" si="529"/>
        <v>#NAME?</v>
      </c>
      <c r="N58" s="39" t="e">
        <f t="shared" ca="1" si="529"/>
        <v>#NAME?</v>
      </c>
      <c r="O58" s="39" t="e">
        <f t="shared" ca="1" si="529"/>
        <v>#NAME?</v>
      </c>
      <c r="P58" s="39" t="e">
        <f t="shared" ca="1" si="529"/>
        <v>#NAME?</v>
      </c>
      <c r="Q58" s="39" t="e">
        <f t="shared" ca="1" si="529"/>
        <v>#NAME?</v>
      </c>
      <c r="R58" s="39" t="e">
        <f t="shared" ca="1" si="529"/>
        <v>#NAME?</v>
      </c>
      <c r="S58" s="39" t="e">
        <f t="shared" ca="1" si="529"/>
        <v>#NAME?</v>
      </c>
      <c r="T58" s="39" t="e">
        <f t="shared" ca="1" si="529"/>
        <v>#NAME?</v>
      </c>
      <c r="U58" s="39" t="e">
        <f t="shared" ca="1" si="529"/>
        <v>#NAME?</v>
      </c>
      <c r="V58" s="39" t="e">
        <f t="shared" ca="1" si="529"/>
        <v>#NAME?</v>
      </c>
      <c r="W58" s="39" t="e">
        <f t="shared" ca="1" si="529"/>
        <v>#NAME?</v>
      </c>
      <c r="X58" s="39" t="e">
        <f t="shared" ca="1" si="529"/>
        <v>#NAME?</v>
      </c>
      <c r="Y58" s="39" t="e">
        <f t="shared" ca="1" si="529"/>
        <v>#NAME?</v>
      </c>
      <c r="Z58" s="39" t="e">
        <f t="shared" ref="Z58:AA58" ca="1" si="530">+IF(Y56&lt;0,1-Z56/Y56,Z56/Y56-1)</f>
        <v>#NAME?</v>
      </c>
      <c r="AA58" s="39" t="e">
        <f t="shared" ca="1" si="530"/>
        <v>#NAME?</v>
      </c>
      <c r="AB58" s="40" t="e">
        <f t="shared" ca="1" si="529"/>
        <v>#NAME?</v>
      </c>
      <c r="AC58" s="40" t="e">
        <f t="shared" ca="1" si="529"/>
        <v>#NAME?</v>
      </c>
      <c r="AD58" s="40" t="e">
        <f t="shared" ca="1" si="529"/>
        <v>#NAME?</v>
      </c>
      <c r="AE58" s="40" t="e">
        <f t="shared" ca="1" si="529"/>
        <v>#NAME?</v>
      </c>
      <c r="AM58" s="39" t="e">
        <f ca="1">+IF(AI56&lt;0,1-AM56/AI56,AM56/AI56-1)</f>
        <v>#NAME?</v>
      </c>
      <c r="AN58" s="39" t="e">
        <f t="shared" ref="AN58" ca="1" si="531">+IF(AJ56&lt;0,1-AN56/AJ56,AN56/AJ56-1)</f>
        <v>#NAME?</v>
      </c>
      <c r="AO58" s="39" t="e">
        <f t="shared" ref="AO58" ca="1" si="532">+IF(AK56&lt;0,1-AO56/AK56,AO56/AK56-1)</f>
        <v>#NAME?</v>
      </c>
      <c r="AP58" s="39" t="e">
        <f t="shared" ref="AP58" ca="1" si="533">+IF(AL56&lt;0,1-AP56/AL56,AP56/AL56-1)</f>
        <v>#NAME?</v>
      </c>
      <c r="AQ58" s="39" t="e">
        <f t="shared" ref="AQ58" ca="1" si="534">+IF(AM56&lt;0,1-AQ56/AM56,AQ56/AM56-1)</f>
        <v>#NAME?</v>
      </c>
      <c r="AR58" s="39" t="e">
        <f t="shared" ref="AR58" ca="1" si="535">+IF(AN56&lt;0,1-AR56/AN56,AR56/AN56-1)</f>
        <v>#NAME?</v>
      </c>
      <c r="AS58" s="39" t="e">
        <f t="shared" ref="AS58" ca="1" si="536">+IF(AO56&lt;0,1-AS56/AO56,AS56/AO56-1)</f>
        <v>#NAME?</v>
      </c>
      <c r="AT58" s="39" t="e">
        <f t="shared" ref="AT58" ca="1" si="537">+IF(AP56&lt;0,1-AT56/AP56,AT56/AP56-1)</f>
        <v>#NAME?</v>
      </c>
      <c r="AU58" s="39" t="e">
        <f t="shared" ref="AU58" ca="1" si="538">+IF(AQ56&lt;0,1-AU56/AQ56,AU56/AQ56-1)</f>
        <v>#NAME?</v>
      </c>
      <c r="AV58" s="39" t="e">
        <f t="shared" ref="AV58" ca="1" si="539">+IF(AR56&lt;0,1-AV56/AR56,AV56/AR56-1)</f>
        <v>#NAME?</v>
      </c>
      <c r="AW58" s="39" t="e">
        <f t="shared" ref="AW58" ca="1" si="540">+IF(AS56&lt;0,1-AW56/AS56,AW56/AS56-1)</f>
        <v>#NAME?</v>
      </c>
      <c r="AX58" s="39" t="e">
        <f t="shared" ref="AX58" ca="1" si="541">+IF(AT56&lt;0,1-AX56/AT56,AX56/AT56-1)</f>
        <v>#NAME?</v>
      </c>
      <c r="AY58" s="39" t="e">
        <f t="shared" ref="AY58" ca="1" si="542">+IF(AU56&lt;0,1-AY56/AU56,AY56/AU56-1)</f>
        <v>#NAME?</v>
      </c>
      <c r="AZ58" s="39" t="e">
        <f t="shared" ref="AZ58" ca="1" si="543">+IF(AV56&lt;0,1-AZ56/AV56,AZ56/AV56-1)</f>
        <v>#NAME?</v>
      </c>
      <c r="BA58" s="39" t="e">
        <f t="shared" ref="BA58" ca="1" si="544">+IF(AW56&lt;0,1-BA56/AW56,BA56/AW56-1)</f>
        <v>#NAME?</v>
      </c>
      <c r="BB58" s="39" t="e">
        <f t="shared" ref="BB58" ca="1" si="545">+IF(AX56&lt;0,1-BB56/AX56,BB56/AX56-1)</f>
        <v>#NAME?</v>
      </c>
      <c r="BC58" s="39" t="e">
        <f t="shared" ref="BC58" ca="1" si="546">+IF(AY56&lt;0,1-BC56/AY56,BC56/AY56-1)</f>
        <v>#NAME?</v>
      </c>
      <c r="BD58" s="39" t="e">
        <f t="shared" ref="BD58" ca="1" si="547">+IF(AZ56&lt;0,1-BD56/AZ56,BD56/AZ56-1)</f>
        <v>#NAME?</v>
      </c>
      <c r="BE58" s="39" t="e">
        <f t="shared" ref="BE58" ca="1" si="548">+IF(BA56&lt;0,1-BE56/BA56,BE56/BA56-1)</f>
        <v>#NAME?</v>
      </c>
      <c r="BF58" s="39" t="e">
        <f t="shared" ref="BF58" ca="1" si="549">+IF(BB56&lt;0,1-BF56/BB56,BF56/BB56-1)</f>
        <v>#NAME?</v>
      </c>
      <c r="BG58" s="39" t="e">
        <f t="shared" ref="BG58" ca="1" si="550">+IF(BC56&lt;0,1-BG56/BC56,BG56/BC56-1)</f>
        <v>#NAME?</v>
      </c>
      <c r="BH58" s="39" t="e">
        <f t="shared" ref="BH58" ca="1" si="551">+IF(BD56&lt;0,1-BH56/BD56,BH56/BD56-1)</f>
        <v>#NAME?</v>
      </c>
      <c r="BI58" s="39" t="e">
        <f t="shared" ref="BI58" ca="1" si="552">+IF(BE56&lt;0,1-BI56/BE56,BI56/BE56-1)</f>
        <v>#NAME?</v>
      </c>
      <c r="BJ58" s="39" t="e">
        <f t="shared" ref="BJ58" ca="1" si="553">+IF(BF56&lt;0,1-BJ56/BF56,BJ56/BF56-1)</f>
        <v>#NAME?</v>
      </c>
      <c r="BK58" s="39" t="e">
        <f t="shared" ref="BK58" ca="1" si="554">+IF(BG56&lt;0,1-BK56/BG56,BK56/BG56-1)</f>
        <v>#NAME?</v>
      </c>
      <c r="BL58" s="39" t="e">
        <f t="shared" ref="BL58" ca="1" si="555">+IF(BH56&lt;0,1-BL56/BH56,BL56/BH56-1)</f>
        <v>#NAME?</v>
      </c>
      <c r="BM58" s="39" t="e">
        <f t="shared" ref="BM58" ca="1" si="556">+IF(BI56&lt;0,1-BM56/BI56,BM56/BI56-1)</f>
        <v>#NAME?</v>
      </c>
      <c r="BN58" s="39" t="e">
        <f t="shared" ref="BN58" ca="1" si="557">+IF(BJ56&lt;0,1-BN56/BJ56,BN56/BJ56-1)</f>
        <v>#NAME?</v>
      </c>
      <c r="BO58" s="39" t="e">
        <f t="shared" ref="BO58" ca="1" si="558">+IF(BK56&lt;0,1-BO56/BK56,BO56/BK56-1)</f>
        <v>#NAME?</v>
      </c>
      <c r="BP58" s="39" t="e">
        <f t="shared" ref="BP58" ca="1" si="559">+IF(BL56&lt;0,1-BP56/BL56,BP56/BL56-1)</f>
        <v>#NAME?</v>
      </c>
      <c r="BQ58" s="39" t="e">
        <f t="shared" ref="BQ58" ca="1" si="560">+IF(BM56&lt;0,1-BQ56/BM56,BQ56/BM56-1)</f>
        <v>#NAME?</v>
      </c>
      <c r="BR58" s="39" t="e">
        <f t="shared" ref="BR58" ca="1" si="561">+IF(BN56&lt;0,1-BR56/BN56,BR56/BN56-1)</f>
        <v>#NAME?</v>
      </c>
      <c r="BS58" s="39" t="e">
        <f t="shared" ref="BS58" ca="1" si="562">+IF(BO56&lt;0,1-BS56/BO56,BS56/BO56-1)</f>
        <v>#NAME?</v>
      </c>
      <c r="BT58" s="39" t="e">
        <f t="shared" ref="BT58" ca="1" si="563">+IF(BP56&lt;0,1-BT56/BP56,BT56/BP56-1)</f>
        <v>#NAME?</v>
      </c>
      <c r="BU58" s="39" t="e">
        <f t="shared" ref="BU58" ca="1" si="564">+IF(BQ56&lt;0,1-BU56/BQ56,BU56/BQ56-1)</f>
        <v>#NAME?</v>
      </c>
      <c r="BV58" s="39" t="e">
        <f t="shared" ref="BV58" ca="1" si="565">+IF(BR56&lt;0,1-BV56/BR56,BV56/BR56-1)</f>
        <v>#NAME?</v>
      </c>
      <c r="BW58" s="39" t="e">
        <f t="shared" ref="BW58" ca="1" si="566">+IF(BS56&lt;0,1-BW56/BS56,BW56/BS56-1)</f>
        <v>#NAME?</v>
      </c>
      <c r="BX58" s="39" t="e">
        <f t="shared" ref="BX58" ca="1" si="567">+IF(BT56&lt;0,1-BX56/BT56,BX56/BT56-1)</f>
        <v>#NAME?</v>
      </c>
      <c r="BY58" s="39" t="e">
        <f t="shared" ref="BY58" ca="1" si="568">+IF(BU56&lt;0,1-BY56/BU56,BY56/BU56-1)</f>
        <v>#NAME?</v>
      </c>
      <c r="BZ58" s="39" t="e">
        <f t="shared" ref="BZ58" ca="1" si="569">+IF(BV56&lt;0,1-BZ56/BV56,BZ56/BV56-1)</f>
        <v>#NAME?</v>
      </c>
      <c r="CA58" s="39" t="e">
        <f t="shared" ref="CA58" ca="1" si="570">+IF(BW56&lt;0,1-CA56/BW56,CA56/BW56-1)</f>
        <v>#NAME?</v>
      </c>
      <c r="CB58" s="39" t="e">
        <f t="shared" ref="CB58" ca="1" si="571">+IF(BX56&lt;0,1-CB56/BX56,CB56/BX56-1)</f>
        <v>#NAME?</v>
      </c>
      <c r="CC58" s="39" t="e">
        <f t="shared" ref="CC58" ca="1" si="572">+IF(BY56&lt;0,1-CC56/BY56,CC56/BY56-1)</f>
        <v>#NAME?</v>
      </c>
      <c r="CD58" s="39" t="e">
        <f t="shared" ref="CD58" ca="1" si="573">+IF(BZ56&lt;0,1-CD56/BZ56,CD56/BZ56-1)</f>
        <v>#NAME?</v>
      </c>
      <c r="CE58" s="39" t="e">
        <f t="shared" ref="CE58" ca="1" si="574">+IF(CA56&lt;0,1-CE56/CA56,CE56/CA56-1)</f>
        <v>#NAME?</v>
      </c>
      <c r="CF58" s="39" t="e">
        <f t="shared" ref="CF58" ca="1" si="575">+IF(CB56&lt;0,1-CF56/CB56,CF56/CB56-1)</f>
        <v>#NAME?</v>
      </c>
      <c r="CG58" s="39" t="e">
        <f t="shared" ref="CG58" ca="1" si="576">+IF(CC56&lt;0,1-CG56/CC56,CG56/CC56-1)</f>
        <v>#NAME?</v>
      </c>
      <c r="CH58" s="39" t="e">
        <f t="shared" ref="CH58:CL58" ca="1" si="577">+IF(CD56&lt;0,1-CH56/CD56,CH56/CD56-1)</f>
        <v>#NAME?</v>
      </c>
      <c r="CI58" s="39" t="e">
        <f t="shared" ca="1" si="577"/>
        <v>#NAME?</v>
      </c>
      <c r="CJ58" s="39" t="e">
        <f t="shared" ca="1" si="577"/>
        <v>#NAME?</v>
      </c>
      <c r="CK58" s="39" t="e">
        <f t="shared" ca="1" si="577"/>
        <v>#NAME?</v>
      </c>
      <c r="CL58" s="39" t="e">
        <f t="shared" ca="1" si="577"/>
        <v>#NAME?</v>
      </c>
      <c r="CM58" s="40" t="e">
        <f t="shared" ref="CM58" ca="1" si="578">+CM56/CI56-1</f>
        <v>#NAME?</v>
      </c>
      <c r="CN58" s="40" t="e">
        <f t="shared" ref="CN58" ca="1" si="579">+CN56/CJ56-1</f>
        <v>#NAME?</v>
      </c>
      <c r="CO58" s="40" t="e">
        <f t="shared" ref="CO58" ca="1" si="580">+CO56/CK56-1</f>
        <v>#NAME?</v>
      </c>
      <c r="CP58" s="40" t="e">
        <f t="shared" ref="CP58" ca="1" si="581">+CP56/CL56-1</f>
        <v>#NAME?</v>
      </c>
      <c r="CQ58" s="40" t="e">
        <f t="shared" ref="CQ58" ca="1" si="582">+CQ56/CM56-1</f>
        <v>#NAME?</v>
      </c>
      <c r="CR58" s="40" t="e">
        <f t="shared" ref="CR58" ca="1" si="583">+CR56/CN56-1</f>
        <v>#NAME?</v>
      </c>
      <c r="CS58" s="40" t="e">
        <f t="shared" ref="CS58" ca="1" si="584">+CS56/CO56-1</f>
        <v>#NAME?</v>
      </c>
      <c r="CT58" s="40" t="e">
        <f t="shared" ref="CT58" ca="1" si="585">+CT56/CP56-1</f>
        <v>#NAME?</v>
      </c>
      <c r="CU58" s="40" t="e">
        <f t="shared" ref="CU58" ca="1" si="586">+CU56/CQ56-1</f>
        <v>#NAME?</v>
      </c>
      <c r="CV58" s="40" t="e">
        <f t="shared" ref="CV58" ca="1" si="587">+CV56/CR56-1</f>
        <v>#NAME?</v>
      </c>
      <c r="CW58" s="40" t="e">
        <f t="shared" ref="CW58" ca="1" si="588">+CW56/CS56-1</f>
        <v>#NAME?</v>
      </c>
      <c r="CX58" s="40" t="e">
        <f t="shared" ref="CX58" ca="1" si="589">+CX56/CT56-1</f>
        <v>#NAME?</v>
      </c>
      <c r="CY58" s="40" t="e">
        <f t="shared" ref="CY58" ca="1" si="590">+CY56/CU56-1</f>
        <v>#NAME?</v>
      </c>
      <c r="CZ58" s="40" t="e">
        <f t="shared" ref="CZ58" ca="1" si="591">+CZ56/CV56-1</f>
        <v>#NAME?</v>
      </c>
      <c r="DA58" s="40" t="e">
        <f t="shared" ref="DA58" ca="1" si="592">+DA56/CW56-1</f>
        <v>#NAME?</v>
      </c>
      <c r="DB58" s="40" t="e">
        <f t="shared" ref="DB58" ca="1" si="593">+DB56/CX56-1</f>
        <v>#NAME?</v>
      </c>
      <c r="DE58" s="122"/>
      <c r="DF58" s="39">
        <v>-0.73411096898551809</v>
      </c>
    </row>
    <row r="59" spans="1:110" s="39" customFormat="1" x14ac:dyDescent="0.2">
      <c r="A59" s="39" t="s">
        <v>452</v>
      </c>
      <c r="AB59" s="40"/>
      <c r="AC59" s="40"/>
      <c r="AD59" s="40"/>
      <c r="AE59" s="40"/>
      <c r="AJ59" s="39" t="e">
        <f ca="1">+IF(AI56&lt;0,1-AJ56/AI56,AJ56/AI56-1)</f>
        <v>#NAME?</v>
      </c>
      <c r="AK59" s="39" t="e">
        <f t="shared" ref="AK59:AM59" ca="1" si="594">+IF(AJ56&lt;0,1-AK56/AJ56,AK56/AJ56-1)</f>
        <v>#NAME?</v>
      </c>
      <c r="AL59" s="39" t="e">
        <f t="shared" ca="1" si="594"/>
        <v>#NAME?</v>
      </c>
      <c r="AM59" s="39" t="e">
        <f t="shared" ca="1" si="594"/>
        <v>#NAME?</v>
      </c>
      <c r="AN59" s="39" t="e">
        <f t="shared" ref="AN59" ca="1" si="595">+IF(AM56&lt;0,1-AN56/AM56,AN56/AM56-1)</f>
        <v>#NAME?</v>
      </c>
      <c r="AO59" s="39" t="e">
        <f t="shared" ref="AO59" ca="1" si="596">+IF(AN56&lt;0,1-AO56/AN56,AO56/AN56-1)</f>
        <v>#NAME?</v>
      </c>
      <c r="AP59" s="39" t="e">
        <f t="shared" ref="AP59" ca="1" si="597">+IF(AO56&lt;0,1-AP56/AO56,AP56/AO56-1)</f>
        <v>#NAME?</v>
      </c>
      <c r="AQ59" s="39" t="e">
        <f t="shared" ref="AQ59" ca="1" si="598">+IF(AP56&lt;0,1-AQ56/AP56,AQ56/AP56-1)</f>
        <v>#NAME?</v>
      </c>
      <c r="AR59" s="39" t="e">
        <f t="shared" ref="AR59" ca="1" si="599">+IF(AQ56&lt;0,1-AR56/AQ56,AR56/AQ56-1)</f>
        <v>#NAME?</v>
      </c>
      <c r="AS59" s="39" t="e">
        <f t="shared" ref="AS59" ca="1" si="600">+IF(AR56&lt;0,1-AS56/AR56,AS56/AR56-1)</f>
        <v>#NAME?</v>
      </c>
      <c r="AT59" s="39" t="e">
        <f t="shared" ref="AT59" ca="1" si="601">+IF(AS56&lt;0,1-AT56/AS56,AT56/AS56-1)</f>
        <v>#NAME?</v>
      </c>
      <c r="AU59" s="39" t="e">
        <f t="shared" ref="AU59" ca="1" si="602">+IF(AT56&lt;0,1-AU56/AT56,AU56/AT56-1)</f>
        <v>#NAME?</v>
      </c>
      <c r="AV59" s="39" t="e">
        <f t="shared" ref="AV59" ca="1" si="603">+IF(AU56&lt;0,1-AV56/AU56,AV56/AU56-1)</f>
        <v>#NAME?</v>
      </c>
      <c r="AW59" s="39" t="e">
        <f t="shared" ref="AW59" ca="1" si="604">+IF(AV56&lt;0,1-AW56/AV56,AW56/AV56-1)</f>
        <v>#NAME?</v>
      </c>
      <c r="AX59" s="39" t="e">
        <f t="shared" ref="AX59" ca="1" si="605">+IF(AW56&lt;0,1-AX56/AW56,AX56/AW56-1)</f>
        <v>#NAME?</v>
      </c>
      <c r="AY59" s="39" t="e">
        <f t="shared" ref="AY59" ca="1" si="606">+IF(AX56&lt;0,1-AY56/AX56,AY56/AX56-1)</f>
        <v>#NAME?</v>
      </c>
      <c r="AZ59" s="39" t="e">
        <f t="shared" ref="AZ59" ca="1" si="607">+IF(AY56&lt;0,1-AZ56/AY56,AZ56/AY56-1)</f>
        <v>#NAME?</v>
      </c>
      <c r="BA59" s="39" t="e">
        <f t="shared" ref="BA59" ca="1" si="608">+IF(AZ56&lt;0,1-BA56/AZ56,BA56/AZ56-1)</f>
        <v>#NAME?</v>
      </c>
      <c r="BB59" s="39" t="e">
        <f t="shared" ref="BB59" ca="1" si="609">+IF(BA56&lt;0,1-BB56/BA56,BB56/BA56-1)</f>
        <v>#NAME?</v>
      </c>
      <c r="BC59" s="39" t="e">
        <f t="shared" ref="BC59" ca="1" si="610">+IF(BB56&lt;0,1-BC56/BB56,BC56/BB56-1)</f>
        <v>#NAME?</v>
      </c>
      <c r="BD59" s="39" t="e">
        <f t="shared" ref="BD59" ca="1" si="611">+IF(BC56&lt;0,1-BD56/BC56,BD56/BC56-1)</f>
        <v>#NAME?</v>
      </c>
      <c r="BE59" s="39" t="e">
        <f t="shared" ref="BE59" ca="1" si="612">+IF(BD56&lt;0,1-BE56/BD56,BE56/BD56-1)</f>
        <v>#NAME?</v>
      </c>
      <c r="BF59" s="39" t="e">
        <f t="shared" ref="BF59" ca="1" si="613">+IF(BE56&lt;0,1-BF56/BE56,BF56/BE56-1)</f>
        <v>#NAME?</v>
      </c>
      <c r="BG59" s="39" t="e">
        <f t="shared" ref="BG59" ca="1" si="614">+IF(BF56&lt;0,1-BG56/BF56,BG56/BF56-1)</f>
        <v>#NAME?</v>
      </c>
      <c r="BH59" s="39" t="e">
        <f t="shared" ref="BH59" ca="1" si="615">+IF(BG56&lt;0,1-BH56/BG56,BH56/BG56-1)</f>
        <v>#NAME?</v>
      </c>
      <c r="BI59" s="39" t="e">
        <f t="shared" ref="BI59" ca="1" si="616">+IF(BH56&lt;0,1-BI56/BH56,BI56/BH56-1)</f>
        <v>#NAME?</v>
      </c>
      <c r="BJ59" s="39" t="e">
        <f t="shared" ref="BJ59" ca="1" si="617">+IF(BI56&lt;0,1-BJ56/BI56,BJ56/BI56-1)</f>
        <v>#NAME?</v>
      </c>
      <c r="BK59" s="39" t="e">
        <f t="shared" ref="BK59" ca="1" si="618">+IF(BJ56&lt;0,1-BK56/BJ56,BK56/BJ56-1)</f>
        <v>#NAME?</v>
      </c>
      <c r="BL59" s="39" t="e">
        <f t="shared" ref="BL59" ca="1" si="619">+IF(BK56&lt;0,1-BL56/BK56,BL56/BK56-1)</f>
        <v>#NAME?</v>
      </c>
      <c r="BM59" s="39" t="e">
        <f t="shared" ref="BM59" ca="1" si="620">+IF(BL56&lt;0,1-BM56/BL56,BM56/BL56-1)</f>
        <v>#NAME?</v>
      </c>
      <c r="BN59" s="39" t="e">
        <f t="shared" ref="BN59" ca="1" si="621">+IF(BM56&lt;0,1-BN56/BM56,BN56/BM56-1)</f>
        <v>#NAME?</v>
      </c>
      <c r="BO59" s="39" t="e">
        <f t="shared" ref="BO59" ca="1" si="622">+IF(BN56&lt;0,1-BO56/BN56,BO56/BN56-1)</f>
        <v>#NAME?</v>
      </c>
      <c r="BP59" s="39" t="e">
        <f t="shared" ref="BP59" ca="1" si="623">+IF(BO56&lt;0,1-BP56/BO56,BP56/BO56-1)</f>
        <v>#NAME?</v>
      </c>
      <c r="BQ59" s="39" t="e">
        <f t="shared" ref="BQ59" ca="1" si="624">+IF(BP56&lt;0,1-BQ56/BP56,BQ56/BP56-1)</f>
        <v>#NAME?</v>
      </c>
      <c r="BR59" s="39" t="e">
        <f t="shared" ref="BR59" ca="1" si="625">+IF(BQ56&lt;0,1-BR56/BQ56,BR56/BQ56-1)</f>
        <v>#NAME?</v>
      </c>
      <c r="BS59" s="39" t="e">
        <f t="shared" ref="BS59" ca="1" si="626">+IF(BR56&lt;0,1-BS56/BR56,BS56/BR56-1)</f>
        <v>#NAME?</v>
      </c>
      <c r="BT59" s="39" t="e">
        <f t="shared" ref="BT59" ca="1" si="627">+IF(BS56&lt;0,1-BT56/BS56,BT56/BS56-1)</f>
        <v>#NAME?</v>
      </c>
      <c r="BU59" s="39" t="e">
        <f t="shared" ref="BU59" ca="1" si="628">+IF(BT56&lt;0,1-BU56/BT56,BU56/BT56-1)</f>
        <v>#NAME?</v>
      </c>
      <c r="BV59" s="39" t="e">
        <f t="shared" ref="BV59" ca="1" si="629">+IF(BU56&lt;0,1-BV56/BU56,BV56/BU56-1)</f>
        <v>#NAME?</v>
      </c>
      <c r="BW59" s="39" t="e">
        <f t="shared" ref="BW59" ca="1" si="630">+IF(BV56&lt;0,1-BW56/BV56,BW56/BV56-1)</f>
        <v>#NAME?</v>
      </c>
      <c r="BX59" s="39" t="e">
        <f t="shared" ref="BX59" ca="1" si="631">+IF(BW56&lt;0,1-BX56/BW56,BX56/BW56-1)</f>
        <v>#NAME?</v>
      </c>
      <c r="BY59" s="39" t="e">
        <f t="shared" ref="BY59" ca="1" si="632">+IF(BX56&lt;0,1-BY56/BX56,BY56/BX56-1)</f>
        <v>#NAME?</v>
      </c>
      <c r="BZ59" s="39" t="e">
        <f t="shared" ref="BZ59" ca="1" si="633">+IF(BY56&lt;0,1-BZ56/BY56,BZ56/BY56-1)</f>
        <v>#NAME?</v>
      </c>
      <c r="CA59" s="39" t="e">
        <f t="shared" ref="CA59" ca="1" si="634">+IF(BZ56&lt;0,1-CA56/BZ56,CA56/BZ56-1)</f>
        <v>#NAME?</v>
      </c>
      <c r="CB59" s="39" t="e">
        <f t="shared" ref="CB59" ca="1" si="635">+IF(CA56&lt;0,1-CB56/CA56,CB56/CA56-1)</f>
        <v>#NAME?</v>
      </c>
      <c r="CC59" s="39" t="e">
        <f t="shared" ref="CC59" ca="1" si="636">+IF(CB56&lt;0,1-CC56/CB56,CC56/CB56-1)</f>
        <v>#NAME?</v>
      </c>
      <c r="CD59" s="39" t="e">
        <f t="shared" ref="CD59" ca="1" si="637">+IF(CC56&lt;0,1-CD56/CC56,CD56/CC56-1)</f>
        <v>#NAME?</v>
      </c>
      <c r="CE59" s="39" t="e">
        <f t="shared" ref="CE59" ca="1" si="638">+IF(CD56&lt;0,1-CE56/CD56,CE56/CD56-1)</f>
        <v>#NAME?</v>
      </c>
      <c r="CF59" s="39" t="e">
        <f t="shared" ref="CF59" ca="1" si="639">+IF(CE56&lt;0,1-CF56/CE56,CF56/CE56-1)</f>
        <v>#NAME?</v>
      </c>
      <c r="CG59" s="39" t="e">
        <f t="shared" ref="CG59" ca="1" si="640">+IF(CF56&lt;0,1-CG56/CF56,CG56/CF56-1)</f>
        <v>#NAME?</v>
      </c>
      <c r="CH59" s="39" t="e">
        <f t="shared" ref="CH59:CL59" ca="1" si="641">+IF(CG56&lt;0,1-CH56/CG56,CH56/CG56-1)</f>
        <v>#NAME?</v>
      </c>
      <c r="CI59" s="39" t="e">
        <f t="shared" ca="1" si="641"/>
        <v>#NAME?</v>
      </c>
      <c r="CJ59" s="39" t="e">
        <f t="shared" ca="1" si="641"/>
        <v>#NAME?</v>
      </c>
      <c r="CK59" s="39" t="e">
        <f t="shared" ca="1" si="641"/>
        <v>#NAME?</v>
      </c>
      <c r="CL59" s="39" t="e">
        <f t="shared" ca="1" si="641"/>
        <v>#NAME?</v>
      </c>
      <c r="CM59" s="40" t="e">
        <f t="shared" ref="CM59" ca="1" si="642">+CM56/CL56-1</f>
        <v>#NAME?</v>
      </c>
      <c r="CN59" s="40" t="e">
        <f t="shared" ref="CN59" ca="1" si="643">+CN56/CM56-1</f>
        <v>#NAME?</v>
      </c>
      <c r="CO59" s="40" t="e">
        <f t="shared" ref="CO59" ca="1" si="644">+CO56/CN56-1</f>
        <v>#NAME?</v>
      </c>
      <c r="CP59" s="40" t="e">
        <f t="shared" ref="CP59" ca="1" si="645">+CP56/CO56-1</f>
        <v>#NAME?</v>
      </c>
      <c r="CQ59" s="40" t="e">
        <f t="shared" ref="CQ59" ca="1" si="646">+CQ56/CP56-1</f>
        <v>#NAME?</v>
      </c>
      <c r="CR59" s="40" t="e">
        <f t="shared" ref="CR59" ca="1" si="647">+CR56/CQ56-1</f>
        <v>#NAME?</v>
      </c>
      <c r="CS59" s="40" t="e">
        <f t="shared" ref="CS59" ca="1" si="648">+CS56/CR56-1</f>
        <v>#NAME?</v>
      </c>
      <c r="CT59" s="40" t="e">
        <f t="shared" ref="CT59" ca="1" si="649">+CT56/CS56-1</f>
        <v>#NAME?</v>
      </c>
      <c r="CU59" s="40" t="e">
        <f t="shared" ref="CU59" ca="1" si="650">+CU56/CT56-1</f>
        <v>#NAME?</v>
      </c>
      <c r="CV59" s="40" t="e">
        <f t="shared" ref="CV59" ca="1" si="651">+CV56/CU56-1</f>
        <v>#NAME?</v>
      </c>
      <c r="CW59" s="40" t="e">
        <f t="shared" ref="CW59" ca="1" si="652">+CW56/CV56-1</f>
        <v>#NAME?</v>
      </c>
      <c r="CX59" s="40" t="e">
        <f t="shared" ref="CX59" ca="1" si="653">+CX56/CW56-1</f>
        <v>#NAME?</v>
      </c>
      <c r="CY59" s="40" t="e">
        <f t="shared" ref="CY59" ca="1" si="654">+CY56/CX56-1</f>
        <v>#NAME?</v>
      </c>
      <c r="CZ59" s="40" t="e">
        <f t="shared" ref="CZ59" ca="1" si="655">+CZ56/CY56-1</f>
        <v>#NAME?</v>
      </c>
      <c r="DA59" s="40" t="e">
        <f t="shared" ref="DA59" ca="1" si="656">+DA56/CZ56-1</f>
        <v>#NAME?</v>
      </c>
      <c r="DB59" s="40" t="e">
        <f t="shared" ref="DB59" ca="1" si="657">+DB56/DA56-1</f>
        <v>#NAME?</v>
      </c>
      <c r="DE59" s="122"/>
    </row>
    <row r="60" spans="1:110" s="75" customFormat="1" x14ac:dyDescent="0.2">
      <c r="A60" s="23" t="s">
        <v>23</v>
      </c>
      <c r="B60" s="75" t="e">
        <f ca="1">'Annual Raw'!C32</f>
        <v>#NAME?</v>
      </c>
      <c r="C60" s="75" t="e">
        <f ca="1">'Annual Raw'!D32</f>
        <v>#NAME?</v>
      </c>
      <c r="D60" s="75" t="e">
        <f ca="1">'Annual Raw'!E32</f>
        <v>#NAME?</v>
      </c>
      <c r="E60" s="75" t="e">
        <f ca="1">'Annual Raw'!F32</f>
        <v>#NAME?</v>
      </c>
      <c r="F60" s="75" t="e">
        <f ca="1">'Annual Raw'!G32</f>
        <v>#NAME?</v>
      </c>
      <c r="G60" s="75" t="e">
        <f ca="1">'Annual Raw'!H32</f>
        <v>#NAME?</v>
      </c>
      <c r="H60" s="75" t="e">
        <f ca="1">'Annual Raw'!I32</f>
        <v>#NAME?</v>
      </c>
      <c r="I60" s="75" t="e">
        <f ca="1">'Annual Raw'!J32</f>
        <v>#NAME?</v>
      </c>
      <c r="J60" s="75" t="e">
        <f ca="1">'Annual Raw'!K32</f>
        <v>#NAME?</v>
      </c>
      <c r="K60" s="75" t="e">
        <f ca="1">'Annual Raw'!L32</f>
        <v>#NAME?</v>
      </c>
      <c r="L60" s="75" t="e">
        <f ca="1">'Annual Raw'!M32</f>
        <v>#NAME?</v>
      </c>
      <c r="M60" s="75" t="e">
        <f ca="1">'Annual Raw'!N32</f>
        <v>#NAME?</v>
      </c>
      <c r="N60" s="75" t="e">
        <f ca="1">'Annual Raw'!O32</f>
        <v>#NAME?</v>
      </c>
      <c r="O60" s="75" t="e">
        <f ca="1">'Annual Raw'!P32</f>
        <v>#NAME?</v>
      </c>
      <c r="P60" s="75" t="e">
        <f ca="1">'Annual Raw'!Q32</f>
        <v>#NAME?</v>
      </c>
      <c r="Q60" s="75" t="e">
        <f ca="1">'Annual Raw'!R32</f>
        <v>#NAME?</v>
      </c>
      <c r="R60" s="75" t="e">
        <f ca="1">'Annual Raw'!S32</f>
        <v>#NAME?</v>
      </c>
      <c r="S60" s="75" t="e">
        <f ca="1">'Annual Raw'!T32</f>
        <v>#NAME?</v>
      </c>
      <c r="T60" s="75" t="e">
        <f ca="1">'Annual Raw'!U32</f>
        <v>#NAME?</v>
      </c>
      <c r="U60" s="75" t="e">
        <f ca="1">'Annual Raw'!V32</f>
        <v>#NAME?</v>
      </c>
      <c r="V60" s="75" t="e">
        <f ca="1">'Annual Raw'!W32</f>
        <v>#NAME?</v>
      </c>
      <c r="W60" s="75" t="e">
        <f ca="1">'Annual Raw'!X32</f>
        <v>#NAME?</v>
      </c>
      <c r="X60" s="75" t="e">
        <f ca="1">'Annual Raw'!Y32</f>
        <v>#NAME?</v>
      </c>
      <c r="Y60" s="75" t="e">
        <f ca="1">'Annual Raw'!Z32</f>
        <v>#NAME?</v>
      </c>
      <c r="Z60" s="75" t="e">
        <f ca="1">'Annual Raw'!AA32</f>
        <v>#NAME?</v>
      </c>
      <c r="AA60" s="75" t="e">
        <f ca="1">'Annual Raw'!AB32</f>
        <v>#NAME?</v>
      </c>
      <c r="AB60" s="76" t="e">
        <f t="shared" ref="AB60:AB61" ca="1" si="658">+SUM(CM60:CP60)</f>
        <v>#NAME?</v>
      </c>
      <c r="AC60" s="76" t="e">
        <f t="shared" ref="AC60:AC61" ca="1" si="659">+SUM(CQ60:CT60)</f>
        <v>#NAME?</v>
      </c>
      <c r="AD60" s="76" t="e">
        <f t="shared" ref="AD60:AD61" ca="1" si="660">+SUM(CU60:CX60)</f>
        <v>#NAME?</v>
      </c>
      <c r="AE60" s="76" t="e">
        <f t="shared" ref="AE60:AE61" ca="1" si="661">+SUM(CY60:DB60)</f>
        <v>#NAME?</v>
      </c>
      <c r="AI60" s="75" t="e">
        <f ca="1">'QTR Raw'!C34</f>
        <v>#NAME?</v>
      </c>
      <c r="AJ60" s="75" t="e">
        <f ca="1">'QTR Raw'!D34</f>
        <v>#NAME?</v>
      </c>
      <c r="AK60" s="75" t="e">
        <f ca="1">'QTR Raw'!E34</f>
        <v>#NAME?</v>
      </c>
      <c r="AL60" s="75" t="e">
        <f ca="1">'QTR Raw'!F34</f>
        <v>#NAME?</v>
      </c>
      <c r="AM60" s="75" t="e">
        <f ca="1">'QTR Raw'!G34</f>
        <v>#NAME?</v>
      </c>
      <c r="AN60" s="75" t="e">
        <f ca="1">'QTR Raw'!H34</f>
        <v>#NAME?</v>
      </c>
      <c r="AO60" s="75" t="e">
        <f ca="1">'QTR Raw'!I34</f>
        <v>#NAME?</v>
      </c>
      <c r="AP60" s="75" t="e">
        <f ca="1">'QTR Raw'!J34</f>
        <v>#NAME?</v>
      </c>
      <c r="AQ60" s="75" t="e">
        <f ca="1">'QTR Raw'!K34</f>
        <v>#NAME?</v>
      </c>
      <c r="AR60" s="75" t="e">
        <f ca="1">'QTR Raw'!L34</f>
        <v>#NAME?</v>
      </c>
      <c r="AS60" s="75" t="e">
        <f ca="1">'QTR Raw'!M34</f>
        <v>#NAME?</v>
      </c>
      <c r="AT60" s="75" t="e">
        <f ca="1">'QTR Raw'!N34</f>
        <v>#NAME?</v>
      </c>
      <c r="AU60" s="75" t="e">
        <f ca="1">'QTR Raw'!O34</f>
        <v>#NAME?</v>
      </c>
      <c r="AV60" s="75" t="e">
        <f ca="1">'QTR Raw'!P34</f>
        <v>#NAME?</v>
      </c>
      <c r="AW60" s="75" t="e">
        <f ca="1">'QTR Raw'!Q34</f>
        <v>#NAME?</v>
      </c>
      <c r="AX60" s="75" t="e">
        <f ca="1">'QTR Raw'!R34</f>
        <v>#NAME?</v>
      </c>
      <c r="AY60" s="75" t="e">
        <f ca="1">'QTR Raw'!S34</f>
        <v>#NAME?</v>
      </c>
      <c r="AZ60" s="75" t="e">
        <f ca="1">'QTR Raw'!T34</f>
        <v>#NAME?</v>
      </c>
      <c r="BA60" s="75" t="e">
        <f ca="1">'QTR Raw'!U34</f>
        <v>#NAME?</v>
      </c>
      <c r="BB60" s="75" t="e">
        <f ca="1">'QTR Raw'!V34</f>
        <v>#NAME?</v>
      </c>
      <c r="BC60" s="75" t="e">
        <f ca="1">'QTR Raw'!W34</f>
        <v>#NAME?</v>
      </c>
      <c r="BD60" s="75" t="e">
        <f ca="1">'QTR Raw'!X34</f>
        <v>#NAME?</v>
      </c>
      <c r="BE60" s="75" t="e">
        <f ca="1">'QTR Raw'!Y34</f>
        <v>#NAME?</v>
      </c>
      <c r="BF60" s="75" t="e">
        <f ca="1">'QTR Raw'!Z34</f>
        <v>#NAME?</v>
      </c>
      <c r="BG60" s="75" t="e">
        <f ca="1">'QTR Raw'!AA34</f>
        <v>#NAME?</v>
      </c>
      <c r="BH60" s="75" t="e">
        <f ca="1">'QTR Raw'!AB34</f>
        <v>#NAME?</v>
      </c>
      <c r="BI60" s="75" t="e">
        <f ca="1">'QTR Raw'!AC34</f>
        <v>#NAME?</v>
      </c>
      <c r="BJ60" s="75" t="e">
        <f ca="1">'QTR Raw'!AD34</f>
        <v>#NAME?</v>
      </c>
      <c r="BK60" s="75" t="e">
        <f ca="1">'QTR Raw'!AE34</f>
        <v>#NAME?</v>
      </c>
      <c r="BL60" s="75" t="e">
        <f ca="1">'QTR Raw'!AF34</f>
        <v>#NAME?</v>
      </c>
      <c r="BM60" s="75" t="e">
        <f ca="1">'QTR Raw'!AG34</f>
        <v>#NAME?</v>
      </c>
      <c r="BN60" s="75" t="e">
        <f ca="1">'QTR Raw'!AH34</f>
        <v>#NAME?</v>
      </c>
      <c r="BO60" s="75" t="e">
        <f ca="1">'QTR Raw'!AI34</f>
        <v>#NAME?</v>
      </c>
      <c r="BP60" s="75" t="e">
        <f ca="1">'QTR Raw'!AJ34</f>
        <v>#NAME?</v>
      </c>
      <c r="BQ60" s="75" t="e">
        <f ca="1">'QTR Raw'!AK34</f>
        <v>#NAME?</v>
      </c>
      <c r="BR60" s="75" t="e">
        <f ca="1">'QTR Raw'!AL34</f>
        <v>#NAME?</v>
      </c>
      <c r="BS60" s="75" t="e">
        <f ca="1">'QTR Raw'!AM34</f>
        <v>#NAME?</v>
      </c>
      <c r="BT60" s="75" t="e">
        <f ca="1">'QTR Raw'!AN34</f>
        <v>#NAME?</v>
      </c>
      <c r="BU60" s="75" t="e">
        <f ca="1">'QTR Raw'!AO34</f>
        <v>#NAME?</v>
      </c>
      <c r="BV60" s="75" t="e">
        <f ca="1">'QTR Raw'!AP34</f>
        <v>#NAME?</v>
      </c>
      <c r="BW60" s="75" t="e">
        <f ca="1">'QTR Raw'!AQ34</f>
        <v>#NAME?</v>
      </c>
      <c r="BX60" s="75" t="e">
        <f ca="1">'QTR Raw'!AR34</f>
        <v>#NAME?</v>
      </c>
      <c r="BY60" s="75" t="e">
        <f ca="1">'QTR Raw'!AS34</f>
        <v>#NAME?</v>
      </c>
      <c r="BZ60" s="75" t="e">
        <f ca="1">'QTR Raw'!AT34</f>
        <v>#NAME?</v>
      </c>
      <c r="CA60" s="75" t="e">
        <f ca="1">'QTR Raw'!AU34</f>
        <v>#NAME?</v>
      </c>
      <c r="CB60" s="75" t="e">
        <f ca="1">'QTR Raw'!AV34</f>
        <v>#NAME?</v>
      </c>
      <c r="CC60" s="75" t="e">
        <f ca="1">'QTR Raw'!AW34</f>
        <v>#NAME?</v>
      </c>
      <c r="CD60" s="75" t="e">
        <f ca="1">'QTR Raw'!AX34</f>
        <v>#NAME?</v>
      </c>
      <c r="CE60" s="75" t="e">
        <f ca="1">'QTR Raw'!AY34</f>
        <v>#NAME?</v>
      </c>
      <c r="CF60" s="75" t="e">
        <f ca="1">'QTR Raw'!AZ34</f>
        <v>#NAME?</v>
      </c>
      <c r="CG60" s="75" t="e">
        <f ca="1">'QTR Raw'!BA34</f>
        <v>#NAME?</v>
      </c>
      <c r="CH60" s="75" t="e">
        <f ca="1">'QTR Raw'!BB34</f>
        <v>#NAME?</v>
      </c>
      <c r="CI60" s="75" t="e">
        <f ca="1">'QTR Raw'!BC34</f>
        <v>#NAME?</v>
      </c>
      <c r="CJ60" s="75" t="e">
        <f ca="1">'QTR Raw'!BD34</f>
        <v>#NAME?</v>
      </c>
      <c r="CK60" s="75" t="e">
        <f ca="1">'QTR Raw'!BE34</f>
        <v>#NAME?</v>
      </c>
      <c r="CL60" s="75" t="e">
        <f ca="1">'QTR Raw'!BF34</f>
        <v>#NAME?</v>
      </c>
      <c r="CM60" s="76" t="e">
        <f t="shared" ref="CM60:CM61" ca="1" si="662">+CL60</f>
        <v>#NAME?</v>
      </c>
      <c r="CN60" s="76" t="e">
        <f t="shared" ref="CN60:CN61" ca="1" si="663">+CM60</f>
        <v>#NAME?</v>
      </c>
      <c r="CO60" s="76" t="e">
        <f t="shared" ref="CO60:CO61" ca="1" si="664">+CN60</f>
        <v>#NAME?</v>
      </c>
      <c r="CP60" s="76" t="e">
        <f t="shared" ref="CP60:CP61" ca="1" si="665">+CO60</f>
        <v>#NAME?</v>
      </c>
      <c r="CQ60" s="76" t="e">
        <f t="shared" ref="CQ60:CQ61" ca="1" si="666">+CP60</f>
        <v>#NAME?</v>
      </c>
      <c r="CR60" s="76" t="e">
        <f t="shared" ref="CR60:CR61" ca="1" si="667">+CQ60</f>
        <v>#NAME?</v>
      </c>
      <c r="CS60" s="76" t="e">
        <f t="shared" ref="CS60:CS61" ca="1" si="668">+CR60</f>
        <v>#NAME?</v>
      </c>
      <c r="CT60" s="76" t="e">
        <f t="shared" ref="CT60:CT61" ca="1" si="669">+CS60</f>
        <v>#NAME?</v>
      </c>
      <c r="CU60" s="76" t="e">
        <f t="shared" ref="CU60:CU61" ca="1" si="670">+CT60</f>
        <v>#NAME?</v>
      </c>
      <c r="CV60" s="76" t="e">
        <f t="shared" ref="CV60:CV61" ca="1" si="671">+CU60</f>
        <v>#NAME?</v>
      </c>
      <c r="CW60" s="76" t="e">
        <f t="shared" ref="CW60:CW61" ca="1" si="672">+CV60</f>
        <v>#NAME?</v>
      </c>
      <c r="CX60" s="76" t="e">
        <f t="shared" ref="CX60:CX61" ca="1" si="673">+CW60</f>
        <v>#NAME?</v>
      </c>
      <c r="CY60" s="76" t="e">
        <f t="shared" ref="CY60:CY61" ca="1" si="674">+CX60</f>
        <v>#NAME?</v>
      </c>
      <c r="CZ60" s="76" t="e">
        <f t="shared" ref="CZ60:CZ61" ca="1" si="675">+CY60</f>
        <v>#NAME?</v>
      </c>
      <c r="DA60" s="76" t="e">
        <f t="shared" ref="DA60:DA61" ca="1" si="676">+CZ60</f>
        <v>#NAME?</v>
      </c>
      <c r="DB60" s="76" t="e">
        <f t="shared" ref="DB60:DB61" ca="1" si="677">+DA60</f>
        <v>#NAME?</v>
      </c>
      <c r="DE60" s="131"/>
      <c r="DF60" s="75">
        <v>0</v>
      </c>
    </row>
    <row r="61" spans="1:110" s="75" customFormat="1" x14ac:dyDescent="0.2">
      <c r="A61" s="23" t="s">
        <v>24</v>
      </c>
      <c r="B61" s="75" t="e">
        <f ca="1">'Annual Raw'!C33+'Annual Raw'!C28</f>
        <v>#NAME?</v>
      </c>
      <c r="C61" s="75" t="e">
        <f ca="1">'Annual Raw'!D33+'Annual Raw'!D28</f>
        <v>#NAME?</v>
      </c>
      <c r="D61" s="75" t="e">
        <f ca="1">'Annual Raw'!E33+'Annual Raw'!E28</f>
        <v>#NAME?</v>
      </c>
      <c r="E61" s="75" t="e">
        <f ca="1">'Annual Raw'!F33+'Annual Raw'!F28</f>
        <v>#NAME?</v>
      </c>
      <c r="F61" s="75" t="e">
        <f ca="1">'Annual Raw'!G33+'Annual Raw'!G28</f>
        <v>#NAME?</v>
      </c>
      <c r="G61" s="75" t="e">
        <f ca="1">'Annual Raw'!H33+'Annual Raw'!H28</f>
        <v>#NAME?</v>
      </c>
      <c r="H61" s="75" t="e">
        <f ca="1">'Annual Raw'!I33+'Annual Raw'!I28</f>
        <v>#NAME?</v>
      </c>
      <c r="I61" s="75" t="e">
        <f ca="1">'Annual Raw'!J33+'Annual Raw'!J28</f>
        <v>#NAME?</v>
      </c>
      <c r="J61" s="75" t="e">
        <f ca="1">'Annual Raw'!K33+'Annual Raw'!K28</f>
        <v>#NAME?</v>
      </c>
      <c r="K61" s="75" t="e">
        <f ca="1">'Annual Raw'!L33+'Annual Raw'!L28</f>
        <v>#NAME?</v>
      </c>
      <c r="L61" s="75" t="e">
        <f ca="1">'Annual Raw'!M33+'Annual Raw'!M28</f>
        <v>#NAME?</v>
      </c>
      <c r="M61" s="75" t="e">
        <f ca="1">'Annual Raw'!N33+'Annual Raw'!N28</f>
        <v>#NAME?</v>
      </c>
      <c r="N61" s="75" t="e">
        <f ca="1">'Annual Raw'!O33+'Annual Raw'!O28</f>
        <v>#NAME?</v>
      </c>
      <c r="O61" s="75" t="e">
        <f ca="1">'Annual Raw'!P33+'Annual Raw'!P28</f>
        <v>#NAME?</v>
      </c>
      <c r="P61" s="75" t="e">
        <f ca="1">'Annual Raw'!Q33+'Annual Raw'!Q28</f>
        <v>#NAME?</v>
      </c>
      <c r="Q61" s="75" t="e">
        <f ca="1">'Annual Raw'!R33+'Annual Raw'!R28</f>
        <v>#NAME?</v>
      </c>
      <c r="R61" s="75" t="e">
        <f ca="1">'Annual Raw'!S33+'Annual Raw'!S28</f>
        <v>#NAME?</v>
      </c>
      <c r="S61" s="75" t="e">
        <f ca="1">'Annual Raw'!T33+'Annual Raw'!T28</f>
        <v>#NAME?</v>
      </c>
      <c r="T61" s="75" t="e">
        <f ca="1">'Annual Raw'!U33+'Annual Raw'!U28</f>
        <v>#NAME?</v>
      </c>
      <c r="U61" s="75" t="e">
        <f ca="1">'Annual Raw'!V33+'Annual Raw'!V28</f>
        <v>#NAME?</v>
      </c>
      <c r="V61" s="75" t="e">
        <f ca="1">'Annual Raw'!W33+'Annual Raw'!W28</f>
        <v>#NAME?</v>
      </c>
      <c r="W61" s="75" t="e">
        <f ca="1">'Annual Raw'!X33+'Annual Raw'!X28</f>
        <v>#NAME?</v>
      </c>
      <c r="X61" s="75" t="e">
        <f ca="1">'Annual Raw'!Y33+'Annual Raw'!Y28</f>
        <v>#NAME?</v>
      </c>
      <c r="Y61" s="75" t="e">
        <f ca="1">'Annual Raw'!Z33+'Annual Raw'!Z28</f>
        <v>#NAME?</v>
      </c>
      <c r="Z61" s="75" t="e">
        <f ca="1">'Annual Raw'!AA33+'Annual Raw'!AA28</f>
        <v>#NAME?</v>
      </c>
      <c r="AA61" s="75" t="e">
        <f ca="1">'Annual Raw'!AB33+'Annual Raw'!AB28</f>
        <v>#NAME?</v>
      </c>
      <c r="AB61" s="76" t="e">
        <f t="shared" ca="1" si="658"/>
        <v>#NAME?</v>
      </c>
      <c r="AC61" s="76" t="e">
        <f t="shared" ca="1" si="659"/>
        <v>#NAME?</v>
      </c>
      <c r="AD61" s="76" t="e">
        <f t="shared" ca="1" si="660"/>
        <v>#NAME?</v>
      </c>
      <c r="AE61" s="76" t="e">
        <f t="shared" ca="1" si="661"/>
        <v>#NAME?</v>
      </c>
      <c r="AI61" s="75" t="e">
        <f ca="1">'QTR Raw'!C35</f>
        <v>#NAME?</v>
      </c>
      <c r="AJ61" s="75" t="e">
        <f ca="1">'QTR Raw'!D35</f>
        <v>#NAME?</v>
      </c>
      <c r="AK61" s="75" t="e">
        <f ca="1">'QTR Raw'!E35</f>
        <v>#NAME?</v>
      </c>
      <c r="AL61" s="75" t="e">
        <f ca="1">'QTR Raw'!F35</f>
        <v>#NAME?</v>
      </c>
      <c r="AM61" s="75" t="e">
        <f ca="1">'QTR Raw'!G35</f>
        <v>#NAME?</v>
      </c>
      <c r="AN61" s="75" t="e">
        <f ca="1">'QTR Raw'!H35</f>
        <v>#NAME?</v>
      </c>
      <c r="AO61" s="75" t="e">
        <f ca="1">'QTR Raw'!I35</f>
        <v>#NAME?</v>
      </c>
      <c r="AP61" s="75" t="e">
        <f ca="1">'QTR Raw'!J35</f>
        <v>#NAME?</v>
      </c>
      <c r="AQ61" s="75" t="e">
        <f ca="1">'QTR Raw'!K35</f>
        <v>#NAME?</v>
      </c>
      <c r="AR61" s="75" t="e">
        <f ca="1">'QTR Raw'!L35</f>
        <v>#NAME?</v>
      </c>
      <c r="AS61" s="75" t="e">
        <f ca="1">'QTR Raw'!M35</f>
        <v>#NAME?</v>
      </c>
      <c r="AT61" s="75" t="e">
        <f ca="1">'QTR Raw'!N35</f>
        <v>#NAME?</v>
      </c>
      <c r="AU61" s="75" t="e">
        <f ca="1">'QTR Raw'!O35</f>
        <v>#NAME?</v>
      </c>
      <c r="AV61" s="75" t="e">
        <f ca="1">'QTR Raw'!P35</f>
        <v>#NAME?</v>
      </c>
      <c r="AW61" s="75" t="e">
        <f ca="1">'QTR Raw'!Q35</f>
        <v>#NAME?</v>
      </c>
      <c r="AX61" s="75" t="e">
        <f ca="1">'QTR Raw'!R35</f>
        <v>#NAME?</v>
      </c>
      <c r="AY61" s="75" t="e">
        <f ca="1">'QTR Raw'!S35</f>
        <v>#NAME?</v>
      </c>
      <c r="AZ61" s="75" t="e">
        <f ca="1">'QTR Raw'!T35</f>
        <v>#NAME?</v>
      </c>
      <c r="BA61" s="75" t="e">
        <f ca="1">'QTR Raw'!U35</f>
        <v>#NAME?</v>
      </c>
      <c r="BB61" s="75" t="e">
        <f ca="1">'QTR Raw'!V35</f>
        <v>#NAME?</v>
      </c>
      <c r="BC61" s="75" t="e">
        <f ca="1">'QTR Raw'!W35</f>
        <v>#NAME?</v>
      </c>
      <c r="BD61" s="75" t="e">
        <f ca="1">'QTR Raw'!X35</f>
        <v>#NAME?</v>
      </c>
      <c r="BE61" s="75" t="e">
        <f ca="1">'QTR Raw'!Y35</f>
        <v>#NAME?</v>
      </c>
      <c r="BF61" s="75" t="e">
        <f ca="1">'QTR Raw'!Z35</f>
        <v>#NAME?</v>
      </c>
      <c r="BG61" s="75" t="e">
        <f ca="1">'QTR Raw'!AA35</f>
        <v>#NAME?</v>
      </c>
      <c r="BH61" s="75" t="e">
        <f ca="1">'QTR Raw'!AB35</f>
        <v>#NAME?</v>
      </c>
      <c r="BI61" s="75" t="e">
        <f ca="1">'QTR Raw'!AC35</f>
        <v>#NAME?</v>
      </c>
      <c r="BJ61" s="75" t="e">
        <f ca="1">'QTR Raw'!AD35</f>
        <v>#NAME?</v>
      </c>
      <c r="BK61" s="75" t="e">
        <f ca="1">'QTR Raw'!AE35</f>
        <v>#NAME?</v>
      </c>
      <c r="BL61" s="75" t="e">
        <f ca="1">'QTR Raw'!AF35</f>
        <v>#NAME?</v>
      </c>
      <c r="BM61" s="75" t="e">
        <f ca="1">'QTR Raw'!AG35</f>
        <v>#NAME?</v>
      </c>
      <c r="BN61" s="75" t="e">
        <f ca="1">'QTR Raw'!AH35</f>
        <v>#NAME?</v>
      </c>
      <c r="BO61" s="75" t="e">
        <f ca="1">'QTR Raw'!AI35</f>
        <v>#NAME?</v>
      </c>
      <c r="BP61" s="75" t="e">
        <f ca="1">'QTR Raw'!AJ35</f>
        <v>#NAME?</v>
      </c>
      <c r="BQ61" s="75" t="e">
        <f ca="1">'QTR Raw'!AK35</f>
        <v>#NAME?</v>
      </c>
      <c r="BR61" s="75" t="e">
        <f ca="1">'QTR Raw'!AL35</f>
        <v>#NAME?</v>
      </c>
      <c r="BS61" s="75" t="e">
        <f ca="1">'QTR Raw'!AM35</f>
        <v>#NAME?</v>
      </c>
      <c r="BT61" s="75" t="e">
        <f ca="1">'QTR Raw'!AN35</f>
        <v>#NAME?</v>
      </c>
      <c r="BU61" s="75" t="e">
        <f ca="1">'QTR Raw'!AO35</f>
        <v>#NAME?</v>
      </c>
      <c r="BV61" s="75" t="e">
        <f ca="1">'QTR Raw'!AP35</f>
        <v>#NAME?</v>
      </c>
      <c r="BW61" s="75" t="e">
        <f ca="1">'QTR Raw'!AQ35</f>
        <v>#NAME?</v>
      </c>
      <c r="BX61" s="75" t="e">
        <f ca="1">'QTR Raw'!AR35</f>
        <v>#NAME?</v>
      </c>
      <c r="BY61" s="75" t="e">
        <f ca="1">'QTR Raw'!AS35</f>
        <v>#NAME?</v>
      </c>
      <c r="BZ61" s="75" t="e">
        <f ca="1">'QTR Raw'!AT35</f>
        <v>#NAME?</v>
      </c>
      <c r="CA61" s="75" t="e">
        <f ca="1">'QTR Raw'!AU35</f>
        <v>#NAME?</v>
      </c>
      <c r="CB61" s="75" t="e">
        <f ca="1">'QTR Raw'!AV35</f>
        <v>#NAME?</v>
      </c>
      <c r="CC61" s="75" t="e">
        <f ca="1">'QTR Raw'!AW35</f>
        <v>#NAME?</v>
      </c>
      <c r="CD61" s="75" t="e">
        <f ca="1">'QTR Raw'!AX35</f>
        <v>#NAME?</v>
      </c>
      <c r="CE61" s="75" t="e">
        <f ca="1">'QTR Raw'!AY35</f>
        <v>#NAME?</v>
      </c>
      <c r="CF61" s="75" t="e">
        <f ca="1">'QTR Raw'!AZ35</f>
        <v>#NAME?</v>
      </c>
      <c r="CG61" s="75" t="e">
        <f ca="1">'QTR Raw'!BA35</f>
        <v>#NAME?</v>
      </c>
      <c r="CH61" s="75" t="e">
        <f ca="1">'QTR Raw'!BB35</f>
        <v>#NAME?</v>
      </c>
      <c r="CI61" s="75" t="e">
        <f ca="1">'QTR Raw'!BC35</f>
        <v>#NAME?</v>
      </c>
      <c r="CJ61" s="75" t="e">
        <f ca="1">'QTR Raw'!BD35</f>
        <v>#NAME?</v>
      </c>
      <c r="CK61" s="75" t="e">
        <f ca="1">'QTR Raw'!BE35</f>
        <v>#NAME?</v>
      </c>
      <c r="CL61" s="75" t="e">
        <f ca="1">'QTR Raw'!BF35</f>
        <v>#NAME?</v>
      </c>
      <c r="CM61" s="76" t="e">
        <f t="shared" ca="1" si="662"/>
        <v>#NAME?</v>
      </c>
      <c r="CN61" s="76" t="e">
        <f t="shared" ca="1" si="663"/>
        <v>#NAME?</v>
      </c>
      <c r="CO61" s="76" t="e">
        <f t="shared" ca="1" si="664"/>
        <v>#NAME?</v>
      </c>
      <c r="CP61" s="76" t="e">
        <f t="shared" ca="1" si="665"/>
        <v>#NAME?</v>
      </c>
      <c r="CQ61" s="76" t="e">
        <f t="shared" ca="1" si="666"/>
        <v>#NAME?</v>
      </c>
      <c r="CR61" s="76" t="e">
        <f t="shared" ca="1" si="667"/>
        <v>#NAME?</v>
      </c>
      <c r="CS61" s="76" t="e">
        <f t="shared" ca="1" si="668"/>
        <v>#NAME?</v>
      </c>
      <c r="CT61" s="76" t="e">
        <f t="shared" ca="1" si="669"/>
        <v>#NAME?</v>
      </c>
      <c r="CU61" s="76" t="e">
        <f t="shared" ca="1" si="670"/>
        <v>#NAME?</v>
      </c>
      <c r="CV61" s="76" t="e">
        <f t="shared" ca="1" si="671"/>
        <v>#NAME?</v>
      </c>
      <c r="CW61" s="76" t="e">
        <f t="shared" ca="1" si="672"/>
        <v>#NAME?</v>
      </c>
      <c r="CX61" s="76" t="e">
        <f t="shared" ca="1" si="673"/>
        <v>#NAME?</v>
      </c>
      <c r="CY61" s="76" t="e">
        <f t="shared" ca="1" si="674"/>
        <v>#NAME?</v>
      </c>
      <c r="CZ61" s="76" t="e">
        <f t="shared" ca="1" si="675"/>
        <v>#NAME?</v>
      </c>
      <c r="DA61" s="76" t="e">
        <f t="shared" ca="1" si="676"/>
        <v>#NAME?</v>
      </c>
      <c r="DB61" s="76" t="e">
        <f t="shared" ca="1" si="677"/>
        <v>#NAME?</v>
      </c>
      <c r="DE61" s="131"/>
      <c r="DF61" s="75">
        <v>0</v>
      </c>
    </row>
    <row r="62" spans="1:110" s="23" customFormat="1" x14ac:dyDescent="0.2">
      <c r="A62" s="23" t="s">
        <v>19</v>
      </c>
      <c r="B62" s="75" t="e">
        <f ca="1">'Annual Raw'!C29+'Annual Raw'!C31+'Annual Raw'!C34+'Annual Raw'!C36</f>
        <v>#NAME?</v>
      </c>
      <c r="C62" s="75" t="e">
        <f ca="1">'Annual Raw'!D29+'Annual Raw'!D31+'Annual Raw'!D34+'Annual Raw'!D36</f>
        <v>#NAME?</v>
      </c>
      <c r="D62" s="75" t="e">
        <f ca="1">'Annual Raw'!E29+'Annual Raw'!E31+'Annual Raw'!E34+'Annual Raw'!E36</f>
        <v>#NAME?</v>
      </c>
      <c r="E62" s="75" t="e">
        <f ca="1">'Annual Raw'!F29+'Annual Raw'!F31+'Annual Raw'!F34+'Annual Raw'!F36</f>
        <v>#NAME?</v>
      </c>
      <c r="F62" s="75" t="e">
        <f ca="1">'Annual Raw'!G29+'Annual Raw'!G31+'Annual Raw'!G34+'Annual Raw'!G36</f>
        <v>#NAME?</v>
      </c>
      <c r="G62" s="75" t="e">
        <f ca="1">'Annual Raw'!H29+'Annual Raw'!H31+'Annual Raw'!H34+'Annual Raw'!H36</f>
        <v>#NAME?</v>
      </c>
      <c r="H62" s="75" t="e">
        <f ca="1">'Annual Raw'!I29+'Annual Raw'!I31+'Annual Raw'!I34+'Annual Raw'!I36</f>
        <v>#NAME?</v>
      </c>
      <c r="I62" s="75" t="e">
        <f ca="1">'Annual Raw'!J29+'Annual Raw'!J31+'Annual Raw'!J34+'Annual Raw'!J36</f>
        <v>#NAME?</v>
      </c>
      <c r="J62" s="75" t="e">
        <f ca="1">'Annual Raw'!K29+'Annual Raw'!K31+'Annual Raw'!K34+'Annual Raw'!K36</f>
        <v>#NAME?</v>
      </c>
      <c r="K62" s="75" t="e">
        <f ca="1">'Annual Raw'!L29+'Annual Raw'!L31+'Annual Raw'!L34+'Annual Raw'!L36</f>
        <v>#NAME?</v>
      </c>
      <c r="L62" s="75" t="e">
        <f ca="1">'Annual Raw'!M29+'Annual Raw'!M31+'Annual Raw'!M34+'Annual Raw'!M36</f>
        <v>#NAME?</v>
      </c>
      <c r="M62" s="75" t="e">
        <f ca="1">'Annual Raw'!N29+'Annual Raw'!N31+'Annual Raw'!N34+'Annual Raw'!N36</f>
        <v>#NAME?</v>
      </c>
      <c r="N62" s="75" t="e">
        <f ca="1">'Annual Raw'!O29+'Annual Raw'!O31+'Annual Raw'!O34+'Annual Raw'!O36</f>
        <v>#NAME?</v>
      </c>
      <c r="O62" s="75" t="e">
        <f ca="1">'Annual Raw'!P29+'Annual Raw'!P31+'Annual Raw'!P34+'Annual Raw'!P36</f>
        <v>#NAME?</v>
      </c>
      <c r="P62" s="75" t="e">
        <f ca="1">'Annual Raw'!Q29+'Annual Raw'!Q31+'Annual Raw'!Q34+'Annual Raw'!Q36</f>
        <v>#NAME?</v>
      </c>
      <c r="Q62" s="75" t="e">
        <f ca="1">'Annual Raw'!R29+'Annual Raw'!R31+'Annual Raw'!R34+'Annual Raw'!R36</f>
        <v>#NAME?</v>
      </c>
      <c r="R62" s="75" t="e">
        <f ca="1">'Annual Raw'!S29+'Annual Raw'!S31+'Annual Raw'!S34+'Annual Raw'!S36</f>
        <v>#NAME?</v>
      </c>
      <c r="S62" s="75" t="e">
        <f ca="1">'Annual Raw'!T29+'Annual Raw'!T31+'Annual Raw'!T34+'Annual Raw'!T36</f>
        <v>#NAME?</v>
      </c>
      <c r="T62" s="75" t="e">
        <f ca="1">'Annual Raw'!U29+'Annual Raw'!U31+'Annual Raw'!U34+'Annual Raw'!U36</f>
        <v>#NAME?</v>
      </c>
      <c r="U62" s="75" t="e">
        <f ca="1">'Annual Raw'!V29+'Annual Raw'!V31+'Annual Raw'!V34+'Annual Raw'!V36</f>
        <v>#NAME?</v>
      </c>
      <c r="V62" s="75" t="e">
        <f ca="1">'Annual Raw'!W29+'Annual Raw'!W31+'Annual Raw'!W34+'Annual Raw'!W36</f>
        <v>#NAME?</v>
      </c>
      <c r="W62" s="75" t="e">
        <f ca="1">'Annual Raw'!X29+'Annual Raw'!X31+'Annual Raw'!X34+'Annual Raw'!X36</f>
        <v>#NAME?</v>
      </c>
      <c r="X62" s="75" t="e">
        <f ca="1">'Annual Raw'!Y29+'Annual Raw'!Y31+'Annual Raw'!Y34+'Annual Raw'!Y36</f>
        <v>#NAME?</v>
      </c>
      <c r="Y62" s="75" t="e">
        <f ca="1">'Annual Raw'!Z29+'Annual Raw'!Z31+'Annual Raw'!Z34+'Annual Raw'!Z36</f>
        <v>#NAME?</v>
      </c>
      <c r="Z62" s="75" t="e">
        <f ca="1">'Annual Raw'!AA29+'Annual Raw'!AA31+'Annual Raw'!AA34+'Annual Raw'!AA36</f>
        <v>#NAME?</v>
      </c>
      <c r="AA62" s="75" t="e">
        <f ca="1">'Annual Raw'!AB29+'Annual Raw'!AB31+'Annual Raw'!AB34+'Annual Raw'!AB36</f>
        <v>#NAME?</v>
      </c>
      <c r="AB62" s="76">
        <f>+SUM(CM62:CP62)</f>
        <v>0</v>
      </c>
      <c r="AC62" s="76">
        <f>+SUM(CQ62:CT62)</f>
        <v>0</v>
      </c>
      <c r="AD62" s="76">
        <f>+SUM(CU62:CX62)</f>
        <v>0</v>
      </c>
      <c r="AE62" s="76">
        <f>+SUM(CY62:DB62)</f>
        <v>0</v>
      </c>
      <c r="AI62" s="75" t="e">
        <f ca="1">'QTR Raw'!C26+'QTR Raw'!C31+'QTR Raw'!C32+'QTR Raw'!C33+'QTR Raw'!C36+'QTR Raw'!C37+'QTR Raw'!C39</f>
        <v>#NAME?</v>
      </c>
      <c r="AJ62" s="75" t="e">
        <f ca="1">'QTR Raw'!D26+'QTR Raw'!D31+'QTR Raw'!D32+'QTR Raw'!D33+'QTR Raw'!D36+'QTR Raw'!D37+'QTR Raw'!D39</f>
        <v>#NAME?</v>
      </c>
      <c r="AK62" s="75" t="e">
        <f ca="1">'QTR Raw'!E26+'QTR Raw'!E31+'QTR Raw'!E32+'QTR Raw'!E33+'QTR Raw'!E36+'QTR Raw'!E37+'QTR Raw'!E39</f>
        <v>#NAME?</v>
      </c>
      <c r="AL62" s="75" t="e">
        <f ca="1">'QTR Raw'!F26+'QTR Raw'!F31+'QTR Raw'!F32+'QTR Raw'!F33+'QTR Raw'!F36+'QTR Raw'!F37+'QTR Raw'!F39</f>
        <v>#NAME?</v>
      </c>
      <c r="AM62" s="75" t="e">
        <f ca="1">'QTR Raw'!G26+'QTR Raw'!G31+'QTR Raw'!G32+'QTR Raw'!G33+'QTR Raw'!G36+'QTR Raw'!G37+'QTR Raw'!G39</f>
        <v>#NAME?</v>
      </c>
      <c r="AN62" s="75" t="e">
        <f ca="1">'QTR Raw'!H26+'QTR Raw'!H31+'QTR Raw'!H32+'QTR Raw'!H33+'QTR Raw'!H36+'QTR Raw'!H37+'QTR Raw'!H39</f>
        <v>#NAME?</v>
      </c>
      <c r="AO62" s="75" t="e">
        <f ca="1">'QTR Raw'!I26+'QTR Raw'!I31+'QTR Raw'!I32+'QTR Raw'!I33+'QTR Raw'!I36+'QTR Raw'!I37+'QTR Raw'!I39</f>
        <v>#NAME?</v>
      </c>
      <c r="AP62" s="75" t="e">
        <f ca="1">'QTR Raw'!J26+'QTR Raw'!J31+'QTR Raw'!J32+'QTR Raw'!J33+'QTR Raw'!J36+'QTR Raw'!J37+'QTR Raw'!J39</f>
        <v>#NAME?</v>
      </c>
      <c r="AQ62" s="75" t="e">
        <f ca="1">'QTR Raw'!K26+'QTR Raw'!K31+'QTR Raw'!K32+'QTR Raw'!K33+'QTR Raw'!K36+'QTR Raw'!K37+'QTR Raw'!K39</f>
        <v>#NAME?</v>
      </c>
      <c r="AR62" s="75" t="e">
        <f ca="1">'QTR Raw'!L26+'QTR Raw'!L31+'QTR Raw'!L32+'QTR Raw'!L33+'QTR Raw'!L36+'QTR Raw'!L37+'QTR Raw'!L39</f>
        <v>#NAME?</v>
      </c>
      <c r="AS62" s="75" t="e">
        <f ca="1">'QTR Raw'!M26+'QTR Raw'!M31+'QTR Raw'!M32+'QTR Raw'!M33+'QTR Raw'!M36+'QTR Raw'!M37+'QTR Raw'!M39</f>
        <v>#NAME?</v>
      </c>
      <c r="AT62" s="75" t="e">
        <f ca="1">'QTR Raw'!N26+'QTR Raw'!N31+'QTR Raw'!N32+'QTR Raw'!N33+'QTR Raw'!N36+'QTR Raw'!N37+'QTR Raw'!N39</f>
        <v>#NAME?</v>
      </c>
      <c r="AU62" s="75" t="e">
        <f ca="1">'QTR Raw'!O26+'QTR Raw'!O31+'QTR Raw'!O32+'QTR Raw'!O33+'QTR Raw'!O36+'QTR Raw'!O37+'QTR Raw'!O39</f>
        <v>#NAME?</v>
      </c>
      <c r="AV62" s="75" t="e">
        <f ca="1">'QTR Raw'!P26+'QTR Raw'!P31+'QTR Raw'!P32+'QTR Raw'!P33+'QTR Raw'!P36+'QTR Raw'!P37+'QTR Raw'!P39</f>
        <v>#NAME?</v>
      </c>
      <c r="AW62" s="75" t="e">
        <f ca="1">'QTR Raw'!Q26+'QTR Raw'!Q31+'QTR Raw'!Q32+'QTR Raw'!Q33+'QTR Raw'!Q36+'QTR Raw'!Q37+'QTR Raw'!Q39</f>
        <v>#NAME?</v>
      </c>
      <c r="AX62" s="75" t="e">
        <f ca="1">'QTR Raw'!R26+'QTR Raw'!R31+'QTR Raw'!R32+'QTR Raw'!R33+'QTR Raw'!R36+'QTR Raw'!R37+'QTR Raw'!R39</f>
        <v>#NAME?</v>
      </c>
      <c r="AY62" s="75" t="e">
        <f ca="1">'QTR Raw'!S26+'QTR Raw'!S31+'QTR Raw'!S32+'QTR Raw'!S33+'QTR Raw'!S36+'QTR Raw'!S37+'QTR Raw'!S39</f>
        <v>#NAME?</v>
      </c>
      <c r="AZ62" s="75" t="e">
        <f ca="1">'QTR Raw'!T26+'QTR Raw'!T31+'QTR Raw'!T32+'QTR Raw'!T33+'QTR Raw'!T36+'QTR Raw'!T37+'QTR Raw'!T39</f>
        <v>#NAME?</v>
      </c>
      <c r="BA62" s="75" t="e">
        <f ca="1">'QTR Raw'!U26+'QTR Raw'!U31+'QTR Raw'!U32+'QTR Raw'!U33+'QTR Raw'!U36+'QTR Raw'!U37+'QTR Raw'!U39</f>
        <v>#NAME?</v>
      </c>
      <c r="BB62" s="75" t="e">
        <f ca="1">'QTR Raw'!V26+'QTR Raw'!V31+'QTR Raw'!V32+'QTR Raw'!V33+'QTR Raw'!V36+'QTR Raw'!V37+'QTR Raw'!V39</f>
        <v>#NAME?</v>
      </c>
      <c r="BC62" s="75" t="e">
        <f ca="1">'QTR Raw'!W26+'QTR Raw'!W31+'QTR Raw'!W32+'QTR Raw'!W33+'QTR Raw'!W36+'QTR Raw'!W37+'QTR Raw'!W39</f>
        <v>#NAME?</v>
      </c>
      <c r="BD62" s="75" t="e">
        <f ca="1">'QTR Raw'!X26+'QTR Raw'!X31+'QTR Raw'!X32+'QTR Raw'!X33+'QTR Raw'!X36+'QTR Raw'!X37+'QTR Raw'!X39</f>
        <v>#NAME?</v>
      </c>
      <c r="BE62" s="75" t="e">
        <f ca="1">'QTR Raw'!Y26+'QTR Raw'!Y31+'QTR Raw'!Y32+'QTR Raw'!Y33+'QTR Raw'!Y36+'QTR Raw'!Y37+'QTR Raw'!Y39</f>
        <v>#NAME?</v>
      </c>
      <c r="BF62" s="75" t="e">
        <f ca="1">'QTR Raw'!Z26+'QTR Raw'!Z31+'QTR Raw'!Z32+'QTR Raw'!Z33+'QTR Raw'!Z36+'QTR Raw'!Z37+'QTR Raw'!Z39</f>
        <v>#NAME?</v>
      </c>
      <c r="BG62" s="75" t="e">
        <f ca="1">'QTR Raw'!AA26+'QTR Raw'!AA31+'QTR Raw'!AA32+'QTR Raw'!AA33+'QTR Raw'!AA36+'QTR Raw'!AA37+'QTR Raw'!AA39</f>
        <v>#NAME?</v>
      </c>
      <c r="BH62" s="75" t="e">
        <f ca="1">'QTR Raw'!AB26+'QTR Raw'!AB31+'QTR Raw'!AB32+'QTR Raw'!AB33+'QTR Raw'!AB36+'QTR Raw'!AB37+'QTR Raw'!AB39</f>
        <v>#NAME?</v>
      </c>
      <c r="BI62" s="75" t="e">
        <f ca="1">'QTR Raw'!AC26+'QTR Raw'!AC31+'QTR Raw'!AC32+'QTR Raw'!AC33+'QTR Raw'!AC36+'QTR Raw'!AC37+'QTR Raw'!AC39</f>
        <v>#NAME?</v>
      </c>
      <c r="BJ62" s="75" t="e">
        <f ca="1">'QTR Raw'!AD26+'QTR Raw'!AD31+'QTR Raw'!AD32+'QTR Raw'!AD33+'QTR Raw'!AD36+'QTR Raw'!AD37+'QTR Raw'!AD39</f>
        <v>#NAME?</v>
      </c>
      <c r="BK62" s="75" t="e">
        <f ca="1">'QTR Raw'!AE26+'QTR Raw'!AE31+'QTR Raw'!AE32+'QTR Raw'!AE33+'QTR Raw'!AE36+'QTR Raw'!AE37+'QTR Raw'!AE39</f>
        <v>#NAME?</v>
      </c>
      <c r="BL62" s="75" t="e">
        <f ca="1">'QTR Raw'!AF26+'QTR Raw'!AF31+'QTR Raw'!AF32+'QTR Raw'!AF33+'QTR Raw'!AF36+'QTR Raw'!AF37+'QTR Raw'!AF39</f>
        <v>#NAME?</v>
      </c>
      <c r="BM62" s="75" t="e">
        <f ca="1">'QTR Raw'!AG26+'QTR Raw'!AG31+'QTR Raw'!AG32+'QTR Raw'!AG33+'QTR Raw'!AG36+'QTR Raw'!AG37+'QTR Raw'!AG39</f>
        <v>#NAME?</v>
      </c>
      <c r="BN62" s="75" t="e">
        <f ca="1">'QTR Raw'!AH26+'QTR Raw'!AH31+'QTR Raw'!AH32+'QTR Raw'!AH33+'QTR Raw'!AH36+'QTR Raw'!AH37+'QTR Raw'!AH39</f>
        <v>#NAME?</v>
      </c>
      <c r="BO62" s="75" t="e">
        <f ca="1">'QTR Raw'!AI26+'QTR Raw'!AI31+'QTR Raw'!AI32+'QTR Raw'!AI33+'QTR Raw'!AI36+'QTR Raw'!AI37+'QTR Raw'!AI39</f>
        <v>#NAME?</v>
      </c>
      <c r="BP62" s="75" t="e">
        <f ca="1">'QTR Raw'!AJ26+'QTR Raw'!AJ31+'QTR Raw'!AJ32+'QTR Raw'!AJ33+'QTR Raw'!AJ36+'QTR Raw'!AJ37+'QTR Raw'!AJ39</f>
        <v>#NAME?</v>
      </c>
      <c r="BQ62" s="75" t="e">
        <f ca="1">'QTR Raw'!AK26+'QTR Raw'!AK31+'QTR Raw'!AK32+'QTR Raw'!AK33+'QTR Raw'!AK36+'QTR Raw'!AK37+'QTR Raw'!AK39</f>
        <v>#NAME?</v>
      </c>
      <c r="BR62" s="75" t="e">
        <f ca="1">'QTR Raw'!AL26+'QTR Raw'!AL31+'QTR Raw'!AL32+'QTR Raw'!AL33+'QTR Raw'!AL36+'QTR Raw'!AL37+'QTR Raw'!AL39</f>
        <v>#NAME?</v>
      </c>
      <c r="BS62" s="75" t="e">
        <f ca="1">'QTR Raw'!AM26+'QTR Raw'!AM31+'QTR Raw'!AM32+'QTR Raw'!AM33+'QTR Raw'!AM36+'QTR Raw'!AM37+'QTR Raw'!AM39</f>
        <v>#NAME?</v>
      </c>
      <c r="BT62" s="75" t="e">
        <f ca="1">'QTR Raw'!AN26+'QTR Raw'!AN31+'QTR Raw'!AN32+'QTR Raw'!AN33+'QTR Raw'!AN36+'QTR Raw'!AN37+'QTR Raw'!AN39</f>
        <v>#NAME?</v>
      </c>
      <c r="BU62" s="75" t="e">
        <f ca="1">'QTR Raw'!AO26+'QTR Raw'!AO31+'QTR Raw'!AO32+'QTR Raw'!AO33+'QTR Raw'!AO36+'QTR Raw'!AO37+'QTR Raw'!AO39</f>
        <v>#NAME?</v>
      </c>
      <c r="BV62" s="75" t="e">
        <f ca="1">'QTR Raw'!AP26+'QTR Raw'!AP31+'QTR Raw'!AP32+'QTR Raw'!AP33+'QTR Raw'!AP36+'QTR Raw'!AP37+'QTR Raw'!AP39</f>
        <v>#NAME?</v>
      </c>
      <c r="BW62" s="75" t="e">
        <f ca="1">'QTR Raw'!AQ26+'QTR Raw'!AQ31+'QTR Raw'!AQ32+'QTR Raw'!AQ33+'QTR Raw'!AQ36+'QTR Raw'!AQ37+'QTR Raw'!AQ39</f>
        <v>#NAME?</v>
      </c>
      <c r="BX62" s="75" t="e">
        <f ca="1">'QTR Raw'!AR26+'QTR Raw'!AR31+'QTR Raw'!AR32+'QTR Raw'!AR33+'QTR Raw'!AR36+'QTR Raw'!AR37+'QTR Raw'!AR39</f>
        <v>#NAME?</v>
      </c>
      <c r="BY62" s="75" t="e">
        <f ca="1">'QTR Raw'!AS26+'QTR Raw'!AS31+'QTR Raw'!AS32+'QTR Raw'!AS33+'QTR Raw'!AS36+'QTR Raw'!AS37+'QTR Raw'!AS39</f>
        <v>#NAME?</v>
      </c>
      <c r="BZ62" s="75" t="e">
        <f ca="1">'QTR Raw'!AT26+'QTR Raw'!AT31+'QTR Raw'!AT32+'QTR Raw'!AT33+'QTR Raw'!AT36+'QTR Raw'!AT37+'QTR Raw'!AT39</f>
        <v>#NAME?</v>
      </c>
      <c r="CA62" s="75" t="e">
        <f ca="1">'QTR Raw'!AU26+'QTR Raw'!AU31+'QTR Raw'!AU32+'QTR Raw'!AU33+'QTR Raw'!AU36+'QTR Raw'!AU37+'QTR Raw'!AU39</f>
        <v>#NAME?</v>
      </c>
      <c r="CB62" s="75" t="e">
        <f ca="1">'QTR Raw'!AV26+'QTR Raw'!AV31+'QTR Raw'!AV32+'QTR Raw'!AV33+'QTR Raw'!AV36+'QTR Raw'!AV37+'QTR Raw'!AV39</f>
        <v>#NAME?</v>
      </c>
      <c r="CC62" s="75" t="e">
        <f ca="1">'QTR Raw'!AW26+'QTR Raw'!AW31+'QTR Raw'!AW32+'QTR Raw'!AW33+'QTR Raw'!AW36+'QTR Raw'!AW37+'QTR Raw'!AW39</f>
        <v>#NAME?</v>
      </c>
      <c r="CD62" s="75" t="e">
        <f ca="1">'QTR Raw'!AX26+'QTR Raw'!AX31+'QTR Raw'!AX32+'QTR Raw'!AX33+'QTR Raw'!AX36+'QTR Raw'!AX37+'QTR Raw'!AX39</f>
        <v>#NAME?</v>
      </c>
      <c r="CE62" s="75" t="e">
        <f ca="1">'QTR Raw'!AY26+'QTR Raw'!AY31+'QTR Raw'!AY32+'QTR Raw'!AY33+'QTR Raw'!AY36+'QTR Raw'!AY37+'QTR Raw'!AY39</f>
        <v>#NAME?</v>
      </c>
      <c r="CF62" s="75" t="e">
        <f ca="1">'QTR Raw'!AZ26+'QTR Raw'!AZ31+'QTR Raw'!AZ32+'QTR Raw'!AZ33+'QTR Raw'!AZ36+'QTR Raw'!AZ37+'QTR Raw'!AZ39</f>
        <v>#NAME?</v>
      </c>
      <c r="CG62" s="75" t="e">
        <f ca="1">'QTR Raw'!BA26+'QTR Raw'!BA31+'QTR Raw'!BA32+'QTR Raw'!BA33+'QTR Raw'!BA36+'QTR Raw'!BA37+'QTR Raw'!BA39</f>
        <v>#NAME?</v>
      </c>
      <c r="CH62" s="75" t="e">
        <f ca="1">'QTR Raw'!BB26+'QTR Raw'!BB31+'QTR Raw'!BB32+'QTR Raw'!BB33+'QTR Raw'!BB36+'QTR Raw'!BB37+'QTR Raw'!BB39</f>
        <v>#NAME?</v>
      </c>
      <c r="CI62" s="75" t="e">
        <f ca="1">'QTR Raw'!BC26+'QTR Raw'!BC31+'QTR Raw'!BC32+'QTR Raw'!BC33+'QTR Raw'!BC36+'QTR Raw'!BC37+'QTR Raw'!BC39</f>
        <v>#NAME?</v>
      </c>
      <c r="CJ62" s="75" t="e">
        <f ca="1">'QTR Raw'!BD26+'QTR Raw'!BD31+'QTR Raw'!BD32+'QTR Raw'!BD33+'QTR Raw'!BD36+'QTR Raw'!BD37+'QTR Raw'!BD39</f>
        <v>#NAME?</v>
      </c>
      <c r="CK62" s="75" t="e">
        <f ca="1">'QTR Raw'!BE26+'QTR Raw'!BE31+'QTR Raw'!BE32+'QTR Raw'!BE33+'QTR Raw'!BE36+'QTR Raw'!BE37+'QTR Raw'!BE39</f>
        <v>#NAME?</v>
      </c>
      <c r="CL62" s="75" t="e">
        <f ca="1">'QTR Raw'!BF26+'QTR Raw'!BF31+'QTR Raw'!BF32+'QTR Raw'!BF33+'QTR Raw'!BF36+'QTR Raw'!BF37+'QTR Raw'!BF39</f>
        <v>#NAME?</v>
      </c>
      <c r="CM62" s="24"/>
      <c r="CN62" s="24"/>
      <c r="CO62" s="24"/>
      <c r="CP62" s="24"/>
      <c r="CQ62" s="24"/>
      <c r="CR62" s="24"/>
      <c r="CS62" s="24"/>
      <c r="CT62" s="24"/>
      <c r="CU62" s="24"/>
      <c r="CV62" s="24"/>
      <c r="CW62" s="24"/>
      <c r="CX62" s="24"/>
      <c r="CY62" s="24"/>
      <c r="CZ62" s="24"/>
      <c r="DA62" s="24"/>
      <c r="DB62" s="24"/>
      <c r="DE62" s="123"/>
      <c r="DF62" s="23">
        <v>0</v>
      </c>
    </row>
    <row r="63" spans="1:110" s="26" customFormat="1" x14ac:dyDescent="0.2">
      <c r="A63" s="35" t="s">
        <v>25</v>
      </c>
      <c r="B63" s="26" t="e">
        <f ca="1">B56+B60+B61+B62</f>
        <v>#NAME?</v>
      </c>
      <c r="C63" s="26" t="e">
        <f ca="1">C56+C60+C61+C62</f>
        <v>#NAME?</v>
      </c>
      <c r="D63" s="26" t="e">
        <f ca="1">D56+D60+D61+D62</f>
        <v>#NAME?</v>
      </c>
      <c r="E63" s="26" t="e">
        <f t="shared" ref="E63:U63" ca="1" si="678">E56+E60+E61+E62</f>
        <v>#NAME?</v>
      </c>
      <c r="F63" s="26" t="e">
        <f t="shared" ca="1" si="678"/>
        <v>#NAME?</v>
      </c>
      <c r="G63" s="26" t="e">
        <f t="shared" ca="1" si="678"/>
        <v>#NAME?</v>
      </c>
      <c r="H63" s="26" t="e">
        <f t="shared" ca="1" si="678"/>
        <v>#NAME?</v>
      </c>
      <c r="I63" s="26" t="e">
        <f t="shared" ca="1" si="678"/>
        <v>#NAME?</v>
      </c>
      <c r="J63" s="26" t="e">
        <f t="shared" ca="1" si="678"/>
        <v>#NAME?</v>
      </c>
      <c r="K63" s="26" t="e">
        <f t="shared" ca="1" si="678"/>
        <v>#NAME?</v>
      </c>
      <c r="L63" s="26" t="e">
        <f t="shared" ca="1" si="678"/>
        <v>#NAME?</v>
      </c>
      <c r="M63" s="26" t="e">
        <f t="shared" ca="1" si="678"/>
        <v>#NAME?</v>
      </c>
      <c r="N63" s="26" t="e">
        <f t="shared" ca="1" si="678"/>
        <v>#NAME?</v>
      </c>
      <c r="O63" s="26" t="e">
        <f t="shared" ca="1" si="678"/>
        <v>#NAME?</v>
      </c>
      <c r="P63" s="26" t="e">
        <f t="shared" ca="1" si="678"/>
        <v>#NAME?</v>
      </c>
      <c r="Q63" s="26" t="e">
        <f t="shared" ca="1" si="678"/>
        <v>#NAME?</v>
      </c>
      <c r="R63" s="26" t="e">
        <f t="shared" ca="1" si="678"/>
        <v>#NAME?</v>
      </c>
      <c r="S63" s="26" t="e">
        <f t="shared" ca="1" si="678"/>
        <v>#NAME?</v>
      </c>
      <c r="T63" s="26" t="e">
        <f t="shared" ca="1" si="678"/>
        <v>#NAME?</v>
      </c>
      <c r="U63" s="26" t="e">
        <f t="shared" ca="1" si="678"/>
        <v>#NAME?</v>
      </c>
      <c r="V63" s="26" t="e">
        <f ca="1">V56+V60+V61+V62</f>
        <v>#NAME?</v>
      </c>
      <c r="W63" s="26" t="e">
        <f ca="1">W56+W60+W61+W62</f>
        <v>#NAME?</v>
      </c>
      <c r="X63" s="26" t="e">
        <f ca="1">X56+X60+X61+X62</f>
        <v>#NAME?</v>
      </c>
      <c r="Y63" s="26" t="e">
        <f ca="1">Y56+Y60+Y61+Y62</f>
        <v>#NAME?</v>
      </c>
      <c r="Z63" s="26" t="e">
        <f ca="1">Z56+Z60+Z61+Z62</f>
        <v>#NAME?</v>
      </c>
      <c r="AA63" s="26" t="e">
        <f ca="1">AA56+AA60+AA61+AA62</f>
        <v>#NAME?</v>
      </c>
      <c r="AB63" s="27" t="e">
        <f t="shared" ref="AA63:AD63" ca="1" si="679">AB56+AB60+AB61+AB62</f>
        <v>#NAME?</v>
      </c>
      <c r="AC63" s="27" t="e">
        <f t="shared" ca="1" si="679"/>
        <v>#NAME?</v>
      </c>
      <c r="AD63" s="27" t="e">
        <f t="shared" ca="1" si="679"/>
        <v>#NAME?</v>
      </c>
      <c r="AE63" s="27" t="e">
        <f t="shared" ref="AE63" ca="1" si="680">AE56+AE60+AE61+AE62</f>
        <v>#NAME?</v>
      </c>
      <c r="AI63" s="26" t="e">
        <f t="shared" ref="AI63" ca="1" si="681">AI56+AI60+AI61+AI62</f>
        <v>#NAME?</v>
      </c>
      <c r="AJ63" s="26" t="e">
        <f t="shared" ref="AJ63" ca="1" si="682">AJ56+AJ60+AJ61+AJ62</f>
        <v>#NAME?</v>
      </c>
      <c r="AK63" s="26" t="e">
        <f t="shared" ref="AK63:AM63" ca="1" si="683">AK56+AK60+AK61+AK62</f>
        <v>#NAME?</v>
      </c>
      <c r="AL63" s="26" t="e">
        <f t="shared" ca="1" si="683"/>
        <v>#NAME?</v>
      </c>
      <c r="AM63" s="26" t="e">
        <f t="shared" ca="1" si="683"/>
        <v>#NAME?</v>
      </c>
      <c r="AN63" s="26" t="e">
        <f t="shared" ref="AN63:AO63" ca="1" si="684">AN56+AN60+AN61+AN62</f>
        <v>#NAME?</v>
      </c>
      <c r="AO63" s="26" t="e">
        <f t="shared" ca="1" si="684"/>
        <v>#NAME?</v>
      </c>
      <c r="AP63" s="26" t="e">
        <f t="shared" ref="AP63:CD63" ca="1" si="685">AP56+AP60+AP61+AP62</f>
        <v>#NAME?</v>
      </c>
      <c r="AQ63" s="26" t="e">
        <f t="shared" ca="1" si="685"/>
        <v>#NAME?</v>
      </c>
      <c r="AR63" s="26" t="e">
        <f t="shared" ca="1" si="685"/>
        <v>#NAME?</v>
      </c>
      <c r="AS63" s="26" t="e">
        <f t="shared" ca="1" si="685"/>
        <v>#NAME?</v>
      </c>
      <c r="AT63" s="26" t="e">
        <f t="shared" ca="1" si="685"/>
        <v>#NAME?</v>
      </c>
      <c r="AU63" s="26" t="e">
        <f t="shared" ca="1" si="685"/>
        <v>#NAME?</v>
      </c>
      <c r="AV63" s="26" t="e">
        <f t="shared" ca="1" si="685"/>
        <v>#NAME?</v>
      </c>
      <c r="AW63" s="26" t="e">
        <f t="shared" ca="1" si="685"/>
        <v>#NAME?</v>
      </c>
      <c r="AX63" s="26" t="e">
        <f t="shared" ca="1" si="685"/>
        <v>#NAME?</v>
      </c>
      <c r="AY63" s="26" t="e">
        <f t="shared" ca="1" si="685"/>
        <v>#NAME?</v>
      </c>
      <c r="AZ63" s="26" t="e">
        <f t="shared" ca="1" si="685"/>
        <v>#NAME?</v>
      </c>
      <c r="BA63" s="26" t="e">
        <f t="shared" ca="1" si="685"/>
        <v>#NAME?</v>
      </c>
      <c r="BB63" s="26" t="e">
        <f t="shared" ca="1" si="685"/>
        <v>#NAME?</v>
      </c>
      <c r="BC63" s="26" t="e">
        <f t="shared" ca="1" si="685"/>
        <v>#NAME?</v>
      </c>
      <c r="BD63" s="26" t="e">
        <f t="shared" ca="1" si="685"/>
        <v>#NAME?</v>
      </c>
      <c r="BE63" s="26" t="e">
        <f t="shared" ca="1" si="685"/>
        <v>#NAME?</v>
      </c>
      <c r="BF63" s="26" t="e">
        <f t="shared" ca="1" si="685"/>
        <v>#NAME?</v>
      </c>
      <c r="BG63" s="26" t="e">
        <f t="shared" ca="1" si="685"/>
        <v>#NAME?</v>
      </c>
      <c r="BH63" s="26" t="e">
        <f t="shared" ca="1" si="685"/>
        <v>#NAME?</v>
      </c>
      <c r="BI63" s="26" t="e">
        <f t="shared" ca="1" si="685"/>
        <v>#NAME?</v>
      </c>
      <c r="BJ63" s="26" t="e">
        <f t="shared" ca="1" si="685"/>
        <v>#NAME?</v>
      </c>
      <c r="BK63" s="26" t="e">
        <f t="shared" ca="1" si="685"/>
        <v>#NAME?</v>
      </c>
      <c r="BL63" s="26" t="e">
        <f t="shared" ca="1" si="685"/>
        <v>#NAME?</v>
      </c>
      <c r="BM63" s="26" t="e">
        <f t="shared" ca="1" si="685"/>
        <v>#NAME?</v>
      </c>
      <c r="BN63" s="26" t="e">
        <f t="shared" ca="1" si="685"/>
        <v>#NAME?</v>
      </c>
      <c r="BO63" s="26" t="e">
        <f t="shared" ca="1" si="685"/>
        <v>#NAME?</v>
      </c>
      <c r="BP63" s="26" t="e">
        <f t="shared" ca="1" si="685"/>
        <v>#NAME?</v>
      </c>
      <c r="BQ63" s="26" t="e">
        <f t="shared" ca="1" si="685"/>
        <v>#NAME?</v>
      </c>
      <c r="BR63" s="26" t="e">
        <f t="shared" ca="1" si="685"/>
        <v>#NAME?</v>
      </c>
      <c r="BS63" s="26" t="e">
        <f t="shared" ca="1" si="685"/>
        <v>#NAME?</v>
      </c>
      <c r="BT63" s="26" t="e">
        <f t="shared" ca="1" si="685"/>
        <v>#NAME?</v>
      </c>
      <c r="BU63" s="26" t="e">
        <f t="shared" ca="1" si="685"/>
        <v>#NAME?</v>
      </c>
      <c r="BV63" s="26" t="e">
        <f t="shared" ca="1" si="685"/>
        <v>#NAME?</v>
      </c>
      <c r="BW63" s="26" t="e">
        <f t="shared" ca="1" si="685"/>
        <v>#NAME?</v>
      </c>
      <c r="BX63" s="26" t="e">
        <f t="shared" ca="1" si="685"/>
        <v>#NAME?</v>
      </c>
      <c r="BY63" s="26" t="e">
        <f t="shared" ca="1" si="685"/>
        <v>#NAME?</v>
      </c>
      <c r="BZ63" s="26" t="e">
        <f t="shared" ca="1" si="685"/>
        <v>#NAME?</v>
      </c>
      <c r="CA63" s="26" t="e">
        <f t="shared" ca="1" si="685"/>
        <v>#NAME?</v>
      </c>
      <c r="CB63" s="26" t="e">
        <f t="shared" ca="1" si="685"/>
        <v>#NAME?</v>
      </c>
      <c r="CC63" s="26" t="e">
        <f t="shared" ca="1" si="685"/>
        <v>#NAME?</v>
      </c>
      <c r="CD63" s="26" t="e">
        <f t="shared" ca="1" si="685"/>
        <v>#NAME?</v>
      </c>
      <c r="CE63" s="26" t="e">
        <f t="shared" ref="CE63:CF63" ca="1" si="686">CE56+CE60+CE61+CE62</f>
        <v>#NAME?</v>
      </c>
      <c r="CF63" s="26" t="e">
        <f t="shared" ca="1" si="686"/>
        <v>#NAME?</v>
      </c>
      <c r="CG63" s="26" t="e">
        <f t="shared" ref="CG63:CH63" ca="1" si="687">CG56+CG60+CG61+CG62</f>
        <v>#NAME?</v>
      </c>
      <c r="CH63" s="26" t="e">
        <f t="shared" ca="1" si="687"/>
        <v>#NAME?</v>
      </c>
      <c r="CI63" s="26" t="e">
        <f t="shared" ref="CI63:CJ63" ca="1" si="688">CI56+CI60+CI61+CI62</f>
        <v>#NAME?</v>
      </c>
      <c r="CJ63" s="26" t="e">
        <f t="shared" ca="1" si="688"/>
        <v>#NAME?</v>
      </c>
      <c r="CK63" s="26" t="e">
        <f t="shared" ref="CK63:CL63" ca="1" si="689">CK56+CK60+CK61+CK62</f>
        <v>#NAME?</v>
      </c>
      <c r="CL63" s="26" t="e">
        <f t="shared" ca="1" si="689"/>
        <v>#NAME?</v>
      </c>
      <c r="CM63" s="27" t="e">
        <f t="shared" ref="CM63:DB63" ca="1" si="690">CM56+CM60+CM61+CM62</f>
        <v>#NAME?</v>
      </c>
      <c r="CN63" s="27" t="e">
        <f t="shared" ca="1" si="690"/>
        <v>#NAME?</v>
      </c>
      <c r="CO63" s="27" t="e">
        <f t="shared" ca="1" si="690"/>
        <v>#NAME?</v>
      </c>
      <c r="CP63" s="27" t="e">
        <f t="shared" ca="1" si="690"/>
        <v>#NAME?</v>
      </c>
      <c r="CQ63" s="27" t="e">
        <f t="shared" ca="1" si="690"/>
        <v>#NAME?</v>
      </c>
      <c r="CR63" s="27" t="e">
        <f t="shared" ca="1" si="690"/>
        <v>#NAME?</v>
      </c>
      <c r="CS63" s="27" t="e">
        <f t="shared" ca="1" si="690"/>
        <v>#NAME?</v>
      </c>
      <c r="CT63" s="27" t="e">
        <f t="shared" ca="1" si="690"/>
        <v>#NAME?</v>
      </c>
      <c r="CU63" s="27" t="e">
        <f t="shared" ca="1" si="690"/>
        <v>#NAME?</v>
      </c>
      <c r="CV63" s="27" t="e">
        <f t="shared" ca="1" si="690"/>
        <v>#NAME?</v>
      </c>
      <c r="CW63" s="27" t="e">
        <f t="shared" ca="1" si="690"/>
        <v>#NAME?</v>
      </c>
      <c r="CX63" s="27" t="e">
        <f t="shared" ca="1" si="690"/>
        <v>#NAME?</v>
      </c>
      <c r="CY63" s="27" t="e">
        <f t="shared" ca="1" si="690"/>
        <v>#NAME?</v>
      </c>
      <c r="CZ63" s="27" t="e">
        <f t="shared" ca="1" si="690"/>
        <v>#NAME?</v>
      </c>
      <c r="DA63" s="27" t="e">
        <f t="shared" ca="1" si="690"/>
        <v>#NAME?</v>
      </c>
      <c r="DB63" s="27" t="e">
        <f t="shared" ca="1" si="690"/>
        <v>#NAME?</v>
      </c>
      <c r="DE63" s="121"/>
      <c r="DF63" s="26">
        <v>15.008000000000022</v>
      </c>
    </row>
    <row r="64" spans="1:110" s="25" customFormat="1" x14ac:dyDescent="0.2">
      <c r="A64" s="151" t="s">
        <v>486</v>
      </c>
      <c r="AB64" s="17"/>
      <c r="AC64" s="17"/>
      <c r="AD64" s="17"/>
      <c r="AE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E64" s="119"/>
    </row>
    <row r="65" spans="1:110" s="1" customFormat="1" x14ac:dyDescent="0.2">
      <c r="AB65" s="20"/>
      <c r="AC65" s="20"/>
      <c r="AD65" s="20"/>
      <c r="AE65" s="20"/>
      <c r="BV65" s="183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E65" s="119"/>
    </row>
    <row r="66" spans="1:110" s="22" customFormat="1" x14ac:dyDescent="0.2">
      <c r="A66" s="22" t="s">
        <v>434</v>
      </c>
      <c r="B66" s="22" t="e">
        <f ca="1">'Annual Raw'!C35</f>
        <v>#NAME?</v>
      </c>
      <c r="C66" s="22" t="e">
        <f ca="1">'Annual Raw'!D35</f>
        <v>#NAME?</v>
      </c>
      <c r="D66" s="22" t="e">
        <f ca="1">'Annual Raw'!E35</f>
        <v>#NAME?</v>
      </c>
      <c r="E66" s="22" t="e">
        <f ca="1">'Annual Raw'!F35</f>
        <v>#NAME?</v>
      </c>
      <c r="F66" s="22" t="e">
        <f ca="1">'Annual Raw'!G35</f>
        <v>#NAME?</v>
      </c>
      <c r="G66" s="22" t="e">
        <f ca="1">'Annual Raw'!H35</f>
        <v>#NAME?</v>
      </c>
      <c r="H66" s="22" t="e">
        <f ca="1">'Annual Raw'!I35</f>
        <v>#NAME?</v>
      </c>
      <c r="I66" s="22" t="e">
        <f ca="1">'Annual Raw'!J35</f>
        <v>#NAME?</v>
      </c>
      <c r="J66" s="22" t="e">
        <f ca="1">'Annual Raw'!K35</f>
        <v>#NAME?</v>
      </c>
      <c r="K66" s="22" t="e">
        <f ca="1">'Annual Raw'!L35</f>
        <v>#NAME?</v>
      </c>
      <c r="L66" s="22" t="e">
        <f ca="1">'Annual Raw'!M35</f>
        <v>#NAME?</v>
      </c>
      <c r="M66" s="22" t="e">
        <f ca="1">'Annual Raw'!N35</f>
        <v>#NAME?</v>
      </c>
      <c r="N66" s="22" t="e">
        <f ca="1">'Annual Raw'!O35</f>
        <v>#NAME?</v>
      </c>
      <c r="O66" s="22" t="e">
        <f ca="1">'Annual Raw'!P35</f>
        <v>#NAME?</v>
      </c>
      <c r="P66" s="22" t="e">
        <f ca="1">'Annual Raw'!Q35</f>
        <v>#NAME?</v>
      </c>
      <c r="Q66" s="22" t="e">
        <f ca="1">'Annual Raw'!R35</f>
        <v>#NAME?</v>
      </c>
      <c r="R66" s="22" t="e">
        <f ca="1">'Annual Raw'!S35</f>
        <v>#NAME?</v>
      </c>
      <c r="S66" s="22" t="e">
        <f ca="1">'Annual Raw'!T35</f>
        <v>#NAME?</v>
      </c>
      <c r="T66" s="22" t="e">
        <f ca="1">'Annual Raw'!U35</f>
        <v>#NAME?</v>
      </c>
      <c r="U66" s="22" t="e">
        <f ca="1">'Annual Raw'!V35</f>
        <v>#NAME?</v>
      </c>
      <c r="V66" s="22" t="e">
        <f ca="1">'Annual Raw'!W35</f>
        <v>#NAME?</v>
      </c>
      <c r="W66" s="22" t="e">
        <f ca="1">'Annual Raw'!X35</f>
        <v>#NAME?</v>
      </c>
      <c r="X66" s="22" t="e">
        <f ca="1">'Annual Raw'!Y35</f>
        <v>#NAME?</v>
      </c>
      <c r="Y66" s="22" t="e">
        <f ca="1">'Annual Raw'!Z35</f>
        <v>#NAME?</v>
      </c>
      <c r="Z66" s="22" t="e">
        <f ca="1">'Annual Raw'!AA35</f>
        <v>#NAME?</v>
      </c>
      <c r="AA66" s="22" t="e">
        <f ca="1">'Annual Raw'!AB35</f>
        <v>#NAME?</v>
      </c>
      <c r="AB66" s="21" t="e">
        <f t="shared" ref="AA66:AD66" ca="1" si="691">+AB63</f>
        <v>#NAME?</v>
      </c>
      <c r="AC66" s="21" t="e">
        <f t="shared" ca="1" si="691"/>
        <v>#NAME?</v>
      </c>
      <c r="AD66" s="21" t="e">
        <f t="shared" ca="1" si="691"/>
        <v>#NAME?</v>
      </c>
      <c r="AE66" s="21" t="e">
        <f t="shared" ref="AE66" ca="1" si="692">+AE63</f>
        <v>#NAME?</v>
      </c>
      <c r="AI66" s="22" t="e">
        <f ca="1">'QTR Raw'!C42</f>
        <v>#NAME?</v>
      </c>
      <c r="AJ66" s="22" t="e">
        <f ca="1">'QTR Raw'!D42</f>
        <v>#NAME?</v>
      </c>
      <c r="AK66" s="22" t="e">
        <f ca="1">'QTR Raw'!E42</f>
        <v>#NAME?</v>
      </c>
      <c r="AL66" s="22" t="e">
        <f ca="1">'QTR Raw'!F42</f>
        <v>#NAME?</v>
      </c>
      <c r="AM66" s="22" t="e">
        <f ca="1">'QTR Raw'!G42</f>
        <v>#NAME?</v>
      </c>
      <c r="AN66" s="22" t="e">
        <f ca="1">'QTR Raw'!H42</f>
        <v>#NAME?</v>
      </c>
      <c r="AO66" s="22" t="e">
        <f ca="1">'QTR Raw'!I42</f>
        <v>#NAME?</v>
      </c>
      <c r="AP66" s="22" t="e">
        <f ca="1">'QTR Raw'!J42</f>
        <v>#NAME?</v>
      </c>
      <c r="AQ66" s="22" t="e">
        <f ca="1">'QTR Raw'!K42</f>
        <v>#NAME?</v>
      </c>
      <c r="AR66" s="22" t="e">
        <f ca="1">'QTR Raw'!L42</f>
        <v>#NAME?</v>
      </c>
      <c r="AS66" s="22" t="e">
        <f ca="1">'QTR Raw'!M42</f>
        <v>#NAME?</v>
      </c>
      <c r="AT66" s="22" t="e">
        <f ca="1">'QTR Raw'!N42</f>
        <v>#NAME?</v>
      </c>
      <c r="AU66" s="22" t="e">
        <f ca="1">'QTR Raw'!O42</f>
        <v>#NAME?</v>
      </c>
      <c r="AV66" s="22" t="e">
        <f ca="1">'QTR Raw'!P42</f>
        <v>#NAME?</v>
      </c>
      <c r="AW66" s="22" t="e">
        <f ca="1">'QTR Raw'!Q42</f>
        <v>#NAME?</v>
      </c>
      <c r="AX66" s="22" t="e">
        <f ca="1">'QTR Raw'!R42</f>
        <v>#NAME?</v>
      </c>
      <c r="AY66" s="22" t="e">
        <f ca="1">'QTR Raw'!S42</f>
        <v>#NAME?</v>
      </c>
      <c r="AZ66" s="22" t="e">
        <f ca="1">'QTR Raw'!T42</f>
        <v>#NAME?</v>
      </c>
      <c r="BA66" s="22" t="e">
        <f ca="1">'QTR Raw'!U42</f>
        <v>#NAME?</v>
      </c>
      <c r="BB66" s="22" t="e">
        <f ca="1">'QTR Raw'!V42</f>
        <v>#NAME?</v>
      </c>
      <c r="BC66" s="22" t="e">
        <f ca="1">'QTR Raw'!W42</f>
        <v>#NAME?</v>
      </c>
      <c r="BD66" s="22" t="e">
        <f ca="1">'QTR Raw'!X42</f>
        <v>#NAME?</v>
      </c>
      <c r="BE66" s="22" t="e">
        <f ca="1">'QTR Raw'!Y42</f>
        <v>#NAME?</v>
      </c>
      <c r="BF66" s="22" t="e">
        <f ca="1">'QTR Raw'!Z42</f>
        <v>#NAME?</v>
      </c>
      <c r="BG66" s="22" t="e">
        <f ca="1">'QTR Raw'!AA42</f>
        <v>#NAME?</v>
      </c>
      <c r="BH66" s="22" t="e">
        <f ca="1">'QTR Raw'!AB42</f>
        <v>#NAME?</v>
      </c>
      <c r="BI66" s="22" t="e">
        <f ca="1">'QTR Raw'!AC42</f>
        <v>#NAME?</v>
      </c>
      <c r="BJ66" s="22" t="e">
        <f ca="1">'QTR Raw'!AD42</f>
        <v>#NAME?</v>
      </c>
      <c r="BK66" s="22" t="e">
        <f ca="1">'QTR Raw'!AE42</f>
        <v>#NAME?</v>
      </c>
      <c r="BL66" s="22" t="e">
        <f ca="1">'QTR Raw'!AF42</f>
        <v>#NAME?</v>
      </c>
      <c r="BM66" s="22" t="e">
        <f ca="1">'QTR Raw'!AG42</f>
        <v>#NAME?</v>
      </c>
      <c r="BN66" s="22" t="e">
        <f ca="1">'QTR Raw'!AH42</f>
        <v>#NAME?</v>
      </c>
      <c r="BO66" s="22" t="e">
        <f ca="1">'QTR Raw'!AI42</f>
        <v>#NAME?</v>
      </c>
      <c r="BP66" s="22" t="e">
        <f ca="1">'QTR Raw'!AJ42</f>
        <v>#NAME?</v>
      </c>
      <c r="BQ66" s="22" t="e">
        <f ca="1">'QTR Raw'!AK42</f>
        <v>#NAME?</v>
      </c>
      <c r="BR66" s="22" t="e">
        <f ca="1">'QTR Raw'!AL42</f>
        <v>#NAME?</v>
      </c>
      <c r="BS66" s="22" t="e">
        <f ca="1">'QTR Raw'!AM42</f>
        <v>#NAME?</v>
      </c>
      <c r="BT66" s="22" t="e">
        <f ca="1">'QTR Raw'!AN42</f>
        <v>#NAME?</v>
      </c>
      <c r="BU66" s="22" t="e">
        <f ca="1">'QTR Raw'!AO42</f>
        <v>#NAME?</v>
      </c>
      <c r="BV66" s="22" t="e">
        <f ca="1">'QTR Raw'!AP42</f>
        <v>#NAME?</v>
      </c>
      <c r="BW66" s="22" t="e">
        <f ca="1">'QTR Raw'!AQ42</f>
        <v>#NAME?</v>
      </c>
      <c r="BX66" s="22" t="e">
        <f ca="1">'QTR Raw'!AR42</f>
        <v>#NAME?</v>
      </c>
      <c r="BY66" s="22" t="e">
        <f ca="1">'QTR Raw'!AS42</f>
        <v>#NAME?</v>
      </c>
      <c r="BZ66" s="22" t="e">
        <f ca="1">'QTR Raw'!AT42</f>
        <v>#NAME?</v>
      </c>
      <c r="CA66" s="22" t="e">
        <f ca="1">'QTR Raw'!AU42</f>
        <v>#NAME?</v>
      </c>
      <c r="CB66" s="22" t="e">
        <f ca="1">'QTR Raw'!AV42</f>
        <v>#NAME?</v>
      </c>
      <c r="CC66" s="22" t="e">
        <f ca="1">'QTR Raw'!AW42</f>
        <v>#NAME?</v>
      </c>
      <c r="CD66" s="22" t="e">
        <f ca="1">'QTR Raw'!AX42</f>
        <v>#NAME?</v>
      </c>
      <c r="CE66" s="22" t="e">
        <f ca="1">'QTR Raw'!AY42</f>
        <v>#NAME?</v>
      </c>
      <c r="CF66" s="22" t="e">
        <f ca="1">'QTR Raw'!AZ42</f>
        <v>#NAME?</v>
      </c>
      <c r="CG66" s="22" t="e">
        <f ca="1">'QTR Raw'!BA42</f>
        <v>#NAME?</v>
      </c>
      <c r="CH66" s="22" t="e">
        <f ca="1">'QTR Raw'!BB42</f>
        <v>#NAME?</v>
      </c>
      <c r="CI66" s="22" t="e">
        <f ca="1">'QTR Raw'!BC42</f>
        <v>#NAME?</v>
      </c>
      <c r="CJ66" s="22" t="e">
        <f ca="1">'QTR Raw'!BD42</f>
        <v>#NAME?</v>
      </c>
      <c r="CK66" s="22" t="e">
        <f ca="1">'QTR Raw'!BE42</f>
        <v>#NAME?</v>
      </c>
      <c r="CL66" s="22" t="e">
        <f ca="1">'QTR Raw'!BF42</f>
        <v>#NAME?</v>
      </c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E66" s="119"/>
      <c r="DF66" s="22">
        <v>15.008000000000022</v>
      </c>
    </row>
    <row r="67" spans="1:110" s="25" customFormat="1" x14ac:dyDescent="0.2">
      <c r="A67" s="36" t="s">
        <v>435</v>
      </c>
      <c r="B67" s="25" t="e">
        <f t="shared" ref="B67:V67" ca="1" si="693">B66-B63</f>
        <v>#NAME?</v>
      </c>
      <c r="C67" s="25" t="e">
        <f ca="1">C66-C63</f>
        <v>#NAME?</v>
      </c>
      <c r="D67" s="25" t="e">
        <f t="shared" ca="1" si="693"/>
        <v>#NAME?</v>
      </c>
      <c r="E67" s="25" t="e">
        <f t="shared" ca="1" si="693"/>
        <v>#NAME?</v>
      </c>
      <c r="F67" s="25" t="e">
        <f t="shared" ca="1" si="693"/>
        <v>#NAME?</v>
      </c>
      <c r="G67" s="25" t="e">
        <f t="shared" ca="1" si="693"/>
        <v>#NAME?</v>
      </c>
      <c r="H67" s="25" t="e">
        <f t="shared" ca="1" si="693"/>
        <v>#NAME?</v>
      </c>
      <c r="I67" s="25" t="e">
        <f t="shared" ca="1" si="693"/>
        <v>#NAME?</v>
      </c>
      <c r="J67" s="25" t="e">
        <f t="shared" ca="1" si="693"/>
        <v>#NAME?</v>
      </c>
      <c r="K67" s="25" t="e">
        <f t="shared" ca="1" si="693"/>
        <v>#NAME?</v>
      </c>
      <c r="L67" s="25" t="e">
        <f t="shared" ca="1" si="693"/>
        <v>#NAME?</v>
      </c>
      <c r="M67" s="25" t="e">
        <f t="shared" ca="1" si="693"/>
        <v>#NAME?</v>
      </c>
      <c r="N67" s="25" t="e">
        <f t="shared" ca="1" si="693"/>
        <v>#NAME?</v>
      </c>
      <c r="O67" s="25" t="e">
        <f t="shared" ca="1" si="693"/>
        <v>#NAME?</v>
      </c>
      <c r="P67" s="25" t="e">
        <f t="shared" ca="1" si="693"/>
        <v>#NAME?</v>
      </c>
      <c r="Q67" s="25" t="e">
        <f t="shared" ca="1" si="693"/>
        <v>#NAME?</v>
      </c>
      <c r="R67" s="25" t="e">
        <f t="shared" ca="1" si="693"/>
        <v>#NAME?</v>
      </c>
      <c r="S67" s="25" t="e">
        <f t="shared" ca="1" si="693"/>
        <v>#NAME?</v>
      </c>
      <c r="T67" s="25" t="e">
        <f t="shared" ca="1" si="693"/>
        <v>#NAME?</v>
      </c>
      <c r="U67" s="25" t="e">
        <f t="shared" ca="1" si="693"/>
        <v>#NAME?</v>
      </c>
      <c r="V67" s="25" t="e">
        <f t="shared" ca="1" si="693"/>
        <v>#NAME?</v>
      </c>
      <c r="W67" s="25" t="e">
        <f t="shared" ref="W67" ca="1" si="694">W66-W63</f>
        <v>#NAME?</v>
      </c>
      <c r="X67" s="25" t="e">
        <f t="shared" ref="X67:Y67" ca="1" si="695">X66-X63</f>
        <v>#NAME?</v>
      </c>
      <c r="Y67" s="25" t="e">
        <f t="shared" ca="1" si="695"/>
        <v>#NAME?</v>
      </c>
      <c r="Z67" s="25" t="e">
        <f t="shared" ref="Z67:AA67" ca="1" si="696">Z66-Z63</f>
        <v>#NAME?</v>
      </c>
      <c r="AA67" s="25" t="e">
        <f t="shared" ca="1" si="696"/>
        <v>#NAME?</v>
      </c>
      <c r="AB67" s="17" t="e">
        <f t="shared" ref="AA67:AD67" ca="1" si="697">AB66-AB63</f>
        <v>#NAME?</v>
      </c>
      <c r="AC67" s="17" t="e">
        <f t="shared" ca="1" si="697"/>
        <v>#NAME?</v>
      </c>
      <c r="AD67" s="17" t="e">
        <f t="shared" ca="1" si="697"/>
        <v>#NAME?</v>
      </c>
      <c r="AE67" s="17" t="e">
        <f t="shared" ref="AE67" ca="1" si="698">AE66-AE63</f>
        <v>#NAME?</v>
      </c>
      <c r="AI67" s="25" t="e">
        <f t="shared" ref="AI67" ca="1" si="699">AI66-AI63</f>
        <v>#NAME?</v>
      </c>
      <c r="AJ67" s="25" t="e">
        <f t="shared" ref="AJ67" ca="1" si="700">AJ66-AJ63</f>
        <v>#NAME?</v>
      </c>
      <c r="AK67" s="25" t="e">
        <f t="shared" ref="AK67:AM67" ca="1" si="701">AK66-AK63</f>
        <v>#NAME?</v>
      </c>
      <c r="AL67" s="25" t="e">
        <f t="shared" ca="1" si="701"/>
        <v>#NAME?</v>
      </c>
      <c r="AM67" s="25" t="e">
        <f t="shared" ca="1" si="701"/>
        <v>#NAME?</v>
      </c>
      <c r="AN67" s="25" t="e">
        <f t="shared" ref="AN67:AO67" ca="1" si="702">AN66-AN63</f>
        <v>#NAME?</v>
      </c>
      <c r="AO67" s="25" t="e">
        <f t="shared" ca="1" si="702"/>
        <v>#NAME?</v>
      </c>
      <c r="AP67" s="25" t="e">
        <f t="shared" ref="AP67:CD67" ca="1" si="703">AP66-AP63</f>
        <v>#NAME?</v>
      </c>
      <c r="AQ67" s="25" t="e">
        <f t="shared" ca="1" si="703"/>
        <v>#NAME?</v>
      </c>
      <c r="AR67" s="25" t="e">
        <f t="shared" ca="1" si="703"/>
        <v>#NAME?</v>
      </c>
      <c r="AS67" s="25" t="e">
        <f t="shared" ca="1" si="703"/>
        <v>#NAME?</v>
      </c>
      <c r="AT67" s="25" t="e">
        <f t="shared" ca="1" si="703"/>
        <v>#NAME?</v>
      </c>
      <c r="AU67" s="25" t="e">
        <f t="shared" ca="1" si="703"/>
        <v>#NAME?</v>
      </c>
      <c r="AV67" s="25" t="e">
        <f t="shared" ca="1" si="703"/>
        <v>#NAME?</v>
      </c>
      <c r="AW67" s="25" t="e">
        <f t="shared" ca="1" si="703"/>
        <v>#NAME?</v>
      </c>
      <c r="AX67" s="25" t="e">
        <f t="shared" ca="1" si="703"/>
        <v>#NAME?</v>
      </c>
      <c r="AY67" s="25" t="e">
        <f t="shared" ca="1" si="703"/>
        <v>#NAME?</v>
      </c>
      <c r="AZ67" s="25" t="e">
        <f t="shared" ca="1" si="703"/>
        <v>#NAME?</v>
      </c>
      <c r="BA67" s="25" t="e">
        <f t="shared" ca="1" si="703"/>
        <v>#NAME?</v>
      </c>
      <c r="BB67" s="25" t="e">
        <f t="shared" ca="1" si="703"/>
        <v>#NAME?</v>
      </c>
      <c r="BC67" s="25" t="e">
        <f t="shared" ca="1" si="703"/>
        <v>#NAME?</v>
      </c>
      <c r="BD67" s="25" t="e">
        <f t="shared" ca="1" si="703"/>
        <v>#NAME?</v>
      </c>
      <c r="BE67" s="25" t="e">
        <f t="shared" ca="1" si="703"/>
        <v>#NAME?</v>
      </c>
      <c r="BF67" s="25" t="e">
        <f t="shared" ca="1" si="703"/>
        <v>#NAME?</v>
      </c>
      <c r="BG67" s="25" t="e">
        <f t="shared" ca="1" si="703"/>
        <v>#NAME?</v>
      </c>
      <c r="BH67" s="25" t="e">
        <f t="shared" ca="1" si="703"/>
        <v>#NAME?</v>
      </c>
      <c r="BI67" s="25" t="e">
        <f t="shared" ca="1" si="703"/>
        <v>#NAME?</v>
      </c>
      <c r="BJ67" s="25" t="e">
        <f t="shared" ca="1" si="703"/>
        <v>#NAME?</v>
      </c>
      <c r="BK67" s="25" t="e">
        <f t="shared" ca="1" si="703"/>
        <v>#NAME?</v>
      </c>
      <c r="BL67" s="25" t="e">
        <f t="shared" ca="1" si="703"/>
        <v>#NAME?</v>
      </c>
      <c r="BM67" s="25" t="e">
        <f t="shared" ca="1" si="703"/>
        <v>#NAME?</v>
      </c>
      <c r="BN67" s="25" t="e">
        <f t="shared" ca="1" si="703"/>
        <v>#NAME?</v>
      </c>
      <c r="BO67" s="25" t="e">
        <f t="shared" ca="1" si="703"/>
        <v>#NAME?</v>
      </c>
      <c r="BP67" s="25" t="e">
        <f t="shared" ca="1" si="703"/>
        <v>#NAME?</v>
      </c>
      <c r="BQ67" s="25" t="e">
        <f t="shared" ca="1" si="703"/>
        <v>#NAME?</v>
      </c>
      <c r="BR67" s="25" t="e">
        <f t="shared" ca="1" si="703"/>
        <v>#NAME?</v>
      </c>
      <c r="BS67" s="25" t="e">
        <f t="shared" ca="1" si="703"/>
        <v>#NAME?</v>
      </c>
      <c r="BT67" s="25" t="e">
        <f t="shared" ca="1" si="703"/>
        <v>#NAME?</v>
      </c>
      <c r="BU67" s="25" t="e">
        <f t="shared" ca="1" si="703"/>
        <v>#NAME?</v>
      </c>
      <c r="BV67" s="25" t="e">
        <f t="shared" ca="1" si="703"/>
        <v>#NAME?</v>
      </c>
      <c r="BW67" s="25" t="e">
        <f t="shared" ca="1" si="703"/>
        <v>#NAME?</v>
      </c>
      <c r="BX67" s="25" t="e">
        <f t="shared" ca="1" si="703"/>
        <v>#NAME?</v>
      </c>
      <c r="BY67" s="25" t="e">
        <f t="shared" ca="1" si="703"/>
        <v>#NAME?</v>
      </c>
      <c r="BZ67" s="25" t="e">
        <f t="shared" ca="1" si="703"/>
        <v>#NAME?</v>
      </c>
      <c r="CA67" s="25" t="e">
        <f t="shared" ca="1" si="703"/>
        <v>#NAME?</v>
      </c>
      <c r="CB67" s="25" t="e">
        <f t="shared" ca="1" si="703"/>
        <v>#NAME?</v>
      </c>
      <c r="CC67" s="25" t="e">
        <f t="shared" ca="1" si="703"/>
        <v>#NAME?</v>
      </c>
      <c r="CD67" s="25" t="e">
        <f t="shared" ca="1" si="703"/>
        <v>#NAME?</v>
      </c>
      <c r="CE67" s="25" t="e">
        <f t="shared" ref="CE67:CF67" ca="1" si="704">CE66-CE63</f>
        <v>#NAME?</v>
      </c>
      <c r="CF67" s="25" t="e">
        <f t="shared" ca="1" si="704"/>
        <v>#NAME?</v>
      </c>
      <c r="CG67" s="25" t="e">
        <f t="shared" ref="CG67:CH67" ca="1" si="705">CG66-CG63</f>
        <v>#NAME?</v>
      </c>
      <c r="CH67" s="25" t="e">
        <f t="shared" ca="1" si="705"/>
        <v>#NAME?</v>
      </c>
      <c r="CI67" s="25" t="e">
        <f t="shared" ref="CI67:CJ67" ca="1" si="706">CI66-CI63</f>
        <v>#NAME?</v>
      </c>
      <c r="CJ67" s="25" t="e">
        <f t="shared" ca="1" si="706"/>
        <v>#NAME?</v>
      </c>
      <c r="CK67" s="25" t="e">
        <f t="shared" ref="CK67:CL67" ca="1" si="707">CK66-CK63</f>
        <v>#NAME?</v>
      </c>
      <c r="CL67" s="25" t="e">
        <f t="shared" ca="1" si="707"/>
        <v>#NAME?</v>
      </c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E67" s="119"/>
      <c r="DF67" s="25">
        <v>0</v>
      </c>
    </row>
    <row r="68" spans="1:110" s="1" customFormat="1" x14ac:dyDescent="0.2">
      <c r="A68" s="150" t="s">
        <v>487</v>
      </c>
      <c r="AB68" s="20"/>
      <c r="AC68" s="20"/>
      <c r="AD68" s="20"/>
      <c r="AE68" s="20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E68" s="119"/>
    </row>
    <row r="69" spans="1:110" s="38" customFormat="1" x14ac:dyDescent="0.2">
      <c r="A69" s="38" t="s">
        <v>350</v>
      </c>
      <c r="B69" s="39" t="e">
        <f t="shared" ref="B69:AE69" ca="1" si="708">(B63-B62)/B135</f>
        <v>#NAME?</v>
      </c>
      <c r="C69" s="39" t="e">
        <f t="shared" ca="1" si="708"/>
        <v>#NAME?</v>
      </c>
      <c r="D69" s="39" t="e">
        <f t="shared" ca="1" si="708"/>
        <v>#NAME?</v>
      </c>
      <c r="E69" s="39" t="e">
        <f t="shared" ca="1" si="708"/>
        <v>#NAME?</v>
      </c>
      <c r="F69" s="39" t="e">
        <f t="shared" ca="1" si="708"/>
        <v>#NAME?</v>
      </c>
      <c r="G69" s="39" t="e">
        <f t="shared" ca="1" si="708"/>
        <v>#NAME?</v>
      </c>
      <c r="H69" s="39" t="e">
        <f t="shared" ca="1" si="708"/>
        <v>#NAME?</v>
      </c>
      <c r="I69" s="39" t="e">
        <f t="shared" ca="1" si="708"/>
        <v>#NAME?</v>
      </c>
      <c r="J69" s="39" t="e">
        <f t="shared" ca="1" si="708"/>
        <v>#NAME?</v>
      </c>
      <c r="K69" s="39" t="e">
        <f t="shared" ca="1" si="708"/>
        <v>#NAME?</v>
      </c>
      <c r="L69" s="39" t="e">
        <f t="shared" ca="1" si="708"/>
        <v>#NAME?</v>
      </c>
      <c r="M69" s="39" t="e">
        <f t="shared" ca="1" si="708"/>
        <v>#NAME?</v>
      </c>
      <c r="N69" s="39" t="e">
        <f t="shared" ca="1" si="708"/>
        <v>#NAME?</v>
      </c>
      <c r="O69" s="39" t="e">
        <f t="shared" ca="1" si="708"/>
        <v>#NAME?</v>
      </c>
      <c r="P69" s="39" t="e">
        <f t="shared" ca="1" si="708"/>
        <v>#NAME?</v>
      </c>
      <c r="Q69" s="39" t="e">
        <f t="shared" ca="1" si="708"/>
        <v>#NAME?</v>
      </c>
      <c r="R69" s="39" t="e">
        <f t="shared" ca="1" si="708"/>
        <v>#NAME?</v>
      </c>
      <c r="S69" s="39" t="e">
        <f t="shared" ca="1" si="708"/>
        <v>#NAME?</v>
      </c>
      <c r="T69" s="39" t="e">
        <f t="shared" ca="1" si="708"/>
        <v>#NAME?</v>
      </c>
      <c r="U69" s="39" t="e">
        <f t="shared" ca="1" si="708"/>
        <v>#NAME?</v>
      </c>
      <c r="V69" s="39" t="e">
        <f t="shared" ca="1" si="708"/>
        <v>#NAME?</v>
      </c>
      <c r="W69" s="39" t="e">
        <f t="shared" ca="1" si="708"/>
        <v>#NAME?</v>
      </c>
      <c r="X69" s="39" t="e">
        <f t="shared" ca="1" si="708"/>
        <v>#NAME?</v>
      </c>
      <c r="Y69" s="39" t="e">
        <f t="shared" ca="1" si="708"/>
        <v>#NAME?</v>
      </c>
      <c r="Z69" s="39" t="e">
        <f t="shared" ca="1" si="708"/>
        <v>#NAME?</v>
      </c>
      <c r="AA69" s="39" t="e">
        <f t="shared" ref="AA69" ca="1" si="709">(AA63-AA62)/AA135</f>
        <v>#NAME?</v>
      </c>
      <c r="AB69" s="40" t="e">
        <f t="shared" ca="1" si="708"/>
        <v>#NAME?</v>
      </c>
      <c r="AC69" s="40" t="e">
        <f t="shared" ca="1" si="708"/>
        <v>#NAME?</v>
      </c>
      <c r="AD69" s="40" t="e">
        <f t="shared" ca="1" si="708"/>
        <v>#NAME?</v>
      </c>
      <c r="AE69" s="40" t="e">
        <f t="shared" ca="1" si="708"/>
        <v>#NAME?</v>
      </c>
      <c r="AF69" s="39"/>
      <c r="AG69" s="39"/>
      <c r="AH69" s="39"/>
      <c r="AI69" s="39"/>
      <c r="AJ69" s="39"/>
      <c r="AK69" s="39"/>
      <c r="AL69" s="39" t="e">
        <f t="shared" ref="AL69:BQ69" ca="1" si="710">(SUM(AI63:AL63)-SUM(AI62:AL62))/AL135</f>
        <v>#NAME?</v>
      </c>
      <c r="AM69" s="39" t="e">
        <f t="shared" ca="1" si="710"/>
        <v>#NAME?</v>
      </c>
      <c r="AN69" s="39" t="e">
        <f t="shared" ca="1" si="710"/>
        <v>#NAME?</v>
      </c>
      <c r="AO69" s="39" t="e">
        <f t="shared" ca="1" si="710"/>
        <v>#NAME?</v>
      </c>
      <c r="AP69" s="39" t="e">
        <f t="shared" ca="1" si="710"/>
        <v>#NAME?</v>
      </c>
      <c r="AQ69" s="39" t="e">
        <f t="shared" ca="1" si="710"/>
        <v>#NAME?</v>
      </c>
      <c r="AR69" s="39" t="e">
        <f t="shared" ca="1" si="710"/>
        <v>#NAME?</v>
      </c>
      <c r="AS69" s="39" t="e">
        <f t="shared" ca="1" si="710"/>
        <v>#NAME?</v>
      </c>
      <c r="AT69" s="39" t="e">
        <f t="shared" ca="1" si="710"/>
        <v>#NAME?</v>
      </c>
      <c r="AU69" s="39" t="e">
        <f t="shared" ca="1" si="710"/>
        <v>#NAME?</v>
      </c>
      <c r="AV69" s="39" t="e">
        <f t="shared" ca="1" si="710"/>
        <v>#NAME?</v>
      </c>
      <c r="AW69" s="39" t="e">
        <f t="shared" ca="1" si="710"/>
        <v>#NAME?</v>
      </c>
      <c r="AX69" s="39" t="e">
        <f t="shared" ca="1" si="710"/>
        <v>#NAME?</v>
      </c>
      <c r="AY69" s="39" t="e">
        <f t="shared" ca="1" si="710"/>
        <v>#NAME?</v>
      </c>
      <c r="AZ69" s="39" t="e">
        <f t="shared" ca="1" si="710"/>
        <v>#NAME?</v>
      </c>
      <c r="BA69" s="39" t="e">
        <f t="shared" ca="1" si="710"/>
        <v>#NAME?</v>
      </c>
      <c r="BB69" s="39" t="e">
        <f t="shared" ca="1" si="710"/>
        <v>#NAME?</v>
      </c>
      <c r="BC69" s="39" t="e">
        <f t="shared" ca="1" si="710"/>
        <v>#NAME?</v>
      </c>
      <c r="BD69" s="39" t="e">
        <f t="shared" ca="1" si="710"/>
        <v>#NAME?</v>
      </c>
      <c r="BE69" s="39" t="e">
        <f t="shared" ca="1" si="710"/>
        <v>#NAME?</v>
      </c>
      <c r="BF69" s="39" t="e">
        <f t="shared" ca="1" si="710"/>
        <v>#NAME?</v>
      </c>
      <c r="BG69" s="39" t="e">
        <f t="shared" ca="1" si="710"/>
        <v>#NAME?</v>
      </c>
      <c r="BH69" s="39" t="e">
        <f t="shared" ca="1" si="710"/>
        <v>#NAME?</v>
      </c>
      <c r="BI69" s="39" t="e">
        <f t="shared" ca="1" si="710"/>
        <v>#NAME?</v>
      </c>
      <c r="BJ69" s="39" t="e">
        <f t="shared" ca="1" si="710"/>
        <v>#NAME?</v>
      </c>
      <c r="BK69" s="39" t="e">
        <f t="shared" ca="1" si="710"/>
        <v>#NAME?</v>
      </c>
      <c r="BL69" s="39" t="e">
        <f t="shared" ca="1" si="710"/>
        <v>#NAME?</v>
      </c>
      <c r="BM69" s="39" t="e">
        <f t="shared" ca="1" si="710"/>
        <v>#NAME?</v>
      </c>
      <c r="BN69" s="39" t="e">
        <f t="shared" ca="1" si="710"/>
        <v>#NAME?</v>
      </c>
      <c r="BO69" s="39" t="e">
        <f t="shared" ca="1" si="710"/>
        <v>#NAME?</v>
      </c>
      <c r="BP69" s="39" t="e">
        <f t="shared" ca="1" si="710"/>
        <v>#NAME?</v>
      </c>
      <c r="BQ69" s="39" t="e">
        <f t="shared" ca="1" si="710"/>
        <v>#NAME?</v>
      </c>
      <c r="BR69" s="39" t="e">
        <f t="shared" ref="BR69:CW69" ca="1" si="711">(SUM(BO63:BR63)-SUM(BO62:BR62))/BR135</f>
        <v>#NAME?</v>
      </c>
      <c r="BS69" s="39" t="e">
        <f t="shared" ca="1" si="711"/>
        <v>#NAME?</v>
      </c>
      <c r="BT69" s="39" t="e">
        <f t="shared" ca="1" si="711"/>
        <v>#NAME?</v>
      </c>
      <c r="BU69" s="39" t="e">
        <f t="shared" ca="1" si="711"/>
        <v>#NAME?</v>
      </c>
      <c r="BV69" s="39" t="e">
        <f t="shared" ca="1" si="711"/>
        <v>#NAME?</v>
      </c>
      <c r="BW69" s="39" t="e">
        <f t="shared" ca="1" si="711"/>
        <v>#NAME?</v>
      </c>
      <c r="BX69" s="39" t="e">
        <f t="shared" ca="1" si="711"/>
        <v>#NAME?</v>
      </c>
      <c r="BY69" s="39" t="e">
        <f t="shared" ca="1" si="711"/>
        <v>#NAME?</v>
      </c>
      <c r="BZ69" s="39" t="e">
        <f t="shared" ca="1" si="711"/>
        <v>#NAME?</v>
      </c>
      <c r="CA69" s="39" t="e">
        <f t="shared" ca="1" si="711"/>
        <v>#NAME?</v>
      </c>
      <c r="CB69" s="39" t="e">
        <f t="shared" ca="1" si="711"/>
        <v>#NAME?</v>
      </c>
      <c r="CC69" s="39" t="e">
        <f t="shared" ca="1" si="711"/>
        <v>#NAME?</v>
      </c>
      <c r="CD69" s="39" t="e">
        <f t="shared" ca="1" si="711"/>
        <v>#NAME?</v>
      </c>
      <c r="CE69" s="39" t="e">
        <f t="shared" ca="1" si="711"/>
        <v>#NAME?</v>
      </c>
      <c r="CF69" s="39" t="e">
        <f t="shared" ca="1" si="711"/>
        <v>#NAME?</v>
      </c>
      <c r="CG69" s="39" t="e">
        <f t="shared" ca="1" si="711"/>
        <v>#NAME?</v>
      </c>
      <c r="CH69" s="39" t="e">
        <f t="shared" ca="1" si="711"/>
        <v>#NAME?</v>
      </c>
      <c r="CI69" s="39" t="e">
        <f t="shared" ca="1" si="711"/>
        <v>#NAME?</v>
      </c>
      <c r="CJ69" s="39" t="e">
        <f t="shared" ca="1" si="711"/>
        <v>#NAME?</v>
      </c>
      <c r="CK69" s="39" t="e">
        <f t="shared" ca="1" si="711"/>
        <v>#NAME?</v>
      </c>
      <c r="CL69" s="39" t="e">
        <f t="shared" ca="1" si="711"/>
        <v>#NAME?</v>
      </c>
      <c r="CM69" s="40" t="e">
        <f t="shared" ca="1" si="711"/>
        <v>#NAME?</v>
      </c>
      <c r="CN69" s="40" t="e">
        <f t="shared" ca="1" si="711"/>
        <v>#NAME?</v>
      </c>
      <c r="CO69" s="40" t="e">
        <f t="shared" ca="1" si="711"/>
        <v>#NAME?</v>
      </c>
      <c r="CP69" s="40" t="e">
        <f t="shared" ca="1" si="711"/>
        <v>#NAME?</v>
      </c>
      <c r="CQ69" s="40" t="e">
        <f t="shared" ca="1" si="711"/>
        <v>#NAME?</v>
      </c>
      <c r="CR69" s="40" t="e">
        <f t="shared" ca="1" si="711"/>
        <v>#NAME?</v>
      </c>
      <c r="CS69" s="40" t="e">
        <f t="shared" ca="1" si="711"/>
        <v>#NAME?</v>
      </c>
      <c r="CT69" s="40" t="e">
        <f t="shared" ca="1" si="711"/>
        <v>#NAME?</v>
      </c>
      <c r="CU69" s="40" t="e">
        <f t="shared" ca="1" si="711"/>
        <v>#NAME?</v>
      </c>
      <c r="CV69" s="40" t="e">
        <f t="shared" ca="1" si="711"/>
        <v>#NAME?</v>
      </c>
      <c r="CW69" s="40" t="e">
        <f t="shared" ca="1" si="711"/>
        <v>#NAME?</v>
      </c>
      <c r="CX69" s="40" t="e">
        <f t="shared" ref="CX69:DB69" ca="1" si="712">(SUM(CU63:CX63)-SUM(CU62:CX62))/CX135</f>
        <v>#NAME?</v>
      </c>
      <c r="CY69" s="40" t="e">
        <f t="shared" ca="1" si="712"/>
        <v>#NAME?</v>
      </c>
      <c r="CZ69" s="40" t="e">
        <f t="shared" ca="1" si="712"/>
        <v>#NAME?</v>
      </c>
      <c r="DA69" s="40" t="e">
        <f t="shared" ca="1" si="712"/>
        <v>#NAME?</v>
      </c>
      <c r="DB69" s="40" t="e">
        <f t="shared" ca="1" si="712"/>
        <v>#NAME?</v>
      </c>
      <c r="DE69" s="122"/>
      <c r="DF69" s="38">
        <v>4.4371779217285197E-2</v>
      </c>
    </row>
    <row r="70" spans="1:110" s="38" customFormat="1" x14ac:dyDescent="0.2">
      <c r="A70" s="38" t="s">
        <v>351</v>
      </c>
      <c r="B70" s="39" t="e">
        <f t="shared" ref="B70:AE70" ca="1" si="713">+B49/B144</f>
        <v>#NAME?</v>
      </c>
      <c r="C70" s="39" t="e">
        <f t="shared" ca="1" si="713"/>
        <v>#NAME?</v>
      </c>
      <c r="D70" s="39" t="e">
        <f t="shared" ca="1" si="713"/>
        <v>#NAME?</v>
      </c>
      <c r="E70" s="39" t="e">
        <f t="shared" ca="1" si="713"/>
        <v>#NAME?</v>
      </c>
      <c r="F70" s="39" t="e">
        <f t="shared" ca="1" si="713"/>
        <v>#NAME?</v>
      </c>
      <c r="G70" s="39" t="e">
        <f t="shared" ca="1" si="713"/>
        <v>#NAME?</v>
      </c>
      <c r="H70" s="39" t="e">
        <f t="shared" ca="1" si="713"/>
        <v>#NAME?</v>
      </c>
      <c r="I70" s="39" t="e">
        <f t="shared" ca="1" si="713"/>
        <v>#NAME?</v>
      </c>
      <c r="J70" s="39" t="e">
        <f t="shared" ca="1" si="713"/>
        <v>#NAME?</v>
      </c>
      <c r="K70" s="39" t="e">
        <f t="shared" ca="1" si="713"/>
        <v>#NAME?</v>
      </c>
      <c r="L70" s="39" t="e">
        <f t="shared" ca="1" si="713"/>
        <v>#NAME?</v>
      </c>
      <c r="M70" s="39" t="e">
        <f t="shared" ca="1" si="713"/>
        <v>#NAME?</v>
      </c>
      <c r="N70" s="39" t="e">
        <f t="shared" ca="1" si="713"/>
        <v>#NAME?</v>
      </c>
      <c r="O70" s="39" t="e">
        <f t="shared" ca="1" si="713"/>
        <v>#NAME?</v>
      </c>
      <c r="P70" s="39" t="e">
        <f t="shared" ca="1" si="713"/>
        <v>#NAME?</v>
      </c>
      <c r="Q70" s="39" t="e">
        <f t="shared" ca="1" si="713"/>
        <v>#NAME?</v>
      </c>
      <c r="R70" s="39" t="e">
        <f t="shared" ca="1" si="713"/>
        <v>#NAME?</v>
      </c>
      <c r="S70" s="39" t="e">
        <f t="shared" ca="1" si="713"/>
        <v>#NAME?</v>
      </c>
      <c r="T70" s="39" t="e">
        <f t="shared" ca="1" si="713"/>
        <v>#NAME?</v>
      </c>
      <c r="U70" s="39" t="e">
        <f t="shared" ca="1" si="713"/>
        <v>#NAME?</v>
      </c>
      <c r="V70" s="39" t="e">
        <f t="shared" ca="1" si="713"/>
        <v>#NAME?</v>
      </c>
      <c r="W70" s="39" t="e">
        <f t="shared" ca="1" si="713"/>
        <v>#NAME?</v>
      </c>
      <c r="X70" s="39" t="e">
        <f t="shared" ca="1" si="713"/>
        <v>#NAME?</v>
      </c>
      <c r="Y70" s="39" t="e">
        <f t="shared" ca="1" si="713"/>
        <v>#NAME?</v>
      </c>
      <c r="Z70" s="39" t="e">
        <f t="shared" ca="1" si="713"/>
        <v>#NAME?</v>
      </c>
      <c r="AA70" s="39" t="e">
        <f t="shared" ref="AA70" ca="1" si="714">+AA49/AA144</f>
        <v>#NAME?</v>
      </c>
      <c r="AB70" s="40" t="e">
        <f t="shared" ca="1" si="713"/>
        <v>#NAME?</v>
      </c>
      <c r="AC70" s="40" t="e">
        <f t="shared" ca="1" si="713"/>
        <v>#NAME?</v>
      </c>
      <c r="AD70" s="40" t="e">
        <f t="shared" ca="1" si="713"/>
        <v>#NAME?</v>
      </c>
      <c r="AE70" s="40" t="e">
        <f t="shared" ca="1" si="713"/>
        <v>#NAME?</v>
      </c>
      <c r="AF70" s="39"/>
      <c r="AG70" s="39"/>
      <c r="AH70" s="39"/>
      <c r="AI70" s="39"/>
      <c r="AJ70" s="39"/>
      <c r="AK70" s="39"/>
      <c r="AL70" s="39" t="e">
        <f t="shared" ref="AL70:BQ70" ca="1" si="715">+SUM(AI49:AL49)/AL144</f>
        <v>#NAME?</v>
      </c>
      <c r="AM70" s="39" t="e">
        <f t="shared" ca="1" si="715"/>
        <v>#NAME?</v>
      </c>
      <c r="AN70" s="39" t="e">
        <f t="shared" ca="1" si="715"/>
        <v>#NAME?</v>
      </c>
      <c r="AO70" s="39" t="e">
        <f t="shared" ca="1" si="715"/>
        <v>#NAME?</v>
      </c>
      <c r="AP70" s="39" t="e">
        <f t="shared" ca="1" si="715"/>
        <v>#NAME?</v>
      </c>
      <c r="AQ70" s="39" t="e">
        <f t="shared" ca="1" si="715"/>
        <v>#NAME?</v>
      </c>
      <c r="AR70" s="39" t="e">
        <f t="shared" ca="1" si="715"/>
        <v>#NAME?</v>
      </c>
      <c r="AS70" s="39" t="e">
        <f t="shared" ca="1" si="715"/>
        <v>#NAME?</v>
      </c>
      <c r="AT70" s="39" t="e">
        <f t="shared" ca="1" si="715"/>
        <v>#NAME?</v>
      </c>
      <c r="AU70" s="39" t="e">
        <f t="shared" ca="1" si="715"/>
        <v>#NAME?</v>
      </c>
      <c r="AV70" s="39" t="e">
        <f t="shared" ca="1" si="715"/>
        <v>#NAME?</v>
      </c>
      <c r="AW70" s="39" t="e">
        <f t="shared" ca="1" si="715"/>
        <v>#NAME?</v>
      </c>
      <c r="AX70" s="39" t="e">
        <f t="shared" ca="1" si="715"/>
        <v>#NAME?</v>
      </c>
      <c r="AY70" s="39" t="e">
        <f t="shared" ca="1" si="715"/>
        <v>#NAME?</v>
      </c>
      <c r="AZ70" s="39" t="e">
        <f t="shared" ca="1" si="715"/>
        <v>#NAME?</v>
      </c>
      <c r="BA70" s="39" t="e">
        <f t="shared" ca="1" si="715"/>
        <v>#NAME?</v>
      </c>
      <c r="BB70" s="39" t="e">
        <f t="shared" ca="1" si="715"/>
        <v>#NAME?</v>
      </c>
      <c r="BC70" s="39" t="e">
        <f t="shared" ca="1" si="715"/>
        <v>#NAME?</v>
      </c>
      <c r="BD70" s="39" t="e">
        <f t="shared" ca="1" si="715"/>
        <v>#NAME?</v>
      </c>
      <c r="BE70" s="39" t="e">
        <f t="shared" ca="1" si="715"/>
        <v>#NAME?</v>
      </c>
      <c r="BF70" s="39" t="e">
        <f t="shared" ca="1" si="715"/>
        <v>#NAME?</v>
      </c>
      <c r="BG70" s="39" t="e">
        <f t="shared" ca="1" si="715"/>
        <v>#NAME?</v>
      </c>
      <c r="BH70" s="39" t="e">
        <f t="shared" ca="1" si="715"/>
        <v>#NAME?</v>
      </c>
      <c r="BI70" s="39" t="e">
        <f t="shared" ca="1" si="715"/>
        <v>#NAME?</v>
      </c>
      <c r="BJ70" s="39" t="e">
        <f t="shared" ca="1" si="715"/>
        <v>#NAME?</v>
      </c>
      <c r="BK70" s="39" t="e">
        <f t="shared" ca="1" si="715"/>
        <v>#NAME?</v>
      </c>
      <c r="BL70" s="39" t="e">
        <f t="shared" ca="1" si="715"/>
        <v>#NAME?</v>
      </c>
      <c r="BM70" s="39" t="e">
        <f t="shared" ca="1" si="715"/>
        <v>#NAME?</v>
      </c>
      <c r="BN70" s="39" t="e">
        <f t="shared" ca="1" si="715"/>
        <v>#NAME?</v>
      </c>
      <c r="BO70" s="39" t="e">
        <f t="shared" ca="1" si="715"/>
        <v>#NAME?</v>
      </c>
      <c r="BP70" s="39" t="e">
        <f t="shared" ca="1" si="715"/>
        <v>#NAME?</v>
      </c>
      <c r="BQ70" s="39" t="e">
        <f t="shared" ca="1" si="715"/>
        <v>#NAME?</v>
      </c>
      <c r="BR70" s="39" t="e">
        <f t="shared" ref="BR70:CW70" ca="1" si="716">+SUM(BO49:BR49)/BR144</f>
        <v>#NAME?</v>
      </c>
      <c r="BS70" s="39" t="e">
        <f t="shared" ca="1" si="716"/>
        <v>#NAME?</v>
      </c>
      <c r="BT70" s="39" t="e">
        <f t="shared" ca="1" si="716"/>
        <v>#NAME?</v>
      </c>
      <c r="BU70" s="39" t="e">
        <f t="shared" ca="1" si="716"/>
        <v>#NAME?</v>
      </c>
      <c r="BV70" s="39" t="e">
        <f t="shared" ca="1" si="716"/>
        <v>#NAME?</v>
      </c>
      <c r="BW70" s="39" t="e">
        <f t="shared" ca="1" si="716"/>
        <v>#NAME?</v>
      </c>
      <c r="BX70" s="39" t="e">
        <f t="shared" ca="1" si="716"/>
        <v>#NAME?</v>
      </c>
      <c r="BY70" s="39" t="e">
        <f t="shared" ca="1" si="716"/>
        <v>#NAME?</v>
      </c>
      <c r="BZ70" s="39" t="e">
        <f t="shared" ca="1" si="716"/>
        <v>#NAME?</v>
      </c>
      <c r="CA70" s="39" t="e">
        <f t="shared" ca="1" si="716"/>
        <v>#NAME?</v>
      </c>
      <c r="CB70" s="39" t="e">
        <f t="shared" ca="1" si="716"/>
        <v>#NAME?</v>
      </c>
      <c r="CC70" s="39" t="e">
        <f t="shared" ca="1" si="716"/>
        <v>#NAME?</v>
      </c>
      <c r="CD70" s="39" t="e">
        <f t="shared" ca="1" si="716"/>
        <v>#NAME?</v>
      </c>
      <c r="CE70" s="39" t="e">
        <f t="shared" ca="1" si="716"/>
        <v>#NAME?</v>
      </c>
      <c r="CF70" s="39" t="e">
        <f t="shared" ca="1" si="716"/>
        <v>#NAME?</v>
      </c>
      <c r="CG70" s="39" t="e">
        <f t="shared" ca="1" si="716"/>
        <v>#NAME?</v>
      </c>
      <c r="CH70" s="39" t="e">
        <f t="shared" ca="1" si="716"/>
        <v>#NAME?</v>
      </c>
      <c r="CI70" s="39" t="e">
        <f t="shared" ca="1" si="716"/>
        <v>#NAME?</v>
      </c>
      <c r="CJ70" s="39" t="e">
        <f t="shared" ca="1" si="716"/>
        <v>#NAME?</v>
      </c>
      <c r="CK70" s="39" t="e">
        <f t="shared" ca="1" si="716"/>
        <v>#NAME?</v>
      </c>
      <c r="CL70" s="39" t="e">
        <f t="shared" ca="1" si="716"/>
        <v>#NAME?</v>
      </c>
      <c r="CM70" s="40" t="e">
        <f t="shared" ca="1" si="716"/>
        <v>#NAME?</v>
      </c>
      <c r="CN70" s="40" t="e">
        <f t="shared" ca="1" si="716"/>
        <v>#NAME?</v>
      </c>
      <c r="CO70" s="40" t="e">
        <f t="shared" ca="1" si="716"/>
        <v>#NAME?</v>
      </c>
      <c r="CP70" s="40" t="e">
        <f t="shared" ca="1" si="716"/>
        <v>#NAME?</v>
      </c>
      <c r="CQ70" s="40" t="e">
        <f t="shared" ca="1" si="716"/>
        <v>#NAME?</v>
      </c>
      <c r="CR70" s="40" t="e">
        <f t="shared" ca="1" si="716"/>
        <v>#NAME?</v>
      </c>
      <c r="CS70" s="40" t="e">
        <f t="shared" ca="1" si="716"/>
        <v>#NAME?</v>
      </c>
      <c r="CT70" s="40" t="e">
        <f t="shared" ca="1" si="716"/>
        <v>#NAME?</v>
      </c>
      <c r="CU70" s="40" t="e">
        <f t="shared" ca="1" si="716"/>
        <v>#NAME?</v>
      </c>
      <c r="CV70" s="40" t="e">
        <f t="shared" ca="1" si="716"/>
        <v>#NAME?</v>
      </c>
      <c r="CW70" s="40" t="e">
        <f t="shared" ca="1" si="716"/>
        <v>#NAME?</v>
      </c>
      <c r="CX70" s="40" t="e">
        <f t="shared" ref="CX70:DB70" ca="1" si="717">+SUM(CU49:CX49)/CX144</f>
        <v>#NAME?</v>
      </c>
      <c r="CY70" s="40" t="e">
        <f t="shared" ca="1" si="717"/>
        <v>#NAME?</v>
      </c>
      <c r="CZ70" s="40" t="e">
        <f t="shared" ca="1" si="717"/>
        <v>#NAME?</v>
      </c>
      <c r="DA70" s="40" t="e">
        <f t="shared" ca="1" si="717"/>
        <v>#NAME?</v>
      </c>
      <c r="DB70" s="40" t="e">
        <f t="shared" ca="1" si="717"/>
        <v>#NAME?</v>
      </c>
      <c r="DE70" s="122"/>
      <c r="DF70" s="38">
        <v>7.4664798771912927E-2</v>
      </c>
    </row>
    <row r="71" spans="1:110" s="1" customFormat="1" x14ac:dyDescent="0.2">
      <c r="A71" s="150" t="s">
        <v>488</v>
      </c>
      <c r="AB71" s="20"/>
      <c r="AC71" s="20"/>
      <c r="AD71" s="20"/>
      <c r="AE71" s="20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E71" s="119"/>
    </row>
    <row r="72" spans="1:110" s="8" customFormat="1" x14ac:dyDescent="0.2">
      <c r="A72" s="12" t="s">
        <v>26</v>
      </c>
      <c r="AB72" s="58"/>
      <c r="AC72" s="58"/>
      <c r="AD72" s="58"/>
      <c r="AE72" s="58"/>
      <c r="CM72" s="54"/>
      <c r="CN72" s="54"/>
      <c r="CO72" s="54"/>
      <c r="CP72" s="54"/>
      <c r="CQ72" s="54"/>
      <c r="CR72" s="54"/>
      <c r="CS72" s="54"/>
      <c r="CT72" s="54"/>
      <c r="CU72" s="54"/>
      <c r="CV72" s="54"/>
      <c r="CW72" s="54"/>
      <c r="CX72" s="54"/>
      <c r="CY72" s="54"/>
      <c r="CZ72" s="54"/>
      <c r="DA72" s="54"/>
      <c r="DB72" s="54"/>
      <c r="DE72" s="132"/>
    </row>
    <row r="73" spans="1:110" s="9" customFormat="1" x14ac:dyDescent="0.2">
      <c r="A73" s="9" t="s">
        <v>453</v>
      </c>
      <c r="N73" s="9" t="e">
        <f ca="1">N25-SUM(AI25:AL25)</f>
        <v>#NAME?</v>
      </c>
      <c r="O73" s="9" t="e">
        <f ca="1">O25-SUM(AM25:AP25)</f>
        <v>#NAME?</v>
      </c>
      <c r="P73" s="9" t="e">
        <f ca="1">P25-SUM(AQ25:AT25)</f>
        <v>#NAME?</v>
      </c>
      <c r="Q73" s="9" t="e">
        <f ca="1">Q25-SUM(AU25:AX25)</f>
        <v>#NAME?</v>
      </c>
      <c r="R73" s="9" t="e">
        <f ca="1">R25-SUM(AY25:BB25)</f>
        <v>#NAME?</v>
      </c>
      <c r="S73" s="9" t="e">
        <f ca="1">S25-SUM(BC25:BF25)</f>
        <v>#NAME?</v>
      </c>
      <c r="T73" s="9" t="e">
        <f ca="1">T25-SUM(BG25:BJ25)</f>
        <v>#NAME?</v>
      </c>
      <c r="U73" s="9" t="e">
        <f ca="1">U25-SUM(BK25:BN25)</f>
        <v>#NAME?</v>
      </c>
      <c r="V73" s="9" t="e">
        <f ca="1">V25-SUM(BO25:BR25)</f>
        <v>#NAME?</v>
      </c>
      <c r="W73" s="9" t="e">
        <f ca="1">W25-SUM(BS25:BV25)</f>
        <v>#NAME?</v>
      </c>
      <c r="X73" s="9" t="e">
        <f ca="1">X25-SUM(BW25:BZ25)</f>
        <v>#NAME?</v>
      </c>
      <c r="Y73" s="9" t="e">
        <f ca="1">Y25-SUM(CA25:CD25)</f>
        <v>#NAME?</v>
      </c>
      <c r="Z73" s="9" t="e">
        <f ca="1">Z25-SUM(CE25:CH25)</f>
        <v>#NAME?</v>
      </c>
      <c r="AA73" s="9" t="e">
        <f ca="1">AA25-SUM(CF25:CI25)</f>
        <v>#NAME?</v>
      </c>
      <c r="AB73" s="15">
        <f>AB25-SUM(CM25:CP25)</f>
        <v>0</v>
      </c>
      <c r="AC73" s="15">
        <f>AC25-SUM(CQ25:CT25)</f>
        <v>0</v>
      </c>
      <c r="AD73" s="15">
        <f>AD25-SUM(CU25:CX25)</f>
        <v>0</v>
      </c>
      <c r="AE73" s="15">
        <f>AE25-SUM(CY25:DB25)</f>
        <v>0</v>
      </c>
      <c r="CM73" s="59"/>
      <c r="CN73" s="59"/>
      <c r="CO73" s="59"/>
      <c r="CP73" s="59"/>
      <c r="CQ73" s="59"/>
      <c r="CR73" s="59"/>
      <c r="CS73" s="59"/>
      <c r="CT73" s="59"/>
      <c r="CU73" s="59"/>
      <c r="CV73" s="59"/>
      <c r="CW73" s="59"/>
      <c r="CX73" s="59"/>
      <c r="CY73" s="59"/>
      <c r="CZ73" s="59"/>
      <c r="DA73" s="59"/>
      <c r="DB73" s="59"/>
      <c r="DE73" s="133"/>
      <c r="DF73" s="9">
        <v>0</v>
      </c>
    </row>
    <row r="74" spans="1:110" s="9" customFormat="1" x14ac:dyDescent="0.2">
      <c r="A74" s="9" t="s">
        <v>454</v>
      </c>
      <c r="N74" s="9" t="e">
        <f ca="1">N31-SUM(AI31:AL31)</f>
        <v>#NAME?</v>
      </c>
      <c r="O74" s="9" t="e">
        <f ca="1">O31-SUM(AM31:AP31)</f>
        <v>#NAME?</v>
      </c>
      <c r="P74" s="9" t="e">
        <f ca="1">P31-SUM(AQ31:AT31)</f>
        <v>#NAME?</v>
      </c>
      <c r="Q74" s="9" t="e">
        <f ca="1">Q31-SUM(AU31:AX31)</f>
        <v>#NAME?</v>
      </c>
      <c r="R74" s="9" t="e">
        <f ca="1">R31-SUM(AY31:BB31)</f>
        <v>#NAME?</v>
      </c>
      <c r="S74" s="9" t="e">
        <f ca="1">S31-SUM(BC31:BF31)</f>
        <v>#NAME?</v>
      </c>
      <c r="T74" s="9" t="e">
        <f ca="1">T31-SUM(BG31:BJ31)</f>
        <v>#NAME?</v>
      </c>
      <c r="U74" s="9" t="e">
        <f ca="1">U31-SUM(BK31:BN31)</f>
        <v>#NAME?</v>
      </c>
      <c r="V74" s="9" t="e">
        <f ca="1">V31-SUM(BO31:BR31)</f>
        <v>#NAME?</v>
      </c>
      <c r="W74" s="9" t="e">
        <f ca="1">W31-SUM(BS31:BV31)</f>
        <v>#NAME?</v>
      </c>
      <c r="X74" s="9" t="e">
        <f ca="1">X31-SUM(BW31:BZ31)</f>
        <v>#NAME?</v>
      </c>
      <c r="Y74" s="9" t="e">
        <f ca="1">Y31-SUM(CA31:CD31)</f>
        <v>#NAME?</v>
      </c>
      <c r="Z74" s="9" t="e">
        <f ca="1">Z31-SUM(CE31:CH31)</f>
        <v>#NAME?</v>
      </c>
      <c r="AA74" s="9" t="e">
        <f ca="1">AA31-SUM(CF31:CI31)</f>
        <v>#NAME?</v>
      </c>
      <c r="AB74" s="15" t="e">
        <f ca="1">AB31-SUM(CM31:CP31)</f>
        <v>#NAME?</v>
      </c>
      <c r="AC74" s="15" t="e">
        <f ca="1">AC31-SUM(CQ31:CT31)</f>
        <v>#NAME?</v>
      </c>
      <c r="AD74" s="15" t="e">
        <f ca="1">AD31-SUM(CU31:CX31)</f>
        <v>#NAME?</v>
      </c>
      <c r="AE74" s="15" t="e">
        <f ca="1">AE31-SUM(CY31:DB31)</f>
        <v>#NAME?</v>
      </c>
      <c r="CM74" s="59"/>
      <c r="CN74" s="59"/>
      <c r="CO74" s="59"/>
      <c r="CP74" s="59"/>
      <c r="CQ74" s="59"/>
      <c r="CR74" s="59"/>
      <c r="CS74" s="59"/>
      <c r="CT74" s="59"/>
      <c r="CU74" s="59"/>
      <c r="CV74" s="59"/>
      <c r="CW74" s="59"/>
      <c r="CX74" s="59"/>
      <c r="CY74" s="59"/>
      <c r="CZ74" s="59"/>
      <c r="DA74" s="59"/>
      <c r="DB74" s="59"/>
      <c r="DE74" s="133"/>
      <c r="DF74" s="9">
        <v>0</v>
      </c>
    </row>
    <row r="75" spans="1:110" s="9" customFormat="1" x14ac:dyDescent="0.2">
      <c r="A75" s="9" t="s">
        <v>455</v>
      </c>
      <c r="N75" s="9" t="e">
        <f ca="1">N43-SUM(AI43:AL43)</f>
        <v>#NAME?</v>
      </c>
      <c r="O75" s="9" t="e">
        <f ca="1">O43-SUM(AM43:AP43)</f>
        <v>#NAME?</v>
      </c>
      <c r="P75" s="9" t="e">
        <f ca="1">P43-SUM(AQ43:AT43)</f>
        <v>#NAME?</v>
      </c>
      <c r="Q75" s="9" t="e">
        <f ca="1">Q43-SUM(AU43:AX43)</f>
        <v>#NAME?</v>
      </c>
      <c r="R75" s="9" t="e">
        <f ca="1">R43-SUM(AY43:BB43)</f>
        <v>#NAME?</v>
      </c>
      <c r="S75" s="9" t="e">
        <f ca="1">S43-SUM(BC43:BF43)</f>
        <v>#NAME?</v>
      </c>
      <c r="T75" s="9" t="e">
        <f ca="1">T43-SUM(BG43:BJ43)</f>
        <v>#NAME?</v>
      </c>
      <c r="U75" s="9" t="e">
        <f ca="1">U43-SUM(BK43:BN43)</f>
        <v>#NAME?</v>
      </c>
      <c r="V75" s="9" t="e">
        <f ca="1">V43-SUM(BO43:BR43)</f>
        <v>#NAME?</v>
      </c>
      <c r="W75" s="9" t="e">
        <f ca="1">W43-SUM(BS43:BV43)</f>
        <v>#NAME?</v>
      </c>
      <c r="X75" s="9" t="e">
        <f ca="1">X43-SUM(BW43:BZ43)</f>
        <v>#NAME?</v>
      </c>
      <c r="Y75" s="9" t="e">
        <f ca="1">Y43-SUM(CA43:CD43)</f>
        <v>#NAME?</v>
      </c>
      <c r="Z75" s="9" t="e">
        <f ca="1">Z43-SUM(CE43:CH43)</f>
        <v>#NAME?</v>
      </c>
      <c r="AA75" s="9" t="e">
        <f ca="1">AA43-SUM(CF43:CI43)</f>
        <v>#NAME?</v>
      </c>
      <c r="AB75" s="15" t="e">
        <f ca="1">AB43-SUM(CM43:CP43)</f>
        <v>#NAME?</v>
      </c>
      <c r="AC75" s="15" t="e">
        <f ca="1">AC43-SUM(CQ43:CT43)</f>
        <v>#NAME?</v>
      </c>
      <c r="AD75" s="15" t="e">
        <f ca="1">AD43-SUM(CU43:CX43)</f>
        <v>#NAME?</v>
      </c>
      <c r="AE75" s="15" t="e">
        <f ca="1">AE43-SUM(CY43:DB43)</f>
        <v>#NAME?</v>
      </c>
      <c r="CM75" s="59"/>
      <c r="CN75" s="59"/>
      <c r="CO75" s="59"/>
      <c r="CP75" s="59"/>
      <c r="CQ75" s="59"/>
      <c r="CR75" s="59"/>
      <c r="CS75" s="59"/>
      <c r="CT75" s="59"/>
      <c r="CU75" s="59"/>
      <c r="CV75" s="59"/>
      <c r="CW75" s="59"/>
      <c r="CX75" s="59"/>
      <c r="CY75" s="59"/>
      <c r="CZ75" s="59"/>
      <c r="DA75" s="59"/>
      <c r="DB75" s="59"/>
      <c r="DE75" s="133"/>
      <c r="DF75" s="9">
        <v>0</v>
      </c>
    </row>
    <row r="76" spans="1:110" s="9" customFormat="1" x14ac:dyDescent="0.2">
      <c r="A76" s="9" t="s">
        <v>456</v>
      </c>
      <c r="N76" s="9" t="e">
        <f ca="1">N63-SUM(AI63:AL63)</f>
        <v>#NAME?</v>
      </c>
      <c r="O76" s="9" t="e">
        <f ca="1">O63-SUM(AM63:AP63)</f>
        <v>#NAME?</v>
      </c>
      <c r="P76" s="9" t="e">
        <f ca="1">P63-SUM(AQ63:AT63)</f>
        <v>#NAME?</v>
      </c>
      <c r="Q76" s="9" t="e">
        <f ca="1">Q63-SUM(AU63:AX63)</f>
        <v>#NAME?</v>
      </c>
      <c r="R76" s="9" t="e">
        <f ca="1">R63-SUM(AY63:BB63)</f>
        <v>#NAME?</v>
      </c>
      <c r="S76" s="9" t="e">
        <f ca="1">S63-SUM(BC63:BF63)</f>
        <v>#NAME?</v>
      </c>
      <c r="T76" s="9" t="e">
        <f ca="1">T63-SUM(BG63:BJ63)</f>
        <v>#NAME?</v>
      </c>
      <c r="U76" s="9" t="e">
        <f ca="1">U63-SUM(BK63:BN63)</f>
        <v>#NAME?</v>
      </c>
      <c r="V76" s="9" t="e">
        <f ca="1">V63-SUM(BO63:BR63)</f>
        <v>#NAME?</v>
      </c>
      <c r="W76" s="9" t="e">
        <f ca="1">W56-SUM(BS56:BV56)</f>
        <v>#NAME?</v>
      </c>
      <c r="X76" s="9" t="e">
        <f ca="1">X56-SUM(BW56:BZ56)</f>
        <v>#NAME?</v>
      </c>
      <c r="Y76" s="9" t="e">
        <f ca="1">Y56-SUM(CA56:CD56)</f>
        <v>#NAME?</v>
      </c>
      <c r="Z76" s="9" t="e">
        <f ca="1">Z56-SUM(CE56:CH56)</f>
        <v>#NAME?</v>
      </c>
      <c r="AA76" s="9" t="e">
        <f ca="1">AA56-SUM(CF56:CI56)</f>
        <v>#NAME?</v>
      </c>
      <c r="AB76" s="15" t="e">
        <f ca="1">AB56-SUM(CM56:CP56)</f>
        <v>#NAME?</v>
      </c>
      <c r="AC76" s="15" t="e">
        <f ca="1">AC56-SUM(CQ56:CT56)</f>
        <v>#NAME?</v>
      </c>
      <c r="AD76" s="15" t="e">
        <f ca="1">AD56-SUM(CU56:CX56)</f>
        <v>#NAME?</v>
      </c>
      <c r="AE76" s="15" t="e">
        <f ca="1">AE56-SUM(CY56:DB56)</f>
        <v>#NAME?</v>
      </c>
      <c r="CM76" s="59"/>
      <c r="CN76" s="59"/>
      <c r="CO76" s="59"/>
      <c r="CP76" s="59"/>
      <c r="CQ76" s="59"/>
      <c r="CR76" s="59"/>
      <c r="CS76" s="59"/>
      <c r="CT76" s="59"/>
      <c r="CU76" s="59"/>
      <c r="CV76" s="59"/>
      <c r="CW76" s="59"/>
      <c r="CX76" s="59"/>
      <c r="CY76" s="59"/>
      <c r="CZ76" s="59"/>
      <c r="DA76" s="59"/>
      <c r="DB76" s="59"/>
      <c r="DE76" s="133"/>
      <c r="DF76" s="9">
        <v>4.4408920985006262E-14</v>
      </c>
    </row>
    <row r="77" spans="1:110" s="8" customFormat="1" x14ac:dyDescent="0.2">
      <c r="A77" s="149" t="s">
        <v>489</v>
      </c>
      <c r="AB77" s="58"/>
      <c r="AC77" s="58"/>
      <c r="AD77" s="58"/>
      <c r="AE77" s="58"/>
      <c r="CM77" s="54"/>
      <c r="CN77" s="54"/>
      <c r="CO77" s="54"/>
      <c r="CP77" s="54"/>
      <c r="CQ77" s="54"/>
      <c r="CR77" s="54"/>
      <c r="CS77" s="54"/>
      <c r="CT77" s="54"/>
      <c r="CU77" s="54"/>
      <c r="CV77" s="54"/>
      <c r="CW77" s="54"/>
      <c r="CX77" s="54"/>
      <c r="CY77" s="54"/>
      <c r="CZ77" s="54"/>
      <c r="DA77" s="54"/>
      <c r="DB77" s="54"/>
      <c r="DE77" s="132"/>
    </row>
    <row r="78" spans="1:110" s="3" customFormat="1" x14ac:dyDescent="0.2">
      <c r="A78" s="3" t="s">
        <v>27</v>
      </c>
      <c r="B78" s="3" t="e">
        <f ca="1">'Annual Raw'!C104</f>
        <v>#NAME?</v>
      </c>
      <c r="C78" s="3" t="e">
        <f ca="1">'Annual Raw'!D104</f>
        <v>#NAME?</v>
      </c>
      <c r="D78" s="3" t="e">
        <f ca="1">'Annual Raw'!E104</f>
        <v>#NAME?</v>
      </c>
      <c r="E78" s="3">
        <f t="shared" ref="E78:Y78" ca="1" si="718">+F78</f>
        <v>53.142000000000003</v>
      </c>
      <c r="F78" s="3">
        <f t="shared" ca="1" si="718"/>
        <v>53.142000000000003</v>
      </c>
      <c r="G78" s="3">
        <f t="shared" ca="1" si="718"/>
        <v>53.142000000000003</v>
      </c>
      <c r="H78" s="3">
        <f t="shared" ca="1" si="718"/>
        <v>53.142000000000003</v>
      </c>
      <c r="I78" s="3">
        <f t="shared" ca="1" si="718"/>
        <v>53.142000000000003</v>
      </c>
      <c r="J78" s="3">
        <f t="shared" ca="1" si="718"/>
        <v>53.142000000000003</v>
      </c>
      <c r="K78" s="3">
        <f t="shared" ca="1" si="718"/>
        <v>53.142000000000003</v>
      </c>
      <c r="L78" s="3">
        <f t="shared" ca="1" si="718"/>
        <v>53.142000000000003</v>
      </c>
      <c r="M78" s="3">
        <f t="shared" ca="1" si="718"/>
        <v>53.142000000000003</v>
      </c>
      <c r="N78" s="3">
        <f t="shared" ca="1" si="718"/>
        <v>53.142000000000003</v>
      </c>
      <c r="O78" s="3">
        <f t="shared" ca="1" si="718"/>
        <v>53.142000000000003</v>
      </c>
      <c r="P78" s="3">
        <f t="shared" ca="1" si="718"/>
        <v>53.142000000000003</v>
      </c>
      <c r="Q78" s="3">
        <f t="shared" ca="1" si="718"/>
        <v>53.142000000000003</v>
      </c>
      <c r="R78" s="3">
        <f t="shared" ca="1" si="718"/>
        <v>53.142000000000003</v>
      </c>
      <c r="S78" s="3">
        <f t="shared" ca="1" si="718"/>
        <v>53.142000000000003</v>
      </c>
      <c r="T78" s="3">
        <f t="shared" ca="1" si="718"/>
        <v>53.142000000000003</v>
      </c>
      <c r="U78" s="3">
        <f t="shared" ca="1" si="718"/>
        <v>53.142000000000003</v>
      </c>
      <c r="V78" s="3">
        <f t="shared" ca="1" si="718"/>
        <v>53.142000000000003</v>
      </c>
      <c r="W78" s="3">
        <f t="shared" ca="1" si="718"/>
        <v>53.142000000000003</v>
      </c>
      <c r="X78" s="3">
        <f t="shared" ca="1" si="718"/>
        <v>53.142000000000003</v>
      </c>
      <c r="Y78" s="3">
        <f t="shared" ca="1" si="718"/>
        <v>53.142000000000003</v>
      </c>
      <c r="Z78" s="3">
        <f ca="1">+AA78</f>
        <v>53.142000000000003</v>
      </c>
      <c r="AA78" s="3">
        <f ca="1">+AB78</f>
        <v>53.142000000000003</v>
      </c>
      <c r="AB78" s="37">
        <f t="shared" ref="AB78:AB79" ca="1" si="719">AA78</f>
        <v>53.142000000000003</v>
      </c>
      <c r="AC78" s="37">
        <f t="shared" ref="AC78:AC79" ca="1" si="720">AB78</f>
        <v>53.142000000000003</v>
      </c>
      <c r="AD78" s="37">
        <f t="shared" ref="AD78:AD79" ca="1" si="721">AC78</f>
        <v>53.142000000000003</v>
      </c>
      <c r="AE78" s="37">
        <f t="shared" ref="AE78:AE79" ca="1" si="722">AD78</f>
        <v>53.142000000000003</v>
      </c>
      <c r="AI78" s="3" t="e">
        <f t="shared" ref="AI78:CH78" ca="1" si="723">+AJ78</f>
        <v>#NAME?</v>
      </c>
      <c r="AJ78" s="3" t="e">
        <f t="shared" ca="1" si="723"/>
        <v>#NAME?</v>
      </c>
      <c r="AK78" s="3" t="e">
        <f t="shared" ca="1" si="723"/>
        <v>#NAME?</v>
      </c>
      <c r="AL78" s="3" t="e">
        <f t="shared" ca="1" si="723"/>
        <v>#NAME?</v>
      </c>
      <c r="AM78" s="3" t="e">
        <f t="shared" ca="1" si="723"/>
        <v>#NAME?</v>
      </c>
      <c r="AN78" s="3" t="e">
        <f t="shared" ca="1" si="723"/>
        <v>#NAME?</v>
      </c>
      <c r="AO78" s="3" t="e">
        <f t="shared" ca="1" si="723"/>
        <v>#NAME?</v>
      </c>
      <c r="AP78" s="3" t="e">
        <f t="shared" ca="1" si="723"/>
        <v>#NAME?</v>
      </c>
      <c r="AQ78" s="3" t="e">
        <f t="shared" ca="1" si="723"/>
        <v>#NAME?</v>
      </c>
      <c r="AR78" s="3" t="e">
        <f t="shared" ca="1" si="723"/>
        <v>#NAME?</v>
      </c>
      <c r="AS78" s="3" t="e">
        <f t="shared" ca="1" si="723"/>
        <v>#NAME?</v>
      </c>
      <c r="AT78" s="3" t="e">
        <f t="shared" ca="1" si="723"/>
        <v>#NAME?</v>
      </c>
      <c r="AU78" s="3" t="e">
        <f t="shared" ca="1" si="723"/>
        <v>#NAME?</v>
      </c>
      <c r="AV78" s="3" t="e">
        <f t="shared" ca="1" si="723"/>
        <v>#NAME?</v>
      </c>
      <c r="AW78" s="3" t="e">
        <f t="shared" ca="1" si="723"/>
        <v>#NAME?</v>
      </c>
      <c r="AX78" s="3" t="e">
        <f t="shared" ca="1" si="723"/>
        <v>#NAME?</v>
      </c>
      <c r="AY78" s="3" t="e">
        <f t="shared" ca="1" si="723"/>
        <v>#NAME?</v>
      </c>
      <c r="AZ78" s="3" t="e">
        <f t="shared" ca="1" si="723"/>
        <v>#NAME?</v>
      </c>
      <c r="BA78" s="3" t="e">
        <f t="shared" ca="1" si="723"/>
        <v>#NAME?</v>
      </c>
      <c r="BB78" s="3" t="e">
        <f t="shared" ca="1" si="723"/>
        <v>#NAME?</v>
      </c>
      <c r="BC78" s="3" t="e">
        <f t="shared" ca="1" si="723"/>
        <v>#NAME?</v>
      </c>
      <c r="BD78" s="3" t="e">
        <f t="shared" ca="1" si="723"/>
        <v>#NAME?</v>
      </c>
      <c r="BE78" s="3" t="e">
        <f t="shared" ca="1" si="723"/>
        <v>#NAME?</v>
      </c>
      <c r="BF78" s="3" t="e">
        <f t="shared" ca="1" si="723"/>
        <v>#NAME?</v>
      </c>
      <c r="BG78" s="3" t="e">
        <f t="shared" ca="1" si="723"/>
        <v>#NAME?</v>
      </c>
      <c r="BH78" s="3" t="e">
        <f t="shared" ca="1" si="723"/>
        <v>#NAME?</v>
      </c>
      <c r="BI78" s="3" t="e">
        <f t="shared" ca="1" si="723"/>
        <v>#NAME?</v>
      </c>
      <c r="BJ78" s="3" t="e">
        <f t="shared" ca="1" si="723"/>
        <v>#NAME?</v>
      </c>
      <c r="BK78" s="3" t="e">
        <f t="shared" ca="1" si="723"/>
        <v>#NAME?</v>
      </c>
      <c r="BL78" s="3" t="e">
        <f t="shared" ca="1" si="723"/>
        <v>#NAME?</v>
      </c>
      <c r="BM78" s="3" t="e">
        <f t="shared" ca="1" si="723"/>
        <v>#NAME?</v>
      </c>
      <c r="BN78" s="3" t="e">
        <f t="shared" ca="1" si="723"/>
        <v>#NAME?</v>
      </c>
      <c r="BO78" s="3" t="e">
        <f t="shared" ca="1" si="723"/>
        <v>#NAME?</v>
      </c>
      <c r="BP78" s="3" t="e">
        <f t="shared" ca="1" si="723"/>
        <v>#NAME?</v>
      </c>
      <c r="BQ78" s="3" t="e">
        <f t="shared" ca="1" si="723"/>
        <v>#NAME?</v>
      </c>
      <c r="BR78" s="3" t="e">
        <f t="shared" ca="1" si="723"/>
        <v>#NAME?</v>
      </c>
      <c r="BS78" s="3" t="e">
        <f t="shared" ca="1" si="723"/>
        <v>#NAME?</v>
      </c>
      <c r="BT78" s="3" t="e">
        <f t="shared" ca="1" si="723"/>
        <v>#NAME?</v>
      </c>
      <c r="BU78" s="3" t="e">
        <f t="shared" ca="1" si="723"/>
        <v>#NAME?</v>
      </c>
      <c r="BV78" s="3" t="e">
        <f t="shared" ca="1" si="723"/>
        <v>#NAME?</v>
      </c>
      <c r="BW78" s="3" t="e">
        <f t="shared" ca="1" si="723"/>
        <v>#NAME?</v>
      </c>
      <c r="BX78" s="3" t="e">
        <f t="shared" ca="1" si="723"/>
        <v>#NAME?</v>
      </c>
      <c r="BY78" s="3" t="e">
        <f t="shared" ca="1" si="723"/>
        <v>#NAME?</v>
      </c>
      <c r="BZ78" s="3" t="e">
        <f t="shared" ca="1" si="723"/>
        <v>#NAME?</v>
      </c>
      <c r="CA78" s="3" t="e">
        <f t="shared" ca="1" si="723"/>
        <v>#NAME?</v>
      </c>
      <c r="CB78" s="3" t="e">
        <f t="shared" ca="1" si="723"/>
        <v>#NAME?</v>
      </c>
      <c r="CC78" s="3" t="e">
        <f t="shared" ca="1" si="723"/>
        <v>#NAME?</v>
      </c>
      <c r="CD78" s="3" t="e">
        <f t="shared" ca="1" si="723"/>
        <v>#NAME?</v>
      </c>
      <c r="CE78" s="3" t="e">
        <f t="shared" ca="1" si="723"/>
        <v>#NAME?</v>
      </c>
      <c r="CF78" s="3" t="e">
        <f t="shared" ca="1" si="723"/>
        <v>#NAME?</v>
      </c>
      <c r="CG78" s="3" t="e">
        <f t="shared" ca="1" si="723"/>
        <v>#NAME?</v>
      </c>
      <c r="CH78" s="3" t="e">
        <f t="shared" ca="1" si="723"/>
        <v>#NAME?</v>
      </c>
      <c r="CI78" s="3" t="e">
        <f ca="1">+CJ78</f>
        <v>#NAME?</v>
      </c>
      <c r="CJ78" s="3" t="e">
        <f ca="1">'QTR Raw'!BD45</f>
        <v>#NAME?</v>
      </c>
      <c r="CK78" s="3" t="e">
        <f ca="1">'QTR Raw'!BE45</f>
        <v>#NAME?</v>
      </c>
      <c r="CL78" s="3" t="e">
        <f ca="1">'QTR Raw'!BF45</f>
        <v>#NAME?</v>
      </c>
      <c r="CM78" s="37" t="e">
        <f t="shared" ref="CM78:CM79" ca="1" si="724">+CL78</f>
        <v>#NAME?</v>
      </c>
      <c r="CN78" s="37" t="e">
        <f t="shared" ref="CN78:CN79" ca="1" si="725">+CM78</f>
        <v>#NAME?</v>
      </c>
      <c r="CO78" s="37" t="e">
        <f t="shared" ref="CO78:CO79" ca="1" si="726">+CN78</f>
        <v>#NAME?</v>
      </c>
      <c r="CP78" s="37" t="e">
        <f t="shared" ref="CP78:CP79" ca="1" si="727">+CO78</f>
        <v>#NAME?</v>
      </c>
      <c r="CQ78" s="37" t="e">
        <f t="shared" ref="CQ78:CQ79" ca="1" si="728">+CP78</f>
        <v>#NAME?</v>
      </c>
      <c r="CR78" s="37" t="e">
        <f t="shared" ref="CR78:CR79" ca="1" si="729">+CQ78</f>
        <v>#NAME?</v>
      </c>
      <c r="CS78" s="37" t="e">
        <f t="shared" ref="CS78:CS79" ca="1" si="730">+CR78</f>
        <v>#NAME?</v>
      </c>
      <c r="CT78" s="37" t="e">
        <f t="shared" ref="CT78:CT79" ca="1" si="731">+CS78</f>
        <v>#NAME?</v>
      </c>
      <c r="CU78" s="37" t="e">
        <f t="shared" ref="CU78:CU79" ca="1" si="732">+CT78</f>
        <v>#NAME?</v>
      </c>
      <c r="CV78" s="37" t="e">
        <f t="shared" ref="CV78:CV79" ca="1" si="733">+CU78</f>
        <v>#NAME?</v>
      </c>
      <c r="CW78" s="37" t="e">
        <f t="shared" ref="CW78:CW79" ca="1" si="734">+CV78</f>
        <v>#NAME?</v>
      </c>
      <c r="CX78" s="37" t="e">
        <f t="shared" ref="CX78:CX79" ca="1" si="735">+CW78</f>
        <v>#NAME?</v>
      </c>
      <c r="CY78" s="37" t="e">
        <f t="shared" ref="CY78:CY79" ca="1" si="736">+CX78</f>
        <v>#NAME?</v>
      </c>
      <c r="CZ78" s="37" t="e">
        <f t="shared" ref="CZ78:CZ79" ca="1" si="737">+CY78</f>
        <v>#NAME?</v>
      </c>
      <c r="DA78" s="37" t="e">
        <f t="shared" ref="DA78:DA79" ca="1" si="738">+CZ78</f>
        <v>#NAME?</v>
      </c>
      <c r="DB78" s="37" t="e">
        <f t="shared" ref="DB78:DB79" ca="1" si="739">+DA78</f>
        <v>#NAME?</v>
      </c>
      <c r="DE78" s="134"/>
      <c r="DF78" s="3">
        <v>53.142000000000003</v>
      </c>
    </row>
    <row r="79" spans="1:110" s="3" customFormat="1" x14ac:dyDescent="0.2">
      <c r="A79" s="3" t="s">
        <v>28</v>
      </c>
      <c r="B79" s="3" t="e">
        <f ca="1">'Annual Raw'!C105</f>
        <v>#NAME?</v>
      </c>
      <c r="C79" s="3" t="e">
        <f ca="1">'Annual Raw'!D105</f>
        <v>#NAME?</v>
      </c>
      <c r="D79" s="3" t="e">
        <f ca="1">'Annual Raw'!E105</f>
        <v>#NAME?</v>
      </c>
      <c r="E79" s="3">
        <f t="shared" ref="E79:Y79" ca="1" si="740">+F79</f>
        <v>2</v>
      </c>
      <c r="F79" s="3">
        <f t="shared" ca="1" si="740"/>
        <v>2</v>
      </c>
      <c r="G79" s="3">
        <f t="shared" ca="1" si="740"/>
        <v>2</v>
      </c>
      <c r="H79" s="3">
        <f t="shared" ca="1" si="740"/>
        <v>2</v>
      </c>
      <c r="I79" s="3">
        <f t="shared" ca="1" si="740"/>
        <v>2</v>
      </c>
      <c r="J79" s="3">
        <f t="shared" ca="1" si="740"/>
        <v>2</v>
      </c>
      <c r="K79" s="3">
        <f t="shared" ca="1" si="740"/>
        <v>2</v>
      </c>
      <c r="L79" s="3">
        <f t="shared" ca="1" si="740"/>
        <v>2</v>
      </c>
      <c r="M79" s="3">
        <f t="shared" ca="1" si="740"/>
        <v>2</v>
      </c>
      <c r="N79" s="3">
        <f t="shared" ca="1" si="740"/>
        <v>2</v>
      </c>
      <c r="O79" s="3">
        <f t="shared" ca="1" si="740"/>
        <v>2</v>
      </c>
      <c r="P79" s="3">
        <f t="shared" ca="1" si="740"/>
        <v>2</v>
      </c>
      <c r="Q79" s="3">
        <f t="shared" ca="1" si="740"/>
        <v>2</v>
      </c>
      <c r="R79" s="3">
        <f t="shared" ca="1" si="740"/>
        <v>2</v>
      </c>
      <c r="S79" s="3">
        <f t="shared" ca="1" si="740"/>
        <v>2</v>
      </c>
      <c r="T79" s="3">
        <f t="shared" ca="1" si="740"/>
        <v>2</v>
      </c>
      <c r="U79" s="3">
        <f t="shared" ca="1" si="740"/>
        <v>2</v>
      </c>
      <c r="V79" s="3">
        <f t="shared" ca="1" si="740"/>
        <v>2</v>
      </c>
      <c r="W79" s="3">
        <f t="shared" ca="1" si="740"/>
        <v>2</v>
      </c>
      <c r="X79" s="3">
        <f t="shared" ca="1" si="740"/>
        <v>2</v>
      </c>
      <c r="Y79" s="3">
        <f t="shared" ca="1" si="740"/>
        <v>2</v>
      </c>
      <c r="Z79" s="3">
        <f ca="1">+AA79</f>
        <v>2</v>
      </c>
      <c r="AA79" s="3">
        <f ca="1">+AB79</f>
        <v>2</v>
      </c>
      <c r="AB79" s="37">
        <f t="shared" ca="1" si="719"/>
        <v>2</v>
      </c>
      <c r="AC79" s="37">
        <f t="shared" ca="1" si="720"/>
        <v>2</v>
      </c>
      <c r="AD79" s="37">
        <f t="shared" ca="1" si="721"/>
        <v>2</v>
      </c>
      <c r="AE79" s="37">
        <f t="shared" ca="1" si="722"/>
        <v>2</v>
      </c>
      <c r="AI79" s="3" t="e">
        <f t="shared" ref="AI79:CH79" ca="1" si="741">AJ79</f>
        <v>#NAME?</v>
      </c>
      <c r="AJ79" s="3" t="e">
        <f t="shared" ca="1" si="741"/>
        <v>#NAME?</v>
      </c>
      <c r="AK79" s="3" t="e">
        <f t="shared" ca="1" si="741"/>
        <v>#NAME?</v>
      </c>
      <c r="AL79" s="3" t="e">
        <f t="shared" ca="1" si="741"/>
        <v>#NAME?</v>
      </c>
      <c r="AM79" s="3" t="e">
        <f t="shared" ca="1" si="741"/>
        <v>#NAME?</v>
      </c>
      <c r="AN79" s="3" t="e">
        <f t="shared" ca="1" si="741"/>
        <v>#NAME?</v>
      </c>
      <c r="AO79" s="3" t="e">
        <f t="shared" ca="1" si="741"/>
        <v>#NAME?</v>
      </c>
      <c r="AP79" s="3" t="e">
        <f t="shared" ca="1" si="741"/>
        <v>#NAME?</v>
      </c>
      <c r="AQ79" s="3" t="e">
        <f t="shared" ca="1" si="741"/>
        <v>#NAME?</v>
      </c>
      <c r="AR79" s="3" t="e">
        <f t="shared" ca="1" si="741"/>
        <v>#NAME?</v>
      </c>
      <c r="AS79" s="3" t="e">
        <f t="shared" ca="1" si="741"/>
        <v>#NAME?</v>
      </c>
      <c r="AT79" s="3" t="e">
        <f t="shared" ca="1" si="741"/>
        <v>#NAME?</v>
      </c>
      <c r="AU79" s="3" t="e">
        <f t="shared" ca="1" si="741"/>
        <v>#NAME?</v>
      </c>
      <c r="AV79" s="3" t="e">
        <f t="shared" ca="1" si="741"/>
        <v>#NAME?</v>
      </c>
      <c r="AW79" s="3" t="e">
        <f t="shared" ca="1" si="741"/>
        <v>#NAME?</v>
      </c>
      <c r="AX79" s="3" t="e">
        <f t="shared" ca="1" si="741"/>
        <v>#NAME?</v>
      </c>
      <c r="AY79" s="3" t="e">
        <f t="shared" ca="1" si="741"/>
        <v>#NAME?</v>
      </c>
      <c r="AZ79" s="3" t="e">
        <f t="shared" ca="1" si="741"/>
        <v>#NAME?</v>
      </c>
      <c r="BA79" s="3" t="e">
        <f t="shared" ca="1" si="741"/>
        <v>#NAME?</v>
      </c>
      <c r="BB79" s="3" t="e">
        <f t="shared" ca="1" si="741"/>
        <v>#NAME?</v>
      </c>
      <c r="BC79" s="3" t="e">
        <f t="shared" ca="1" si="741"/>
        <v>#NAME?</v>
      </c>
      <c r="BD79" s="3" t="e">
        <f t="shared" ca="1" si="741"/>
        <v>#NAME?</v>
      </c>
      <c r="BE79" s="3" t="e">
        <f t="shared" ca="1" si="741"/>
        <v>#NAME?</v>
      </c>
      <c r="BF79" s="3" t="e">
        <f t="shared" ca="1" si="741"/>
        <v>#NAME?</v>
      </c>
      <c r="BG79" s="3" t="e">
        <f t="shared" ca="1" si="741"/>
        <v>#NAME?</v>
      </c>
      <c r="BH79" s="3" t="e">
        <f t="shared" ca="1" si="741"/>
        <v>#NAME?</v>
      </c>
      <c r="BI79" s="3" t="e">
        <f t="shared" ca="1" si="741"/>
        <v>#NAME?</v>
      </c>
      <c r="BJ79" s="3" t="e">
        <f t="shared" ca="1" si="741"/>
        <v>#NAME?</v>
      </c>
      <c r="BK79" s="3" t="e">
        <f t="shared" ca="1" si="741"/>
        <v>#NAME?</v>
      </c>
      <c r="BL79" s="3" t="e">
        <f t="shared" ca="1" si="741"/>
        <v>#NAME?</v>
      </c>
      <c r="BM79" s="3" t="e">
        <f t="shared" ca="1" si="741"/>
        <v>#NAME?</v>
      </c>
      <c r="BN79" s="3" t="e">
        <f t="shared" ca="1" si="741"/>
        <v>#NAME?</v>
      </c>
      <c r="BO79" s="3" t="e">
        <f t="shared" ca="1" si="741"/>
        <v>#NAME?</v>
      </c>
      <c r="BP79" s="3" t="e">
        <f t="shared" ca="1" si="741"/>
        <v>#NAME?</v>
      </c>
      <c r="BQ79" s="3" t="e">
        <f t="shared" ca="1" si="741"/>
        <v>#NAME?</v>
      </c>
      <c r="BR79" s="3" t="e">
        <f t="shared" ca="1" si="741"/>
        <v>#NAME?</v>
      </c>
      <c r="BS79" s="3" t="e">
        <f t="shared" ca="1" si="741"/>
        <v>#NAME?</v>
      </c>
      <c r="BT79" s="3" t="e">
        <f t="shared" ca="1" si="741"/>
        <v>#NAME?</v>
      </c>
      <c r="BU79" s="3" t="e">
        <f t="shared" ca="1" si="741"/>
        <v>#NAME?</v>
      </c>
      <c r="BV79" s="3" t="e">
        <f t="shared" ca="1" si="741"/>
        <v>#NAME?</v>
      </c>
      <c r="BW79" s="3" t="e">
        <f t="shared" ca="1" si="741"/>
        <v>#NAME?</v>
      </c>
      <c r="BX79" s="3" t="e">
        <f t="shared" ca="1" si="741"/>
        <v>#NAME?</v>
      </c>
      <c r="BY79" s="3" t="e">
        <f t="shared" ca="1" si="741"/>
        <v>#NAME?</v>
      </c>
      <c r="BZ79" s="3" t="e">
        <f t="shared" ca="1" si="741"/>
        <v>#NAME?</v>
      </c>
      <c r="CA79" s="3" t="e">
        <f t="shared" ca="1" si="741"/>
        <v>#NAME?</v>
      </c>
      <c r="CB79" s="3" t="e">
        <f t="shared" ca="1" si="741"/>
        <v>#NAME?</v>
      </c>
      <c r="CC79" s="3" t="e">
        <f t="shared" ca="1" si="741"/>
        <v>#NAME?</v>
      </c>
      <c r="CD79" s="3" t="e">
        <f t="shared" ca="1" si="741"/>
        <v>#NAME?</v>
      </c>
      <c r="CE79" s="3" t="e">
        <f t="shared" ca="1" si="741"/>
        <v>#NAME?</v>
      </c>
      <c r="CF79" s="3" t="e">
        <f t="shared" ca="1" si="741"/>
        <v>#NAME?</v>
      </c>
      <c r="CG79" s="3" t="e">
        <f t="shared" ca="1" si="741"/>
        <v>#NAME?</v>
      </c>
      <c r="CH79" s="3" t="e">
        <f t="shared" ca="1" si="741"/>
        <v>#NAME?</v>
      </c>
      <c r="CI79" s="3" t="e">
        <f ca="1">CJ79</f>
        <v>#NAME?</v>
      </c>
      <c r="CJ79" s="3" t="e">
        <f ca="1">'QTR Raw'!BD46</f>
        <v>#NAME?</v>
      </c>
      <c r="CK79" s="3" t="e">
        <f ca="1">'QTR Raw'!BE46</f>
        <v>#NAME?</v>
      </c>
      <c r="CL79" s="3" t="e">
        <f ca="1">'QTR Raw'!BF46</f>
        <v>#NAME?</v>
      </c>
      <c r="CM79" s="37" t="e">
        <f t="shared" ca="1" si="724"/>
        <v>#NAME?</v>
      </c>
      <c r="CN79" s="37" t="e">
        <f t="shared" ca="1" si="725"/>
        <v>#NAME?</v>
      </c>
      <c r="CO79" s="37" t="e">
        <f t="shared" ca="1" si="726"/>
        <v>#NAME?</v>
      </c>
      <c r="CP79" s="37" t="e">
        <f t="shared" ca="1" si="727"/>
        <v>#NAME?</v>
      </c>
      <c r="CQ79" s="37" t="e">
        <f t="shared" ca="1" si="728"/>
        <v>#NAME?</v>
      </c>
      <c r="CR79" s="37" t="e">
        <f t="shared" ca="1" si="729"/>
        <v>#NAME?</v>
      </c>
      <c r="CS79" s="37" t="e">
        <f t="shared" ca="1" si="730"/>
        <v>#NAME?</v>
      </c>
      <c r="CT79" s="37" t="e">
        <f t="shared" ca="1" si="731"/>
        <v>#NAME?</v>
      </c>
      <c r="CU79" s="37" t="e">
        <f t="shared" ca="1" si="732"/>
        <v>#NAME?</v>
      </c>
      <c r="CV79" s="37" t="e">
        <f t="shared" ca="1" si="733"/>
        <v>#NAME?</v>
      </c>
      <c r="CW79" s="37" t="e">
        <f t="shared" ca="1" si="734"/>
        <v>#NAME?</v>
      </c>
      <c r="CX79" s="37" t="e">
        <f t="shared" ca="1" si="735"/>
        <v>#NAME?</v>
      </c>
      <c r="CY79" s="37" t="e">
        <f t="shared" ca="1" si="736"/>
        <v>#NAME?</v>
      </c>
      <c r="CZ79" s="37" t="e">
        <f t="shared" ca="1" si="737"/>
        <v>#NAME?</v>
      </c>
      <c r="DA79" s="37" t="e">
        <f t="shared" ca="1" si="738"/>
        <v>#NAME?</v>
      </c>
      <c r="DB79" s="37" t="e">
        <f t="shared" ca="1" si="739"/>
        <v>#NAME?</v>
      </c>
      <c r="DE79" s="134"/>
      <c r="DF79" s="3">
        <v>2</v>
      </c>
    </row>
    <row r="80" spans="1:110" s="3" customFormat="1" x14ac:dyDescent="0.2">
      <c r="A80" s="3" t="s">
        <v>29</v>
      </c>
      <c r="B80" s="3" t="e">
        <f ca="1">B78/B79</f>
        <v>#NAME?</v>
      </c>
      <c r="C80" s="3" t="e">
        <f t="shared" ref="C80:W80" ca="1" si="742">C78/C79</f>
        <v>#NAME?</v>
      </c>
      <c r="D80" s="3" t="e">
        <f t="shared" ca="1" si="742"/>
        <v>#NAME?</v>
      </c>
      <c r="E80" s="3">
        <f t="shared" ca="1" si="742"/>
        <v>26.571000000000002</v>
      </c>
      <c r="F80" s="3">
        <f t="shared" ca="1" si="742"/>
        <v>26.571000000000002</v>
      </c>
      <c r="G80" s="3">
        <f t="shared" ca="1" si="742"/>
        <v>26.571000000000002</v>
      </c>
      <c r="H80" s="3">
        <f t="shared" ca="1" si="742"/>
        <v>26.571000000000002</v>
      </c>
      <c r="I80" s="3">
        <f t="shared" ca="1" si="742"/>
        <v>26.571000000000002</v>
      </c>
      <c r="J80" s="3">
        <f t="shared" ca="1" si="742"/>
        <v>26.571000000000002</v>
      </c>
      <c r="K80" s="3">
        <f t="shared" ca="1" si="742"/>
        <v>26.571000000000002</v>
      </c>
      <c r="L80" s="3">
        <f t="shared" ca="1" si="742"/>
        <v>26.571000000000002</v>
      </c>
      <c r="M80" s="3">
        <f t="shared" ca="1" si="742"/>
        <v>26.571000000000002</v>
      </c>
      <c r="N80" s="3">
        <f t="shared" ca="1" si="742"/>
        <v>26.571000000000002</v>
      </c>
      <c r="O80" s="3">
        <f t="shared" ca="1" si="742"/>
        <v>26.571000000000002</v>
      </c>
      <c r="P80" s="3">
        <f t="shared" ca="1" si="742"/>
        <v>26.571000000000002</v>
      </c>
      <c r="Q80" s="3">
        <f t="shared" ca="1" si="742"/>
        <v>26.571000000000002</v>
      </c>
      <c r="R80" s="3">
        <f t="shared" ca="1" si="742"/>
        <v>26.571000000000002</v>
      </c>
      <c r="S80" s="3">
        <f t="shared" ca="1" si="742"/>
        <v>26.571000000000002</v>
      </c>
      <c r="T80" s="3">
        <f t="shared" ca="1" si="742"/>
        <v>26.571000000000002</v>
      </c>
      <c r="U80" s="3">
        <f t="shared" ca="1" si="742"/>
        <v>26.571000000000002</v>
      </c>
      <c r="V80" s="3">
        <f ca="1">V78/V79</f>
        <v>26.571000000000002</v>
      </c>
      <c r="W80" s="3">
        <f t="shared" ca="1" si="742"/>
        <v>26.571000000000002</v>
      </c>
      <c r="X80" s="3">
        <f t="shared" ref="X80:Y80" ca="1" si="743">X78/X79</f>
        <v>26.571000000000002</v>
      </c>
      <c r="Y80" s="3">
        <f t="shared" ca="1" si="743"/>
        <v>26.571000000000002</v>
      </c>
      <c r="Z80" s="3">
        <f t="shared" ref="Z80:AA80" ca="1" si="744">Z78/Z79</f>
        <v>26.571000000000002</v>
      </c>
      <c r="AA80" s="3">
        <f t="shared" ca="1" si="744"/>
        <v>26.571000000000002</v>
      </c>
      <c r="AB80" s="37">
        <f t="shared" ref="AA80:AD80" ca="1" si="745">AB78/AB79</f>
        <v>26.571000000000002</v>
      </c>
      <c r="AC80" s="37">
        <f t="shared" ca="1" si="745"/>
        <v>26.571000000000002</v>
      </c>
      <c r="AD80" s="37">
        <f t="shared" ca="1" si="745"/>
        <v>26.571000000000002</v>
      </c>
      <c r="AE80" s="37">
        <f t="shared" ref="AE80" ca="1" si="746">AE78/AE79</f>
        <v>26.571000000000002</v>
      </c>
      <c r="AI80" s="3" t="e">
        <f t="shared" ref="AI80" ca="1" si="747">AI78/AI79</f>
        <v>#NAME?</v>
      </c>
      <c r="AJ80" s="3" t="e">
        <f t="shared" ref="AJ80" ca="1" si="748">AJ78/AJ79</f>
        <v>#NAME?</v>
      </c>
      <c r="AK80" s="3" t="e">
        <f t="shared" ref="AK80:AM80" ca="1" si="749">AK78/AK79</f>
        <v>#NAME?</v>
      </c>
      <c r="AL80" s="3" t="e">
        <f t="shared" ca="1" si="749"/>
        <v>#NAME?</v>
      </c>
      <c r="AM80" s="3" t="e">
        <f t="shared" ca="1" si="749"/>
        <v>#NAME?</v>
      </c>
      <c r="AN80" s="3" t="e">
        <f t="shared" ref="AN80:AO80" ca="1" si="750">AN78/AN79</f>
        <v>#NAME?</v>
      </c>
      <c r="AO80" s="3" t="e">
        <f t="shared" ca="1" si="750"/>
        <v>#NAME?</v>
      </c>
      <c r="AP80" s="3" t="e">
        <f t="shared" ref="AP80:CD80" ca="1" si="751">AP78/AP79</f>
        <v>#NAME?</v>
      </c>
      <c r="AQ80" s="3" t="e">
        <f t="shared" ca="1" si="751"/>
        <v>#NAME?</v>
      </c>
      <c r="AR80" s="3" t="e">
        <f t="shared" ca="1" si="751"/>
        <v>#NAME?</v>
      </c>
      <c r="AS80" s="3" t="e">
        <f t="shared" ca="1" si="751"/>
        <v>#NAME?</v>
      </c>
      <c r="AT80" s="3" t="e">
        <f t="shared" ca="1" si="751"/>
        <v>#NAME?</v>
      </c>
      <c r="AU80" s="3" t="e">
        <f t="shared" ca="1" si="751"/>
        <v>#NAME?</v>
      </c>
      <c r="AV80" s="3" t="e">
        <f t="shared" ca="1" si="751"/>
        <v>#NAME?</v>
      </c>
      <c r="AW80" s="3" t="e">
        <f t="shared" ca="1" si="751"/>
        <v>#NAME?</v>
      </c>
      <c r="AX80" s="3" t="e">
        <f t="shared" ca="1" si="751"/>
        <v>#NAME?</v>
      </c>
      <c r="AY80" s="3" t="e">
        <f t="shared" ca="1" si="751"/>
        <v>#NAME?</v>
      </c>
      <c r="AZ80" s="3" t="e">
        <f t="shared" ca="1" si="751"/>
        <v>#NAME?</v>
      </c>
      <c r="BA80" s="3" t="e">
        <f t="shared" ca="1" si="751"/>
        <v>#NAME?</v>
      </c>
      <c r="BB80" s="3" t="e">
        <f t="shared" ca="1" si="751"/>
        <v>#NAME?</v>
      </c>
      <c r="BC80" s="3" t="e">
        <f t="shared" ca="1" si="751"/>
        <v>#NAME?</v>
      </c>
      <c r="BD80" s="3" t="e">
        <f t="shared" ca="1" si="751"/>
        <v>#NAME?</v>
      </c>
      <c r="BE80" s="3" t="e">
        <f t="shared" ca="1" si="751"/>
        <v>#NAME?</v>
      </c>
      <c r="BF80" s="3" t="e">
        <f t="shared" ca="1" si="751"/>
        <v>#NAME?</v>
      </c>
      <c r="BG80" s="3" t="e">
        <f t="shared" ca="1" si="751"/>
        <v>#NAME?</v>
      </c>
      <c r="BH80" s="3" t="e">
        <f t="shared" ca="1" si="751"/>
        <v>#NAME?</v>
      </c>
      <c r="BI80" s="3" t="e">
        <f t="shared" ca="1" si="751"/>
        <v>#NAME?</v>
      </c>
      <c r="BJ80" s="3" t="e">
        <f t="shared" ca="1" si="751"/>
        <v>#NAME?</v>
      </c>
      <c r="BK80" s="3" t="e">
        <f t="shared" ca="1" si="751"/>
        <v>#NAME?</v>
      </c>
      <c r="BL80" s="3" t="e">
        <f t="shared" ca="1" si="751"/>
        <v>#NAME?</v>
      </c>
      <c r="BM80" s="3" t="e">
        <f t="shared" ca="1" si="751"/>
        <v>#NAME?</v>
      </c>
      <c r="BN80" s="3" t="e">
        <f t="shared" ca="1" si="751"/>
        <v>#NAME?</v>
      </c>
      <c r="BO80" s="3" t="e">
        <f t="shared" ca="1" si="751"/>
        <v>#NAME?</v>
      </c>
      <c r="BP80" s="3" t="e">
        <f t="shared" ca="1" si="751"/>
        <v>#NAME?</v>
      </c>
      <c r="BQ80" s="3" t="e">
        <f t="shared" ca="1" si="751"/>
        <v>#NAME?</v>
      </c>
      <c r="BR80" s="3" t="e">
        <f t="shared" ca="1" si="751"/>
        <v>#NAME?</v>
      </c>
      <c r="BS80" s="3" t="e">
        <f t="shared" ca="1" si="751"/>
        <v>#NAME?</v>
      </c>
      <c r="BT80" s="3" t="e">
        <f t="shared" ca="1" si="751"/>
        <v>#NAME?</v>
      </c>
      <c r="BU80" s="3" t="e">
        <f t="shared" ca="1" si="751"/>
        <v>#NAME?</v>
      </c>
      <c r="BV80" s="3" t="e">
        <f t="shared" ca="1" si="751"/>
        <v>#NAME?</v>
      </c>
      <c r="BW80" s="3" t="e">
        <f t="shared" ca="1" si="751"/>
        <v>#NAME?</v>
      </c>
      <c r="BX80" s="3" t="e">
        <f t="shared" ca="1" si="751"/>
        <v>#NAME?</v>
      </c>
      <c r="BY80" s="3" t="e">
        <f t="shared" ca="1" si="751"/>
        <v>#NAME?</v>
      </c>
      <c r="BZ80" s="3" t="e">
        <f t="shared" ca="1" si="751"/>
        <v>#NAME?</v>
      </c>
      <c r="CA80" s="3" t="e">
        <f t="shared" ca="1" si="751"/>
        <v>#NAME?</v>
      </c>
      <c r="CB80" s="3" t="e">
        <f t="shared" ca="1" si="751"/>
        <v>#NAME?</v>
      </c>
      <c r="CC80" s="3" t="e">
        <f t="shared" ca="1" si="751"/>
        <v>#NAME?</v>
      </c>
      <c r="CD80" s="3" t="e">
        <f t="shared" ca="1" si="751"/>
        <v>#NAME?</v>
      </c>
      <c r="CE80" s="3" t="e">
        <f t="shared" ref="CE80:CF80" ca="1" si="752">CE78/CE79</f>
        <v>#NAME?</v>
      </c>
      <c r="CF80" s="3" t="e">
        <f t="shared" ca="1" si="752"/>
        <v>#NAME?</v>
      </c>
      <c r="CG80" s="3" t="e">
        <f t="shared" ref="CG80:CH80" ca="1" si="753">CG78/CG79</f>
        <v>#NAME?</v>
      </c>
      <c r="CH80" s="3" t="e">
        <f t="shared" ca="1" si="753"/>
        <v>#NAME?</v>
      </c>
      <c r="CI80" s="3" t="e">
        <f t="shared" ref="CI80:CJ80" ca="1" si="754">CI78/CI79</f>
        <v>#NAME?</v>
      </c>
      <c r="CJ80" s="3" t="e">
        <f t="shared" ca="1" si="754"/>
        <v>#NAME?</v>
      </c>
      <c r="CK80" s="3" t="e">
        <f t="shared" ref="CK80:CL80" ca="1" si="755">CK78/CK79</f>
        <v>#NAME?</v>
      </c>
      <c r="CL80" s="3" t="e">
        <f t="shared" ca="1" si="755"/>
        <v>#NAME?</v>
      </c>
      <c r="CM80" s="37" t="e">
        <f t="shared" ref="CM80:DB80" ca="1" si="756">CM78/CM79</f>
        <v>#NAME?</v>
      </c>
      <c r="CN80" s="37" t="e">
        <f t="shared" ca="1" si="756"/>
        <v>#NAME?</v>
      </c>
      <c r="CO80" s="37" t="e">
        <f t="shared" ca="1" si="756"/>
        <v>#NAME?</v>
      </c>
      <c r="CP80" s="37" t="e">
        <f t="shared" ca="1" si="756"/>
        <v>#NAME?</v>
      </c>
      <c r="CQ80" s="37" t="e">
        <f t="shared" ca="1" si="756"/>
        <v>#NAME?</v>
      </c>
      <c r="CR80" s="37" t="e">
        <f t="shared" ca="1" si="756"/>
        <v>#NAME?</v>
      </c>
      <c r="CS80" s="37" t="e">
        <f t="shared" ca="1" si="756"/>
        <v>#NAME?</v>
      </c>
      <c r="CT80" s="37" t="e">
        <f t="shared" ca="1" si="756"/>
        <v>#NAME?</v>
      </c>
      <c r="CU80" s="37" t="e">
        <f t="shared" ca="1" si="756"/>
        <v>#NAME?</v>
      </c>
      <c r="CV80" s="37" t="e">
        <f t="shared" ca="1" si="756"/>
        <v>#NAME?</v>
      </c>
      <c r="CW80" s="37" t="e">
        <f t="shared" ca="1" si="756"/>
        <v>#NAME?</v>
      </c>
      <c r="CX80" s="37" t="e">
        <f t="shared" ca="1" si="756"/>
        <v>#NAME?</v>
      </c>
      <c r="CY80" s="37" t="e">
        <f t="shared" ca="1" si="756"/>
        <v>#NAME?</v>
      </c>
      <c r="CZ80" s="37" t="e">
        <f t="shared" ca="1" si="756"/>
        <v>#NAME?</v>
      </c>
      <c r="DA80" s="37" t="e">
        <f t="shared" ca="1" si="756"/>
        <v>#NAME?</v>
      </c>
      <c r="DB80" s="37" t="e">
        <f t="shared" ca="1" si="756"/>
        <v>#NAME?</v>
      </c>
      <c r="DE80" s="134"/>
      <c r="DF80" s="3">
        <v>26.571000000000002</v>
      </c>
    </row>
    <row r="81" spans="1:110" s="53" customFormat="1" x14ac:dyDescent="0.2">
      <c r="A81" s="53" t="s">
        <v>30</v>
      </c>
      <c r="B81" s="53" t="e">
        <f t="shared" ref="B81:AE81" ca="1" si="757">(B63-B62)/B80</f>
        <v>#NAME?</v>
      </c>
      <c r="C81" s="53" t="e">
        <f t="shared" ca="1" si="757"/>
        <v>#NAME?</v>
      </c>
      <c r="D81" s="53" t="e">
        <f t="shared" ca="1" si="757"/>
        <v>#NAME?</v>
      </c>
      <c r="E81" s="53">
        <f t="shared" ca="1" si="757"/>
        <v>5.7723393925708459E-2</v>
      </c>
      <c r="F81" s="53">
        <f t="shared" ca="1" si="757"/>
        <v>3.2816762635956509E-2</v>
      </c>
      <c r="G81" s="53">
        <f t="shared" ca="1" si="757"/>
        <v>3.6745711489970231E-2</v>
      </c>
      <c r="H81" s="53">
        <f t="shared" ca="1" si="757"/>
        <v>8.0566109668435498E-2</v>
      </c>
      <c r="I81" s="53">
        <f t="shared" ca="1" si="757"/>
        <v>0.13817172857626736</v>
      </c>
      <c r="J81" s="53">
        <f t="shared" ca="1" si="757"/>
        <v>9.5312013096985462E-2</v>
      </c>
      <c r="K81" s="53">
        <f t="shared" ca="1" si="757"/>
        <v>4.0055767566143631E-2</v>
      </c>
      <c r="L81" s="53">
        <f t="shared" ca="1" si="757"/>
        <v>9.2432558052011421E-2</v>
      </c>
      <c r="M81" s="53">
        <f t="shared" ca="1" si="757"/>
        <v>0.14648899175793165</v>
      </c>
      <c r="N81" s="53">
        <f t="shared" ca="1" si="757"/>
        <v>0.24535116104023191</v>
      </c>
      <c r="O81" s="53">
        <f t="shared" ca="1" si="757"/>
        <v>-3.8903684468029012E-2</v>
      </c>
      <c r="P81" s="53">
        <f t="shared" ca="1" si="757"/>
        <v>3.3620646569568237E-2</v>
      </c>
      <c r="Q81" s="53">
        <f t="shared" ca="1" si="757"/>
        <v>2.2336479620639046E-2</v>
      </c>
      <c r="R81" s="53">
        <f t="shared" ca="1" si="757"/>
        <v>3.3259493432689913E-2</v>
      </c>
      <c r="S81" s="53">
        <f t="shared" ca="1" si="757"/>
        <v>0.6512449474991534</v>
      </c>
      <c r="T81" s="53">
        <f t="shared" ca="1" si="757"/>
        <v>0.36088847615821784</v>
      </c>
      <c r="U81" s="53">
        <f t="shared" ca="1" si="757"/>
        <v>0.40485458959015475</v>
      </c>
      <c r="V81" s="53">
        <f t="shared" ca="1" si="757"/>
        <v>0.57708403898987681</v>
      </c>
      <c r="W81" s="53">
        <f t="shared" ca="1" si="757"/>
        <v>0.67656467577434065</v>
      </c>
      <c r="X81" s="53">
        <f t="shared" ca="1" si="757"/>
        <v>1.0100447856685857</v>
      </c>
      <c r="Y81" s="53">
        <f t="shared" ca="1" si="757"/>
        <v>1.9779007188287971</v>
      </c>
      <c r="Z81" s="53">
        <f t="shared" ca="1" si="757"/>
        <v>2.1242934025817615</v>
      </c>
      <c r="AA81" s="53">
        <f t="shared" ref="AA81" ca="1" si="758">(AA63-AA62)/AA80</f>
        <v>2.1242934025817615</v>
      </c>
      <c r="AB81" s="54">
        <f t="shared" ca="1" si="757"/>
        <v>0.59868769103840469</v>
      </c>
      <c r="AC81" s="54">
        <f t="shared" ca="1" si="757"/>
        <v>0.87104323964213959</v>
      </c>
      <c r="AD81" s="54">
        <f t="shared" ca="1" si="757"/>
        <v>1.1524967067264564</v>
      </c>
      <c r="AE81" s="54">
        <f t="shared" ca="1" si="757"/>
        <v>1.4520894629082526</v>
      </c>
      <c r="AI81" s="53" t="e">
        <f t="shared" ref="AI81:BN81" ca="1" si="759">(AI63-AI62)/AI80</f>
        <v>#NAME?</v>
      </c>
      <c r="AJ81" s="53" t="e">
        <f t="shared" ca="1" si="759"/>
        <v>#NAME?</v>
      </c>
      <c r="AK81" s="53" t="e">
        <f t="shared" ca="1" si="759"/>
        <v>#NAME?</v>
      </c>
      <c r="AL81" s="53" t="e">
        <f t="shared" ca="1" si="759"/>
        <v>#NAME?</v>
      </c>
      <c r="AM81" s="53" t="e">
        <f t="shared" ca="1" si="759"/>
        <v>#NAME?</v>
      </c>
      <c r="AN81" s="53" t="e">
        <f t="shared" ca="1" si="759"/>
        <v>#NAME?</v>
      </c>
      <c r="AO81" s="53" t="e">
        <f t="shared" ca="1" si="759"/>
        <v>#NAME?</v>
      </c>
      <c r="AP81" s="53" t="e">
        <f t="shared" ca="1" si="759"/>
        <v>#NAME?</v>
      </c>
      <c r="AQ81" s="53" t="e">
        <f t="shared" ca="1" si="759"/>
        <v>#NAME?</v>
      </c>
      <c r="AR81" s="53" t="e">
        <f t="shared" ca="1" si="759"/>
        <v>#NAME?</v>
      </c>
      <c r="AS81" s="53" t="e">
        <f t="shared" ca="1" si="759"/>
        <v>#NAME?</v>
      </c>
      <c r="AT81" s="53" t="e">
        <f t="shared" ca="1" si="759"/>
        <v>#NAME?</v>
      </c>
      <c r="AU81" s="53" t="e">
        <f t="shared" ca="1" si="759"/>
        <v>#NAME?</v>
      </c>
      <c r="AV81" s="53" t="e">
        <f t="shared" ca="1" si="759"/>
        <v>#NAME?</v>
      </c>
      <c r="AW81" s="53" t="e">
        <f t="shared" ca="1" si="759"/>
        <v>#NAME?</v>
      </c>
      <c r="AX81" s="53" t="e">
        <f t="shared" ca="1" si="759"/>
        <v>#NAME?</v>
      </c>
      <c r="AY81" s="53" t="e">
        <f t="shared" ca="1" si="759"/>
        <v>#NAME?</v>
      </c>
      <c r="AZ81" s="53" t="e">
        <f t="shared" ca="1" si="759"/>
        <v>#NAME?</v>
      </c>
      <c r="BA81" s="53" t="e">
        <f t="shared" ca="1" si="759"/>
        <v>#NAME?</v>
      </c>
      <c r="BB81" s="53" t="e">
        <f t="shared" ca="1" si="759"/>
        <v>#NAME?</v>
      </c>
      <c r="BC81" s="53" t="e">
        <f t="shared" ca="1" si="759"/>
        <v>#NAME?</v>
      </c>
      <c r="BD81" s="53" t="e">
        <f t="shared" ca="1" si="759"/>
        <v>#NAME?</v>
      </c>
      <c r="BE81" s="53" t="e">
        <f t="shared" ca="1" si="759"/>
        <v>#NAME?</v>
      </c>
      <c r="BF81" s="53" t="e">
        <f t="shared" ca="1" si="759"/>
        <v>#NAME?</v>
      </c>
      <c r="BG81" s="53" t="e">
        <f t="shared" ca="1" si="759"/>
        <v>#NAME?</v>
      </c>
      <c r="BH81" s="53" t="e">
        <f t="shared" ca="1" si="759"/>
        <v>#NAME?</v>
      </c>
      <c r="BI81" s="53" t="e">
        <f t="shared" ca="1" si="759"/>
        <v>#NAME?</v>
      </c>
      <c r="BJ81" s="53" t="e">
        <f t="shared" ca="1" si="759"/>
        <v>#NAME?</v>
      </c>
      <c r="BK81" s="53" t="e">
        <f t="shared" ca="1" si="759"/>
        <v>#NAME?</v>
      </c>
      <c r="BL81" s="53" t="e">
        <f t="shared" ca="1" si="759"/>
        <v>#NAME?</v>
      </c>
      <c r="BM81" s="53" t="e">
        <f t="shared" ca="1" si="759"/>
        <v>#NAME?</v>
      </c>
      <c r="BN81" s="53" t="e">
        <f t="shared" ca="1" si="759"/>
        <v>#NAME?</v>
      </c>
      <c r="BO81" s="53" t="e">
        <f t="shared" ref="BO81:CT81" ca="1" si="760">(BO63-BO62)/BO80</f>
        <v>#NAME?</v>
      </c>
      <c r="BP81" s="53" t="e">
        <f t="shared" ca="1" si="760"/>
        <v>#NAME?</v>
      </c>
      <c r="BQ81" s="53" t="e">
        <f t="shared" ca="1" si="760"/>
        <v>#NAME?</v>
      </c>
      <c r="BR81" s="53" t="e">
        <f t="shared" ca="1" si="760"/>
        <v>#NAME?</v>
      </c>
      <c r="BS81" s="53" t="e">
        <f t="shared" ca="1" si="760"/>
        <v>#NAME?</v>
      </c>
      <c r="BT81" s="53" t="e">
        <f t="shared" ca="1" si="760"/>
        <v>#NAME?</v>
      </c>
      <c r="BU81" s="53" t="e">
        <f t="shared" ca="1" si="760"/>
        <v>#NAME?</v>
      </c>
      <c r="BV81" s="53" t="e">
        <f t="shared" ca="1" si="760"/>
        <v>#NAME?</v>
      </c>
      <c r="BW81" s="53" t="e">
        <f t="shared" ca="1" si="760"/>
        <v>#NAME?</v>
      </c>
      <c r="BX81" s="53" t="e">
        <f t="shared" ca="1" si="760"/>
        <v>#NAME?</v>
      </c>
      <c r="BY81" s="53" t="e">
        <f t="shared" ca="1" si="760"/>
        <v>#NAME?</v>
      </c>
      <c r="BZ81" s="53" t="e">
        <f t="shared" ca="1" si="760"/>
        <v>#NAME?</v>
      </c>
      <c r="CA81" s="53" t="e">
        <f t="shared" ca="1" si="760"/>
        <v>#NAME?</v>
      </c>
      <c r="CB81" s="53" t="e">
        <f t="shared" ca="1" si="760"/>
        <v>#NAME?</v>
      </c>
      <c r="CC81" s="53" t="e">
        <f t="shared" ca="1" si="760"/>
        <v>#NAME?</v>
      </c>
      <c r="CD81" s="53" t="e">
        <f t="shared" ca="1" si="760"/>
        <v>#NAME?</v>
      </c>
      <c r="CE81" s="53" t="e">
        <f t="shared" ca="1" si="760"/>
        <v>#NAME?</v>
      </c>
      <c r="CF81" s="53" t="e">
        <f t="shared" ca="1" si="760"/>
        <v>#NAME?</v>
      </c>
      <c r="CG81" s="53" t="e">
        <f t="shared" ca="1" si="760"/>
        <v>#NAME?</v>
      </c>
      <c r="CH81" s="53" t="e">
        <f t="shared" ca="1" si="760"/>
        <v>#NAME?</v>
      </c>
      <c r="CI81" s="53" t="e">
        <f t="shared" ca="1" si="760"/>
        <v>#NAME?</v>
      </c>
      <c r="CJ81" s="53" t="e">
        <f t="shared" ca="1" si="760"/>
        <v>#NAME?</v>
      </c>
      <c r="CK81" s="53" t="e">
        <f t="shared" ref="CK81:CL81" ca="1" si="761">(CK63-CK62)/CK80</f>
        <v>#NAME?</v>
      </c>
      <c r="CL81" s="53" t="e">
        <f t="shared" ca="1" si="761"/>
        <v>#NAME?</v>
      </c>
      <c r="CM81" s="54" t="e">
        <f t="shared" ca="1" si="760"/>
        <v>#NAME?</v>
      </c>
      <c r="CN81" s="54" t="e">
        <f t="shared" ca="1" si="760"/>
        <v>#NAME?</v>
      </c>
      <c r="CO81" s="54" t="e">
        <f t="shared" ca="1" si="760"/>
        <v>#NAME?</v>
      </c>
      <c r="CP81" s="54" t="e">
        <f t="shared" ca="1" si="760"/>
        <v>#NAME?</v>
      </c>
      <c r="CQ81" s="54" t="e">
        <f t="shared" ca="1" si="760"/>
        <v>#NAME?</v>
      </c>
      <c r="CR81" s="54" t="e">
        <f t="shared" ca="1" si="760"/>
        <v>#NAME?</v>
      </c>
      <c r="CS81" s="54" t="e">
        <f t="shared" ca="1" si="760"/>
        <v>#NAME?</v>
      </c>
      <c r="CT81" s="54" t="e">
        <f t="shared" ca="1" si="760"/>
        <v>#NAME?</v>
      </c>
      <c r="CU81" s="54" t="e">
        <f t="shared" ref="CU81:DB81" ca="1" si="762">(CU63-CU62)/CU80</f>
        <v>#NAME?</v>
      </c>
      <c r="CV81" s="54" t="e">
        <f t="shared" ca="1" si="762"/>
        <v>#NAME?</v>
      </c>
      <c r="CW81" s="54" t="e">
        <f t="shared" ca="1" si="762"/>
        <v>#NAME?</v>
      </c>
      <c r="CX81" s="54" t="e">
        <f t="shared" ca="1" si="762"/>
        <v>#NAME?</v>
      </c>
      <c r="CY81" s="54" t="e">
        <f t="shared" ca="1" si="762"/>
        <v>#NAME?</v>
      </c>
      <c r="CZ81" s="54" t="e">
        <f t="shared" ca="1" si="762"/>
        <v>#NAME?</v>
      </c>
      <c r="DA81" s="54" t="e">
        <f t="shared" ca="1" si="762"/>
        <v>#NAME?</v>
      </c>
      <c r="DB81" s="54" t="e">
        <f t="shared" ca="1" si="762"/>
        <v>#NAME?</v>
      </c>
      <c r="DE81" s="132"/>
      <c r="DF81" s="53">
        <v>0.5648263144029213</v>
      </c>
    </row>
    <row r="82" spans="1:110" s="3" customFormat="1" x14ac:dyDescent="0.2">
      <c r="A82" s="3" t="s">
        <v>31</v>
      </c>
      <c r="B82" s="3" t="e">
        <f ca="1">'Annual Raw'!C110</f>
        <v>#NAME?</v>
      </c>
      <c r="C82" s="3" t="e">
        <f ca="1">'Annual Raw'!D110</f>
        <v>#NAME?</v>
      </c>
      <c r="D82" s="3" t="e">
        <f ca="1">'Annual Raw'!E110</f>
        <v>#NAME?</v>
      </c>
      <c r="E82" s="3" t="e">
        <f ca="1">'Annual Raw'!F110</f>
        <v>#NAME?</v>
      </c>
      <c r="F82" s="3" t="e">
        <f ca="1">'Annual Raw'!G110</f>
        <v>#NAME?</v>
      </c>
      <c r="G82" s="3" t="e">
        <f ca="1">'Annual Raw'!H110</f>
        <v>#NAME?</v>
      </c>
      <c r="H82" s="3" t="e">
        <f ca="1">'Annual Raw'!I110</f>
        <v>#NAME?</v>
      </c>
      <c r="I82" s="3" t="e">
        <f ca="1">'Annual Raw'!J110</f>
        <v>#NAME?</v>
      </c>
      <c r="J82" s="3" t="e">
        <f ca="1">'Annual Raw'!K110</f>
        <v>#NAME?</v>
      </c>
      <c r="K82" s="3" t="e">
        <f ca="1">'Annual Raw'!L110</f>
        <v>#NAME?</v>
      </c>
      <c r="L82" s="3" t="e">
        <f ca="1">'Annual Raw'!M110</f>
        <v>#NAME?</v>
      </c>
      <c r="M82" s="3" t="e">
        <f ca="1">'Annual Raw'!N110</f>
        <v>#NAME?</v>
      </c>
      <c r="N82" s="3" t="e">
        <f ca="1">'Annual Raw'!O110</f>
        <v>#NAME?</v>
      </c>
      <c r="O82" s="3" t="e">
        <f ca="1">'Annual Raw'!P110</f>
        <v>#NAME?</v>
      </c>
      <c r="P82" s="3" t="e">
        <f ca="1">'Annual Raw'!Q110</f>
        <v>#NAME?</v>
      </c>
      <c r="Q82" s="3" t="e">
        <f ca="1">'Annual Raw'!R110</f>
        <v>#NAME?</v>
      </c>
      <c r="R82" s="3" t="e">
        <f ca="1">'Annual Raw'!S110</f>
        <v>#NAME?</v>
      </c>
      <c r="S82" s="3" t="e">
        <f ca="1">'Annual Raw'!T110</f>
        <v>#NAME?</v>
      </c>
      <c r="T82" s="3" t="e">
        <f ca="1">'Annual Raw'!U110</f>
        <v>#NAME?</v>
      </c>
      <c r="U82" s="3" t="e">
        <f ca="1">'Annual Raw'!V110</f>
        <v>#NAME?</v>
      </c>
      <c r="V82" s="3" t="e">
        <f ca="1">'Annual Raw'!W110</f>
        <v>#NAME?</v>
      </c>
      <c r="W82" s="3" t="e">
        <f ca="1">'Annual Raw'!X110</f>
        <v>#NAME?</v>
      </c>
      <c r="X82" s="3" t="e">
        <f ca="1">'Annual Raw'!Y110</f>
        <v>#NAME?</v>
      </c>
      <c r="Y82" s="3" t="e">
        <f ca="1">'Annual Raw'!Z110</f>
        <v>#NAME?</v>
      </c>
      <c r="Z82" s="3" t="e">
        <f ca="1">'Annual Raw'!AA110</f>
        <v>#NAME?</v>
      </c>
      <c r="AA82" s="3" t="e">
        <f ca="1">'Annual Raw'!AB110</f>
        <v>#NAME?</v>
      </c>
      <c r="AB82" s="37"/>
      <c r="AC82" s="37"/>
      <c r="AD82" s="37"/>
      <c r="AE82" s="37"/>
      <c r="CM82" s="37"/>
      <c r="CN82" s="37"/>
      <c r="CO82" s="37"/>
      <c r="CP82" s="37"/>
      <c r="CQ82" s="37"/>
      <c r="CR82" s="37"/>
      <c r="CS82" s="37"/>
      <c r="CT82" s="37"/>
      <c r="CU82" s="37"/>
      <c r="CV82" s="37"/>
      <c r="CW82" s="37"/>
      <c r="CX82" s="37"/>
      <c r="CY82" s="37"/>
      <c r="CZ82" s="37"/>
      <c r="DA82" s="37"/>
      <c r="DB82" s="37"/>
      <c r="DE82" s="134"/>
    </row>
    <row r="83" spans="1:110" s="3" customFormat="1" x14ac:dyDescent="0.2">
      <c r="A83" s="3" t="s">
        <v>32</v>
      </c>
      <c r="B83" s="3" t="e">
        <f ca="1">B82/B81</f>
        <v>#NAME?</v>
      </c>
      <c r="C83" s="3" t="e">
        <f t="shared" ref="C83:U83" ca="1" si="763">C82/C81</f>
        <v>#NAME?</v>
      </c>
      <c r="D83" s="3" t="e">
        <f t="shared" ca="1" si="763"/>
        <v>#NAME?</v>
      </c>
      <c r="E83" s="3">
        <f t="shared" ca="1" si="763"/>
        <v>0</v>
      </c>
      <c r="F83" s="3">
        <f t="shared" ca="1" si="763"/>
        <v>0</v>
      </c>
      <c r="G83" s="3">
        <f t="shared" ca="1" si="763"/>
        <v>0</v>
      </c>
      <c r="H83" s="3">
        <f t="shared" ca="1" si="763"/>
        <v>0.19658737229969642</v>
      </c>
      <c r="I83" s="3">
        <f t="shared" ca="1" si="763"/>
        <v>0.17194124976931802</v>
      </c>
      <c r="J83" s="3">
        <f t="shared" ca="1" si="763"/>
        <v>0.20771620598353377</v>
      </c>
      <c r="K83" s="3">
        <f t="shared" ca="1" si="763"/>
        <v>0.395405724530764</v>
      </c>
      <c r="L83" s="3">
        <f t="shared" ca="1" si="763"/>
        <v>0.25702436668281103</v>
      </c>
      <c r="M83" s="3">
        <f t="shared" ca="1" si="763"/>
        <v>0.21623849827977787</v>
      </c>
      <c r="N83" s="3">
        <f t="shared" ca="1" si="763"/>
        <v>0.16138378690543317</v>
      </c>
      <c r="O83" s="3">
        <f t="shared" ca="1" si="763"/>
        <v>0</v>
      </c>
      <c r="P83" s="3">
        <f t="shared" ca="1" si="763"/>
        <v>0.70663185031350506</v>
      </c>
      <c r="Q83" s="3">
        <f t="shared" ca="1" si="763"/>
        <v>0.70907681358580033</v>
      </c>
      <c r="R83" s="3">
        <f t="shared" ca="1" si="763"/>
        <v>0.9524065559314806</v>
      </c>
      <c r="S83" s="3">
        <f t="shared" ca="1" si="763"/>
        <v>9.7280016417463505E-2</v>
      </c>
      <c r="T83" s="3">
        <f t="shared" ca="1" si="763"/>
        <v>0.21943454616133609</v>
      </c>
      <c r="U83" s="3">
        <f t="shared" ca="1" si="763"/>
        <v>0.15648363835677859</v>
      </c>
      <c r="V83" s="3">
        <f ca="1">V82/V81</f>
        <v>0.1097814441296983</v>
      </c>
      <c r="W83" s="3">
        <f t="shared" ref="W83" ca="1" si="764">W82/W81</f>
        <v>9.3639413130753524E-2</v>
      </c>
      <c r="X83" s="3">
        <f t="shared" ref="X83:Y83" ca="1" si="765">X82/X81</f>
        <v>6.2723079296500742E-2</v>
      </c>
      <c r="Y83" s="3">
        <f t="shared" ca="1" si="765"/>
        <v>9.6091454815823915E-2</v>
      </c>
      <c r="Z83" s="3">
        <f t="shared" ref="Z83:AA83" ca="1" si="766">Z82/Z81</f>
        <v>8.9469447733789606E-2</v>
      </c>
      <c r="AA83" s="3">
        <f t="shared" ca="1" si="766"/>
        <v>8.9469447733789606E-2</v>
      </c>
      <c r="AB83" s="37">
        <f t="shared" ref="AA83:AD83" ca="1" si="767">AB82/AB81</f>
        <v>0</v>
      </c>
      <c r="AC83" s="37">
        <f t="shared" ca="1" si="767"/>
        <v>0</v>
      </c>
      <c r="AD83" s="37">
        <f t="shared" ca="1" si="767"/>
        <v>0</v>
      </c>
      <c r="AE83" s="37">
        <f t="shared" ref="AE83" ca="1" si="768">AE82/AE81</f>
        <v>0</v>
      </c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  <c r="DF83" s="3">
        <v>0</v>
      </c>
    </row>
    <row r="84" spans="1:110" s="3" customFormat="1" x14ac:dyDescent="0.2">
      <c r="A84" s="3" t="s">
        <v>33</v>
      </c>
      <c r="B84" s="3" t="e">
        <f ca="1">+B81</f>
        <v>#NAME?</v>
      </c>
      <c r="C84" s="3" t="e">
        <f t="shared" ref="C84:U84" ca="1" si="769">+C81</f>
        <v>#NAME?</v>
      </c>
      <c r="D84" s="3" t="e">
        <f t="shared" ca="1" si="769"/>
        <v>#NAME?</v>
      </c>
      <c r="E84" s="3">
        <f t="shared" ca="1" si="769"/>
        <v>5.7723393925708459E-2</v>
      </c>
      <c r="F84" s="3">
        <f t="shared" ca="1" si="769"/>
        <v>3.2816762635956509E-2</v>
      </c>
      <c r="G84" s="3">
        <f t="shared" ca="1" si="769"/>
        <v>3.6745711489970231E-2</v>
      </c>
      <c r="H84" s="3">
        <f t="shared" ca="1" si="769"/>
        <v>8.0566109668435498E-2</v>
      </c>
      <c r="I84" s="3">
        <f t="shared" ca="1" si="769"/>
        <v>0.13817172857626736</v>
      </c>
      <c r="J84" s="3">
        <f t="shared" ca="1" si="769"/>
        <v>9.5312013096985462E-2</v>
      </c>
      <c r="K84" s="3">
        <f t="shared" ca="1" si="769"/>
        <v>4.0055767566143631E-2</v>
      </c>
      <c r="L84" s="3">
        <f t="shared" ca="1" si="769"/>
        <v>9.2432558052011421E-2</v>
      </c>
      <c r="M84" s="3">
        <f t="shared" ca="1" si="769"/>
        <v>0.14648899175793165</v>
      </c>
      <c r="N84" s="3">
        <f t="shared" ca="1" si="769"/>
        <v>0.24535116104023191</v>
      </c>
      <c r="O84" s="3">
        <f t="shared" ca="1" si="769"/>
        <v>-3.8903684468029012E-2</v>
      </c>
      <c r="P84" s="3">
        <f t="shared" ca="1" si="769"/>
        <v>3.3620646569568237E-2</v>
      </c>
      <c r="Q84" s="3">
        <f t="shared" ca="1" si="769"/>
        <v>2.2336479620639046E-2</v>
      </c>
      <c r="R84" s="3">
        <f t="shared" ca="1" si="769"/>
        <v>3.3259493432689913E-2</v>
      </c>
      <c r="S84" s="3">
        <f t="shared" ca="1" si="769"/>
        <v>0.6512449474991534</v>
      </c>
      <c r="T84" s="3">
        <f ca="1">+T81</f>
        <v>0.36088847615821784</v>
      </c>
      <c r="U84" s="3">
        <f t="shared" ca="1" si="769"/>
        <v>0.40485458959015475</v>
      </c>
      <c r="V84" s="3">
        <f ca="1">+V81</f>
        <v>0.57708403898987681</v>
      </c>
      <c r="W84" s="3">
        <f t="shared" ref="W84" ca="1" si="770">+W81</f>
        <v>0.67656467577434065</v>
      </c>
      <c r="X84" s="3">
        <f t="shared" ref="X84:Y84" ca="1" si="771">+X81</f>
        <v>1.0100447856685857</v>
      </c>
      <c r="Y84" s="3">
        <f t="shared" ca="1" si="771"/>
        <v>1.9779007188287971</v>
      </c>
      <c r="Z84" s="3">
        <f t="shared" ref="Z84:AA84" ca="1" si="772">+Z81</f>
        <v>2.1242934025817615</v>
      </c>
      <c r="AA84" s="3">
        <f t="shared" ca="1" si="772"/>
        <v>2.1242934025817615</v>
      </c>
      <c r="AB84" s="37">
        <f t="shared" ref="AA84:AD84" ca="1" si="773">+AB81</f>
        <v>0.59868769103840469</v>
      </c>
      <c r="AC84" s="37">
        <f t="shared" ca="1" si="773"/>
        <v>0.87104323964213959</v>
      </c>
      <c r="AD84" s="37">
        <f t="shared" ca="1" si="773"/>
        <v>1.1524967067264564</v>
      </c>
      <c r="AE84" s="37">
        <f t="shared" ref="AE84" ca="1" si="774">+AE81</f>
        <v>1.4520894629082526</v>
      </c>
      <c r="AL84" s="3" t="e">
        <f ca="1">SUM(AI81:AL81)</f>
        <v>#NAME?</v>
      </c>
      <c r="AM84" s="3" t="e">
        <f t="shared" ref="AM84" ca="1" si="775">SUM(AJ81:AM81)</f>
        <v>#NAME?</v>
      </c>
      <c r="AN84" s="3" t="e">
        <f t="shared" ref="AN84" ca="1" si="776">SUM(AK81:AN81)</f>
        <v>#NAME?</v>
      </c>
      <c r="AO84" s="3" t="e">
        <f t="shared" ref="AO84" ca="1" si="777">SUM(AL81:AO81)</f>
        <v>#NAME?</v>
      </c>
      <c r="AP84" s="3" t="e">
        <f t="shared" ref="AP84" ca="1" si="778">SUM(AM81:AP81)</f>
        <v>#NAME?</v>
      </c>
      <c r="AQ84" s="3" t="e">
        <f t="shared" ref="AQ84" ca="1" si="779">SUM(AN81:AQ81)</f>
        <v>#NAME?</v>
      </c>
      <c r="AR84" s="3" t="e">
        <f t="shared" ref="AR84" ca="1" si="780">SUM(AO81:AR81)</f>
        <v>#NAME?</v>
      </c>
      <c r="AS84" s="3" t="e">
        <f t="shared" ref="AS84" ca="1" si="781">SUM(AP81:AS81)</f>
        <v>#NAME?</v>
      </c>
      <c r="AT84" s="3" t="e">
        <f t="shared" ref="AT84" ca="1" si="782">SUM(AQ81:AT81)</f>
        <v>#NAME?</v>
      </c>
      <c r="AU84" s="3" t="e">
        <f t="shared" ref="AU84" ca="1" si="783">SUM(AR81:AU81)</f>
        <v>#NAME?</v>
      </c>
      <c r="AV84" s="3" t="e">
        <f t="shared" ref="AV84" ca="1" si="784">SUM(AS81:AV81)</f>
        <v>#NAME?</v>
      </c>
      <c r="AW84" s="3" t="e">
        <f t="shared" ref="AW84" ca="1" si="785">SUM(AT81:AW81)</f>
        <v>#NAME?</v>
      </c>
      <c r="AX84" s="3" t="e">
        <f t="shared" ref="AX84" ca="1" si="786">SUM(AU81:AX81)</f>
        <v>#NAME?</v>
      </c>
      <c r="AY84" s="3" t="e">
        <f t="shared" ref="AY84" ca="1" si="787">SUM(AV81:AY81)</f>
        <v>#NAME?</v>
      </c>
      <c r="AZ84" s="3" t="e">
        <f t="shared" ref="AZ84" ca="1" si="788">SUM(AW81:AZ81)</f>
        <v>#NAME?</v>
      </c>
      <c r="BA84" s="3" t="e">
        <f t="shared" ref="BA84" ca="1" si="789">SUM(AX81:BA81)</f>
        <v>#NAME?</v>
      </c>
      <c r="BB84" s="3" t="e">
        <f t="shared" ref="BB84" ca="1" si="790">SUM(AY81:BB81)</f>
        <v>#NAME?</v>
      </c>
      <c r="BC84" s="3" t="e">
        <f t="shared" ref="BC84" ca="1" si="791">SUM(AZ81:BC81)</f>
        <v>#NAME?</v>
      </c>
      <c r="BD84" s="3" t="e">
        <f t="shared" ref="BD84" ca="1" si="792">SUM(BA81:BD81)</f>
        <v>#NAME?</v>
      </c>
      <c r="BE84" s="3" t="e">
        <f t="shared" ref="BE84" ca="1" si="793">SUM(BB81:BE81)</f>
        <v>#NAME?</v>
      </c>
      <c r="BF84" s="3" t="e">
        <f t="shared" ref="BF84" ca="1" si="794">SUM(BC81:BF81)</f>
        <v>#NAME?</v>
      </c>
      <c r="BG84" s="3" t="e">
        <f t="shared" ref="BG84" ca="1" si="795">SUM(BD81:BG81)</f>
        <v>#NAME?</v>
      </c>
      <c r="BH84" s="3" t="e">
        <f t="shared" ref="BH84" ca="1" si="796">SUM(BE81:BH81)</f>
        <v>#NAME?</v>
      </c>
      <c r="BI84" s="3" t="e">
        <f t="shared" ref="BI84" ca="1" si="797">SUM(BF81:BI81)</f>
        <v>#NAME?</v>
      </c>
      <c r="BJ84" s="3" t="e">
        <f t="shared" ref="BJ84" ca="1" si="798">SUM(BG81:BJ81)</f>
        <v>#NAME?</v>
      </c>
      <c r="BK84" s="3" t="e">
        <f t="shared" ref="BK84" ca="1" si="799">SUM(BH81:BK81)</f>
        <v>#NAME?</v>
      </c>
      <c r="BL84" s="3" t="e">
        <f t="shared" ref="BL84" ca="1" si="800">SUM(BI81:BL81)</f>
        <v>#NAME?</v>
      </c>
      <c r="BM84" s="3" t="e">
        <f t="shared" ref="BM84" ca="1" si="801">SUM(BJ81:BM81)</f>
        <v>#NAME?</v>
      </c>
      <c r="BN84" s="3" t="e">
        <f t="shared" ref="BN84" ca="1" si="802">SUM(BK81:BN81)</f>
        <v>#NAME?</v>
      </c>
      <c r="BO84" s="3" t="e">
        <f t="shared" ref="BO84" ca="1" si="803">SUM(BL81:BO81)</f>
        <v>#NAME?</v>
      </c>
      <c r="BP84" s="3" t="e">
        <f t="shared" ref="BP84" ca="1" si="804">SUM(BM81:BP81)</f>
        <v>#NAME?</v>
      </c>
      <c r="BQ84" s="3" t="e">
        <f t="shared" ref="BQ84" ca="1" si="805">SUM(BN81:BQ81)</f>
        <v>#NAME?</v>
      </c>
      <c r="BR84" s="3" t="e">
        <f t="shared" ref="BR84" ca="1" si="806">SUM(BO81:BR81)</f>
        <v>#NAME?</v>
      </c>
      <c r="BS84" s="3" t="e">
        <f t="shared" ref="BS84" ca="1" si="807">SUM(BP81:BS81)</f>
        <v>#NAME?</v>
      </c>
      <c r="BT84" s="3" t="e">
        <f t="shared" ref="BT84" ca="1" si="808">SUM(BQ81:BT81)</f>
        <v>#NAME?</v>
      </c>
      <c r="BU84" s="3" t="e">
        <f t="shared" ref="BU84" ca="1" si="809">SUM(BR81:BU81)</f>
        <v>#NAME?</v>
      </c>
      <c r="BV84" s="3" t="e">
        <f t="shared" ref="BV84" ca="1" si="810">SUM(BS81:BV81)</f>
        <v>#NAME?</v>
      </c>
      <c r="BW84" s="3" t="e">
        <f t="shared" ref="BW84" ca="1" si="811">SUM(BT81:BW81)</f>
        <v>#NAME?</v>
      </c>
      <c r="BX84" s="3" t="e">
        <f t="shared" ref="BX84" ca="1" si="812">SUM(BU81:BX81)</f>
        <v>#NAME?</v>
      </c>
      <c r="BY84" s="3" t="e">
        <f t="shared" ref="BY84" ca="1" si="813">SUM(BV81:BY81)</f>
        <v>#NAME?</v>
      </c>
      <c r="BZ84" s="3" t="e">
        <f t="shared" ref="BZ84" ca="1" si="814">SUM(BW81:BZ81)</f>
        <v>#NAME?</v>
      </c>
      <c r="CA84" s="3" t="e">
        <f t="shared" ref="CA84" ca="1" si="815">SUM(BX81:CA81)</f>
        <v>#NAME?</v>
      </c>
      <c r="CB84" s="3" t="e">
        <f t="shared" ref="CB84" ca="1" si="816">SUM(BY81:CB81)</f>
        <v>#NAME?</v>
      </c>
      <c r="CC84" s="3" t="e">
        <f t="shared" ref="CC84" ca="1" si="817">SUM(BZ81:CC81)</f>
        <v>#NAME?</v>
      </c>
      <c r="CD84" s="3" t="e">
        <f t="shared" ref="CD84" ca="1" si="818">SUM(CA81:CD81)</f>
        <v>#NAME?</v>
      </c>
      <c r="CE84" s="3" t="e">
        <f t="shared" ref="CE84" ca="1" si="819">SUM(CB81:CE81)</f>
        <v>#NAME?</v>
      </c>
      <c r="CF84" s="3" t="e">
        <f t="shared" ref="CF84" ca="1" si="820">SUM(CC81:CF81)</f>
        <v>#NAME?</v>
      </c>
      <c r="CG84" s="3" t="e">
        <f t="shared" ref="CG84" ca="1" si="821">SUM(CD81:CG81)</f>
        <v>#NAME?</v>
      </c>
      <c r="CH84" s="3" t="e">
        <f t="shared" ref="CH84:CL84" ca="1" si="822">SUM(CE81:CH81)</f>
        <v>#NAME?</v>
      </c>
      <c r="CI84" s="3" t="e">
        <f t="shared" ca="1" si="822"/>
        <v>#NAME?</v>
      </c>
      <c r="CJ84" s="3" t="e">
        <f t="shared" ca="1" si="822"/>
        <v>#NAME?</v>
      </c>
      <c r="CK84" s="3" t="e">
        <f t="shared" ca="1" si="822"/>
        <v>#NAME?</v>
      </c>
      <c r="CL84" s="3" t="e">
        <f t="shared" ca="1" si="822"/>
        <v>#NAME?</v>
      </c>
      <c r="CM84" s="37" t="e">
        <f t="shared" ref="CM84" ca="1" si="823">SUM(CJ81:CM81)</f>
        <v>#NAME?</v>
      </c>
      <c r="CN84" s="37" t="e">
        <f t="shared" ref="CN84" ca="1" si="824">SUM(CK81:CN81)</f>
        <v>#NAME?</v>
      </c>
      <c r="CO84" s="37" t="e">
        <f t="shared" ref="CO84" ca="1" si="825">SUM(CL81:CO81)</f>
        <v>#NAME?</v>
      </c>
      <c r="CP84" s="37" t="e">
        <f t="shared" ref="CP84" ca="1" si="826">SUM(CM81:CP81)</f>
        <v>#NAME?</v>
      </c>
      <c r="CQ84" s="37" t="e">
        <f t="shared" ref="CQ84" ca="1" si="827">SUM(CN81:CQ81)</f>
        <v>#NAME?</v>
      </c>
      <c r="CR84" s="37" t="e">
        <f t="shared" ref="CR84" ca="1" si="828">SUM(CO81:CR81)</f>
        <v>#NAME?</v>
      </c>
      <c r="CS84" s="37" t="e">
        <f t="shared" ref="CS84" ca="1" si="829">SUM(CP81:CS81)</f>
        <v>#NAME?</v>
      </c>
      <c r="CT84" s="37" t="e">
        <f t="shared" ref="CT84" ca="1" si="830">SUM(CQ81:CT81)</f>
        <v>#NAME?</v>
      </c>
      <c r="CU84" s="37" t="e">
        <f t="shared" ref="CU84" ca="1" si="831">SUM(CR81:CU81)</f>
        <v>#NAME?</v>
      </c>
      <c r="CV84" s="37" t="e">
        <f t="shared" ref="CV84" ca="1" si="832">SUM(CS81:CV81)</f>
        <v>#NAME?</v>
      </c>
      <c r="CW84" s="37" t="e">
        <f t="shared" ref="CW84" ca="1" si="833">SUM(CT81:CW81)</f>
        <v>#NAME?</v>
      </c>
      <c r="CX84" s="37" t="e">
        <f t="shared" ref="CX84" ca="1" si="834">SUM(CU81:CX81)</f>
        <v>#NAME?</v>
      </c>
      <c r="CY84" s="37" t="e">
        <f t="shared" ref="CY84" ca="1" si="835">SUM(CV81:CY81)</f>
        <v>#NAME?</v>
      </c>
      <c r="CZ84" s="37" t="e">
        <f t="shared" ref="CZ84" ca="1" si="836">SUM(CW81:CZ81)</f>
        <v>#NAME?</v>
      </c>
      <c r="DA84" s="37" t="e">
        <f t="shared" ref="DA84" ca="1" si="837">SUM(CX81:DA81)</f>
        <v>#NAME?</v>
      </c>
      <c r="DB84" s="37" t="e">
        <f t="shared" ref="DB84" ca="1" si="838">SUM(CY81:DB81)</f>
        <v>#NAME?</v>
      </c>
      <c r="DE84" s="134"/>
      <c r="DF84" s="3">
        <v>0.5648263144029213</v>
      </c>
    </row>
    <row r="85" spans="1:110" s="97" customFormat="1" x14ac:dyDescent="0.2">
      <c r="A85" s="97" t="s">
        <v>425</v>
      </c>
      <c r="C85" s="101" t="e">
        <f t="shared" ref="C85:AA85" ca="1" si="839">+C84/B84-1</f>
        <v>#NAME?</v>
      </c>
      <c r="D85" s="101" t="e">
        <f t="shared" ca="1" si="839"/>
        <v>#NAME?</v>
      </c>
      <c r="E85" s="101">
        <f t="shared" ca="1" si="839"/>
        <v>-0.82169300792755195</v>
      </c>
      <c r="F85" s="101">
        <f t="shared" ca="1" si="839"/>
        <v>-0.43148244751179121</v>
      </c>
      <c r="G85" s="101">
        <f t="shared" ca="1" si="839"/>
        <v>0.11972384045307605</v>
      </c>
      <c r="H85" s="101">
        <f t="shared" ca="1" si="839"/>
        <v>1.1925309485550737</v>
      </c>
      <c r="I85" s="101">
        <f t="shared" ca="1" si="839"/>
        <v>0.71501055648465561</v>
      </c>
      <c r="J85" s="101">
        <f t="shared" ca="1" si="839"/>
        <v>-0.3101916428267335</v>
      </c>
      <c r="K85" s="101">
        <f t="shared" ca="1" si="839"/>
        <v>-0.57974061962803591</v>
      </c>
      <c r="L85" s="101">
        <f t="shared" ca="1" si="839"/>
        <v>1.307596724975463</v>
      </c>
      <c r="M85" s="101">
        <f t="shared" ca="1" si="839"/>
        <v>0.58482027161363304</v>
      </c>
      <c r="N85" s="101">
        <f t="shared" ca="1" si="839"/>
        <v>0.67487780546450082</v>
      </c>
      <c r="O85" s="101">
        <f t="shared" ca="1" si="839"/>
        <v>-1.1585632784580535</v>
      </c>
      <c r="P85" s="101">
        <f t="shared" ca="1" si="839"/>
        <v>-1.8642021193955969</v>
      </c>
      <c r="Q85" s="101">
        <f t="shared" ca="1" si="839"/>
        <v>-0.33563206244650468</v>
      </c>
      <c r="R85" s="101">
        <f t="shared" ca="1" si="839"/>
        <v>0.48902127808707752</v>
      </c>
      <c r="S85" s="101">
        <f t="shared" ca="1" si="839"/>
        <v>18.580723585496983</v>
      </c>
      <c r="T85" s="101">
        <f t="shared" ca="1" si="839"/>
        <v>-0.44584832858348278</v>
      </c>
      <c r="U85" s="101">
        <f t="shared" ca="1" si="839"/>
        <v>0.12182742408394787</v>
      </c>
      <c r="V85" s="101">
        <f t="shared" ca="1" si="839"/>
        <v>0.42541063835802029</v>
      </c>
      <c r="W85" s="101">
        <f t="shared" ca="1" si="839"/>
        <v>0.17238500818458591</v>
      </c>
      <c r="X85" s="101">
        <f t="shared" ca="1" si="839"/>
        <v>0.49290204149746808</v>
      </c>
      <c r="Y85" s="101">
        <f t="shared" ca="1" si="839"/>
        <v>0.958230711046691</v>
      </c>
      <c r="Z85" s="101">
        <f t="shared" ca="1" si="839"/>
        <v>7.4014171873930001E-2</v>
      </c>
      <c r="AA85" s="101">
        <f t="shared" ca="1" si="839"/>
        <v>7.4014171873930001E-2</v>
      </c>
      <c r="AB85" s="174">
        <f t="shared" ref="AB85" ca="1" si="840">+AB84/AA84-1</f>
        <v>5.9950069201854195E-2</v>
      </c>
      <c r="AC85" s="174">
        <f t="shared" ref="AC85" ca="1" si="841">+AC84/AB84-1</f>
        <v>0.45492090898234916</v>
      </c>
      <c r="AD85" s="174">
        <f t="shared" ref="AD85" ca="1" si="842">+AD84/AC84-1</f>
        <v>0.3231222679599115</v>
      </c>
      <c r="AE85" s="174">
        <f t="shared" ref="AE85" ca="1" si="843">+AE84/AD84-1</f>
        <v>0.25995107355469793</v>
      </c>
      <c r="AL85" s="176"/>
      <c r="AM85" s="176"/>
      <c r="AN85" s="176"/>
      <c r="AO85" s="176"/>
      <c r="AP85" s="176" t="e">
        <f t="shared" ref="AP85:CL85" ca="1" si="844">+IF(AL84&lt;0,1-AP84/AL84,AP84/AL84-1)</f>
        <v>#NAME?</v>
      </c>
      <c r="AQ85" s="176" t="e">
        <f t="shared" ca="1" si="844"/>
        <v>#NAME?</v>
      </c>
      <c r="AR85" s="176" t="e">
        <f t="shared" ca="1" si="844"/>
        <v>#NAME?</v>
      </c>
      <c r="AS85" s="176" t="e">
        <f t="shared" ca="1" si="844"/>
        <v>#NAME?</v>
      </c>
      <c r="AT85" s="176" t="e">
        <f t="shared" ca="1" si="844"/>
        <v>#NAME?</v>
      </c>
      <c r="AU85" s="176" t="e">
        <f t="shared" ca="1" si="844"/>
        <v>#NAME?</v>
      </c>
      <c r="AV85" s="176" t="e">
        <f t="shared" ca="1" si="844"/>
        <v>#NAME?</v>
      </c>
      <c r="AW85" s="176" t="e">
        <f t="shared" ca="1" si="844"/>
        <v>#NAME?</v>
      </c>
      <c r="AX85" s="176" t="e">
        <f t="shared" ca="1" si="844"/>
        <v>#NAME?</v>
      </c>
      <c r="AY85" s="176" t="e">
        <f t="shared" ca="1" si="844"/>
        <v>#NAME?</v>
      </c>
      <c r="AZ85" s="176" t="e">
        <f t="shared" ca="1" si="844"/>
        <v>#NAME?</v>
      </c>
      <c r="BA85" s="176" t="e">
        <f t="shared" ca="1" si="844"/>
        <v>#NAME?</v>
      </c>
      <c r="BB85" s="176" t="e">
        <f t="shared" ca="1" si="844"/>
        <v>#NAME?</v>
      </c>
      <c r="BC85" s="176" t="e">
        <f t="shared" ca="1" si="844"/>
        <v>#NAME?</v>
      </c>
      <c r="BD85" s="176" t="e">
        <f t="shared" ca="1" si="844"/>
        <v>#NAME?</v>
      </c>
      <c r="BE85" s="176" t="e">
        <f t="shared" ca="1" si="844"/>
        <v>#NAME?</v>
      </c>
      <c r="BF85" s="176" t="e">
        <f t="shared" ca="1" si="844"/>
        <v>#NAME?</v>
      </c>
      <c r="BG85" s="176" t="e">
        <f t="shared" ca="1" si="844"/>
        <v>#NAME?</v>
      </c>
      <c r="BH85" s="176" t="e">
        <f t="shared" ca="1" si="844"/>
        <v>#NAME?</v>
      </c>
      <c r="BI85" s="176" t="e">
        <f t="shared" ca="1" si="844"/>
        <v>#NAME?</v>
      </c>
      <c r="BJ85" s="176" t="e">
        <f t="shared" ca="1" si="844"/>
        <v>#NAME?</v>
      </c>
      <c r="BK85" s="176" t="e">
        <f t="shared" ca="1" si="844"/>
        <v>#NAME?</v>
      </c>
      <c r="BL85" s="176" t="e">
        <f t="shared" ca="1" si="844"/>
        <v>#NAME?</v>
      </c>
      <c r="BM85" s="176" t="e">
        <f t="shared" ca="1" si="844"/>
        <v>#NAME?</v>
      </c>
      <c r="BN85" s="176" t="e">
        <f t="shared" ca="1" si="844"/>
        <v>#NAME?</v>
      </c>
      <c r="BO85" s="176" t="e">
        <f t="shared" ca="1" si="844"/>
        <v>#NAME?</v>
      </c>
      <c r="BP85" s="176" t="e">
        <f t="shared" ca="1" si="844"/>
        <v>#NAME?</v>
      </c>
      <c r="BQ85" s="176" t="e">
        <f t="shared" ca="1" si="844"/>
        <v>#NAME?</v>
      </c>
      <c r="BR85" s="176" t="e">
        <f t="shared" ca="1" si="844"/>
        <v>#NAME?</v>
      </c>
      <c r="BS85" s="176" t="e">
        <f t="shared" ca="1" si="844"/>
        <v>#NAME?</v>
      </c>
      <c r="BT85" s="176" t="e">
        <f t="shared" ca="1" si="844"/>
        <v>#NAME?</v>
      </c>
      <c r="BU85" s="176" t="e">
        <f t="shared" ca="1" si="844"/>
        <v>#NAME?</v>
      </c>
      <c r="BV85" s="176" t="e">
        <f t="shared" ca="1" si="844"/>
        <v>#NAME?</v>
      </c>
      <c r="BW85" s="176" t="e">
        <f t="shared" ca="1" si="844"/>
        <v>#NAME?</v>
      </c>
      <c r="BX85" s="176" t="e">
        <f t="shared" ca="1" si="844"/>
        <v>#NAME?</v>
      </c>
      <c r="BY85" s="176" t="e">
        <f t="shared" ca="1" si="844"/>
        <v>#NAME?</v>
      </c>
      <c r="BZ85" s="176" t="e">
        <f t="shared" ca="1" si="844"/>
        <v>#NAME?</v>
      </c>
      <c r="CA85" s="176" t="e">
        <f t="shared" ca="1" si="844"/>
        <v>#NAME?</v>
      </c>
      <c r="CB85" s="176" t="e">
        <f t="shared" ca="1" si="844"/>
        <v>#NAME?</v>
      </c>
      <c r="CC85" s="176" t="e">
        <f t="shared" ca="1" si="844"/>
        <v>#NAME?</v>
      </c>
      <c r="CD85" s="176" t="e">
        <f t="shared" ca="1" si="844"/>
        <v>#NAME?</v>
      </c>
      <c r="CE85" s="176" t="e">
        <f t="shared" ca="1" si="844"/>
        <v>#NAME?</v>
      </c>
      <c r="CF85" s="176" t="e">
        <f t="shared" ca="1" si="844"/>
        <v>#NAME?</v>
      </c>
      <c r="CG85" s="176" t="e">
        <f t="shared" ca="1" si="844"/>
        <v>#NAME?</v>
      </c>
      <c r="CH85" s="176" t="e">
        <f t="shared" ca="1" si="844"/>
        <v>#NAME?</v>
      </c>
      <c r="CI85" s="176" t="e">
        <f t="shared" ca="1" si="844"/>
        <v>#NAME?</v>
      </c>
      <c r="CJ85" s="176" t="e">
        <f t="shared" ca="1" si="844"/>
        <v>#NAME?</v>
      </c>
      <c r="CK85" s="176" t="e">
        <f t="shared" ca="1" si="844"/>
        <v>#NAME?</v>
      </c>
      <c r="CL85" s="176" t="e">
        <f t="shared" ca="1" si="844"/>
        <v>#NAME?</v>
      </c>
      <c r="CM85" s="102" t="e">
        <f t="shared" ref="CM85:DB85" ca="1" si="845">+IF(CI84&lt;0,1-CM84/CI84,CM84/CI84-1)</f>
        <v>#NAME?</v>
      </c>
      <c r="CN85" s="102" t="e">
        <f t="shared" ca="1" si="845"/>
        <v>#NAME?</v>
      </c>
      <c r="CO85" s="102" t="e">
        <f t="shared" ca="1" si="845"/>
        <v>#NAME?</v>
      </c>
      <c r="CP85" s="102" t="e">
        <f t="shared" ca="1" si="845"/>
        <v>#NAME?</v>
      </c>
      <c r="CQ85" s="102" t="e">
        <f t="shared" ca="1" si="845"/>
        <v>#NAME?</v>
      </c>
      <c r="CR85" s="102" t="e">
        <f t="shared" ca="1" si="845"/>
        <v>#NAME?</v>
      </c>
      <c r="CS85" s="102" t="e">
        <f t="shared" ca="1" si="845"/>
        <v>#NAME?</v>
      </c>
      <c r="CT85" s="102" t="e">
        <f t="shared" ca="1" si="845"/>
        <v>#NAME?</v>
      </c>
      <c r="CU85" s="102" t="e">
        <f t="shared" ca="1" si="845"/>
        <v>#NAME?</v>
      </c>
      <c r="CV85" s="102" t="e">
        <f t="shared" ca="1" si="845"/>
        <v>#NAME?</v>
      </c>
      <c r="CW85" s="102" t="e">
        <f t="shared" ca="1" si="845"/>
        <v>#NAME?</v>
      </c>
      <c r="CX85" s="102" t="e">
        <f t="shared" ca="1" si="845"/>
        <v>#NAME?</v>
      </c>
      <c r="CY85" s="102" t="e">
        <f t="shared" ca="1" si="845"/>
        <v>#NAME?</v>
      </c>
      <c r="CZ85" s="102" t="e">
        <f t="shared" ca="1" si="845"/>
        <v>#NAME?</v>
      </c>
      <c r="DA85" s="102" t="e">
        <f t="shared" ca="1" si="845"/>
        <v>#NAME?</v>
      </c>
      <c r="DB85" s="102" t="e">
        <f t="shared" ca="1" si="845"/>
        <v>#NAME?</v>
      </c>
      <c r="DE85" s="135"/>
      <c r="DF85" s="97">
        <v>-0.73411096898551809</v>
      </c>
    </row>
    <row r="86" spans="1:110" s="144" customFormat="1" x14ac:dyDescent="0.2">
      <c r="A86" s="144" t="s">
        <v>424</v>
      </c>
      <c r="AB86" s="145"/>
      <c r="AC86" s="145"/>
      <c r="AD86" s="145"/>
      <c r="AE86" s="145"/>
      <c r="CM86" s="145"/>
      <c r="CN86" s="145"/>
      <c r="CO86" s="145"/>
      <c r="CP86" s="145"/>
      <c r="CQ86" s="145"/>
      <c r="CR86" s="145"/>
      <c r="CS86" s="145"/>
      <c r="CT86" s="145"/>
      <c r="CU86" s="145"/>
      <c r="CV86" s="145"/>
      <c r="CW86" s="145"/>
      <c r="CX86" s="145"/>
      <c r="CY86" s="145"/>
      <c r="CZ86" s="145"/>
      <c r="DA86" s="145"/>
      <c r="DB86" s="145"/>
      <c r="DE86" s="146"/>
    </row>
    <row r="87" spans="1:110" s="144" customFormat="1" x14ac:dyDescent="0.2">
      <c r="A87" s="144" t="s">
        <v>436</v>
      </c>
      <c r="AB87" s="145"/>
      <c r="AC87" s="145"/>
      <c r="AD87" s="145"/>
      <c r="AE87" s="145"/>
      <c r="CM87" s="145"/>
      <c r="CN87" s="145"/>
      <c r="CO87" s="145"/>
      <c r="CP87" s="145"/>
      <c r="CQ87" s="145"/>
      <c r="CR87" s="145"/>
      <c r="CS87" s="145"/>
      <c r="CT87" s="145"/>
      <c r="CU87" s="145"/>
      <c r="CV87" s="145"/>
      <c r="CW87" s="145"/>
      <c r="CX87" s="145"/>
      <c r="CY87" s="145"/>
      <c r="CZ87" s="145"/>
      <c r="DA87" s="145"/>
      <c r="DB87" s="145"/>
      <c r="DE87" s="146"/>
    </row>
    <row r="88" spans="1:110" s="3" customFormat="1" x14ac:dyDescent="0.2">
      <c r="A88" s="3" t="s">
        <v>34</v>
      </c>
      <c r="B88" s="3" t="e">
        <f ca="1">'Annual Raw'!C112</f>
        <v>#NAME?</v>
      </c>
      <c r="C88" s="3" t="e">
        <f ca="1">'Annual Raw'!D112</f>
        <v>#NAME?</v>
      </c>
      <c r="D88" s="3" t="e">
        <f ca="1">'Annual Raw'!E112</f>
        <v>#NAME?</v>
      </c>
      <c r="E88" s="3" t="e">
        <f ca="1">'Annual Raw'!F112</f>
        <v>#NAME?</v>
      </c>
      <c r="F88" s="3" t="e">
        <f ca="1">'Annual Raw'!G112</f>
        <v>#NAME?</v>
      </c>
      <c r="G88" s="3" t="e">
        <f ca="1">'Annual Raw'!H112</f>
        <v>#NAME?</v>
      </c>
      <c r="H88" s="3" t="e">
        <f ca="1">'Annual Raw'!I112</f>
        <v>#NAME?</v>
      </c>
      <c r="I88" s="3" t="e">
        <f ca="1">'Annual Raw'!J112</f>
        <v>#NAME?</v>
      </c>
      <c r="J88" s="3" t="e">
        <f ca="1">'Annual Raw'!K112</f>
        <v>#NAME?</v>
      </c>
      <c r="K88" s="3" t="e">
        <f ca="1">'Annual Raw'!L112</f>
        <v>#NAME?</v>
      </c>
      <c r="L88" s="3" t="e">
        <f ca="1">'Annual Raw'!M112</f>
        <v>#NAME?</v>
      </c>
      <c r="M88" s="3" t="e">
        <f ca="1">'Annual Raw'!N112</f>
        <v>#NAME?</v>
      </c>
      <c r="N88" s="3" t="e">
        <f ca="1">'Annual Raw'!O112</f>
        <v>#NAME?</v>
      </c>
      <c r="O88" s="3" t="e">
        <f ca="1">'Annual Raw'!P112</f>
        <v>#NAME?</v>
      </c>
      <c r="P88" s="3" t="e">
        <f ca="1">'Annual Raw'!Q112</f>
        <v>#NAME?</v>
      </c>
      <c r="Q88" s="3" t="e">
        <f ca="1">'Annual Raw'!R112</f>
        <v>#NAME?</v>
      </c>
      <c r="R88" s="3" t="e">
        <f ca="1">'Annual Raw'!S112</f>
        <v>#NAME?</v>
      </c>
      <c r="S88" s="3" t="e">
        <f ca="1">'Annual Raw'!T112</f>
        <v>#NAME?</v>
      </c>
      <c r="T88" s="3" t="e">
        <f ca="1">'Annual Raw'!U112</f>
        <v>#NAME?</v>
      </c>
      <c r="U88" s="3" t="e">
        <f ca="1">'Annual Raw'!V112</f>
        <v>#NAME?</v>
      </c>
      <c r="V88" s="3" t="e">
        <f ca="1">'Annual Raw'!W112</f>
        <v>#NAME?</v>
      </c>
      <c r="W88" s="3" t="e">
        <f ca="1">'Annual Raw'!X112</f>
        <v>#NAME?</v>
      </c>
      <c r="X88" s="3" t="e">
        <f ca="1">'Annual Raw'!Y112</f>
        <v>#NAME?</v>
      </c>
      <c r="Y88" s="3" t="e">
        <f ca="1">'Annual Raw'!Z112</f>
        <v>#NAME?</v>
      </c>
      <c r="Z88" s="3" t="e">
        <f ca="1">'Annual Raw'!AA112</f>
        <v>#NAME?</v>
      </c>
      <c r="AA88" s="3" t="e">
        <f ca="1">'Annual Raw'!AB112</f>
        <v>#NAME?</v>
      </c>
      <c r="AB88" s="37"/>
      <c r="AC88" s="37"/>
      <c r="AD88" s="37"/>
      <c r="AE88" s="37"/>
      <c r="AI88" s="3" t="e">
        <f ca="1">'QTR Raw'!C49</f>
        <v>#NAME?</v>
      </c>
      <c r="AJ88" s="3" t="e">
        <f ca="1">'QTR Raw'!D49</f>
        <v>#NAME?</v>
      </c>
      <c r="AK88" s="3" t="e">
        <f ca="1">'QTR Raw'!E49</f>
        <v>#NAME?</v>
      </c>
      <c r="AL88" s="3" t="e">
        <f ca="1">'QTR Raw'!F49</f>
        <v>#NAME?</v>
      </c>
      <c r="AM88" s="3" t="e">
        <f ca="1">'QTR Raw'!G49</f>
        <v>#NAME?</v>
      </c>
      <c r="AN88" s="3" t="e">
        <f ca="1">'QTR Raw'!H49</f>
        <v>#NAME?</v>
      </c>
      <c r="AO88" s="3" t="e">
        <f ca="1">'QTR Raw'!I49</f>
        <v>#NAME?</v>
      </c>
      <c r="AP88" s="3" t="e">
        <f ca="1">'QTR Raw'!J49</f>
        <v>#NAME?</v>
      </c>
      <c r="AQ88" s="3" t="e">
        <f ca="1">'QTR Raw'!K49</f>
        <v>#NAME?</v>
      </c>
      <c r="AR88" s="3" t="e">
        <f ca="1">'QTR Raw'!L49</f>
        <v>#NAME?</v>
      </c>
      <c r="AS88" s="3" t="e">
        <f ca="1">'QTR Raw'!M49</f>
        <v>#NAME?</v>
      </c>
      <c r="AT88" s="3" t="e">
        <f ca="1">'QTR Raw'!N49</f>
        <v>#NAME?</v>
      </c>
      <c r="AU88" s="3" t="e">
        <f ca="1">'QTR Raw'!O49</f>
        <v>#NAME?</v>
      </c>
      <c r="AV88" s="3" t="e">
        <f ca="1">'QTR Raw'!P49</f>
        <v>#NAME?</v>
      </c>
      <c r="AW88" s="3" t="e">
        <f ca="1">'QTR Raw'!Q49</f>
        <v>#NAME?</v>
      </c>
      <c r="AX88" s="3" t="e">
        <f ca="1">'QTR Raw'!R49</f>
        <v>#NAME?</v>
      </c>
      <c r="AY88" s="3" t="e">
        <f ca="1">'QTR Raw'!S49</f>
        <v>#NAME?</v>
      </c>
      <c r="AZ88" s="3" t="e">
        <f ca="1">'QTR Raw'!T49</f>
        <v>#NAME?</v>
      </c>
      <c r="BA88" s="3" t="e">
        <f ca="1">'QTR Raw'!U49</f>
        <v>#NAME?</v>
      </c>
      <c r="BB88" s="3" t="e">
        <f ca="1">'QTR Raw'!V49</f>
        <v>#NAME?</v>
      </c>
      <c r="BC88" s="3" t="e">
        <f ca="1">'QTR Raw'!W49</f>
        <v>#NAME?</v>
      </c>
      <c r="BD88" s="3" t="e">
        <f ca="1">'QTR Raw'!X49</f>
        <v>#NAME?</v>
      </c>
      <c r="BE88" s="3" t="e">
        <f ca="1">'QTR Raw'!Y49</f>
        <v>#NAME?</v>
      </c>
      <c r="BF88" s="3" t="e">
        <f ca="1">'QTR Raw'!Z49</f>
        <v>#NAME?</v>
      </c>
      <c r="BG88" s="3" t="e">
        <f ca="1">'QTR Raw'!AA49</f>
        <v>#NAME?</v>
      </c>
      <c r="BH88" s="3" t="e">
        <f ca="1">'QTR Raw'!AB49</f>
        <v>#NAME?</v>
      </c>
      <c r="BI88" s="3" t="e">
        <f ca="1">'QTR Raw'!AC49</f>
        <v>#NAME?</v>
      </c>
      <c r="BJ88" s="3" t="e">
        <f ca="1">'QTR Raw'!AD49</f>
        <v>#NAME?</v>
      </c>
      <c r="BK88" s="3" t="e">
        <f ca="1">'QTR Raw'!AE49</f>
        <v>#NAME?</v>
      </c>
      <c r="BL88" s="3" t="e">
        <f ca="1">'QTR Raw'!AF49</f>
        <v>#NAME?</v>
      </c>
      <c r="BM88" s="3" t="e">
        <f ca="1">'QTR Raw'!AG49</f>
        <v>#NAME?</v>
      </c>
      <c r="BN88" s="3" t="e">
        <f ca="1">'QTR Raw'!AH49</f>
        <v>#NAME?</v>
      </c>
      <c r="BO88" s="3" t="e">
        <f ca="1">'QTR Raw'!AI49</f>
        <v>#NAME?</v>
      </c>
      <c r="BP88" s="3" t="e">
        <f ca="1">'QTR Raw'!AJ49</f>
        <v>#NAME?</v>
      </c>
      <c r="BQ88" s="3" t="e">
        <f ca="1">'QTR Raw'!AK49</f>
        <v>#NAME?</v>
      </c>
      <c r="BR88" s="3" t="e">
        <f ca="1">'QTR Raw'!AL49</f>
        <v>#NAME?</v>
      </c>
      <c r="BS88" s="3" t="e">
        <f ca="1">'QTR Raw'!AM49</f>
        <v>#NAME?</v>
      </c>
      <c r="BT88" s="3" t="e">
        <f ca="1">'QTR Raw'!AN49</f>
        <v>#NAME?</v>
      </c>
      <c r="BU88" s="3" t="e">
        <f ca="1">'QTR Raw'!AO49</f>
        <v>#NAME?</v>
      </c>
      <c r="BV88" s="3" t="e">
        <f ca="1">'QTR Raw'!AP49</f>
        <v>#NAME?</v>
      </c>
      <c r="BW88" s="3" t="e">
        <f ca="1">'QTR Raw'!AQ49</f>
        <v>#NAME?</v>
      </c>
      <c r="BX88" s="3" t="e">
        <f ca="1">'QTR Raw'!AR49</f>
        <v>#NAME?</v>
      </c>
      <c r="BY88" s="3" t="e">
        <f ca="1">'QTR Raw'!AS49</f>
        <v>#NAME?</v>
      </c>
      <c r="BZ88" s="3" t="e">
        <f ca="1">'QTR Raw'!AT49</f>
        <v>#NAME?</v>
      </c>
      <c r="CA88" s="3" t="e">
        <f ca="1">'QTR Raw'!AU49</f>
        <v>#NAME?</v>
      </c>
      <c r="CB88" s="3" t="e">
        <f ca="1">'QTR Raw'!AV49</f>
        <v>#NAME?</v>
      </c>
      <c r="CC88" s="3" t="e">
        <f ca="1">'QTR Raw'!AW49</f>
        <v>#NAME?</v>
      </c>
      <c r="CD88" s="3" t="e">
        <f ca="1">'QTR Raw'!AX49</f>
        <v>#NAME?</v>
      </c>
      <c r="CE88" s="3" t="e">
        <f ca="1">'QTR Raw'!AY49</f>
        <v>#NAME?</v>
      </c>
      <c r="CF88" s="3" t="e">
        <f ca="1">'QTR Raw'!AZ49</f>
        <v>#NAME?</v>
      </c>
      <c r="CG88" s="3" t="e">
        <f ca="1">'QTR Raw'!BA49</f>
        <v>#NAME?</v>
      </c>
      <c r="CH88" s="3" t="e">
        <f ca="1">'QTR Raw'!BB49</f>
        <v>#NAME?</v>
      </c>
      <c r="CI88" s="3" t="e">
        <f ca="1">'QTR Raw'!BC49</f>
        <v>#NAME?</v>
      </c>
      <c r="CJ88" s="3" t="e">
        <f ca="1">'QTR Raw'!BD49</f>
        <v>#NAME?</v>
      </c>
      <c r="CK88" s="3" t="e">
        <f ca="1">'QTR Raw'!BE49</f>
        <v>#NAME?</v>
      </c>
      <c r="CL88" s="3" t="e">
        <f ca="1">'QTR Raw'!BF49</f>
        <v>#NAME?</v>
      </c>
      <c r="CM88" s="37"/>
      <c r="CN88" s="37"/>
      <c r="CO88" s="37"/>
      <c r="CP88" s="37"/>
      <c r="CQ88" s="37"/>
      <c r="CR88" s="37"/>
      <c r="CS88" s="37"/>
      <c r="CT88" s="37"/>
      <c r="CU88" s="37"/>
      <c r="CV88" s="37"/>
      <c r="CW88" s="37"/>
      <c r="CX88" s="37"/>
      <c r="CY88" s="37"/>
      <c r="CZ88" s="37"/>
      <c r="DA88" s="37"/>
      <c r="DB88" s="37"/>
      <c r="DE88" s="134"/>
    </row>
    <row r="89" spans="1:110" s="3" customFormat="1" x14ac:dyDescent="0.2">
      <c r="A89" s="3" t="s">
        <v>35</v>
      </c>
      <c r="B89" s="3" t="e">
        <f ca="1">'Annual Raw'!C113</f>
        <v>#NAME?</v>
      </c>
      <c r="C89" s="3" t="e">
        <f ca="1">'Annual Raw'!D113</f>
        <v>#NAME?</v>
      </c>
      <c r="D89" s="3" t="e">
        <f ca="1">'Annual Raw'!E113</f>
        <v>#NAME?</v>
      </c>
      <c r="E89" s="3" t="e">
        <f ca="1">'Annual Raw'!F113</f>
        <v>#NAME?</v>
      </c>
      <c r="F89" s="3" t="e">
        <f ca="1">'Annual Raw'!G113</f>
        <v>#NAME?</v>
      </c>
      <c r="G89" s="3" t="e">
        <f ca="1">'Annual Raw'!H113</f>
        <v>#NAME?</v>
      </c>
      <c r="H89" s="3" t="e">
        <f ca="1">'Annual Raw'!I113</f>
        <v>#NAME?</v>
      </c>
      <c r="I89" s="3" t="e">
        <f ca="1">'Annual Raw'!J113</f>
        <v>#NAME?</v>
      </c>
      <c r="J89" s="3" t="e">
        <f ca="1">'Annual Raw'!K113</f>
        <v>#NAME?</v>
      </c>
      <c r="K89" s="3" t="e">
        <f ca="1">'Annual Raw'!L113</f>
        <v>#NAME?</v>
      </c>
      <c r="L89" s="3" t="e">
        <f ca="1">'Annual Raw'!M113</f>
        <v>#NAME?</v>
      </c>
      <c r="M89" s="3" t="e">
        <f ca="1">'Annual Raw'!N113</f>
        <v>#NAME?</v>
      </c>
      <c r="N89" s="3" t="e">
        <f ca="1">'Annual Raw'!O113</f>
        <v>#NAME?</v>
      </c>
      <c r="O89" s="3" t="e">
        <f ca="1">'Annual Raw'!P113</f>
        <v>#NAME?</v>
      </c>
      <c r="P89" s="3" t="e">
        <f ca="1">'Annual Raw'!Q113</f>
        <v>#NAME?</v>
      </c>
      <c r="Q89" s="3" t="e">
        <f ca="1">'Annual Raw'!R113</f>
        <v>#NAME?</v>
      </c>
      <c r="R89" s="3" t="e">
        <f ca="1">'Annual Raw'!S113</f>
        <v>#NAME?</v>
      </c>
      <c r="S89" s="3" t="e">
        <f ca="1">'Annual Raw'!T113</f>
        <v>#NAME?</v>
      </c>
      <c r="T89" s="3" t="e">
        <f ca="1">'Annual Raw'!U113</f>
        <v>#NAME?</v>
      </c>
      <c r="U89" s="3" t="e">
        <f ca="1">'Annual Raw'!V113</f>
        <v>#NAME?</v>
      </c>
      <c r="V89" s="3" t="e">
        <f ca="1">'Annual Raw'!W113</f>
        <v>#NAME?</v>
      </c>
      <c r="W89" s="3" t="e">
        <f ca="1">'Annual Raw'!X113</f>
        <v>#NAME?</v>
      </c>
      <c r="X89" s="3" t="e">
        <f ca="1">'Annual Raw'!Y113</f>
        <v>#NAME?</v>
      </c>
      <c r="Y89" s="3" t="e">
        <f ca="1">'Annual Raw'!Z113</f>
        <v>#NAME?</v>
      </c>
      <c r="Z89" s="3" t="e">
        <f ca="1">'Annual Raw'!AA113</f>
        <v>#NAME?</v>
      </c>
      <c r="AA89" s="3" t="e">
        <f ca="1">'Annual Raw'!AB113</f>
        <v>#NAME?</v>
      </c>
      <c r="AB89" s="37"/>
      <c r="AC89" s="37"/>
      <c r="AD89" s="37"/>
      <c r="AE89" s="37"/>
      <c r="AI89" s="3" t="e">
        <f ca="1">'QTR Raw'!C50</f>
        <v>#NAME?</v>
      </c>
      <c r="AJ89" s="3" t="e">
        <f ca="1">'QTR Raw'!D50</f>
        <v>#NAME?</v>
      </c>
      <c r="AK89" s="3" t="e">
        <f ca="1">'QTR Raw'!E50</f>
        <v>#NAME?</v>
      </c>
      <c r="AL89" s="3" t="e">
        <f ca="1">'QTR Raw'!F50</f>
        <v>#NAME?</v>
      </c>
      <c r="AM89" s="3" t="e">
        <f ca="1">'QTR Raw'!G50</f>
        <v>#NAME?</v>
      </c>
      <c r="AN89" s="3" t="e">
        <f ca="1">'QTR Raw'!H50</f>
        <v>#NAME?</v>
      </c>
      <c r="AO89" s="3" t="e">
        <f ca="1">'QTR Raw'!I50</f>
        <v>#NAME?</v>
      </c>
      <c r="AP89" s="3" t="e">
        <f ca="1">'QTR Raw'!J50</f>
        <v>#NAME?</v>
      </c>
      <c r="AQ89" s="3" t="e">
        <f ca="1">'QTR Raw'!K50</f>
        <v>#NAME?</v>
      </c>
      <c r="AR89" s="3" t="e">
        <f ca="1">'QTR Raw'!L50</f>
        <v>#NAME?</v>
      </c>
      <c r="AS89" s="3" t="e">
        <f ca="1">'QTR Raw'!M50</f>
        <v>#NAME?</v>
      </c>
      <c r="AT89" s="3" t="e">
        <f ca="1">'QTR Raw'!N50</f>
        <v>#NAME?</v>
      </c>
      <c r="AU89" s="3" t="e">
        <f ca="1">'QTR Raw'!O50</f>
        <v>#NAME?</v>
      </c>
      <c r="AV89" s="3" t="e">
        <f ca="1">'QTR Raw'!P50</f>
        <v>#NAME?</v>
      </c>
      <c r="AW89" s="3" t="e">
        <f ca="1">'QTR Raw'!Q50</f>
        <v>#NAME?</v>
      </c>
      <c r="AX89" s="3" t="e">
        <f ca="1">'QTR Raw'!R50</f>
        <v>#NAME?</v>
      </c>
      <c r="AY89" s="3" t="e">
        <f ca="1">'QTR Raw'!S50</f>
        <v>#NAME?</v>
      </c>
      <c r="AZ89" s="3" t="e">
        <f ca="1">'QTR Raw'!T50</f>
        <v>#NAME?</v>
      </c>
      <c r="BA89" s="3" t="e">
        <f ca="1">'QTR Raw'!U50</f>
        <v>#NAME?</v>
      </c>
      <c r="BB89" s="3" t="e">
        <f ca="1">'QTR Raw'!V50</f>
        <v>#NAME?</v>
      </c>
      <c r="BC89" s="3" t="e">
        <f ca="1">'QTR Raw'!W50</f>
        <v>#NAME?</v>
      </c>
      <c r="BD89" s="3" t="e">
        <f ca="1">'QTR Raw'!X50</f>
        <v>#NAME?</v>
      </c>
      <c r="BE89" s="3" t="e">
        <f ca="1">'QTR Raw'!Y50</f>
        <v>#NAME?</v>
      </c>
      <c r="BF89" s="3" t="e">
        <f ca="1">'QTR Raw'!Z50</f>
        <v>#NAME?</v>
      </c>
      <c r="BG89" s="3" t="e">
        <f ca="1">'QTR Raw'!AA50</f>
        <v>#NAME?</v>
      </c>
      <c r="BH89" s="3" t="e">
        <f ca="1">'QTR Raw'!AB50</f>
        <v>#NAME?</v>
      </c>
      <c r="BI89" s="3" t="e">
        <f ca="1">'QTR Raw'!AC50</f>
        <v>#NAME?</v>
      </c>
      <c r="BJ89" s="3" t="e">
        <f ca="1">'QTR Raw'!AD50</f>
        <v>#NAME?</v>
      </c>
      <c r="BK89" s="3" t="e">
        <f ca="1">'QTR Raw'!AE50</f>
        <v>#NAME?</v>
      </c>
      <c r="BL89" s="3" t="e">
        <f ca="1">'QTR Raw'!AF50</f>
        <v>#NAME?</v>
      </c>
      <c r="BM89" s="3" t="e">
        <f ca="1">'QTR Raw'!AG50</f>
        <v>#NAME?</v>
      </c>
      <c r="BN89" s="3" t="e">
        <f ca="1">'QTR Raw'!AH50</f>
        <v>#NAME?</v>
      </c>
      <c r="BO89" s="3" t="e">
        <f ca="1">'QTR Raw'!AI50</f>
        <v>#NAME?</v>
      </c>
      <c r="BP89" s="3" t="e">
        <f ca="1">'QTR Raw'!AJ50</f>
        <v>#NAME?</v>
      </c>
      <c r="BQ89" s="3" t="e">
        <f ca="1">'QTR Raw'!AK50</f>
        <v>#NAME?</v>
      </c>
      <c r="BR89" s="3" t="e">
        <f ca="1">'QTR Raw'!AL50</f>
        <v>#NAME?</v>
      </c>
      <c r="BS89" s="3" t="e">
        <f ca="1">'QTR Raw'!AM50</f>
        <v>#NAME?</v>
      </c>
      <c r="BT89" s="3" t="e">
        <f ca="1">'QTR Raw'!AN50</f>
        <v>#NAME?</v>
      </c>
      <c r="BU89" s="3" t="e">
        <f ca="1">'QTR Raw'!AO50</f>
        <v>#NAME?</v>
      </c>
      <c r="BV89" s="3" t="e">
        <f ca="1">'QTR Raw'!AP50</f>
        <v>#NAME?</v>
      </c>
      <c r="BW89" s="3" t="e">
        <f ca="1">'QTR Raw'!AQ50</f>
        <v>#NAME?</v>
      </c>
      <c r="BX89" s="3" t="e">
        <f ca="1">'QTR Raw'!AR50</f>
        <v>#NAME?</v>
      </c>
      <c r="BY89" s="3" t="e">
        <f ca="1">'QTR Raw'!AS50</f>
        <v>#NAME?</v>
      </c>
      <c r="BZ89" s="3" t="e">
        <f ca="1">'QTR Raw'!AT50</f>
        <v>#NAME?</v>
      </c>
      <c r="CA89" s="3" t="e">
        <f ca="1">'QTR Raw'!AU50</f>
        <v>#NAME?</v>
      </c>
      <c r="CB89" s="3" t="e">
        <f ca="1">'QTR Raw'!AV50</f>
        <v>#NAME?</v>
      </c>
      <c r="CC89" s="3" t="e">
        <f ca="1">'QTR Raw'!AW50</f>
        <v>#NAME?</v>
      </c>
      <c r="CD89" s="3" t="e">
        <f ca="1">'QTR Raw'!AX50</f>
        <v>#NAME?</v>
      </c>
      <c r="CE89" s="3" t="e">
        <f ca="1">'QTR Raw'!AY50</f>
        <v>#NAME?</v>
      </c>
      <c r="CF89" s="3" t="e">
        <f ca="1">'QTR Raw'!AZ50</f>
        <v>#NAME?</v>
      </c>
      <c r="CG89" s="3" t="e">
        <f ca="1">'QTR Raw'!BA50</f>
        <v>#NAME?</v>
      </c>
      <c r="CH89" s="3" t="e">
        <f ca="1">'QTR Raw'!BB50</f>
        <v>#NAME?</v>
      </c>
      <c r="CI89" s="3" t="e">
        <f ca="1">'QTR Raw'!BC50</f>
        <v>#NAME?</v>
      </c>
      <c r="CJ89" s="3" t="e">
        <f ca="1">'QTR Raw'!BD50</f>
        <v>#NAME?</v>
      </c>
      <c r="CK89" s="3" t="e">
        <f ca="1">'QTR Raw'!BE50</f>
        <v>#NAME?</v>
      </c>
      <c r="CL89" s="3" t="e">
        <f ca="1">'QTR Raw'!BF50</f>
        <v>#NAME?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</row>
    <row r="90" spans="1:110" s="3" customFormat="1" x14ac:dyDescent="0.2">
      <c r="AB90" s="37"/>
      <c r="AC90" s="37"/>
      <c r="AD90" s="37"/>
      <c r="AE90" s="37"/>
      <c r="CM90" s="37"/>
      <c r="CN90" s="37"/>
      <c r="CO90" s="37"/>
      <c r="CP90" s="37"/>
      <c r="CQ90" s="37"/>
      <c r="CR90" s="37"/>
      <c r="CS90" s="37"/>
      <c r="CT90" s="37"/>
      <c r="CU90" s="37"/>
      <c r="CV90" s="37"/>
      <c r="CW90" s="37"/>
      <c r="CX90" s="37"/>
      <c r="CY90" s="37"/>
      <c r="CZ90" s="37"/>
      <c r="DA90" s="37"/>
      <c r="DB90" s="37"/>
      <c r="DE90" s="134"/>
    </row>
    <row r="91" spans="1:110" s="13" customFormat="1" x14ac:dyDescent="0.2">
      <c r="A91" s="13" t="s">
        <v>36</v>
      </c>
      <c r="AB91" s="37"/>
      <c r="AC91" s="37"/>
      <c r="AD91" s="37"/>
      <c r="AE91" s="37"/>
      <c r="CM91" s="37"/>
      <c r="CN91" s="37"/>
      <c r="CO91" s="37"/>
      <c r="CP91" s="37"/>
      <c r="CQ91" s="37"/>
      <c r="CR91" s="37"/>
      <c r="CS91" s="37"/>
      <c r="CT91" s="37"/>
      <c r="CU91" s="37"/>
      <c r="CV91" s="37"/>
      <c r="CW91" s="37"/>
      <c r="CX91" s="37"/>
      <c r="CY91" s="37"/>
      <c r="CZ91" s="37"/>
      <c r="DA91" s="37"/>
      <c r="DB91" s="37"/>
      <c r="DE91" s="134"/>
    </row>
    <row r="92" spans="1:110" s="13" customFormat="1" x14ac:dyDescent="0.2">
      <c r="A92" s="13" t="s">
        <v>457</v>
      </c>
      <c r="B92" s="13" t="e">
        <f ca="1">'Annual Raw'!C106</f>
        <v>#NAME?</v>
      </c>
      <c r="C92" s="13" t="e">
        <f ca="1">'Annual Raw'!D106</f>
        <v>#NAME?</v>
      </c>
      <c r="D92" s="13" t="e">
        <f ca="1">'Annual Raw'!E106</f>
        <v>#NAME?</v>
      </c>
      <c r="E92" s="13" t="e">
        <f ca="1">'Annual Raw'!F106</f>
        <v>#NAME?</v>
      </c>
      <c r="F92" s="13" t="e">
        <f ca="1">'Annual Raw'!G106</f>
        <v>#NAME?</v>
      </c>
      <c r="G92" s="13" t="e">
        <f ca="1">'Annual Raw'!H106</f>
        <v>#NAME?</v>
      </c>
      <c r="H92" s="13" t="e">
        <f ca="1">'Annual Raw'!I106</f>
        <v>#NAME?</v>
      </c>
      <c r="I92" s="13" t="e">
        <f ca="1">'Annual Raw'!J106</f>
        <v>#NAME?</v>
      </c>
      <c r="J92" s="13" t="e">
        <f ca="1">'Annual Raw'!K106</f>
        <v>#NAME?</v>
      </c>
      <c r="K92" s="13" t="e">
        <f ca="1">'Annual Raw'!L106</f>
        <v>#NAME?</v>
      </c>
      <c r="L92" s="13" t="e">
        <f ca="1">'Annual Raw'!M106</f>
        <v>#NAME?</v>
      </c>
      <c r="M92" s="13" t="e">
        <f ca="1">'Annual Raw'!N106</f>
        <v>#NAME?</v>
      </c>
      <c r="N92" s="13" t="e">
        <f ca="1">'Annual Raw'!O106</f>
        <v>#NAME?</v>
      </c>
      <c r="O92" s="13" t="e">
        <f ca="1">'Annual Raw'!P106</f>
        <v>#NAME?</v>
      </c>
      <c r="P92" s="13" t="e">
        <f ca="1">'Annual Raw'!Q106</f>
        <v>#NAME?</v>
      </c>
      <c r="Q92" s="13" t="e">
        <f ca="1">'Annual Raw'!R106</f>
        <v>#NAME?</v>
      </c>
      <c r="R92" s="13" t="e">
        <f ca="1">'Annual Raw'!S106</f>
        <v>#NAME?</v>
      </c>
      <c r="S92" s="13" t="e">
        <f ca="1">'Annual Raw'!T106</f>
        <v>#NAME?</v>
      </c>
      <c r="T92" s="13" t="e">
        <f ca="1">'Annual Raw'!U106</f>
        <v>#NAME?</v>
      </c>
      <c r="U92" s="13" t="e">
        <f ca="1">'Annual Raw'!V106</f>
        <v>#NAME?</v>
      </c>
      <c r="V92" s="13" t="e">
        <f ca="1">'Annual Raw'!W106</f>
        <v>#NAME?</v>
      </c>
      <c r="W92" s="13" t="e">
        <f ca="1">'Annual Raw'!X106</f>
        <v>#NAME?</v>
      </c>
      <c r="X92" s="13" t="e">
        <f ca="1">'Annual Raw'!Y106</f>
        <v>#NAME?</v>
      </c>
      <c r="Y92" s="13" t="e">
        <f ca="1">'Annual Raw'!Z106</f>
        <v>#NAME?</v>
      </c>
      <c r="Z92" s="13" t="e">
        <f ca="1">'Annual Raw'!AA106</f>
        <v>#NAME?</v>
      </c>
      <c r="AA92" s="13" t="e">
        <f ca="1">'Annual Raw'!AB106</f>
        <v>#NAME?</v>
      </c>
      <c r="AB92" s="37" t="e">
        <f ca="1">+CP92</f>
        <v>#NAME?</v>
      </c>
      <c r="AC92" s="37" t="e">
        <f ca="1">+CT92</f>
        <v>#NAME?</v>
      </c>
      <c r="AD92" s="37" t="e">
        <f ca="1">+CX92</f>
        <v>#NAME?</v>
      </c>
      <c r="AE92" s="37" t="e">
        <f ca="1">+DB92</f>
        <v>#NAME?</v>
      </c>
      <c r="AJ92" s="13" t="e">
        <f ca="1">'QTR Share Price'!HP21</f>
        <v>#NAME?</v>
      </c>
      <c r="AK92" s="13" t="e">
        <f ca="1">'QTR Share Price'!HQ21</f>
        <v>#NAME?</v>
      </c>
      <c r="AL92" s="13" t="e">
        <f ca="1">'QTR Share Price'!HR21</f>
        <v>#NAME?</v>
      </c>
      <c r="AM92" s="13" t="e">
        <f ca="1">'QTR Share Price'!HS21</f>
        <v>#NAME?</v>
      </c>
      <c r="AN92" s="13" t="e">
        <f ca="1">'QTR Share Price'!HT21</f>
        <v>#NAME?</v>
      </c>
      <c r="AO92" s="13" t="e">
        <f ca="1">'QTR Share Price'!HU21</f>
        <v>#NAME?</v>
      </c>
      <c r="AP92" s="13" t="e">
        <f ca="1">'QTR Share Price'!HV21</f>
        <v>#NAME?</v>
      </c>
      <c r="AQ92" s="13" t="e">
        <f ca="1">'QTR Share Price'!HW21</f>
        <v>#NAME?</v>
      </c>
      <c r="AR92" s="13" t="e">
        <f ca="1">'QTR Share Price'!HX21</f>
        <v>#NAME?</v>
      </c>
      <c r="AS92" s="13" t="e">
        <f ca="1">'QTR Share Price'!HY21</f>
        <v>#NAME?</v>
      </c>
      <c r="AT92" s="13" t="e">
        <f ca="1">'QTR Share Price'!HZ21</f>
        <v>#NAME?</v>
      </c>
      <c r="AU92" s="13" t="e">
        <f ca="1">'QTR Share Price'!IA21</f>
        <v>#NAME?</v>
      </c>
      <c r="AV92" s="13" t="e">
        <f ca="1">'QTR Share Price'!IB21</f>
        <v>#NAME?</v>
      </c>
      <c r="AW92" s="13" t="e">
        <f ca="1">'QTR Share Price'!IC21</f>
        <v>#NAME?</v>
      </c>
      <c r="AX92" s="13" t="e">
        <f ca="1">'QTR Share Price'!ID21</f>
        <v>#NAME?</v>
      </c>
      <c r="AY92" s="13" t="e">
        <f ca="1">'QTR Share Price'!IE21</f>
        <v>#NAME?</v>
      </c>
      <c r="AZ92" s="13" t="e">
        <f ca="1">'QTR Share Price'!IF21</f>
        <v>#NAME?</v>
      </c>
      <c r="BA92" s="13" t="e">
        <f ca="1">'QTR Share Price'!IG21</f>
        <v>#NAME?</v>
      </c>
      <c r="BB92" s="13" t="e">
        <f ca="1">'QTR Share Price'!IH21</f>
        <v>#NAME?</v>
      </c>
      <c r="BC92" s="13" t="e">
        <f ca="1">'QTR Share Price'!II21</f>
        <v>#NAME?</v>
      </c>
      <c r="BD92" s="13" t="e">
        <f ca="1">'QTR Share Price'!IJ21</f>
        <v>#NAME?</v>
      </c>
      <c r="BE92" s="13" t="e">
        <f ca="1">'QTR Share Price'!IK21</f>
        <v>#NAME?</v>
      </c>
      <c r="BF92" s="13" t="e">
        <f ca="1">'QTR Share Price'!IL21</f>
        <v>#NAME?</v>
      </c>
      <c r="BG92" s="13" t="e">
        <f ca="1">'QTR Share Price'!IM21</f>
        <v>#NAME?</v>
      </c>
      <c r="BH92" s="13" t="e">
        <f ca="1">'QTR Share Price'!IN21</f>
        <v>#NAME?</v>
      </c>
      <c r="BI92" s="13" t="e">
        <f ca="1">'QTR Share Price'!IO21</f>
        <v>#NAME?</v>
      </c>
      <c r="BJ92" s="13" t="e">
        <f ca="1">'QTR Share Price'!IP21</f>
        <v>#NAME?</v>
      </c>
      <c r="BK92" s="13" t="e">
        <f ca="1">'QTR Share Price'!IQ21</f>
        <v>#NAME?</v>
      </c>
      <c r="BL92" s="13" t="e">
        <f ca="1">'QTR Share Price'!IR21</f>
        <v>#NAME?</v>
      </c>
      <c r="BM92" s="13" t="e">
        <f ca="1">'QTR Share Price'!IS21</f>
        <v>#NAME?</v>
      </c>
      <c r="BN92" s="13" t="e">
        <f ca="1">'QTR Share Price'!IT21</f>
        <v>#NAME?</v>
      </c>
      <c r="BO92" s="13" t="e">
        <f ca="1">'QTR Share Price'!IU21</f>
        <v>#NAME?</v>
      </c>
      <c r="BP92" s="13" t="e">
        <f ca="1">'QTR Share Price'!IV21</f>
        <v>#NAME?</v>
      </c>
      <c r="BQ92" s="13" t="e">
        <f ca="1">'QTR Share Price'!IW21</f>
        <v>#NAME?</v>
      </c>
      <c r="BR92" s="13" t="e">
        <f ca="1">'QTR Share Price'!IX21</f>
        <v>#NAME?</v>
      </c>
      <c r="BS92" s="13" t="e">
        <f ca="1">'QTR Share Price'!IY21</f>
        <v>#NAME?</v>
      </c>
      <c r="BT92" s="13" t="e">
        <f ca="1">'QTR Share Price'!IZ21</f>
        <v>#NAME?</v>
      </c>
      <c r="BU92" s="13" t="e">
        <f ca="1">'QTR Share Price'!JA21</f>
        <v>#NAME?</v>
      </c>
      <c r="BV92" s="13" t="e">
        <f ca="1">'QTR Share Price'!JB21</f>
        <v>#NAME?</v>
      </c>
      <c r="BW92" s="13" t="e">
        <f ca="1">'QTR Share Price'!JC21</f>
        <v>#NAME?</v>
      </c>
      <c r="BX92" s="13" t="e">
        <f ca="1">'QTR Share Price'!JD21</f>
        <v>#NAME?</v>
      </c>
      <c r="BY92" s="13" t="e">
        <f ca="1">'QTR Share Price'!JE21</f>
        <v>#NAME?</v>
      </c>
      <c r="BZ92" s="13" t="e">
        <f ca="1">'QTR Share Price'!JF21</f>
        <v>#NAME?</v>
      </c>
      <c r="CA92" s="13" t="e">
        <f ca="1">'QTR Share Price'!JG21</f>
        <v>#NAME?</v>
      </c>
      <c r="CB92" s="13" t="e">
        <f ca="1">'QTR Share Price'!JH21</f>
        <v>#NAME?</v>
      </c>
      <c r="CC92" s="13" t="e">
        <f ca="1">'QTR Share Price'!JI21</f>
        <v>#NAME?</v>
      </c>
      <c r="CD92" s="13" t="e">
        <f ca="1">'QTR Share Price'!JJ21</f>
        <v>#NAME?</v>
      </c>
      <c r="CE92" s="13" t="e">
        <f ca="1">'QTR Share Price'!JK21</f>
        <v>#NAME?</v>
      </c>
      <c r="CF92" s="13" t="e">
        <f ca="1">'QTR Share Price'!JL21</f>
        <v>#NAME?</v>
      </c>
      <c r="CG92" s="13" t="e">
        <f ca="1">'QTR Share Price'!JM21</f>
        <v>#NAME?</v>
      </c>
      <c r="CH92" s="13" t="e">
        <f ca="1">'QTR Share Price'!JN21</f>
        <v>#NAME?</v>
      </c>
      <c r="CI92" s="13" t="e">
        <f ca="1">'QTR Share Price'!JO21</f>
        <v>#NAME?</v>
      </c>
      <c r="CJ92" s="13" t="e">
        <f ca="1">'QTR Share Price'!JP21</f>
        <v>#NAME?</v>
      </c>
      <c r="CK92" s="13" t="e">
        <f ca="1">'QTR Share Price'!JQ21</f>
        <v>#NAME?</v>
      </c>
      <c r="CL92" s="13" t="e">
        <f ca="1">'QTR Share Price'!JR21</f>
        <v>#NAME?</v>
      </c>
      <c r="CM92" s="37" t="e">
        <f t="shared" ref="CM92" ca="1" si="846">+CL92</f>
        <v>#NAME?</v>
      </c>
      <c r="CN92" s="37" t="e">
        <f t="shared" ref="CN92" ca="1" si="847">+CM92</f>
        <v>#NAME?</v>
      </c>
      <c r="CO92" s="37" t="e">
        <f t="shared" ref="CO92" ca="1" si="848">+CN92</f>
        <v>#NAME?</v>
      </c>
      <c r="CP92" s="37" t="e">
        <f t="shared" ref="CP92" ca="1" si="849">+CO92</f>
        <v>#NAME?</v>
      </c>
      <c r="CQ92" s="37" t="e">
        <f t="shared" ref="CQ92" ca="1" si="850">+CP92</f>
        <v>#NAME?</v>
      </c>
      <c r="CR92" s="37" t="e">
        <f t="shared" ref="CR92" ca="1" si="851">+CQ92</f>
        <v>#NAME?</v>
      </c>
      <c r="CS92" s="37" t="e">
        <f t="shared" ref="CS92" ca="1" si="852">+CR92</f>
        <v>#NAME?</v>
      </c>
      <c r="CT92" s="37" t="e">
        <f t="shared" ref="CT92" ca="1" si="853">+CS92</f>
        <v>#NAME?</v>
      </c>
      <c r="CU92" s="37" t="e">
        <f t="shared" ref="CU92" ca="1" si="854">+CT92</f>
        <v>#NAME?</v>
      </c>
      <c r="CV92" s="37" t="e">
        <f t="shared" ref="CV92" ca="1" si="855">+CU92</f>
        <v>#NAME?</v>
      </c>
      <c r="CW92" s="37" t="e">
        <f t="shared" ref="CW92" ca="1" si="856">+CV92</f>
        <v>#NAME?</v>
      </c>
      <c r="CX92" s="37" t="e">
        <f t="shared" ref="CX92" ca="1" si="857">+CW92</f>
        <v>#NAME?</v>
      </c>
      <c r="CY92" s="37" t="e">
        <f t="shared" ref="CY92" ca="1" si="858">+CX92</f>
        <v>#NAME?</v>
      </c>
      <c r="CZ92" s="37" t="e">
        <f t="shared" ref="CZ92" ca="1" si="859">+CY92</f>
        <v>#NAME?</v>
      </c>
      <c r="DA92" s="37" t="e">
        <f t="shared" ref="DA92" ca="1" si="860">+CZ92</f>
        <v>#NAME?</v>
      </c>
      <c r="DB92" s="37" t="e">
        <f t="shared" ref="DB92" ca="1" si="861">+DA92</f>
        <v>#NAME?</v>
      </c>
      <c r="DE92" s="134"/>
      <c r="DF92" s="13">
        <v>126.45</v>
      </c>
    </row>
    <row r="93" spans="1:110" s="13" customFormat="1" x14ac:dyDescent="0.2">
      <c r="A93" s="13" t="s">
        <v>458</v>
      </c>
      <c r="B93" s="13" t="e">
        <f ca="1">'Annual Raw'!C107</f>
        <v>#NAME?</v>
      </c>
      <c r="C93" s="13" t="e">
        <f ca="1">'Annual Raw'!D107</f>
        <v>#NAME?</v>
      </c>
      <c r="D93" s="13" t="e">
        <f ca="1">'Annual Raw'!E107</f>
        <v>#NAME?</v>
      </c>
      <c r="E93" s="13" t="e">
        <f ca="1">'Annual Raw'!F107</f>
        <v>#NAME?</v>
      </c>
      <c r="F93" s="13" t="e">
        <f ca="1">'Annual Raw'!G107</f>
        <v>#NAME?</v>
      </c>
      <c r="G93" s="13" t="e">
        <f ca="1">'Annual Raw'!H107</f>
        <v>#NAME?</v>
      </c>
      <c r="H93" s="13" t="e">
        <f ca="1">'Annual Raw'!I107</f>
        <v>#NAME?</v>
      </c>
      <c r="I93" s="13" t="e">
        <f ca="1">'Annual Raw'!J107</f>
        <v>#NAME?</v>
      </c>
      <c r="J93" s="13" t="e">
        <f ca="1">'Annual Raw'!K107</f>
        <v>#NAME?</v>
      </c>
      <c r="K93" s="13" t="e">
        <f ca="1">'Annual Raw'!L107</f>
        <v>#NAME?</v>
      </c>
      <c r="L93" s="13" t="e">
        <f ca="1">'Annual Raw'!M107</f>
        <v>#NAME?</v>
      </c>
      <c r="M93" s="13" t="e">
        <f ca="1">'Annual Raw'!N107</f>
        <v>#NAME?</v>
      </c>
      <c r="N93" s="13" t="e">
        <f ca="1">'Annual Raw'!O107</f>
        <v>#NAME?</v>
      </c>
      <c r="O93" s="13" t="e">
        <f ca="1">'Annual Raw'!P107</f>
        <v>#NAME?</v>
      </c>
      <c r="P93" s="13" t="e">
        <f ca="1">'Annual Raw'!Q107</f>
        <v>#NAME?</v>
      </c>
      <c r="Q93" s="13" t="e">
        <f ca="1">'Annual Raw'!R107</f>
        <v>#NAME?</v>
      </c>
      <c r="R93" s="13" t="e">
        <f ca="1">'Annual Raw'!S107</f>
        <v>#NAME?</v>
      </c>
      <c r="S93" s="13" t="e">
        <f ca="1">'Annual Raw'!T107</f>
        <v>#NAME?</v>
      </c>
      <c r="T93" s="13" t="e">
        <f ca="1">'Annual Raw'!U107</f>
        <v>#NAME?</v>
      </c>
      <c r="U93" s="13" t="e">
        <f ca="1">'Annual Raw'!V107</f>
        <v>#NAME?</v>
      </c>
      <c r="V93" s="13" t="e">
        <f ca="1">'Annual Raw'!W107</f>
        <v>#NAME?</v>
      </c>
      <c r="W93" s="13" t="e">
        <f ca="1">'Annual Raw'!X107</f>
        <v>#NAME?</v>
      </c>
      <c r="X93" s="13" t="e">
        <f ca="1">'Annual Raw'!Y107</f>
        <v>#NAME?</v>
      </c>
      <c r="Y93" s="13" t="e">
        <f ca="1">'Annual Raw'!Z107</f>
        <v>#NAME?</v>
      </c>
      <c r="Z93" s="13" t="e">
        <f ca="1">'Annual Raw'!AA107</f>
        <v>#NAME?</v>
      </c>
      <c r="AA93" s="13" t="e">
        <f ca="1">'Annual Raw'!AB107</f>
        <v>#NAME?</v>
      </c>
      <c r="AB93" s="37" t="e">
        <f ca="1">+MAX(CM93:CP93)</f>
        <v>#NAME?</v>
      </c>
      <c r="AC93" s="37" t="e">
        <f ca="1">+MAX(CQ93:CT93)</f>
        <v>#NAME?</v>
      </c>
      <c r="AD93" s="37" t="e">
        <f ca="1">+MAX(CU93:CX93)</f>
        <v>#NAME?</v>
      </c>
      <c r="AE93" s="37" t="e">
        <f ca="1">+MAX(CY93:DB93)</f>
        <v>#NAME?</v>
      </c>
      <c r="AJ93" s="13" t="e">
        <f ca="1">'QTR Share Price'!HP19</f>
        <v>#NAME?</v>
      </c>
      <c r="AK93" s="13" t="e">
        <f ca="1">'QTR Share Price'!HQ19</f>
        <v>#NAME?</v>
      </c>
      <c r="AL93" s="13" t="e">
        <f ca="1">'QTR Share Price'!HR19</f>
        <v>#NAME?</v>
      </c>
      <c r="AM93" s="13" t="e">
        <f ca="1">'QTR Share Price'!HS19</f>
        <v>#NAME?</v>
      </c>
      <c r="AN93" s="13" t="e">
        <f ca="1">'QTR Share Price'!HT19</f>
        <v>#NAME?</v>
      </c>
      <c r="AO93" s="13" t="e">
        <f ca="1">'QTR Share Price'!HU19</f>
        <v>#NAME?</v>
      </c>
      <c r="AP93" s="13" t="e">
        <f ca="1">'QTR Share Price'!HV19</f>
        <v>#NAME?</v>
      </c>
      <c r="AQ93" s="13" t="e">
        <f ca="1">'QTR Share Price'!HW19</f>
        <v>#NAME?</v>
      </c>
      <c r="AR93" s="13" t="e">
        <f ca="1">'QTR Share Price'!HX19</f>
        <v>#NAME?</v>
      </c>
      <c r="AS93" s="13" t="e">
        <f ca="1">'QTR Share Price'!HY19</f>
        <v>#NAME?</v>
      </c>
      <c r="AT93" s="13" t="e">
        <f ca="1">'QTR Share Price'!HZ19</f>
        <v>#NAME?</v>
      </c>
      <c r="AU93" s="13" t="e">
        <f ca="1">'QTR Share Price'!IA19</f>
        <v>#NAME?</v>
      </c>
      <c r="AV93" s="13" t="e">
        <f ca="1">'QTR Share Price'!IB19</f>
        <v>#NAME?</v>
      </c>
      <c r="AW93" s="13" t="e">
        <f ca="1">'QTR Share Price'!IC19</f>
        <v>#NAME?</v>
      </c>
      <c r="AX93" s="13" t="e">
        <f ca="1">'QTR Share Price'!ID19</f>
        <v>#NAME?</v>
      </c>
      <c r="AY93" s="13" t="e">
        <f ca="1">'QTR Share Price'!IE19</f>
        <v>#NAME?</v>
      </c>
      <c r="AZ93" s="13" t="e">
        <f ca="1">'QTR Share Price'!IF19</f>
        <v>#NAME?</v>
      </c>
      <c r="BA93" s="13" t="e">
        <f ca="1">'QTR Share Price'!IG19</f>
        <v>#NAME?</v>
      </c>
      <c r="BB93" s="13" t="e">
        <f ca="1">'QTR Share Price'!IH19</f>
        <v>#NAME?</v>
      </c>
      <c r="BC93" s="13" t="e">
        <f ca="1">'QTR Share Price'!II19</f>
        <v>#NAME?</v>
      </c>
      <c r="BD93" s="13" t="e">
        <f ca="1">'QTR Share Price'!IJ19</f>
        <v>#NAME?</v>
      </c>
      <c r="BE93" s="13" t="e">
        <f ca="1">'QTR Share Price'!IK19</f>
        <v>#NAME?</v>
      </c>
      <c r="BF93" s="13" t="e">
        <f ca="1">'QTR Share Price'!IL19</f>
        <v>#NAME?</v>
      </c>
      <c r="BG93" s="13" t="e">
        <f ca="1">'QTR Share Price'!IM19</f>
        <v>#NAME?</v>
      </c>
      <c r="BH93" s="13" t="e">
        <f ca="1">'QTR Share Price'!IN19</f>
        <v>#NAME?</v>
      </c>
      <c r="BI93" s="13" t="e">
        <f ca="1">'QTR Share Price'!IO19</f>
        <v>#NAME?</v>
      </c>
      <c r="BJ93" s="13" t="e">
        <f ca="1">'QTR Share Price'!IP19</f>
        <v>#NAME?</v>
      </c>
      <c r="BK93" s="13" t="e">
        <f ca="1">'QTR Share Price'!IQ19</f>
        <v>#NAME?</v>
      </c>
      <c r="BL93" s="13" t="e">
        <f ca="1">'QTR Share Price'!IR19</f>
        <v>#NAME?</v>
      </c>
      <c r="BM93" s="13" t="e">
        <f ca="1">'QTR Share Price'!IS19</f>
        <v>#NAME?</v>
      </c>
      <c r="BN93" s="13" t="e">
        <f ca="1">'QTR Share Price'!IT19</f>
        <v>#NAME?</v>
      </c>
      <c r="BO93" s="13" t="e">
        <f ca="1">'QTR Share Price'!IU19</f>
        <v>#NAME?</v>
      </c>
      <c r="BP93" s="13" t="e">
        <f ca="1">'QTR Share Price'!IV19</f>
        <v>#NAME?</v>
      </c>
      <c r="BQ93" s="13" t="e">
        <f ca="1">'QTR Share Price'!IW19</f>
        <v>#NAME?</v>
      </c>
      <c r="BR93" s="13" t="e">
        <f ca="1">'QTR Share Price'!IX19</f>
        <v>#NAME?</v>
      </c>
      <c r="BS93" s="13" t="e">
        <f ca="1">'QTR Share Price'!IY19</f>
        <v>#NAME?</v>
      </c>
      <c r="BT93" s="13" t="e">
        <f ca="1">'QTR Share Price'!IZ19</f>
        <v>#NAME?</v>
      </c>
      <c r="BU93" s="13" t="e">
        <f ca="1">'QTR Share Price'!JA19</f>
        <v>#NAME?</v>
      </c>
      <c r="BV93" s="13" t="e">
        <f ca="1">'QTR Share Price'!JB19</f>
        <v>#NAME?</v>
      </c>
      <c r="BW93" s="13" t="e">
        <f ca="1">'QTR Share Price'!JC19</f>
        <v>#NAME?</v>
      </c>
      <c r="BX93" s="13" t="e">
        <f ca="1">'QTR Share Price'!JD19</f>
        <v>#NAME?</v>
      </c>
      <c r="BY93" s="13" t="e">
        <f ca="1">'QTR Share Price'!JE19</f>
        <v>#NAME?</v>
      </c>
      <c r="BZ93" s="13" t="e">
        <f ca="1">'QTR Share Price'!JF19</f>
        <v>#NAME?</v>
      </c>
      <c r="CA93" s="13" t="e">
        <f ca="1">'QTR Share Price'!JG19</f>
        <v>#NAME?</v>
      </c>
      <c r="CB93" s="13" t="e">
        <f ca="1">'QTR Share Price'!JH19</f>
        <v>#NAME?</v>
      </c>
      <c r="CC93" s="13" t="e">
        <f ca="1">'QTR Share Price'!JI19</f>
        <v>#NAME?</v>
      </c>
      <c r="CD93" s="13" t="e">
        <f ca="1">'QTR Share Price'!JJ19</f>
        <v>#NAME?</v>
      </c>
      <c r="CE93" s="13" t="e">
        <f ca="1">'QTR Share Price'!JK19</f>
        <v>#NAME?</v>
      </c>
      <c r="CF93" s="13" t="e">
        <f ca="1">'QTR Share Price'!JL19</f>
        <v>#NAME?</v>
      </c>
      <c r="CG93" s="13" t="e">
        <f ca="1">'QTR Share Price'!JM19</f>
        <v>#NAME?</v>
      </c>
      <c r="CH93" s="13" t="e">
        <f ca="1">'QTR Share Price'!JN19</f>
        <v>#NAME?</v>
      </c>
      <c r="CI93" s="13" t="e">
        <f ca="1">'QTR Share Price'!JO19</f>
        <v>#NAME?</v>
      </c>
      <c r="CJ93" s="13" t="e">
        <f ca="1">'QTR Share Price'!JP19</f>
        <v>#NAME?</v>
      </c>
      <c r="CK93" s="13" t="e">
        <f ca="1">'QTR Share Price'!JQ19</f>
        <v>#NAME?</v>
      </c>
      <c r="CL93" s="13" t="e">
        <f ca="1">'QTR Share Price'!JR19</f>
        <v>#NAME?</v>
      </c>
      <c r="CM93" s="37" t="e">
        <f t="shared" ref="CM93:DB93" ca="1" si="862">+CM84*CM101</f>
        <v>#NAME?</v>
      </c>
      <c r="CN93" s="37" t="e">
        <f t="shared" ca="1" si="862"/>
        <v>#NAME?</v>
      </c>
      <c r="CO93" s="37" t="e">
        <f t="shared" ca="1" si="862"/>
        <v>#NAME?</v>
      </c>
      <c r="CP93" s="37" t="e">
        <f t="shared" ca="1" si="862"/>
        <v>#NAME?</v>
      </c>
      <c r="CQ93" s="37" t="e">
        <f t="shared" ca="1" si="862"/>
        <v>#NAME?</v>
      </c>
      <c r="CR93" s="37" t="e">
        <f t="shared" ca="1" si="862"/>
        <v>#NAME?</v>
      </c>
      <c r="CS93" s="37" t="e">
        <f t="shared" ca="1" si="862"/>
        <v>#NAME?</v>
      </c>
      <c r="CT93" s="37" t="e">
        <f t="shared" ca="1" si="862"/>
        <v>#NAME?</v>
      </c>
      <c r="CU93" s="37" t="e">
        <f t="shared" ca="1" si="862"/>
        <v>#NAME?</v>
      </c>
      <c r="CV93" s="37" t="e">
        <f t="shared" ca="1" si="862"/>
        <v>#NAME?</v>
      </c>
      <c r="CW93" s="37" t="e">
        <f t="shared" ca="1" si="862"/>
        <v>#NAME?</v>
      </c>
      <c r="CX93" s="37" t="e">
        <f t="shared" ca="1" si="862"/>
        <v>#NAME?</v>
      </c>
      <c r="CY93" s="37" t="e">
        <f t="shared" ca="1" si="862"/>
        <v>#NAME?</v>
      </c>
      <c r="CZ93" s="37" t="e">
        <f t="shared" ca="1" si="862"/>
        <v>#NAME?</v>
      </c>
      <c r="DA93" s="37" t="e">
        <f t="shared" ca="1" si="862"/>
        <v>#NAME?</v>
      </c>
      <c r="DB93" s="37" t="e">
        <f t="shared" ca="1" si="862"/>
        <v>#NAME?</v>
      </c>
      <c r="DE93" s="134"/>
      <c r="DF93" s="13">
        <v>215</v>
      </c>
    </row>
    <row r="94" spans="1:110" s="13" customFormat="1" x14ac:dyDescent="0.2">
      <c r="A94" s="13" t="s">
        <v>459</v>
      </c>
      <c r="B94" s="13" t="e">
        <f ca="1">'Annual Raw'!C108</f>
        <v>#NAME?</v>
      </c>
      <c r="C94" s="13" t="e">
        <f ca="1">'Annual Raw'!D108</f>
        <v>#NAME?</v>
      </c>
      <c r="D94" s="13" t="e">
        <f ca="1">'Annual Raw'!E108</f>
        <v>#NAME?</v>
      </c>
      <c r="E94" s="13" t="e">
        <f ca="1">'Annual Raw'!F108</f>
        <v>#NAME?</v>
      </c>
      <c r="F94" s="13" t="e">
        <f ca="1">'Annual Raw'!G108</f>
        <v>#NAME?</v>
      </c>
      <c r="G94" s="13" t="e">
        <f ca="1">'Annual Raw'!H108</f>
        <v>#NAME?</v>
      </c>
      <c r="H94" s="13" t="e">
        <f ca="1">'Annual Raw'!I108</f>
        <v>#NAME?</v>
      </c>
      <c r="I94" s="13" t="e">
        <f ca="1">'Annual Raw'!J108</f>
        <v>#NAME?</v>
      </c>
      <c r="J94" s="13" t="e">
        <f ca="1">'Annual Raw'!K108</f>
        <v>#NAME?</v>
      </c>
      <c r="K94" s="13" t="e">
        <f ca="1">'Annual Raw'!L108</f>
        <v>#NAME?</v>
      </c>
      <c r="L94" s="13" t="e">
        <f ca="1">'Annual Raw'!M108</f>
        <v>#NAME?</v>
      </c>
      <c r="M94" s="13" t="e">
        <f ca="1">'Annual Raw'!N108</f>
        <v>#NAME?</v>
      </c>
      <c r="N94" s="13" t="e">
        <f ca="1">'Annual Raw'!O108</f>
        <v>#NAME?</v>
      </c>
      <c r="O94" s="13" t="e">
        <f ca="1">'Annual Raw'!P108</f>
        <v>#NAME?</v>
      </c>
      <c r="P94" s="13" t="e">
        <f ca="1">'Annual Raw'!Q108</f>
        <v>#NAME?</v>
      </c>
      <c r="Q94" s="13" t="e">
        <f ca="1">'Annual Raw'!R108</f>
        <v>#NAME?</v>
      </c>
      <c r="R94" s="13" t="e">
        <f ca="1">'Annual Raw'!S108</f>
        <v>#NAME?</v>
      </c>
      <c r="S94" s="13" t="e">
        <f ca="1">'Annual Raw'!T108</f>
        <v>#NAME?</v>
      </c>
      <c r="T94" s="13" t="e">
        <f ca="1">'Annual Raw'!U108</f>
        <v>#NAME?</v>
      </c>
      <c r="U94" s="13" t="e">
        <f ca="1">'Annual Raw'!V108</f>
        <v>#NAME?</v>
      </c>
      <c r="V94" s="13" t="e">
        <f ca="1">'Annual Raw'!W108</f>
        <v>#NAME?</v>
      </c>
      <c r="W94" s="13" t="e">
        <f ca="1">'Annual Raw'!X108</f>
        <v>#NAME?</v>
      </c>
      <c r="X94" s="13" t="e">
        <f ca="1">'Annual Raw'!Y108</f>
        <v>#NAME?</v>
      </c>
      <c r="Y94" s="13" t="e">
        <f ca="1">'Annual Raw'!Z108</f>
        <v>#NAME?</v>
      </c>
      <c r="Z94" s="13" t="e">
        <f ca="1">'Annual Raw'!AA108</f>
        <v>#NAME?</v>
      </c>
      <c r="AA94" s="13" t="e">
        <f ca="1">'Annual Raw'!AB108</f>
        <v>#NAME?</v>
      </c>
      <c r="AB94" s="37" t="e">
        <f ca="1">+MIN(CM94:CP94)</f>
        <v>#NAME?</v>
      </c>
      <c r="AC94" s="37" t="e">
        <f ca="1">+MIN(CQ94:CT94)</f>
        <v>#NAME?</v>
      </c>
      <c r="AD94" s="37" t="e">
        <f ca="1">+MIN(CU94:CX94)</f>
        <v>#NAME?</v>
      </c>
      <c r="AE94" s="37" t="e">
        <f ca="1">+MIN(CY94:DB94)</f>
        <v>#NAME?</v>
      </c>
      <c r="AJ94" s="13" t="e">
        <f ca="1">+'QTR Share Price'!HP20</f>
        <v>#NAME?</v>
      </c>
      <c r="AK94" s="13" t="e">
        <f ca="1">+'QTR Share Price'!HQ20</f>
        <v>#NAME?</v>
      </c>
      <c r="AL94" s="13" t="e">
        <f ca="1">+'QTR Share Price'!HR20</f>
        <v>#NAME?</v>
      </c>
      <c r="AM94" s="13" t="e">
        <f ca="1">+'QTR Share Price'!HS20</f>
        <v>#NAME?</v>
      </c>
      <c r="AN94" s="13" t="e">
        <f ca="1">+'QTR Share Price'!HT20</f>
        <v>#NAME?</v>
      </c>
      <c r="AO94" s="13" t="e">
        <f ca="1">+'QTR Share Price'!HU20</f>
        <v>#NAME?</v>
      </c>
      <c r="AP94" s="13" t="e">
        <f ca="1">+'QTR Share Price'!HV20</f>
        <v>#NAME?</v>
      </c>
      <c r="AQ94" s="13" t="e">
        <f ca="1">+'QTR Share Price'!HW20</f>
        <v>#NAME?</v>
      </c>
      <c r="AR94" s="13" t="e">
        <f ca="1">+'QTR Share Price'!HX20</f>
        <v>#NAME?</v>
      </c>
      <c r="AS94" s="13" t="e">
        <f ca="1">+'QTR Share Price'!HY20</f>
        <v>#NAME?</v>
      </c>
      <c r="AT94" s="13" t="e">
        <f ca="1">+'QTR Share Price'!HZ20</f>
        <v>#NAME?</v>
      </c>
      <c r="AU94" s="13" t="e">
        <f ca="1">+'QTR Share Price'!IA20</f>
        <v>#NAME?</v>
      </c>
      <c r="AV94" s="13" t="e">
        <f ca="1">+'QTR Share Price'!IB20</f>
        <v>#NAME?</v>
      </c>
      <c r="AW94" s="13" t="e">
        <f ca="1">+'QTR Share Price'!IC20</f>
        <v>#NAME?</v>
      </c>
      <c r="AX94" s="13" t="e">
        <f ca="1">+'QTR Share Price'!ID20</f>
        <v>#NAME?</v>
      </c>
      <c r="AY94" s="13" t="e">
        <f ca="1">+'QTR Share Price'!IE20</f>
        <v>#NAME?</v>
      </c>
      <c r="AZ94" s="13" t="e">
        <f ca="1">+'QTR Share Price'!IF20</f>
        <v>#NAME?</v>
      </c>
      <c r="BA94" s="13" t="e">
        <f ca="1">+'QTR Share Price'!IG20</f>
        <v>#NAME?</v>
      </c>
      <c r="BB94" s="13" t="e">
        <f ca="1">+'QTR Share Price'!IH20</f>
        <v>#NAME?</v>
      </c>
      <c r="BC94" s="13" t="e">
        <f ca="1">+'QTR Share Price'!II20</f>
        <v>#NAME?</v>
      </c>
      <c r="BD94" s="13" t="e">
        <f ca="1">+'QTR Share Price'!IJ20</f>
        <v>#NAME?</v>
      </c>
      <c r="BE94" s="13" t="e">
        <f ca="1">+'QTR Share Price'!IK20</f>
        <v>#NAME?</v>
      </c>
      <c r="BF94" s="13" t="e">
        <f ca="1">+'QTR Share Price'!IL20</f>
        <v>#NAME?</v>
      </c>
      <c r="BG94" s="13" t="e">
        <f ca="1">+'QTR Share Price'!IM20</f>
        <v>#NAME?</v>
      </c>
      <c r="BH94" s="13" t="e">
        <f ca="1">+'QTR Share Price'!IN20</f>
        <v>#NAME?</v>
      </c>
      <c r="BI94" s="13" t="e">
        <f ca="1">+'QTR Share Price'!IO20</f>
        <v>#NAME?</v>
      </c>
      <c r="BJ94" s="13" t="e">
        <f ca="1">+'QTR Share Price'!IP20</f>
        <v>#NAME?</v>
      </c>
      <c r="BK94" s="13" t="e">
        <f ca="1">+'QTR Share Price'!IQ20</f>
        <v>#NAME?</v>
      </c>
      <c r="BL94" s="13" t="e">
        <f ca="1">+'QTR Share Price'!IR20</f>
        <v>#NAME?</v>
      </c>
      <c r="BM94" s="13" t="e">
        <f ca="1">+'QTR Share Price'!IS20</f>
        <v>#NAME?</v>
      </c>
      <c r="BN94" s="13" t="e">
        <f ca="1">+'QTR Share Price'!IT20</f>
        <v>#NAME?</v>
      </c>
      <c r="BO94" s="13" t="e">
        <f ca="1">+'QTR Share Price'!IU20</f>
        <v>#NAME?</v>
      </c>
      <c r="BP94" s="13" t="e">
        <f ca="1">+'QTR Share Price'!IV20</f>
        <v>#NAME?</v>
      </c>
      <c r="BQ94" s="13" t="e">
        <f ca="1">+'QTR Share Price'!IW20</f>
        <v>#NAME?</v>
      </c>
      <c r="BR94" s="13" t="e">
        <f ca="1">+'QTR Share Price'!IX20</f>
        <v>#NAME?</v>
      </c>
      <c r="BS94" s="13" t="e">
        <f ca="1">+'QTR Share Price'!IY20</f>
        <v>#NAME?</v>
      </c>
      <c r="BT94" s="13" t="e">
        <f ca="1">+'QTR Share Price'!IZ20</f>
        <v>#NAME?</v>
      </c>
      <c r="BU94" s="13" t="e">
        <f ca="1">+'QTR Share Price'!JA20</f>
        <v>#NAME?</v>
      </c>
      <c r="BV94" s="13" t="e">
        <f ca="1">+'QTR Share Price'!JB20</f>
        <v>#NAME?</v>
      </c>
      <c r="BW94" s="13" t="e">
        <f ca="1">+'QTR Share Price'!JC20</f>
        <v>#NAME?</v>
      </c>
      <c r="BX94" s="13" t="e">
        <f ca="1">+'QTR Share Price'!JD20</f>
        <v>#NAME?</v>
      </c>
      <c r="BY94" s="13" t="e">
        <f ca="1">+'QTR Share Price'!JE20</f>
        <v>#NAME?</v>
      </c>
      <c r="BZ94" s="13" t="e">
        <f ca="1">+'QTR Share Price'!JF20</f>
        <v>#NAME?</v>
      </c>
      <c r="CA94" s="13" t="e">
        <f ca="1">+'QTR Share Price'!JG20</f>
        <v>#NAME?</v>
      </c>
      <c r="CB94" s="13" t="e">
        <f ca="1">+'QTR Share Price'!JH20</f>
        <v>#NAME?</v>
      </c>
      <c r="CC94" s="13" t="e">
        <f ca="1">+'QTR Share Price'!JI20</f>
        <v>#NAME?</v>
      </c>
      <c r="CD94" s="13" t="e">
        <f ca="1">+'QTR Share Price'!JJ20</f>
        <v>#NAME?</v>
      </c>
      <c r="CE94" s="13" t="e">
        <f ca="1">+'QTR Share Price'!JK20</f>
        <v>#NAME?</v>
      </c>
      <c r="CF94" s="13" t="e">
        <f ca="1">+'QTR Share Price'!JL20</f>
        <v>#NAME?</v>
      </c>
      <c r="CG94" s="13" t="e">
        <f ca="1">+'QTR Share Price'!JM20</f>
        <v>#NAME?</v>
      </c>
      <c r="CH94" s="13" t="e">
        <f ca="1">+'QTR Share Price'!JN20</f>
        <v>#NAME?</v>
      </c>
      <c r="CI94" s="13" t="e">
        <f ca="1">+'QTR Share Price'!JO20</f>
        <v>#NAME?</v>
      </c>
      <c r="CJ94" s="13" t="e">
        <f ca="1">+'QTR Share Price'!JP20</f>
        <v>#NAME?</v>
      </c>
      <c r="CK94" s="13" t="e">
        <f ca="1">+'QTR Share Price'!JQ20</f>
        <v>#NAME?</v>
      </c>
      <c r="CL94" s="13" t="e">
        <f ca="1">+'QTR Share Price'!JR20</f>
        <v>#NAME?</v>
      </c>
      <c r="CM94" s="37" t="e">
        <f t="shared" ref="CM94:DB94" ca="1" si="863">+CM102*CM84</f>
        <v>#NAME?</v>
      </c>
      <c r="CN94" s="37" t="e">
        <f t="shared" ca="1" si="863"/>
        <v>#NAME?</v>
      </c>
      <c r="CO94" s="37" t="e">
        <f t="shared" ca="1" si="863"/>
        <v>#NAME?</v>
      </c>
      <c r="CP94" s="37" t="e">
        <f t="shared" ca="1" si="863"/>
        <v>#NAME?</v>
      </c>
      <c r="CQ94" s="37" t="e">
        <f t="shared" ca="1" si="863"/>
        <v>#NAME?</v>
      </c>
      <c r="CR94" s="37" t="e">
        <f t="shared" ca="1" si="863"/>
        <v>#NAME?</v>
      </c>
      <c r="CS94" s="37" t="e">
        <f t="shared" ca="1" si="863"/>
        <v>#NAME?</v>
      </c>
      <c r="CT94" s="37" t="e">
        <f t="shared" ca="1" si="863"/>
        <v>#NAME?</v>
      </c>
      <c r="CU94" s="37" t="e">
        <f t="shared" ca="1" si="863"/>
        <v>#NAME?</v>
      </c>
      <c r="CV94" s="37" t="e">
        <f t="shared" ca="1" si="863"/>
        <v>#NAME?</v>
      </c>
      <c r="CW94" s="37" t="e">
        <f t="shared" ca="1" si="863"/>
        <v>#NAME?</v>
      </c>
      <c r="CX94" s="37" t="e">
        <f t="shared" ca="1" si="863"/>
        <v>#NAME?</v>
      </c>
      <c r="CY94" s="37" t="e">
        <f t="shared" ca="1" si="863"/>
        <v>#NAME?</v>
      </c>
      <c r="CZ94" s="37" t="e">
        <f t="shared" ca="1" si="863"/>
        <v>#NAME?</v>
      </c>
      <c r="DA94" s="37" t="e">
        <f t="shared" ca="1" si="863"/>
        <v>#NAME?</v>
      </c>
      <c r="DB94" s="37" t="e">
        <f t="shared" ca="1" si="863"/>
        <v>#NAME?</v>
      </c>
      <c r="DE94" s="134"/>
      <c r="DF94" s="13">
        <v>90.325709677312005</v>
      </c>
    </row>
    <row r="95" spans="1:110" s="14" customFormat="1" x14ac:dyDescent="0.2">
      <c r="AB95" s="16"/>
      <c r="AC95" s="16"/>
      <c r="AD95" s="16"/>
      <c r="AE95" s="16"/>
      <c r="CM95" s="37"/>
      <c r="CN95" s="37"/>
      <c r="CO95" s="37"/>
      <c r="CP95" s="37"/>
      <c r="CQ95" s="37"/>
      <c r="CR95" s="37"/>
      <c r="CS95" s="37"/>
      <c r="CT95" s="37"/>
      <c r="CU95" s="37"/>
      <c r="CV95" s="37"/>
      <c r="CW95" s="37"/>
      <c r="CX95" s="37"/>
      <c r="CY95" s="37"/>
      <c r="CZ95" s="37"/>
      <c r="DA95" s="37"/>
      <c r="DB95" s="37"/>
      <c r="DE95" s="134"/>
    </row>
    <row r="96" spans="1:110" s="51" customFormat="1" x14ac:dyDescent="0.2">
      <c r="A96" s="51" t="s">
        <v>346</v>
      </c>
      <c r="AB96" s="48" t="e">
        <f t="shared" ref="AB96:AD96" ca="1" si="864">+AB93/AB92-1</f>
        <v>#NAME?</v>
      </c>
      <c r="AC96" s="48" t="e">
        <f t="shared" ca="1" si="864"/>
        <v>#NAME?</v>
      </c>
      <c r="AD96" s="48" t="e">
        <f t="shared" ca="1" si="864"/>
        <v>#NAME?</v>
      </c>
      <c r="AE96" s="48" t="e">
        <f t="shared" ref="AE96" ca="1" si="865">+AE93/AE92-1</f>
        <v>#NAME?</v>
      </c>
      <c r="CM96" s="48" t="e">
        <f t="shared" ref="CM96:DB96" ca="1" si="866">+CM93/CM92-1</f>
        <v>#NAME?</v>
      </c>
      <c r="CN96" s="48" t="e">
        <f t="shared" ca="1" si="866"/>
        <v>#NAME?</v>
      </c>
      <c r="CO96" s="48" t="e">
        <f t="shared" ca="1" si="866"/>
        <v>#NAME?</v>
      </c>
      <c r="CP96" s="48" t="e">
        <f t="shared" ca="1" si="866"/>
        <v>#NAME?</v>
      </c>
      <c r="CQ96" s="48" t="e">
        <f t="shared" ca="1" si="866"/>
        <v>#NAME?</v>
      </c>
      <c r="CR96" s="48" t="e">
        <f t="shared" ca="1" si="866"/>
        <v>#NAME?</v>
      </c>
      <c r="CS96" s="48" t="e">
        <f t="shared" ca="1" si="866"/>
        <v>#NAME?</v>
      </c>
      <c r="CT96" s="48" t="e">
        <f t="shared" ca="1" si="866"/>
        <v>#NAME?</v>
      </c>
      <c r="CU96" s="48" t="e">
        <f t="shared" ca="1" si="866"/>
        <v>#NAME?</v>
      </c>
      <c r="CV96" s="48" t="e">
        <f t="shared" ca="1" si="866"/>
        <v>#NAME?</v>
      </c>
      <c r="CW96" s="48" t="e">
        <f t="shared" ca="1" si="866"/>
        <v>#NAME?</v>
      </c>
      <c r="CX96" s="48" t="e">
        <f t="shared" ca="1" si="866"/>
        <v>#NAME?</v>
      </c>
      <c r="CY96" s="48" t="e">
        <f t="shared" ca="1" si="866"/>
        <v>#NAME?</v>
      </c>
      <c r="CZ96" s="48" t="e">
        <f t="shared" ca="1" si="866"/>
        <v>#NAME?</v>
      </c>
      <c r="DA96" s="48" t="e">
        <f t="shared" ca="1" si="866"/>
        <v>#NAME?</v>
      </c>
      <c r="DB96" s="48" t="e">
        <f t="shared" ca="1" si="866"/>
        <v>#NAME?</v>
      </c>
      <c r="DE96" s="129"/>
      <c r="DF96" s="51">
        <v>0.70027678924476078</v>
      </c>
    </row>
    <row r="97" spans="1:110" s="51" customFormat="1" x14ac:dyDescent="0.2">
      <c r="A97" s="51" t="s">
        <v>347</v>
      </c>
      <c r="AB97" s="48" t="e">
        <f t="shared" ref="AB97:AD97" ca="1" si="867">+AB94/AB92-1</f>
        <v>#NAME?</v>
      </c>
      <c r="AC97" s="48" t="e">
        <f t="shared" ca="1" si="867"/>
        <v>#NAME?</v>
      </c>
      <c r="AD97" s="48" t="e">
        <f t="shared" ca="1" si="867"/>
        <v>#NAME?</v>
      </c>
      <c r="AE97" s="48" t="e">
        <f t="shared" ref="AE97" ca="1" si="868">+AE94/AE92-1</f>
        <v>#NAME?</v>
      </c>
      <c r="CM97" s="48" t="e">
        <f t="shared" ref="CM97:DB97" ca="1" si="869">+CM94/CM92-1</f>
        <v>#NAME?</v>
      </c>
      <c r="CN97" s="48" t="e">
        <f t="shared" ca="1" si="869"/>
        <v>#NAME?</v>
      </c>
      <c r="CO97" s="48" t="e">
        <f t="shared" ca="1" si="869"/>
        <v>#NAME?</v>
      </c>
      <c r="CP97" s="48" t="e">
        <f t="shared" ca="1" si="869"/>
        <v>#NAME?</v>
      </c>
      <c r="CQ97" s="48" t="e">
        <f t="shared" ca="1" si="869"/>
        <v>#NAME?</v>
      </c>
      <c r="CR97" s="48" t="e">
        <f t="shared" ca="1" si="869"/>
        <v>#NAME?</v>
      </c>
      <c r="CS97" s="48" t="e">
        <f t="shared" ca="1" si="869"/>
        <v>#NAME?</v>
      </c>
      <c r="CT97" s="48" t="e">
        <f t="shared" ca="1" si="869"/>
        <v>#NAME?</v>
      </c>
      <c r="CU97" s="48" t="e">
        <f t="shared" ca="1" si="869"/>
        <v>#NAME?</v>
      </c>
      <c r="CV97" s="48" t="e">
        <f t="shared" ca="1" si="869"/>
        <v>#NAME?</v>
      </c>
      <c r="CW97" s="48" t="e">
        <f t="shared" ca="1" si="869"/>
        <v>#NAME?</v>
      </c>
      <c r="CX97" s="48" t="e">
        <f t="shared" ca="1" si="869"/>
        <v>#NAME?</v>
      </c>
      <c r="CY97" s="48" t="e">
        <f t="shared" ca="1" si="869"/>
        <v>#NAME?</v>
      </c>
      <c r="CZ97" s="48" t="e">
        <f t="shared" ca="1" si="869"/>
        <v>#NAME?</v>
      </c>
      <c r="DA97" s="48" t="e">
        <f t="shared" ca="1" si="869"/>
        <v>#NAME?</v>
      </c>
      <c r="DB97" s="48" t="e">
        <f t="shared" ca="1" si="869"/>
        <v>#NAME?</v>
      </c>
      <c r="DE97" s="129"/>
      <c r="DF97" s="51">
        <v>-0.28568042959816531</v>
      </c>
    </row>
    <row r="98" spans="1:110" s="14" customFormat="1" x14ac:dyDescent="0.2">
      <c r="AB98" s="16"/>
      <c r="AC98" s="16"/>
      <c r="AD98" s="16"/>
      <c r="AE98" s="16"/>
      <c r="CM98" s="37"/>
      <c r="CN98" s="37"/>
      <c r="CO98" s="37"/>
      <c r="CP98" s="37"/>
      <c r="CQ98" s="37"/>
      <c r="CR98" s="37"/>
      <c r="CS98" s="37"/>
      <c r="CT98" s="37"/>
      <c r="CU98" s="37"/>
      <c r="CV98" s="37"/>
      <c r="CW98" s="37"/>
      <c r="CX98" s="37"/>
      <c r="CY98" s="37"/>
      <c r="CZ98" s="37"/>
      <c r="DA98" s="37"/>
      <c r="DB98" s="37"/>
      <c r="DE98" s="134"/>
    </row>
    <row r="99" spans="1:110" s="13" customFormat="1" x14ac:dyDescent="0.2">
      <c r="A99" s="13" t="s">
        <v>40</v>
      </c>
      <c r="AB99" s="37"/>
      <c r="AC99" s="37"/>
      <c r="AD99" s="37"/>
      <c r="AE99" s="37"/>
      <c r="CM99" s="37"/>
      <c r="CN99" s="37"/>
      <c r="CO99" s="37"/>
      <c r="CP99" s="37"/>
      <c r="CQ99" s="37"/>
      <c r="CR99" s="37"/>
      <c r="CS99" s="37"/>
      <c r="CT99" s="37"/>
      <c r="CU99" s="37"/>
      <c r="CV99" s="37"/>
      <c r="CW99" s="37"/>
      <c r="CX99" s="37"/>
      <c r="CY99" s="37"/>
      <c r="CZ99" s="37"/>
      <c r="DA99" s="37"/>
      <c r="DB99" s="37"/>
      <c r="DE99" s="134"/>
    </row>
    <row r="100" spans="1:110" s="13" customFormat="1" x14ac:dyDescent="0.2">
      <c r="A100" s="13" t="s">
        <v>460</v>
      </c>
      <c r="B100" s="13" t="e">
        <f t="shared" ref="B100:D100" ca="1" si="870">+B92/B84</f>
        <v>#NAME?</v>
      </c>
      <c r="C100" s="13" t="e">
        <f t="shared" ca="1" si="870"/>
        <v>#NAME?</v>
      </c>
      <c r="D100" s="13" t="e">
        <f t="shared" ca="1" si="870"/>
        <v>#NAME?</v>
      </c>
      <c r="E100" s="13">
        <f t="shared" ref="E100:AE100" ca="1" si="871">+E92/E84</f>
        <v>3.7041615661563814</v>
      </c>
      <c r="F100" s="13">
        <f t="shared" ca="1" si="871"/>
        <v>46.428788034015064</v>
      </c>
      <c r="G100" s="13">
        <f t="shared" ca="1" si="871"/>
        <v>28.210514115081288</v>
      </c>
      <c r="H100" s="13">
        <f t="shared" ca="1" si="871"/>
        <v>7.2540740378588158</v>
      </c>
      <c r="I100" s="13">
        <f t="shared" ca="1" si="871"/>
        <v>6.8661872407881033</v>
      </c>
      <c r="J100" s="13">
        <f t="shared" ca="1" si="871"/>
        <v>6.4724369784469111</v>
      </c>
      <c r="K100" s="13">
        <f t="shared" ca="1" si="871"/>
        <v>26.057237246577529</v>
      </c>
      <c r="L100" s="13">
        <f t="shared" ca="1" si="871"/>
        <v>10.118192568413335</v>
      </c>
      <c r="M100" s="13">
        <f t="shared" ca="1" si="871"/>
        <v>7.1466823681466503</v>
      </c>
      <c r="N100" s="13">
        <f t="shared" ca="1" si="871"/>
        <v>3.8990322916352635</v>
      </c>
      <c r="O100" s="13">
        <f t="shared" ca="1" si="871"/>
        <v>-18.829076232428708</v>
      </c>
      <c r="P100" s="13">
        <f t="shared" ca="1" si="871"/>
        <v>55.682589804704392</v>
      </c>
      <c r="Q100" s="13">
        <f t="shared" ca="1" si="871"/>
        <v>88.492786335508001</v>
      </c>
      <c r="R100" s="13">
        <f t="shared" ca="1" si="871"/>
        <v>89.954799207728328</v>
      </c>
      <c r="S100" s="13">
        <f t="shared" ca="1" si="871"/>
        <v>12.404418093431813</v>
      </c>
      <c r="T100" s="13">
        <f t="shared" ca="1" si="871"/>
        <v>9.8899149954914307</v>
      </c>
      <c r="U100" s="13">
        <f t="shared" ca="1" si="871"/>
        <v>6.4647303096144197</v>
      </c>
      <c r="V100" s="13">
        <f t="shared" ca="1" si="871"/>
        <v>10.382580078566207</v>
      </c>
      <c r="W100" s="13">
        <f t="shared" ca="1" si="871"/>
        <v>23.944768430197737</v>
      </c>
      <c r="X100" s="13">
        <f t="shared" ca="1" si="871"/>
        <v>25.327579419926952</v>
      </c>
      <c r="Y100" s="13">
        <f t="shared" ca="1" si="871"/>
        <v>47.565270133832946</v>
      </c>
      <c r="Z100" s="13">
        <f t="shared" ref="Z100:AA100" ca="1" si="872">+Z92/Z84</f>
        <v>50.729176865058925</v>
      </c>
      <c r="AA100" s="13">
        <f t="shared" ca="1" si="872"/>
        <v>50.729176865058925</v>
      </c>
      <c r="AB100" s="37">
        <f t="shared" ca="1" si="871"/>
        <v>211.21195891079122</v>
      </c>
      <c r="AC100" s="37">
        <f t="shared" ca="1" si="871"/>
        <v>145.17074956227302</v>
      </c>
      <c r="AD100" s="37">
        <f t="shared" ca="1" si="871"/>
        <v>109.71831785894443</v>
      </c>
      <c r="AE100" s="37">
        <f t="shared" ca="1" si="871"/>
        <v>87.081411462586658</v>
      </c>
      <c r="AL100" s="13" t="e">
        <f t="shared" ref="AL100:BQ100" ca="1" si="873">+AL92/AL84</f>
        <v>#NAME?</v>
      </c>
      <c r="AM100" s="13" t="e">
        <f t="shared" ca="1" si="873"/>
        <v>#NAME?</v>
      </c>
      <c r="AN100" s="13" t="e">
        <f t="shared" ca="1" si="873"/>
        <v>#NAME?</v>
      </c>
      <c r="AO100" s="13" t="e">
        <f t="shared" ca="1" si="873"/>
        <v>#NAME?</v>
      </c>
      <c r="AP100" s="13" t="e">
        <f t="shared" ca="1" si="873"/>
        <v>#NAME?</v>
      </c>
      <c r="AQ100" s="13" t="e">
        <f t="shared" ca="1" si="873"/>
        <v>#NAME?</v>
      </c>
      <c r="AR100" s="13" t="e">
        <f t="shared" ca="1" si="873"/>
        <v>#NAME?</v>
      </c>
      <c r="AS100" s="13" t="e">
        <f t="shared" ca="1" si="873"/>
        <v>#NAME?</v>
      </c>
      <c r="AT100" s="13" t="e">
        <f t="shared" ca="1" si="873"/>
        <v>#NAME?</v>
      </c>
      <c r="AU100" s="13" t="e">
        <f t="shared" ca="1" si="873"/>
        <v>#NAME?</v>
      </c>
      <c r="AV100" s="13" t="e">
        <f t="shared" ca="1" si="873"/>
        <v>#NAME?</v>
      </c>
      <c r="AW100" s="13" t="e">
        <f t="shared" ca="1" si="873"/>
        <v>#NAME?</v>
      </c>
      <c r="AX100" s="13" t="e">
        <f t="shared" ca="1" si="873"/>
        <v>#NAME?</v>
      </c>
      <c r="AY100" s="13" t="e">
        <f t="shared" ca="1" si="873"/>
        <v>#NAME?</v>
      </c>
      <c r="AZ100" s="13" t="e">
        <f t="shared" ca="1" si="873"/>
        <v>#NAME?</v>
      </c>
      <c r="BA100" s="13" t="e">
        <f t="shared" ca="1" si="873"/>
        <v>#NAME?</v>
      </c>
      <c r="BB100" s="13" t="e">
        <f t="shared" ca="1" si="873"/>
        <v>#NAME?</v>
      </c>
      <c r="BC100" s="13" t="e">
        <f t="shared" ca="1" si="873"/>
        <v>#NAME?</v>
      </c>
      <c r="BD100" s="13" t="e">
        <f t="shared" ca="1" si="873"/>
        <v>#NAME?</v>
      </c>
      <c r="BE100" s="13" t="e">
        <f t="shared" ca="1" si="873"/>
        <v>#NAME?</v>
      </c>
      <c r="BF100" s="13" t="e">
        <f t="shared" ca="1" si="873"/>
        <v>#NAME?</v>
      </c>
      <c r="BG100" s="13" t="e">
        <f t="shared" ca="1" si="873"/>
        <v>#NAME?</v>
      </c>
      <c r="BH100" s="13" t="e">
        <f t="shared" ca="1" si="873"/>
        <v>#NAME?</v>
      </c>
      <c r="BI100" s="13" t="e">
        <f t="shared" ca="1" si="873"/>
        <v>#NAME?</v>
      </c>
      <c r="BJ100" s="13" t="e">
        <f t="shared" ca="1" si="873"/>
        <v>#NAME?</v>
      </c>
      <c r="BK100" s="13" t="e">
        <f t="shared" ca="1" si="873"/>
        <v>#NAME?</v>
      </c>
      <c r="BL100" s="13" t="e">
        <f t="shared" ca="1" si="873"/>
        <v>#NAME?</v>
      </c>
      <c r="BM100" s="13" t="e">
        <f t="shared" ca="1" si="873"/>
        <v>#NAME?</v>
      </c>
      <c r="BN100" s="13" t="e">
        <f t="shared" ca="1" si="873"/>
        <v>#NAME?</v>
      </c>
      <c r="BO100" s="13" t="e">
        <f t="shared" ca="1" si="873"/>
        <v>#NAME?</v>
      </c>
      <c r="BP100" s="13" t="e">
        <f t="shared" ca="1" si="873"/>
        <v>#NAME?</v>
      </c>
      <c r="BQ100" s="13" t="e">
        <f t="shared" ca="1" si="873"/>
        <v>#NAME?</v>
      </c>
      <c r="BR100" s="13" t="e">
        <f t="shared" ref="BR100:DB100" ca="1" si="874">+BR92/BR84</f>
        <v>#NAME?</v>
      </c>
      <c r="BS100" s="13" t="e">
        <f t="shared" ca="1" si="874"/>
        <v>#NAME?</v>
      </c>
      <c r="BT100" s="13" t="e">
        <f t="shared" ca="1" si="874"/>
        <v>#NAME?</v>
      </c>
      <c r="BU100" s="13" t="e">
        <f t="shared" ca="1" si="874"/>
        <v>#NAME?</v>
      </c>
      <c r="BV100" s="13" t="e">
        <f t="shared" ca="1" si="874"/>
        <v>#NAME?</v>
      </c>
      <c r="BW100" s="13" t="e">
        <f t="shared" ca="1" si="874"/>
        <v>#NAME?</v>
      </c>
      <c r="BX100" s="13" t="e">
        <f t="shared" ca="1" si="874"/>
        <v>#NAME?</v>
      </c>
      <c r="BY100" s="13" t="e">
        <f t="shared" ca="1" si="874"/>
        <v>#NAME?</v>
      </c>
      <c r="BZ100" s="13" t="e">
        <f t="shared" ca="1" si="874"/>
        <v>#NAME?</v>
      </c>
      <c r="CA100" s="13" t="e">
        <f t="shared" ca="1" si="874"/>
        <v>#NAME?</v>
      </c>
      <c r="CB100" s="13" t="e">
        <f t="shared" ca="1" si="874"/>
        <v>#NAME?</v>
      </c>
      <c r="CC100" s="13" t="e">
        <f t="shared" ca="1" si="874"/>
        <v>#NAME?</v>
      </c>
      <c r="CD100" s="13" t="e">
        <f t="shared" ca="1" si="874"/>
        <v>#NAME?</v>
      </c>
      <c r="CE100" s="13" t="e">
        <f t="shared" ca="1" si="874"/>
        <v>#NAME?</v>
      </c>
      <c r="CF100" s="13" t="e">
        <f t="shared" ca="1" si="874"/>
        <v>#NAME?</v>
      </c>
      <c r="CG100" s="13" t="e">
        <f t="shared" ca="1" si="874"/>
        <v>#NAME?</v>
      </c>
      <c r="CH100" s="13" t="e">
        <f t="shared" ca="1" si="874"/>
        <v>#NAME?</v>
      </c>
      <c r="CI100" s="13" t="e">
        <f t="shared" ref="CI100:CJ100" ca="1" si="875">+CI92/CI84</f>
        <v>#NAME?</v>
      </c>
      <c r="CJ100" s="13" t="e">
        <f t="shared" ca="1" si="875"/>
        <v>#NAME?</v>
      </c>
      <c r="CK100" s="13" t="e">
        <f t="shared" ref="CK100:CL100" ca="1" si="876">+CK92/CK84</f>
        <v>#NAME?</v>
      </c>
      <c r="CL100" s="13" t="e">
        <f t="shared" ca="1" si="876"/>
        <v>#NAME?</v>
      </c>
      <c r="CM100" s="37" t="e">
        <f t="shared" ca="1" si="874"/>
        <v>#NAME?</v>
      </c>
      <c r="CN100" s="37" t="e">
        <f t="shared" ca="1" si="874"/>
        <v>#NAME?</v>
      </c>
      <c r="CO100" s="37" t="e">
        <f t="shared" ca="1" si="874"/>
        <v>#NAME?</v>
      </c>
      <c r="CP100" s="37" t="e">
        <f t="shared" ca="1" si="874"/>
        <v>#NAME?</v>
      </c>
      <c r="CQ100" s="37" t="e">
        <f t="shared" ca="1" si="874"/>
        <v>#NAME?</v>
      </c>
      <c r="CR100" s="37" t="e">
        <f t="shared" ca="1" si="874"/>
        <v>#NAME?</v>
      </c>
      <c r="CS100" s="37" t="e">
        <f t="shared" ca="1" si="874"/>
        <v>#NAME?</v>
      </c>
      <c r="CT100" s="37" t="e">
        <f t="shared" ca="1" si="874"/>
        <v>#NAME?</v>
      </c>
      <c r="CU100" s="37" t="e">
        <f t="shared" ca="1" si="874"/>
        <v>#NAME?</v>
      </c>
      <c r="CV100" s="37" t="e">
        <f t="shared" ca="1" si="874"/>
        <v>#NAME?</v>
      </c>
      <c r="CW100" s="37" t="e">
        <f t="shared" ca="1" si="874"/>
        <v>#NAME?</v>
      </c>
      <c r="CX100" s="37" t="e">
        <f t="shared" ca="1" si="874"/>
        <v>#NAME?</v>
      </c>
      <c r="CY100" s="37" t="e">
        <f t="shared" ca="1" si="874"/>
        <v>#NAME?</v>
      </c>
      <c r="CZ100" s="37" t="e">
        <f t="shared" ca="1" si="874"/>
        <v>#NAME?</v>
      </c>
      <c r="DA100" s="37" t="e">
        <f t="shared" ca="1" si="874"/>
        <v>#NAME?</v>
      </c>
      <c r="DB100" s="37" t="e">
        <f t="shared" ca="1" si="874"/>
        <v>#NAME?</v>
      </c>
      <c r="DE100" s="134"/>
      <c r="DF100" s="13">
        <v>223.87413046375235</v>
      </c>
    </row>
    <row r="101" spans="1:110" s="13" customFormat="1" x14ac:dyDescent="0.2">
      <c r="A101" s="13" t="s">
        <v>461</v>
      </c>
      <c r="B101" s="13" t="e">
        <f t="shared" ref="B101:D101" ca="1" si="877">+B93/B84</f>
        <v>#NAME?</v>
      </c>
      <c r="C101" s="13" t="e">
        <f t="shared" ca="1" si="877"/>
        <v>#NAME?</v>
      </c>
      <c r="D101" s="13" t="e">
        <f t="shared" ca="1" si="877"/>
        <v>#NAME?</v>
      </c>
      <c r="E101" s="13">
        <f t="shared" ref="E101:AE101" ca="1" si="878">+E93/E84</f>
        <v>5.2297273667363449</v>
      </c>
      <c r="F101" s="13">
        <f t="shared" ca="1" si="878"/>
        <v>60.955882834678803</v>
      </c>
      <c r="G101" s="13">
        <f t="shared" ca="1" si="878"/>
        <v>81.894540593818775</v>
      </c>
      <c r="H101" s="13">
        <f t="shared" ca="1" si="878"/>
        <v>19.108292587530556</v>
      </c>
      <c r="I101" s="13">
        <f t="shared" ca="1" si="878"/>
        <v>15.87590872870036</v>
      </c>
      <c r="J101" s="13">
        <f t="shared" ca="1" si="878"/>
        <v>14.091467413922969</v>
      </c>
      <c r="K101" s="13">
        <f t="shared" ca="1" si="878"/>
        <v>33.649027157568035</v>
      </c>
      <c r="L101" s="13">
        <f t="shared" ca="1" si="878"/>
        <v>14.54757915424714</v>
      </c>
      <c r="M101" s="13">
        <f t="shared" ca="1" si="878"/>
        <v>8.103537723034643</v>
      </c>
      <c r="N101" s="13">
        <f t="shared" ca="1" si="878"/>
        <v>5.1578258294976269</v>
      </c>
      <c r="O101" s="13">
        <f t="shared" ca="1" si="878"/>
        <v>-28.905176486539137</v>
      </c>
      <c r="P101" s="13">
        <f t="shared" ca="1" si="878"/>
        <v>89.50670103971072</v>
      </c>
      <c r="Q101" s="13">
        <f t="shared" ca="1" si="878"/>
        <v>119.83398149600042</v>
      </c>
      <c r="R101" s="13">
        <f t="shared" ca="1" si="878"/>
        <v>89.954799207728328</v>
      </c>
      <c r="S101" s="13">
        <f t="shared" ca="1" si="878"/>
        <v>15.455362608324551</v>
      </c>
      <c r="T101" s="13">
        <f t="shared" ca="1" si="878"/>
        <v>27.40518047008927</v>
      </c>
      <c r="U101" s="13">
        <f t="shared" ca="1" si="878"/>
        <v>13.301109260326175</v>
      </c>
      <c r="V101" s="13">
        <f t="shared" ca="1" si="878"/>
        <v>13.143583398428119</v>
      </c>
      <c r="W101" s="13">
        <f t="shared" ca="1" si="878"/>
        <v>24.814444479649733</v>
      </c>
      <c r="X101" s="13">
        <f t="shared" ca="1" si="878"/>
        <v>29.730739586541358</v>
      </c>
      <c r="Y101" s="13">
        <f t="shared" ca="1" si="878"/>
        <v>67.264018371076688</v>
      </c>
      <c r="Z101" s="13">
        <f t="shared" ref="Z101:AA101" ca="1" si="879">+Z93/Z84</f>
        <v>100.11631201411093</v>
      </c>
      <c r="AA101" s="13">
        <f t="shared" ca="1" si="879"/>
        <v>100.11631201411093</v>
      </c>
      <c r="AB101" s="60">
        <f t="shared" ca="1" si="878"/>
        <v>299.53848487298615</v>
      </c>
      <c r="AC101" s="60">
        <f t="shared" ca="1" si="878"/>
        <v>299.53848487298688</v>
      </c>
      <c r="AD101" s="60">
        <f t="shared" ca="1" si="878"/>
        <v>299.53848487298734</v>
      </c>
      <c r="AE101" s="60">
        <f t="shared" ca="1" si="878"/>
        <v>299.53848487298688</v>
      </c>
      <c r="AL101" s="13" t="e">
        <f t="shared" ref="AL101:BQ101" ca="1" si="880">+AL93/AL84</f>
        <v>#NAME?</v>
      </c>
      <c r="AM101" s="13" t="e">
        <f t="shared" ca="1" si="880"/>
        <v>#NAME?</v>
      </c>
      <c r="AN101" s="13" t="e">
        <f t="shared" ca="1" si="880"/>
        <v>#NAME?</v>
      </c>
      <c r="AO101" s="13" t="e">
        <f t="shared" ca="1" si="880"/>
        <v>#NAME?</v>
      </c>
      <c r="AP101" s="13" t="e">
        <f t="shared" ca="1" si="880"/>
        <v>#NAME?</v>
      </c>
      <c r="AQ101" s="13" t="e">
        <f t="shared" ca="1" si="880"/>
        <v>#NAME?</v>
      </c>
      <c r="AR101" s="13" t="e">
        <f t="shared" ca="1" si="880"/>
        <v>#NAME?</v>
      </c>
      <c r="AS101" s="13" t="e">
        <f t="shared" ca="1" si="880"/>
        <v>#NAME?</v>
      </c>
      <c r="AT101" s="13" t="e">
        <f t="shared" ca="1" si="880"/>
        <v>#NAME?</v>
      </c>
      <c r="AU101" s="13" t="e">
        <f t="shared" ca="1" si="880"/>
        <v>#NAME?</v>
      </c>
      <c r="AV101" s="13" t="e">
        <f t="shared" ca="1" si="880"/>
        <v>#NAME?</v>
      </c>
      <c r="AW101" s="13" t="e">
        <f t="shared" ca="1" si="880"/>
        <v>#NAME?</v>
      </c>
      <c r="AX101" s="13" t="e">
        <f t="shared" ca="1" si="880"/>
        <v>#NAME?</v>
      </c>
      <c r="AY101" s="13" t="e">
        <f t="shared" ca="1" si="880"/>
        <v>#NAME?</v>
      </c>
      <c r="AZ101" s="13" t="e">
        <f t="shared" ca="1" si="880"/>
        <v>#NAME?</v>
      </c>
      <c r="BA101" s="13" t="e">
        <f t="shared" ca="1" si="880"/>
        <v>#NAME?</v>
      </c>
      <c r="BB101" s="13" t="e">
        <f t="shared" ca="1" si="880"/>
        <v>#NAME?</v>
      </c>
      <c r="BC101" s="13" t="e">
        <f t="shared" ca="1" si="880"/>
        <v>#NAME?</v>
      </c>
      <c r="BD101" s="13" t="e">
        <f t="shared" ca="1" si="880"/>
        <v>#NAME?</v>
      </c>
      <c r="BE101" s="13" t="e">
        <f t="shared" ca="1" si="880"/>
        <v>#NAME?</v>
      </c>
      <c r="BF101" s="13" t="e">
        <f t="shared" ca="1" si="880"/>
        <v>#NAME?</v>
      </c>
      <c r="BG101" s="13" t="e">
        <f t="shared" ca="1" si="880"/>
        <v>#NAME?</v>
      </c>
      <c r="BH101" s="13" t="e">
        <f t="shared" ca="1" si="880"/>
        <v>#NAME?</v>
      </c>
      <c r="BI101" s="13" t="e">
        <f t="shared" ca="1" si="880"/>
        <v>#NAME?</v>
      </c>
      <c r="BJ101" s="13" t="e">
        <f t="shared" ca="1" si="880"/>
        <v>#NAME?</v>
      </c>
      <c r="BK101" s="13" t="e">
        <f t="shared" ca="1" si="880"/>
        <v>#NAME?</v>
      </c>
      <c r="BL101" s="13" t="e">
        <f t="shared" ca="1" si="880"/>
        <v>#NAME?</v>
      </c>
      <c r="BM101" s="13" t="e">
        <f t="shared" ca="1" si="880"/>
        <v>#NAME?</v>
      </c>
      <c r="BN101" s="13" t="e">
        <f t="shared" ca="1" si="880"/>
        <v>#NAME?</v>
      </c>
      <c r="BO101" s="13" t="e">
        <f t="shared" ca="1" si="880"/>
        <v>#NAME?</v>
      </c>
      <c r="BP101" s="13" t="e">
        <f t="shared" ca="1" si="880"/>
        <v>#NAME?</v>
      </c>
      <c r="BQ101" s="13" t="e">
        <f t="shared" ca="1" si="880"/>
        <v>#NAME?</v>
      </c>
      <c r="BR101" s="13" t="e">
        <f t="shared" ref="BR101:CH101" ca="1" si="881">+BR93/BR84</f>
        <v>#NAME?</v>
      </c>
      <c r="BS101" s="13" t="e">
        <f t="shared" ca="1" si="881"/>
        <v>#NAME?</v>
      </c>
      <c r="BT101" s="13" t="e">
        <f t="shared" ca="1" si="881"/>
        <v>#NAME?</v>
      </c>
      <c r="BU101" s="13" t="e">
        <f t="shared" ca="1" si="881"/>
        <v>#NAME?</v>
      </c>
      <c r="BV101" s="13" t="e">
        <f t="shared" ca="1" si="881"/>
        <v>#NAME?</v>
      </c>
      <c r="BW101" s="13" t="e">
        <f t="shared" ca="1" si="881"/>
        <v>#NAME?</v>
      </c>
      <c r="BX101" s="13" t="e">
        <f t="shared" ca="1" si="881"/>
        <v>#NAME?</v>
      </c>
      <c r="BY101" s="13" t="e">
        <f t="shared" ca="1" si="881"/>
        <v>#NAME?</v>
      </c>
      <c r="BZ101" s="13" t="e">
        <f t="shared" ca="1" si="881"/>
        <v>#NAME?</v>
      </c>
      <c r="CA101" s="13" t="e">
        <f t="shared" ca="1" si="881"/>
        <v>#NAME?</v>
      </c>
      <c r="CB101" s="13" t="e">
        <f t="shared" ca="1" si="881"/>
        <v>#NAME?</v>
      </c>
      <c r="CC101" s="13" t="e">
        <f t="shared" ca="1" si="881"/>
        <v>#NAME?</v>
      </c>
      <c r="CD101" s="13" t="e">
        <f t="shared" ca="1" si="881"/>
        <v>#NAME?</v>
      </c>
      <c r="CE101" s="13" t="e">
        <f t="shared" ca="1" si="881"/>
        <v>#NAME?</v>
      </c>
      <c r="CF101" s="13" t="e">
        <f t="shared" ca="1" si="881"/>
        <v>#NAME?</v>
      </c>
      <c r="CG101" s="13" t="e">
        <f t="shared" ca="1" si="881"/>
        <v>#NAME?</v>
      </c>
      <c r="CH101" s="13" t="e">
        <f t="shared" ca="1" si="881"/>
        <v>#NAME?</v>
      </c>
      <c r="CI101" s="13" t="e">
        <f t="shared" ref="CI101:CJ101" ca="1" si="882">+CI93/CI84</f>
        <v>#NAME?</v>
      </c>
      <c r="CJ101" s="13" t="e">
        <f t="shared" ca="1" si="882"/>
        <v>#NAME?</v>
      </c>
      <c r="CK101" s="13" t="e">
        <f t="shared" ref="CK101:CL101" ca="1" si="883">+CK93/CK84</f>
        <v>#NAME?</v>
      </c>
      <c r="CL101" s="13" t="e">
        <f t="shared" ca="1" si="883"/>
        <v>#NAME?</v>
      </c>
      <c r="CM101" s="60" t="e">
        <f t="shared" ref="CM101:CM102" ca="1" si="884">+CL101</f>
        <v>#NAME?</v>
      </c>
      <c r="CN101" s="60" t="e">
        <f t="shared" ref="CN101:CN102" ca="1" si="885">+CM101</f>
        <v>#NAME?</v>
      </c>
      <c r="CO101" s="60" t="e">
        <f t="shared" ref="CO101:CO102" ca="1" si="886">+CN101</f>
        <v>#NAME?</v>
      </c>
      <c r="CP101" s="60" t="e">
        <f t="shared" ref="CP101:CP102" ca="1" si="887">+CO101</f>
        <v>#NAME?</v>
      </c>
      <c r="CQ101" s="60" t="e">
        <f t="shared" ref="CQ101:CQ102" ca="1" si="888">+CP101</f>
        <v>#NAME?</v>
      </c>
      <c r="CR101" s="60" t="e">
        <f t="shared" ref="CR101:CR102" ca="1" si="889">+CQ101</f>
        <v>#NAME?</v>
      </c>
      <c r="CS101" s="60" t="e">
        <f t="shared" ref="CS101:CS102" ca="1" si="890">+CR101</f>
        <v>#NAME?</v>
      </c>
      <c r="CT101" s="60" t="e">
        <f t="shared" ref="CT101:CT102" ca="1" si="891">+CS101</f>
        <v>#NAME?</v>
      </c>
      <c r="CU101" s="60" t="e">
        <f t="shared" ref="CU101:CU102" ca="1" si="892">+CT101</f>
        <v>#NAME?</v>
      </c>
      <c r="CV101" s="60" t="e">
        <f t="shared" ref="CV101:CV102" ca="1" si="893">+CU101</f>
        <v>#NAME?</v>
      </c>
      <c r="CW101" s="60" t="e">
        <f t="shared" ref="CW101:CW102" ca="1" si="894">+CV101</f>
        <v>#NAME?</v>
      </c>
      <c r="CX101" s="60" t="e">
        <f t="shared" ref="CX101:CX102" ca="1" si="895">+CW101</f>
        <v>#NAME?</v>
      </c>
      <c r="CY101" s="60" t="e">
        <f t="shared" ref="CY101:CY102" ca="1" si="896">+CX101</f>
        <v>#NAME?</v>
      </c>
      <c r="CZ101" s="60" t="e">
        <f t="shared" ref="CZ101:CZ102" ca="1" si="897">+CY101</f>
        <v>#NAME?</v>
      </c>
      <c r="DA101" s="60" t="e">
        <f t="shared" ref="DA101:DA102" ca="1" si="898">+CZ101</f>
        <v>#NAME?</v>
      </c>
      <c r="DB101" s="60" t="e">
        <f t="shared" ref="DB101:DB102" ca="1" si="899">+DA101</f>
        <v>#NAME?</v>
      </c>
      <c r="DE101" s="136"/>
      <c r="DF101" s="13">
        <v>380.6479877398715</v>
      </c>
    </row>
    <row r="102" spans="1:110" s="13" customFormat="1" x14ac:dyDescent="0.2">
      <c r="A102" s="13" t="s">
        <v>462</v>
      </c>
      <c r="B102" s="13" t="e">
        <f t="shared" ref="B102:D102" ca="1" si="900">+B94/B84</f>
        <v>#NAME?</v>
      </c>
      <c r="C102" s="13" t="e">
        <f t="shared" ca="1" si="900"/>
        <v>#NAME?</v>
      </c>
      <c r="D102" s="13" t="e">
        <f t="shared" ca="1" si="900"/>
        <v>#NAME?</v>
      </c>
      <c r="E102" s="13">
        <f t="shared" ref="E102:AE102" ca="1" si="901">+E94/E84</f>
        <v>0.96033818381831992</v>
      </c>
      <c r="F102" s="13">
        <f t="shared" ca="1" si="901"/>
        <v>4.8455824517828816</v>
      </c>
      <c r="G102" s="13">
        <f t="shared" ca="1" si="901"/>
        <v>24.783874127076722</v>
      </c>
      <c r="H102" s="13">
        <f t="shared" ca="1" si="901"/>
        <v>6.8019230815695115</v>
      </c>
      <c r="I102" s="13">
        <f t="shared" ca="1" si="901"/>
        <v>4.1265899944636351</v>
      </c>
      <c r="J102" s="13">
        <f t="shared" ca="1" si="901"/>
        <v>3.8219781900970204</v>
      </c>
      <c r="K102" s="13">
        <f t="shared" ca="1" si="901"/>
        <v>14.847484956130236</v>
      </c>
      <c r="L102" s="13">
        <f t="shared" ca="1" si="901"/>
        <v>7.0253326893301757</v>
      </c>
      <c r="M102" s="13">
        <f t="shared" ca="1" si="901"/>
        <v>5.1086345218597504</v>
      </c>
      <c r="N102" s="13">
        <f t="shared" ca="1" si="901"/>
        <v>3.2309034138467703</v>
      </c>
      <c r="O102" s="13">
        <f t="shared" ca="1" si="901"/>
        <v>-15.877491309507461</v>
      </c>
      <c r="P102" s="13">
        <f t="shared" ca="1" si="901"/>
        <v>20.727867609196178</v>
      </c>
      <c r="Q102" s="13">
        <f t="shared" ca="1" si="901"/>
        <v>53.251668700293592</v>
      </c>
      <c r="R102" s="13">
        <f t="shared" ca="1" si="901"/>
        <v>48.096531074539719</v>
      </c>
      <c r="S102" s="13">
        <f t="shared" ca="1" si="901"/>
        <v>4.4274567471998063</v>
      </c>
      <c r="T102" s="13">
        <f t="shared" ca="1" si="901"/>
        <v>7.8557567525758261</v>
      </c>
      <c r="U102" s="13">
        <f t="shared" ca="1" si="901"/>
        <v>5.4769273424872438</v>
      </c>
      <c r="V102" s="13">
        <f t="shared" ca="1" si="901"/>
        <v>4.4187031262203584</v>
      </c>
      <c r="W102" s="13">
        <f t="shared" ca="1" si="901"/>
        <v>8.6850555678773933</v>
      </c>
      <c r="X102" s="13">
        <f t="shared" ca="1" si="901"/>
        <v>14.85909748534103</v>
      </c>
      <c r="Y102" s="13">
        <f t="shared" ca="1" si="901"/>
        <v>13.126092727841577</v>
      </c>
      <c r="Z102" s="13">
        <f t="shared" ref="Z102:AA102" ca="1" si="902">+Z94/Z84</f>
        <v>44.309743990159369</v>
      </c>
      <c r="AA102" s="13">
        <f t="shared" ca="1" si="902"/>
        <v>44.309743990159369</v>
      </c>
      <c r="AB102" s="60">
        <f t="shared" ca="1" si="901"/>
        <v>190.57598446204145</v>
      </c>
      <c r="AC102" s="60">
        <f t="shared" ca="1" si="901"/>
        <v>159.98399115809769</v>
      </c>
      <c r="AD102" s="60">
        <f t="shared" ca="1" si="901"/>
        <v>169.76544974376048</v>
      </c>
      <c r="AE102" s="60">
        <f t="shared" ca="1" si="901"/>
        <v>175.56568946240378</v>
      </c>
      <c r="AL102" s="13" t="e">
        <f t="shared" ref="AL102:BQ102" ca="1" si="903">+AL94/AL84</f>
        <v>#NAME?</v>
      </c>
      <c r="AM102" s="13" t="e">
        <f t="shared" ca="1" si="903"/>
        <v>#NAME?</v>
      </c>
      <c r="AN102" s="13" t="e">
        <f t="shared" ca="1" si="903"/>
        <v>#NAME?</v>
      </c>
      <c r="AO102" s="13" t="e">
        <f t="shared" ca="1" si="903"/>
        <v>#NAME?</v>
      </c>
      <c r="AP102" s="13" t="e">
        <f t="shared" ca="1" si="903"/>
        <v>#NAME?</v>
      </c>
      <c r="AQ102" s="13" t="e">
        <f t="shared" ca="1" si="903"/>
        <v>#NAME?</v>
      </c>
      <c r="AR102" s="13" t="e">
        <f t="shared" ca="1" si="903"/>
        <v>#NAME?</v>
      </c>
      <c r="AS102" s="13" t="e">
        <f t="shared" ca="1" si="903"/>
        <v>#NAME?</v>
      </c>
      <c r="AT102" s="13" t="e">
        <f t="shared" ca="1" si="903"/>
        <v>#NAME?</v>
      </c>
      <c r="AU102" s="13" t="e">
        <f t="shared" ca="1" si="903"/>
        <v>#NAME?</v>
      </c>
      <c r="AV102" s="13" t="e">
        <f t="shared" ca="1" si="903"/>
        <v>#NAME?</v>
      </c>
      <c r="AW102" s="13" t="e">
        <f t="shared" ca="1" si="903"/>
        <v>#NAME?</v>
      </c>
      <c r="AX102" s="13" t="e">
        <f t="shared" ca="1" si="903"/>
        <v>#NAME?</v>
      </c>
      <c r="AY102" s="13" t="e">
        <f t="shared" ca="1" si="903"/>
        <v>#NAME?</v>
      </c>
      <c r="AZ102" s="13" t="e">
        <f t="shared" ca="1" si="903"/>
        <v>#NAME?</v>
      </c>
      <c r="BA102" s="13" t="e">
        <f t="shared" ca="1" si="903"/>
        <v>#NAME?</v>
      </c>
      <c r="BB102" s="13" t="e">
        <f t="shared" ca="1" si="903"/>
        <v>#NAME?</v>
      </c>
      <c r="BC102" s="13" t="e">
        <f t="shared" ca="1" si="903"/>
        <v>#NAME?</v>
      </c>
      <c r="BD102" s="13" t="e">
        <f t="shared" ca="1" si="903"/>
        <v>#NAME?</v>
      </c>
      <c r="BE102" s="13" t="e">
        <f t="shared" ca="1" si="903"/>
        <v>#NAME?</v>
      </c>
      <c r="BF102" s="13" t="e">
        <f t="shared" ca="1" si="903"/>
        <v>#NAME?</v>
      </c>
      <c r="BG102" s="13" t="e">
        <f t="shared" ca="1" si="903"/>
        <v>#NAME?</v>
      </c>
      <c r="BH102" s="13" t="e">
        <f t="shared" ca="1" si="903"/>
        <v>#NAME?</v>
      </c>
      <c r="BI102" s="13" t="e">
        <f t="shared" ca="1" si="903"/>
        <v>#NAME?</v>
      </c>
      <c r="BJ102" s="13" t="e">
        <f t="shared" ca="1" si="903"/>
        <v>#NAME?</v>
      </c>
      <c r="BK102" s="13" t="e">
        <f t="shared" ca="1" si="903"/>
        <v>#NAME?</v>
      </c>
      <c r="BL102" s="13" t="e">
        <f t="shared" ca="1" si="903"/>
        <v>#NAME?</v>
      </c>
      <c r="BM102" s="13" t="e">
        <f t="shared" ca="1" si="903"/>
        <v>#NAME?</v>
      </c>
      <c r="BN102" s="13" t="e">
        <f t="shared" ca="1" si="903"/>
        <v>#NAME?</v>
      </c>
      <c r="BO102" s="13" t="e">
        <f t="shared" ca="1" si="903"/>
        <v>#NAME?</v>
      </c>
      <c r="BP102" s="13" t="e">
        <f t="shared" ca="1" si="903"/>
        <v>#NAME?</v>
      </c>
      <c r="BQ102" s="13" t="e">
        <f t="shared" ca="1" si="903"/>
        <v>#NAME?</v>
      </c>
      <c r="BR102" s="13" t="e">
        <f t="shared" ref="BR102:CH102" ca="1" si="904">+BR94/BR84</f>
        <v>#NAME?</v>
      </c>
      <c r="BS102" s="13" t="e">
        <f t="shared" ca="1" si="904"/>
        <v>#NAME?</v>
      </c>
      <c r="BT102" s="13" t="e">
        <f t="shared" ca="1" si="904"/>
        <v>#NAME?</v>
      </c>
      <c r="BU102" s="13" t="e">
        <f t="shared" ca="1" si="904"/>
        <v>#NAME?</v>
      </c>
      <c r="BV102" s="13" t="e">
        <f t="shared" ca="1" si="904"/>
        <v>#NAME?</v>
      </c>
      <c r="BW102" s="13" t="e">
        <f t="shared" ca="1" si="904"/>
        <v>#NAME?</v>
      </c>
      <c r="BX102" s="13" t="e">
        <f t="shared" ca="1" si="904"/>
        <v>#NAME?</v>
      </c>
      <c r="BY102" s="13" t="e">
        <f t="shared" ca="1" si="904"/>
        <v>#NAME?</v>
      </c>
      <c r="BZ102" s="13" t="e">
        <f t="shared" ca="1" si="904"/>
        <v>#NAME?</v>
      </c>
      <c r="CA102" s="13" t="e">
        <f t="shared" ca="1" si="904"/>
        <v>#NAME?</v>
      </c>
      <c r="CB102" s="13" t="e">
        <f t="shared" ca="1" si="904"/>
        <v>#NAME?</v>
      </c>
      <c r="CC102" s="13" t="e">
        <f t="shared" ca="1" si="904"/>
        <v>#NAME?</v>
      </c>
      <c r="CD102" s="13" t="e">
        <f t="shared" ca="1" si="904"/>
        <v>#NAME?</v>
      </c>
      <c r="CE102" s="13" t="e">
        <f t="shared" ca="1" si="904"/>
        <v>#NAME?</v>
      </c>
      <c r="CF102" s="13" t="e">
        <f t="shared" ca="1" si="904"/>
        <v>#NAME?</v>
      </c>
      <c r="CG102" s="13" t="e">
        <f t="shared" ca="1" si="904"/>
        <v>#NAME?</v>
      </c>
      <c r="CH102" s="13" t="e">
        <f t="shared" ca="1" si="904"/>
        <v>#NAME?</v>
      </c>
      <c r="CI102" s="13" t="e">
        <f t="shared" ref="CI102:CJ102" ca="1" si="905">+CI94/CI84</f>
        <v>#NAME?</v>
      </c>
      <c r="CJ102" s="13" t="e">
        <f t="shared" ca="1" si="905"/>
        <v>#NAME?</v>
      </c>
      <c r="CK102" s="13" t="e">
        <f t="shared" ref="CK102:CL102" ca="1" si="906">+CK94/CK84</f>
        <v>#NAME?</v>
      </c>
      <c r="CL102" s="13" t="e">
        <f t="shared" ca="1" si="906"/>
        <v>#NAME?</v>
      </c>
      <c r="CM102" s="60" t="e">
        <f t="shared" ca="1" si="884"/>
        <v>#NAME?</v>
      </c>
      <c r="CN102" s="60" t="e">
        <f t="shared" ca="1" si="885"/>
        <v>#NAME?</v>
      </c>
      <c r="CO102" s="60" t="e">
        <f t="shared" ca="1" si="886"/>
        <v>#NAME?</v>
      </c>
      <c r="CP102" s="60" t="e">
        <f t="shared" ca="1" si="887"/>
        <v>#NAME?</v>
      </c>
      <c r="CQ102" s="60" t="e">
        <f t="shared" ca="1" si="888"/>
        <v>#NAME?</v>
      </c>
      <c r="CR102" s="60" t="e">
        <f t="shared" ca="1" si="889"/>
        <v>#NAME?</v>
      </c>
      <c r="CS102" s="60" t="e">
        <f t="shared" ca="1" si="890"/>
        <v>#NAME?</v>
      </c>
      <c r="CT102" s="60" t="e">
        <f t="shared" ca="1" si="891"/>
        <v>#NAME?</v>
      </c>
      <c r="CU102" s="60" t="e">
        <f t="shared" ca="1" si="892"/>
        <v>#NAME?</v>
      </c>
      <c r="CV102" s="60" t="e">
        <f t="shared" ca="1" si="893"/>
        <v>#NAME?</v>
      </c>
      <c r="CW102" s="60" t="e">
        <f t="shared" ca="1" si="894"/>
        <v>#NAME?</v>
      </c>
      <c r="CX102" s="60" t="e">
        <f t="shared" ca="1" si="895"/>
        <v>#NAME?</v>
      </c>
      <c r="CY102" s="60" t="e">
        <f t="shared" ca="1" si="896"/>
        <v>#NAME?</v>
      </c>
      <c r="CZ102" s="60" t="e">
        <f t="shared" ca="1" si="897"/>
        <v>#NAME?</v>
      </c>
      <c r="DA102" s="60" t="e">
        <f t="shared" ca="1" si="898"/>
        <v>#NAME?</v>
      </c>
      <c r="DB102" s="60" t="e">
        <f t="shared" ca="1" si="899"/>
        <v>#NAME?</v>
      </c>
      <c r="DE102" s="136"/>
      <c r="DF102" s="13">
        <v>159.91767269695188</v>
      </c>
    </row>
    <row r="103" spans="1:110" s="13" customFormat="1" x14ac:dyDescent="0.2">
      <c r="AB103" s="60"/>
      <c r="AC103" s="60"/>
      <c r="AD103" s="60"/>
      <c r="AE103" s="60"/>
      <c r="CM103" s="60"/>
      <c r="CN103" s="60"/>
      <c r="CO103" s="60"/>
      <c r="CP103" s="60"/>
      <c r="CQ103" s="60"/>
      <c r="CR103" s="60"/>
      <c r="CS103" s="60"/>
      <c r="CT103" s="60"/>
      <c r="CU103" s="60"/>
      <c r="CV103" s="60"/>
      <c r="CW103" s="60"/>
      <c r="CX103" s="60"/>
      <c r="CY103" s="60"/>
      <c r="CZ103" s="60"/>
      <c r="DA103" s="60"/>
      <c r="DB103" s="60"/>
      <c r="DE103" s="136"/>
    </row>
    <row r="104" spans="1:110" s="13" customFormat="1" x14ac:dyDescent="0.2">
      <c r="A104" s="13" t="s">
        <v>463</v>
      </c>
      <c r="B104" s="13" t="e">
        <f t="shared" ref="B104:AD104" ca="1" si="907">+B93/C84</f>
        <v>#NAME?</v>
      </c>
      <c r="C104" s="13" t="e">
        <f t="shared" ca="1" si="907"/>
        <v>#NAME?</v>
      </c>
      <c r="D104" s="13">
        <f t="shared" ca="1" si="907"/>
        <v>3.3063071757173645</v>
      </c>
      <c r="E104" s="13">
        <f t="shared" ca="1" si="907"/>
        <v>9.1988846146396011</v>
      </c>
      <c r="F104" s="13">
        <f t="shared" ca="1" si="907"/>
        <v>54.438318299996283</v>
      </c>
      <c r="G104" s="13">
        <f t="shared" ca="1" si="907"/>
        <v>37.35160073694243</v>
      </c>
      <c r="H104" s="13">
        <f t="shared" ca="1" si="907"/>
        <v>11.141792985051822</v>
      </c>
      <c r="I104" s="13">
        <f t="shared" ca="1" si="907"/>
        <v>23.014955622975499</v>
      </c>
      <c r="J104" s="13">
        <f t="shared" ca="1" si="907"/>
        <v>33.530405440209009</v>
      </c>
      <c r="K104" s="13">
        <f t="shared" ca="1" si="907"/>
        <v>14.58184906980479</v>
      </c>
      <c r="L104" s="13">
        <f t="shared" ca="1" si="907"/>
        <v>9.1793242519765847</v>
      </c>
      <c r="M104" s="13">
        <f t="shared" ca="1" si="907"/>
        <v>4.8382859314248634</v>
      </c>
      <c r="N104" s="13">
        <f t="shared" ca="1" si="907"/>
        <v>-32.5285014264011</v>
      </c>
      <c r="O104" s="13">
        <f t="shared" ca="1" si="907"/>
        <v>33.447240914839178</v>
      </c>
      <c r="P104" s="13">
        <f t="shared" ca="1" si="907"/>
        <v>134.72459458130245</v>
      </c>
      <c r="Q104" s="13">
        <f t="shared" ca="1" si="907"/>
        <v>80.478353976209974</v>
      </c>
      <c r="R104" s="13">
        <f t="shared" ca="1" si="907"/>
        <v>4.5940487753147128</v>
      </c>
      <c r="S104" s="13">
        <f t="shared" ca="1" si="907"/>
        <v>27.890130817105902</v>
      </c>
      <c r="T104" s="13">
        <f t="shared" ca="1" si="907"/>
        <v>24.429051992972589</v>
      </c>
      <c r="U104" s="13">
        <f t="shared" ca="1" si="907"/>
        <v>9.3314227510243519</v>
      </c>
      <c r="V104" s="13">
        <f t="shared" ca="1" si="907"/>
        <v>11.210978737079458</v>
      </c>
      <c r="W104" s="13">
        <f t="shared" ca="1" si="907"/>
        <v>16.62161601357273</v>
      </c>
      <c r="X104" s="13">
        <f t="shared" ca="1" si="907"/>
        <v>15.182449860900212</v>
      </c>
      <c r="Y104" s="13">
        <f t="shared" ca="1" si="907"/>
        <v>62.628613413652687</v>
      </c>
      <c r="Z104" s="13">
        <f t="shared" ref="Z104:AA104" ca="1" si="908">+Z93/AA84</f>
        <v>376.53419410392297</v>
      </c>
      <c r="AA104" s="13">
        <f t="shared" ca="1" si="908"/>
        <v>376.53419410392297</v>
      </c>
      <c r="AB104" s="37">
        <f t="shared" ca="1" si="907"/>
        <v>205.8795657026468</v>
      </c>
      <c r="AC104" s="37">
        <f t="shared" ca="1" si="907"/>
        <v>226.3876076508316</v>
      </c>
      <c r="AD104" s="37">
        <f t="shared" ca="1" si="907"/>
        <v>237.73818774398907</v>
      </c>
      <c r="AE104" s="37"/>
      <c r="AL104" s="13" t="e">
        <f t="shared" ref="AL104:BQ104" ca="1" si="909">+AL93/AP84</f>
        <v>#NAME?</v>
      </c>
      <c r="AM104" s="13" t="e">
        <f t="shared" ca="1" si="909"/>
        <v>#NAME?</v>
      </c>
      <c r="AN104" s="13" t="e">
        <f t="shared" ca="1" si="909"/>
        <v>#NAME?</v>
      </c>
      <c r="AO104" s="13" t="e">
        <f t="shared" ca="1" si="909"/>
        <v>#NAME?</v>
      </c>
      <c r="AP104" s="13" t="e">
        <f t="shared" ca="1" si="909"/>
        <v>#NAME?</v>
      </c>
      <c r="AQ104" s="13" t="e">
        <f t="shared" ca="1" si="909"/>
        <v>#NAME?</v>
      </c>
      <c r="AR104" s="13" t="e">
        <f t="shared" ca="1" si="909"/>
        <v>#NAME?</v>
      </c>
      <c r="AS104" s="13" t="e">
        <f t="shared" ca="1" si="909"/>
        <v>#NAME?</v>
      </c>
      <c r="AT104" s="13" t="e">
        <f t="shared" ca="1" si="909"/>
        <v>#NAME?</v>
      </c>
      <c r="AU104" s="13" t="e">
        <f t="shared" ca="1" si="909"/>
        <v>#NAME?</v>
      </c>
      <c r="AV104" s="13" t="e">
        <f t="shared" ca="1" si="909"/>
        <v>#NAME?</v>
      </c>
      <c r="AW104" s="13" t="e">
        <f t="shared" ca="1" si="909"/>
        <v>#NAME?</v>
      </c>
      <c r="AX104" s="13" t="e">
        <f t="shared" ca="1" si="909"/>
        <v>#NAME?</v>
      </c>
      <c r="AY104" s="13" t="e">
        <f t="shared" ca="1" si="909"/>
        <v>#NAME?</v>
      </c>
      <c r="AZ104" s="13" t="e">
        <f t="shared" ca="1" si="909"/>
        <v>#NAME?</v>
      </c>
      <c r="BA104" s="13" t="e">
        <f t="shared" ca="1" si="909"/>
        <v>#NAME?</v>
      </c>
      <c r="BB104" s="13" t="e">
        <f t="shared" ca="1" si="909"/>
        <v>#NAME?</v>
      </c>
      <c r="BC104" s="13" t="e">
        <f t="shared" ca="1" si="909"/>
        <v>#NAME?</v>
      </c>
      <c r="BD104" s="13" t="e">
        <f t="shared" ca="1" si="909"/>
        <v>#NAME?</v>
      </c>
      <c r="BE104" s="13" t="e">
        <f t="shared" ca="1" si="909"/>
        <v>#NAME?</v>
      </c>
      <c r="BF104" s="13" t="e">
        <f t="shared" ca="1" si="909"/>
        <v>#NAME?</v>
      </c>
      <c r="BG104" s="13" t="e">
        <f t="shared" ca="1" si="909"/>
        <v>#NAME?</v>
      </c>
      <c r="BH104" s="13" t="e">
        <f t="shared" ca="1" si="909"/>
        <v>#NAME?</v>
      </c>
      <c r="BI104" s="13" t="e">
        <f t="shared" ca="1" si="909"/>
        <v>#NAME?</v>
      </c>
      <c r="BJ104" s="13" t="e">
        <f t="shared" ca="1" si="909"/>
        <v>#NAME?</v>
      </c>
      <c r="BK104" s="13" t="e">
        <f t="shared" ca="1" si="909"/>
        <v>#NAME?</v>
      </c>
      <c r="BL104" s="13" t="e">
        <f t="shared" ca="1" si="909"/>
        <v>#NAME?</v>
      </c>
      <c r="BM104" s="13" t="e">
        <f t="shared" ca="1" si="909"/>
        <v>#NAME?</v>
      </c>
      <c r="BN104" s="13" t="e">
        <f t="shared" ca="1" si="909"/>
        <v>#NAME?</v>
      </c>
      <c r="BO104" s="13" t="e">
        <f t="shared" ca="1" si="909"/>
        <v>#NAME?</v>
      </c>
      <c r="BP104" s="13" t="e">
        <f t="shared" ca="1" si="909"/>
        <v>#NAME?</v>
      </c>
      <c r="BQ104" s="13" t="e">
        <f t="shared" ca="1" si="909"/>
        <v>#NAME?</v>
      </c>
      <c r="BR104" s="13" t="e">
        <f t="shared" ref="BR104:CL104" ca="1" si="910">+BR93/BV84</f>
        <v>#NAME?</v>
      </c>
      <c r="BS104" s="13" t="e">
        <f t="shared" ca="1" si="910"/>
        <v>#NAME?</v>
      </c>
      <c r="BT104" s="13" t="e">
        <f t="shared" ca="1" si="910"/>
        <v>#NAME?</v>
      </c>
      <c r="BU104" s="13" t="e">
        <f t="shared" ca="1" si="910"/>
        <v>#NAME?</v>
      </c>
      <c r="BV104" s="13" t="e">
        <f t="shared" ca="1" si="910"/>
        <v>#NAME?</v>
      </c>
      <c r="BW104" s="13" t="e">
        <f t="shared" ca="1" si="910"/>
        <v>#NAME?</v>
      </c>
      <c r="BX104" s="13" t="e">
        <f t="shared" ca="1" si="910"/>
        <v>#NAME?</v>
      </c>
      <c r="BY104" s="13" t="e">
        <f t="shared" ca="1" si="910"/>
        <v>#NAME?</v>
      </c>
      <c r="BZ104" s="13" t="e">
        <f t="shared" ca="1" si="910"/>
        <v>#NAME?</v>
      </c>
      <c r="CA104" s="13" t="e">
        <f t="shared" ca="1" si="910"/>
        <v>#NAME?</v>
      </c>
      <c r="CB104" s="13" t="e">
        <f t="shared" ca="1" si="910"/>
        <v>#NAME?</v>
      </c>
      <c r="CC104" s="13" t="e">
        <f t="shared" ca="1" si="910"/>
        <v>#NAME?</v>
      </c>
      <c r="CD104" s="13" t="e">
        <f t="shared" ca="1" si="910"/>
        <v>#NAME?</v>
      </c>
      <c r="CE104" s="13" t="e">
        <f t="shared" ca="1" si="910"/>
        <v>#NAME?</v>
      </c>
      <c r="CF104" s="13" t="e">
        <f t="shared" ca="1" si="910"/>
        <v>#NAME?</v>
      </c>
      <c r="CG104" s="13" t="e">
        <f t="shared" ca="1" si="910"/>
        <v>#NAME?</v>
      </c>
      <c r="CH104" s="13" t="e">
        <f t="shared" ca="1" si="910"/>
        <v>#NAME?</v>
      </c>
      <c r="CI104" s="13" t="e">
        <f t="shared" ca="1" si="910"/>
        <v>#NAME?</v>
      </c>
      <c r="CJ104" s="13" t="e">
        <f t="shared" ca="1" si="910"/>
        <v>#NAME?</v>
      </c>
      <c r="CK104" s="13" t="e">
        <f t="shared" ca="1" si="910"/>
        <v>#NAME?</v>
      </c>
      <c r="CL104" s="13" t="e">
        <f t="shared" ca="1" si="910"/>
        <v>#NAME?</v>
      </c>
      <c r="CM104" s="37"/>
      <c r="CN104" s="37"/>
      <c r="CO104" s="37"/>
      <c r="CP104" s="37"/>
      <c r="CQ104" s="37"/>
      <c r="CR104" s="37"/>
      <c r="CS104" s="37"/>
      <c r="CT104" s="37"/>
      <c r="CU104" s="37"/>
      <c r="CV104" s="37"/>
      <c r="CW104" s="37"/>
      <c r="CX104" s="37"/>
      <c r="CY104" s="37"/>
      <c r="CZ104" s="37"/>
      <c r="DA104" s="37"/>
      <c r="DB104" s="37"/>
      <c r="DE104" s="134"/>
      <c r="DF104" s="13">
        <v>359.11879134693646</v>
      </c>
    </row>
    <row r="105" spans="1:110" s="98" customFormat="1" x14ac:dyDescent="0.2">
      <c r="A105" s="98" t="s">
        <v>426</v>
      </c>
      <c r="AB105" s="99"/>
      <c r="AC105" s="99"/>
      <c r="AD105" s="99"/>
      <c r="AE105" s="99"/>
      <c r="AL105" s="175"/>
      <c r="AM105" s="175"/>
      <c r="AN105" s="175"/>
      <c r="AO105" s="175" t="e">
        <f t="shared" ref="AO105:CI105" ca="1" si="911">+CORREL(AL84:AO84,AL101:AO101)</f>
        <v>#NAME?</v>
      </c>
      <c r="AP105" s="175" t="e">
        <f t="shared" ca="1" si="911"/>
        <v>#NAME?</v>
      </c>
      <c r="AQ105" s="175" t="e">
        <f t="shared" ca="1" si="911"/>
        <v>#NAME?</v>
      </c>
      <c r="AR105" s="175" t="e">
        <f t="shared" ca="1" si="911"/>
        <v>#NAME?</v>
      </c>
      <c r="AS105" s="175" t="e">
        <f t="shared" ca="1" si="911"/>
        <v>#NAME?</v>
      </c>
      <c r="AT105" s="175" t="e">
        <f t="shared" ca="1" si="911"/>
        <v>#NAME?</v>
      </c>
      <c r="AU105" s="175" t="e">
        <f t="shared" ca="1" si="911"/>
        <v>#NAME?</v>
      </c>
      <c r="AV105" s="175" t="e">
        <f t="shared" ca="1" si="911"/>
        <v>#NAME?</v>
      </c>
      <c r="AW105" s="175" t="e">
        <f t="shared" ca="1" si="911"/>
        <v>#NAME?</v>
      </c>
      <c r="AX105" s="175" t="e">
        <f t="shared" ca="1" si="911"/>
        <v>#NAME?</v>
      </c>
      <c r="AY105" s="175" t="e">
        <f t="shared" ca="1" si="911"/>
        <v>#NAME?</v>
      </c>
      <c r="AZ105" s="175" t="e">
        <f t="shared" ca="1" si="911"/>
        <v>#NAME?</v>
      </c>
      <c r="BA105" s="175" t="e">
        <f t="shared" ca="1" si="911"/>
        <v>#NAME?</v>
      </c>
      <c r="BB105" s="175" t="e">
        <f t="shared" ca="1" si="911"/>
        <v>#NAME?</v>
      </c>
      <c r="BC105" s="175" t="e">
        <f t="shared" ca="1" si="911"/>
        <v>#NAME?</v>
      </c>
      <c r="BD105" s="175" t="e">
        <f t="shared" ca="1" si="911"/>
        <v>#NAME?</v>
      </c>
      <c r="BE105" s="175" t="e">
        <f t="shared" ca="1" si="911"/>
        <v>#NAME?</v>
      </c>
      <c r="BF105" s="175" t="e">
        <f t="shared" ca="1" si="911"/>
        <v>#NAME?</v>
      </c>
      <c r="BG105" s="175" t="e">
        <f t="shared" ca="1" si="911"/>
        <v>#NAME?</v>
      </c>
      <c r="BH105" s="175" t="e">
        <f t="shared" ca="1" si="911"/>
        <v>#NAME?</v>
      </c>
      <c r="BI105" s="175" t="e">
        <f t="shared" ca="1" si="911"/>
        <v>#NAME?</v>
      </c>
      <c r="BJ105" s="175" t="e">
        <f t="shared" ca="1" si="911"/>
        <v>#NAME?</v>
      </c>
      <c r="BK105" s="175" t="e">
        <f t="shared" ca="1" si="911"/>
        <v>#NAME?</v>
      </c>
      <c r="BL105" s="175" t="e">
        <f t="shared" ca="1" si="911"/>
        <v>#NAME?</v>
      </c>
      <c r="BM105" s="175" t="e">
        <f t="shared" ca="1" si="911"/>
        <v>#NAME?</v>
      </c>
      <c r="BN105" s="175" t="e">
        <f t="shared" ca="1" si="911"/>
        <v>#NAME?</v>
      </c>
      <c r="BO105" s="175" t="e">
        <f t="shared" ca="1" si="911"/>
        <v>#NAME?</v>
      </c>
      <c r="BP105" s="175" t="e">
        <f t="shared" ca="1" si="911"/>
        <v>#NAME?</v>
      </c>
      <c r="BQ105" s="175" t="e">
        <f t="shared" ca="1" si="911"/>
        <v>#NAME?</v>
      </c>
      <c r="BR105" s="175" t="e">
        <f t="shared" ca="1" si="911"/>
        <v>#NAME?</v>
      </c>
      <c r="BS105" s="175" t="e">
        <f t="shared" ca="1" si="911"/>
        <v>#NAME?</v>
      </c>
      <c r="BT105" s="175" t="e">
        <f t="shared" ca="1" si="911"/>
        <v>#NAME?</v>
      </c>
      <c r="BU105" s="175" t="e">
        <f t="shared" ca="1" si="911"/>
        <v>#NAME?</v>
      </c>
      <c r="BV105" s="175" t="e">
        <f t="shared" ca="1" si="911"/>
        <v>#NAME?</v>
      </c>
      <c r="BW105" s="175" t="e">
        <f t="shared" ca="1" si="911"/>
        <v>#NAME?</v>
      </c>
      <c r="BX105" s="175" t="e">
        <f t="shared" ca="1" si="911"/>
        <v>#NAME?</v>
      </c>
      <c r="BY105" s="175" t="e">
        <f t="shared" ca="1" si="911"/>
        <v>#NAME?</v>
      </c>
      <c r="BZ105" s="175" t="e">
        <f t="shared" ca="1" si="911"/>
        <v>#NAME?</v>
      </c>
      <c r="CA105" s="175" t="e">
        <f t="shared" ca="1" si="911"/>
        <v>#NAME?</v>
      </c>
      <c r="CB105" s="175" t="e">
        <f t="shared" ca="1" si="911"/>
        <v>#NAME?</v>
      </c>
      <c r="CC105" s="175" t="e">
        <f t="shared" ca="1" si="911"/>
        <v>#NAME?</v>
      </c>
      <c r="CD105" s="175" t="e">
        <f t="shared" ca="1" si="911"/>
        <v>#NAME?</v>
      </c>
      <c r="CE105" s="175" t="e">
        <f t="shared" ca="1" si="911"/>
        <v>#NAME?</v>
      </c>
      <c r="CF105" s="175" t="e">
        <f t="shared" ca="1" si="911"/>
        <v>#NAME?</v>
      </c>
      <c r="CG105" s="175" t="e">
        <f t="shared" ca="1" si="911"/>
        <v>#NAME?</v>
      </c>
      <c r="CH105" s="175" t="e">
        <f t="shared" ca="1" si="911"/>
        <v>#NAME?</v>
      </c>
      <c r="CI105" s="175" t="e">
        <f t="shared" ca="1" si="911"/>
        <v>#NAME?</v>
      </c>
      <c r="CJ105" s="175" t="e">
        <f ca="1">+CORREL(CG84:CJ84,CG101:CJ101)</f>
        <v>#NAME?</v>
      </c>
      <c r="CK105" s="175" t="e">
        <f ca="1">+CORREL(CH84:CK84,CH101:CK101)</f>
        <v>#NAME?</v>
      </c>
      <c r="CL105" s="175" t="e">
        <f ca="1">+CORREL(CI84:CL84,CI101:CL101)</f>
        <v>#NAME?</v>
      </c>
      <c r="CM105" s="99"/>
      <c r="CN105" s="99"/>
      <c r="CO105" s="99"/>
      <c r="CP105" s="99"/>
      <c r="CQ105" s="99"/>
      <c r="CR105" s="99"/>
      <c r="CS105" s="99"/>
      <c r="CT105" s="99"/>
      <c r="CU105" s="99"/>
      <c r="CV105" s="99"/>
      <c r="CW105" s="99"/>
      <c r="CX105" s="99"/>
      <c r="CY105" s="99"/>
      <c r="CZ105" s="99"/>
      <c r="DA105" s="99"/>
      <c r="DB105" s="99"/>
      <c r="DE105" s="137"/>
    </row>
    <row r="106" spans="1:110" s="4" customFormat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505</v>
      </c>
      <c r="E107" s="162">
        <f t="shared" ref="E107:AE107" ca="1" si="912">+E$135/E$80</f>
        <v>0.36948972940423763</v>
      </c>
      <c r="F107" s="162">
        <f t="shared" ca="1" si="912"/>
        <v>0.39931728952617512</v>
      </c>
      <c r="G107" s="162">
        <f t="shared" ca="1" si="912"/>
        <v>0.43317729479507727</v>
      </c>
      <c r="H107" s="162">
        <f t="shared" ca="1" si="912"/>
        <v>0.48806623762748857</v>
      </c>
      <c r="I107" s="162">
        <f t="shared" ca="1" si="912"/>
        <v>0.59204731850513714</v>
      </c>
      <c r="J107" s="162">
        <f t="shared" ca="1" si="912"/>
        <v>0.65523397689210039</v>
      </c>
      <c r="K107" s="162">
        <f t="shared" ca="1" si="912"/>
        <v>0.59559978171690942</v>
      </c>
      <c r="L107" s="162">
        <f t="shared" ca="1" si="912"/>
        <v>0.65406109292085346</v>
      </c>
      <c r="M107" s="162">
        <f t="shared" ca="1" si="912"/>
        <v>0.70445226750969092</v>
      </c>
      <c r="N107" s="162">
        <f t="shared" ca="1" si="912"/>
        <v>0.89746638816755098</v>
      </c>
      <c r="O107" s="162">
        <f t="shared" ca="1" si="912"/>
        <v>0.77940562267133329</v>
      </c>
      <c r="P107" s="162">
        <f t="shared" ca="1" si="912"/>
        <v>0.74200549094877877</v>
      </c>
      <c r="Q107" s="162">
        <f t="shared" ca="1" si="912"/>
        <v>0.74298730194573026</v>
      </c>
      <c r="R107" s="162">
        <f t="shared" ca="1" si="912"/>
        <v>0.7763956230476835</v>
      </c>
      <c r="S107" s="162">
        <f t="shared" ca="1" si="912"/>
        <v>1.3909096270369952</v>
      </c>
      <c r="T107" s="162">
        <f t="shared" ca="1" si="912"/>
        <v>1.6199702721011628</v>
      </c>
      <c r="U107" s="162">
        <f t="shared" ca="1" si="912"/>
        <v>1.9447565428474654</v>
      </c>
      <c r="V107" s="162">
        <f t="shared" ca="1" si="912"/>
        <v>2.4929321440668395</v>
      </c>
      <c r="W107" s="162">
        <f t="shared" ca="1" si="912"/>
        <v>3.105603853825599</v>
      </c>
      <c r="X107" s="162">
        <f t="shared" ca="1" si="912"/>
        <v>4.0450754582063144</v>
      </c>
      <c r="Y107" s="162">
        <f t="shared" ca="1" si="912"/>
        <v>6.1766286553008918</v>
      </c>
      <c r="Z107" s="162">
        <f t="shared" ca="1" si="912"/>
        <v>8.9287606789356815</v>
      </c>
      <c r="AA107" s="162">
        <f t="shared" ca="1" si="912"/>
        <v>8.9287606789356815</v>
      </c>
      <c r="AB107" s="21">
        <f t="shared" ca="1" si="912"/>
        <v>13.328091928741161</v>
      </c>
      <c r="AC107" s="21">
        <f t="shared" ca="1" si="912"/>
        <v>14.199135168383298</v>
      </c>
      <c r="AD107" s="21">
        <f t="shared" ca="1" si="912"/>
        <v>15.351631875109756</v>
      </c>
      <c r="AE107" s="21">
        <f t="shared" ca="1" si="912"/>
        <v>16.803721338018011</v>
      </c>
      <c r="AL107" s="162" t="e">
        <f t="shared" ref="AL107:BQ107" ca="1" si="913">+AL$135/AL$80</f>
        <v>#NAME?</v>
      </c>
      <c r="AM107" s="162" t="e">
        <f t="shared" ca="1" si="913"/>
        <v>#NAME?</v>
      </c>
      <c r="AN107" s="162" t="e">
        <f t="shared" ca="1" si="913"/>
        <v>#NAME?</v>
      </c>
      <c r="AO107" s="162" t="e">
        <f t="shared" ca="1" si="913"/>
        <v>#NAME?</v>
      </c>
      <c r="AP107" s="162" t="e">
        <f t="shared" ca="1" si="913"/>
        <v>#NAME?</v>
      </c>
      <c r="AQ107" s="162" t="e">
        <f t="shared" ca="1" si="913"/>
        <v>#NAME?</v>
      </c>
      <c r="AR107" s="162" t="e">
        <f t="shared" ca="1" si="913"/>
        <v>#NAME?</v>
      </c>
      <c r="AS107" s="162" t="e">
        <f t="shared" ca="1" si="913"/>
        <v>#NAME?</v>
      </c>
      <c r="AT107" s="162" t="e">
        <f t="shared" ca="1" si="913"/>
        <v>#NAME?</v>
      </c>
      <c r="AU107" s="162" t="e">
        <f t="shared" ca="1" si="913"/>
        <v>#NAME?</v>
      </c>
      <c r="AV107" s="162" t="e">
        <f t="shared" ca="1" si="913"/>
        <v>#NAME?</v>
      </c>
      <c r="AW107" s="162" t="e">
        <f t="shared" ca="1" si="913"/>
        <v>#NAME?</v>
      </c>
      <c r="AX107" s="162" t="e">
        <f t="shared" ca="1" si="913"/>
        <v>#NAME?</v>
      </c>
      <c r="AY107" s="162" t="e">
        <f t="shared" ca="1" si="913"/>
        <v>#NAME?</v>
      </c>
      <c r="AZ107" s="162" t="e">
        <f t="shared" ca="1" si="913"/>
        <v>#NAME?</v>
      </c>
      <c r="BA107" s="162" t="e">
        <f t="shared" ca="1" si="913"/>
        <v>#NAME?</v>
      </c>
      <c r="BB107" s="162" t="e">
        <f t="shared" ca="1" si="913"/>
        <v>#NAME?</v>
      </c>
      <c r="BC107" s="162" t="e">
        <f t="shared" ca="1" si="913"/>
        <v>#NAME?</v>
      </c>
      <c r="BD107" s="162" t="e">
        <f t="shared" ca="1" si="913"/>
        <v>#NAME?</v>
      </c>
      <c r="BE107" s="162" t="e">
        <f t="shared" ca="1" si="913"/>
        <v>#NAME?</v>
      </c>
      <c r="BF107" s="162" t="e">
        <f t="shared" ca="1" si="913"/>
        <v>#NAME?</v>
      </c>
      <c r="BG107" s="162" t="e">
        <f t="shared" ca="1" si="913"/>
        <v>#NAME?</v>
      </c>
      <c r="BH107" s="162" t="e">
        <f t="shared" ca="1" si="913"/>
        <v>#NAME?</v>
      </c>
      <c r="BI107" s="162" t="e">
        <f t="shared" ca="1" si="913"/>
        <v>#NAME?</v>
      </c>
      <c r="BJ107" s="162" t="e">
        <f t="shared" ca="1" si="913"/>
        <v>#NAME?</v>
      </c>
      <c r="BK107" s="162" t="e">
        <f t="shared" ca="1" si="913"/>
        <v>#NAME?</v>
      </c>
      <c r="BL107" s="162" t="e">
        <f t="shared" ca="1" si="913"/>
        <v>#NAME?</v>
      </c>
      <c r="BM107" s="162" t="e">
        <f t="shared" ca="1" si="913"/>
        <v>#NAME?</v>
      </c>
      <c r="BN107" s="162" t="e">
        <f t="shared" ca="1" si="913"/>
        <v>#NAME?</v>
      </c>
      <c r="BO107" s="162" t="e">
        <f t="shared" ca="1" si="913"/>
        <v>#NAME?</v>
      </c>
      <c r="BP107" s="162" t="e">
        <f t="shared" ca="1" si="913"/>
        <v>#NAME?</v>
      </c>
      <c r="BQ107" s="162" t="e">
        <f t="shared" ca="1" si="913"/>
        <v>#NAME?</v>
      </c>
      <c r="BR107" s="162" t="e">
        <f t="shared" ref="BR107:DB107" ca="1" si="914">+BR$135/BR$80</f>
        <v>#NAME?</v>
      </c>
      <c r="BS107" s="162" t="e">
        <f t="shared" ca="1" si="914"/>
        <v>#NAME?</v>
      </c>
      <c r="BT107" s="162" t="e">
        <f t="shared" ca="1" si="914"/>
        <v>#NAME?</v>
      </c>
      <c r="BU107" s="162" t="e">
        <f t="shared" ca="1" si="914"/>
        <v>#NAME?</v>
      </c>
      <c r="BV107" s="162" t="e">
        <f t="shared" ca="1" si="914"/>
        <v>#NAME?</v>
      </c>
      <c r="BW107" s="162" t="e">
        <f t="shared" ca="1" si="914"/>
        <v>#NAME?</v>
      </c>
      <c r="BX107" s="162" t="e">
        <f t="shared" ca="1" si="914"/>
        <v>#NAME?</v>
      </c>
      <c r="BY107" s="162" t="e">
        <f t="shared" ca="1" si="914"/>
        <v>#NAME?</v>
      </c>
      <c r="BZ107" s="162" t="e">
        <f t="shared" ca="1" si="914"/>
        <v>#NAME?</v>
      </c>
      <c r="CA107" s="162" t="e">
        <f t="shared" ca="1" si="914"/>
        <v>#NAME?</v>
      </c>
      <c r="CB107" s="162" t="e">
        <f t="shared" ca="1" si="914"/>
        <v>#NAME?</v>
      </c>
      <c r="CC107" s="162" t="e">
        <f t="shared" ca="1" si="914"/>
        <v>#NAME?</v>
      </c>
      <c r="CD107" s="162" t="e">
        <f t="shared" ca="1" si="914"/>
        <v>#NAME?</v>
      </c>
      <c r="CE107" s="162" t="e">
        <f t="shared" ca="1" si="914"/>
        <v>#NAME?</v>
      </c>
      <c r="CF107" s="162" t="e">
        <f t="shared" ca="1" si="914"/>
        <v>#NAME?</v>
      </c>
      <c r="CG107" s="162" t="e">
        <f t="shared" ca="1" si="914"/>
        <v>#NAME?</v>
      </c>
      <c r="CH107" s="162" t="e">
        <f t="shared" ca="1" si="914"/>
        <v>#NAME?</v>
      </c>
      <c r="CI107" s="162" t="e">
        <f t="shared" ca="1" si="914"/>
        <v>#NAME?</v>
      </c>
      <c r="CJ107" s="162" t="e">
        <f t="shared" ca="1" si="914"/>
        <v>#NAME?</v>
      </c>
      <c r="CK107" s="162" t="e">
        <f t="shared" ca="1" si="914"/>
        <v>#NAME?</v>
      </c>
      <c r="CL107" s="162" t="e">
        <f t="shared" ca="1" si="914"/>
        <v>#NAME?</v>
      </c>
      <c r="CM107" s="21" t="e">
        <f t="shared" ca="1" si="914"/>
        <v>#NAME?</v>
      </c>
      <c r="CN107" s="21" t="e">
        <f t="shared" ca="1" si="914"/>
        <v>#NAME?</v>
      </c>
      <c r="CO107" s="21" t="e">
        <f t="shared" ca="1" si="914"/>
        <v>#NAME?</v>
      </c>
      <c r="CP107" s="21" t="e">
        <f t="shared" ca="1" si="914"/>
        <v>#NAME?</v>
      </c>
      <c r="CQ107" s="21" t="e">
        <f t="shared" ca="1" si="914"/>
        <v>#NAME?</v>
      </c>
      <c r="CR107" s="21" t="e">
        <f t="shared" ca="1" si="914"/>
        <v>#NAME?</v>
      </c>
      <c r="CS107" s="21" t="e">
        <f t="shared" ca="1" si="914"/>
        <v>#NAME?</v>
      </c>
      <c r="CT107" s="21" t="e">
        <f t="shared" ca="1" si="914"/>
        <v>#NAME?</v>
      </c>
      <c r="CU107" s="21" t="e">
        <f t="shared" ca="1" si="914"/>
        <v>#NAME?</v>
      </c>
      <c r="CV107" s="21" t="e">
        <f t="shared" ca="1" si="914"/>
        <v>#NAME?</v>
      </c>
      <c r="CW107" s="21" t="e">
        <f t="shared" ca="1" si="914"/>
        <v>#NAME?</v>
      </c>
      <c r="CX107" s="21" t="e">
        <f t="shared" ca="1" si="914"/>
        <v>#NAME?</v>
      </c>
      <c r="CY107" s="21" t="e">
        <f t="shared" ca="1" si="914"/>
        <v>#NAME?</v>
      </c>
      <c r="CZ107" s="21" t="e">
        <f t="shared" ca="1" si="914"/>
        <v>#NAME?</v>
      </c>
      <c r="DA107" s="21" t="e">
        <f t="shared" ca="1" si="914"/>
        <v>#NAME?</v>
      </c>
      <c r="DB107" s="21" t="e">
        <f t="shared" ca="1" si="914"/>
        <v>#NAME?</v>
      </c>
      <c r="DE107" s="22"/>
      <c r="DF107" s="162">
        <v>12.729404237702756</v>
      </c>
    </row>
    <row r="108" spans="1:110" s="162" customFormat="1" x14ac:dyDescent="0.2">
      <c r="A108" s="49" t="s">
        <v>501</v>
      </c>
      <c r="AB108" s="21"/>
      <c r="AC108" s="21"/>
      <c r="AD108" s="21"/>
      <c r="AE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E108" s="22"/>
    </row>
    <row r="109" spans="1:110" s="162" customFormat="1" x14ac:dyDescent="0.2">
      <c r="A109" s="49" t="s">
        <v>502</v>
      </c>
      <c r="E109" s="162">
        <f t="shared" ref="E109:AE111" ca="1" si="915">+E92/E$107</f>
        <v>0.57868124668166154</v>
      </c>
      <c r="F109" s="162">
        <f t="shared" ca="1" si="915"/>
        <v>3.8156186980917988</v>
      </c>
      <c r="G109" s="162">
        <f t="shared" ca="1" si="915"/>
        <v>2.3930511250523887</v>
      </c>
      <c r="H109" s="162">
        <f t="shared" ca="1" si="915"/>
        <v>1.1974450994972246</v>
      </c>
      <c r="I109" s="162">
        <f t="shared" ca="1" si="915"/>
        <v>1.6024275934285346</v>
      </c>
      <c r="J109" s="162">
        <f t="shared" ca="1" si="915"/>
        <v>0.9414972663432748</v>
      </c>
      <c r="K109" s="162">
        <f t="shared" ca="1" si="915"/>
        <v>1.7524228023657409</v>
      </c>
      <c r="L109" s="162">
        <f t="shared" ca="1" si="915"/>
        <v>1.4299129425123422</v>
      </c>
      <c r="M109" s="162">
        <f t="shared" ca="1" si="915"/>
        <v>1.4861337564075454</v>
      </c>
      <c r="N109" s="162">
        <f t="shared" ca="1" si="915"/>
        <v>1.0659252672841839</v>
      </c>
      <c r="O109" s="162">
        <f t="shared" ca="1" si="915"/>
        <v>0.9398449526964302</v>
      </c>
      <c r="P109" s="162">
        <f t="shared" ca="1" si="915"/>
        <v>2.5230064935347514</v>
      </c>
      <c r="Q109" s="162">
        <f t="shared" ca="1" si="915"/>
        <v>2.6603648721590365</v>
      </c>
      <c r="R109" s="162">
        <f t="shared" ca="1" si="915"/>
        <v>3.8535135498885094</v>
      </c>
      <c r="S109" s="162">
        <f t="shared" ca="1" si="915"/>
        <v>5.8079363698297879</v>
      </c>
      <c r="T109" s="162">
        <f t="shared" ca="1" si="915"/>
        <v>2.2032233637398044</v>
      </c>
      <c r="U109" s="162">
        <f t="shared" ca="1" si="915"/>
        <v>1.3458115083535487</v>
      </c>
      <c r="V109" s="162">
        <f t="shared" ca="1" si="915"/>
        <v>2.4034433753581439</v>
      </c>
      <c r="W109" s="162">
        <f t="shared" ca="1" si="915"/>
        <v>5.2164362397710207</v>
      </c>
      <c r="X109" s="162">
        <f t="shared" ca="1" si="915"/>
        <v>6.3242304849482043</v>
      </c>
      <c r="Y109" s="162">
        <f t="shared" ca="1" si="915"/>
        <v>15.231510139152288</v>
      </c>
      <c r="Z109" s="162">
        <f t="shared" ca="1" si="915"/>
        <v>12.069273621262917</v>
      </c>
      <c r="AA109" s="162">
        <f t="shared" ref="AA109" ca="1" si="916">+AA92/AA$107</f>
        <v>12.069273621262917</v>
      </c>
      <c r="AB109" s="21">
        <f t="shared" ca="1" si="915"/>
        <v>9.4874795789274859</v>
      </c>
      <c r="AC109" s="21">
        <f t="shared" ca="1" si="915"/>
        <v>8.9054719530779352</v>
      </c>
      <c r="AD109" s="21">
        <f t="shared" ca="1" si="915"/>
        <v>8.2369093415416437</v>
      </c>
      <c r="AE109" s="21">
        <f t="shared" ca="1" si="915"/>
        <v>7.5251188386414114</v>
      </c>
      <c r="AL109" s="162" t="e">
        <f t="shared" ref="AL109:CI111" ca="1" si="917">+AL92/AL$107</f>
        <v>#NAME?</v>
      </c>
      <c r="AM109" s="162" t="e">
        <f t="shared" ca="1" si="917"/>
        <v>#NAME?</v>
      </c>
      <c r="AN109" s="162" t="e">
        <f t="shared" ca="1" si="917"/>
        <v>#NAME?</v>
      </c>
      <c r="AO109" s="162" t="e">
        <f t="shared" ca="1" si="917"/>
        <v>#NAME?</v>
      </c>
      <c r="AP109" s="162" t="e">
        <f t="shared" ca="1" si="917"/>
        <v>#NAME?</v>
      </c>
      <c r="AQ109" s="162" t="e">
        <f t="shared" ca="1" si="917"/>
        <v>#NAME?</v>
      </c>
      <c r="AR109" s="162" t="e">
        <f t="shared" ca="1" si="917"/>
        <v>#NAME?</v>
      </c>
      <c r="AS109" s="162" t="e">
        <f t="shared" ca="1" si="917"/>
        <v>#NAME?</v>
      </c>
      <c r="AT109" s="162" t="e">
        <f t="shared" ca="1" si="917"/>
        <v>#NAME?</v>
      </c>
      <c r="AU109" s="162" t="e">
        <f t="shared" ca="1" si="917"/>
        <v>#NAME?</v>
      </c>
      <c r="AV109" s="162" t="e">
        <f t="shared" ca="1" si="917"/>
        <v>#NAME?</v>
      </c>
      <c r="AW109" s="162" t="e">
        <f t="shared" ca="1" si="917"/>
        <v>#NAME?</v>
      </c>
      <c r="AX109" s="162" t="e">
        <f t="shared" ca="1" si="917"/>
        <v>#NAME?</v>
      </c>
      <c r="AY109" s="162" t="e">
        <f t="shared" ca="1" si="917"/>
        <v>#NAME?</v>
      </c>
      <c r="AZ109" s="162" t="e">
        <f t="shared" ca="1" si="917"/>
        <v>#NAME?</v>
      </c>
      <c r="BA109" s="162" t="e">
        <f t="shared" ca="1" si="917"/>
        <v>#NAME?</v>
      </c>
      <c r="BB109" s="162" t="e">
        <f t="shared" ca="1" si="917"/>
        <v>#NAME?</v>
      </c>
      <c r="BC109" s="162" t="e">
        <f t="shared" ca="1" si="917"/>
        <v>#NAME?</v>
      </c>
      <c r="BD109" s="162" t="e">
        <f t="shared" ca="1" si="917"/>
        <v>#NAME?</v>
      </c>
      <c r="BE109" s="162" t="e">
        <f t="shared" ca="1" si="917"/>
        <v>#NAME?</v>
      </c>
      <c r="BF109" s="162" t="e">
        <f t="shared" ca="1" si="917"/>
        <v>#NAME?</v>
      </c>
      <c r="BG109" s="162" t="e">
        <f t="shared" ca="1" si="917"/>
        <v>#NAME?</v>
      </c>
      <c r="BH109" s="162" t="e">
        <f t="shared" ca="1" si="917"/>
        <v>#NAME?</v>
      </c>
      <c r="BI109" s="162" t="e">
        <f t="shared" ca="1" si="917"/>
        <v>#NAME?</v>
      </c>
      <c r="BJ109" s="162" t="e">
        <f t="shared" ca="1" si="917"/>
        <v>#NAME?</v>
      </c>
      <c r="BK109" s="162" t="e">
        <f t="shared" ca="1" si="917"/>
        <v>#NAME?</v>
      </c>
      <c r="BL109" s="162" t="e">
        <f t="shared" ca="1" si="917"/>
        <v>#NAME?</v>
      </c>
      <c r="BM109" s="162" t="e">
        <f t="shared" ca="1" si="917"/>
        <v>#NAME?</v>
      </c>
      <c r="BN109" s="162" t="e">
        <f t="shared" ca="1" si="917"/>
        <v>#NAME?</v>
      </c>
      <c r="BO109" s="162" t="e">
        <f t="shared" ca="1" si="917"/>
        <v>#NAME?</v>
      </c>
      <c r="BP109" s="162" t="e">
        <f t="shared" ca="1" si="917"/>
        <v>#NAME?</v>
      </c>
      <c r="BQ109" s="162" t="e">
        <f t="shared" ca="1" si="917"/>
        <v>#NAME?</v>
      </c>
      <c r="BR109" s="162" t="e">
        <f t="shared" ca="1" si="917"/>
        <v>#NAME?</v>
      </c>
      <c r="BS109" s="162" t="e">
        <f t="shared" ca="1" si="917"/>
        <v>#NAME?</v>
      </c>
      <c r="BT109" s="162" t="e">
        <f t="shared" ca="1" si="917"/>
        <v>#NAME?</v>
      </c>
      <c r="BU109" s="162" t="e">
        <f t="shared" ca="1" si="917"/>
        <v>#NAME?</v>
      </c>
      <c r="BV109" s="162" t="e">
        <f t="shared" ca="1" si="917"/>
        <v>#NAME?</v>
      </c>
      <c r="BW109" s="162" t="e">
        <f t="shared" ca="1" si="917"/>
        <v>#NAME?</v>
      </c>
      <c r="BX109" s="162" t="e">
        <f t="shared" ca="1" si="917"/>
        <v>#NAME?</v>
      </c>
      <c r="BY109" s="162" t="e">
        <f t="shared" ca="1" si="917"/>
        <v>#NAME?</v>
      </c>
      <c r="BZ109" s="162" t="e">
        <f t="shared" ca="1" si="917"/>
        <v>#NAME?</v>
      </c>
      <c r="CA109" s="162" t="e">
        <f t="shared" ca="1" si="917"/>
        <v>#NAME?</v>
      </c>
      <c r="CB109" s="162" t="e">
        <f t="shared" ca="1" si="917"/>
        <v>#NAME?</v>
      </c>
      <c r="CC109" s="162" t="e">
        <f t="shared" ca="1" si="917"/>
        <v>#NAME?</v>
      </c>
      <c r="CD109" s="162" t="e">
        <f t="shared" ca="1" si="917"/>
        <v>#NAME?</v>
      </c>
      <c r="CE109" s="162" t="e">
        <f t="shared" ca="1" si="917"/>
        <v>#NAME?</v>
      </c>
      <c r="CF109" s="162" t="e">
        <f t="shared" ca="1" si="917"/>
        <v>#NAME?</v>
      </c>
      <c r="CG109" s="162" t="e">
        <f t="shared" ca="1" si="917"/>
        <v>#NAME?</v>
      </c>
      <c r="CH109" s="162" t="e">
        <f t="shared" ca="1" si="917"/>
        <v>#NAME?</v>
      </c>
      <c r="CI109" s="162" t="e">
        <f t="shared" ca="1" si="917"/>
        <v>#NAME?</v>
      </c>
      <c r="CJ109" s="162" t="e">
        <f ca="1">+CJ92/CJ$107</f>
        <v>#NAME?</v>
      </c>
      <c r="CK109" s="162" t="e">
        <f ca="1">+CK92/CK$107</f>
        <v>#NAME?</v>
      </c>
      <c r="CL109" s="162" t="e">
        <f ca="1">+CL92/CL$107</f>
        <v>#NAME?</v>
      </c>
      <c r="CM109" s="21" t="e">
        <f t="shared" ref="CM109:DB109" ca="1" si="918">+CM92/CM$107</f>
        <v>#NAME?</v>
      </c>
      <c r="CN109" s="21" t="e">
        <f t="shared" ca="1" si="918"/>
        <v>#NAME?</v>
      </c>
      <c r="CO109" s="21" t="e">
        <f t="shared" ca="1" si="918"/>
        <v>#NAME?</v>
      </c>
      <c r="CP109" s="21" t="e">
        <f t="shared" ca="1" si="918"/>
        <v>#NAME?</v>
      </c>
      <c r="CQ109" s="21" t="e">
        <f t="shared" ca="1" si="918"/>
        <v>#NAME?</v>
      </c>
      <c r="CR109" s="21" t="e">
        <f t="shared" ca="1" si="918"/>
        <v>#NAME?</v>
      </c>
      <c r="CS109" s="21" t="e">
        <f t="shared" ca="1" si="918"/>
        <v>#NAME?</v>
      </c>
      <c r="CT109" s="21" t="e">
        <f t="shared" ca="1" si="918"/>
        <v>#NAME?</v>
      </c>
      <c r="CU109" s="21" t="e">
        <f t="shared" ca="1" si="918"/>
        <v>#NAME?</v>
      </c>
      <c r="CV109" s="21" t="e">
        <f t="shared" ca="1" si="918"/>
        <v>#NAME?</v>
      </c>
      <c r="CW109" s="21" t="e">
        <f t="shared" ca="1" si="918"/>
        <v>#NAME?</v>
      </c>
      <c r="CX109" s="21" t="e">
        <f t="shared" ca="1" si="918"/>
        <v>#NAME?</v>
      </c>
      <c r="CY109" s="21" t="e">
        <f t="shared" ca="1" si="918"/>
        <v>#NAME?</v>
      </c>
      <c r="CZ109" s="21" t="e">
        <f t="shared" ca="1" si="918"/>
        <v>#NAME?</v>
      </c>
      <c r="DA109" s="21" t="e">
        <f t="shared" ca="1" si="918"/>
        <v>#NAME?</v>
      </c>
      <c r="DB109" s="21" t="e">
        <f t="shared" ca="1" si="918"/>
        <v>#NAME?</v>
      </c>
      <c r="DE109" s="22"/>
      <c r="DF109" s="162">
        <v>9.933693489399321</v>
      </c>
    </row>
    <row r="110" spans="1:110" s="162" customFormat="1" x14ac:dyDescent="0.2">
      <c r="A110" s="49" t="s">
        <v>503</v>
      </c>
      <c r="E110" s="162">
        <f t="shared" ca="1" si="915"/>
        <v>0.81701218975944245</v>
      </c>
      <c r="F110" s="162">
        <f t="shared" ca="1" si="915"/>
        <v>5.009486918596612</v>
      </c>
      <c r="G110" s="162">
        <f t="shared" ca="1" si="915"/>
        <v>6.9469780559198373</v>
      </c>
      <c r="H110" s="162">
        <f t="shared" ca="1" si="915"/>
        <v>3.1542456279439115</v>
      </c>
      <c r="I110" s="162">
        <f t="shared" ca="1" si="915"/>
        <v>3.7051122151895131</v>
      </c>
      <c r="J110" s="162">
        <f t="shared" ca="1" si="915"/>
        <v>2.0497809547088557</v>
      </c>
      <c r="K110" s="162">
        <f t="shared" ca="1" si="915"/>
        <v>2.2629921165602975</v>
      </c>
      <c r="L110" s="162">
        <f t="shared" ca="1" si="915"/>
        <v>2.0558782187857423</v>
      </c>
      <c r="M110" s="162">
        <f t="shared" ca="1" si="915"/>
        <v>1.6851093047313952</v>
      </c>
      <c r="N110" s="162">
        <f t="shared" ca="1" si="915"/>
        <v>1.410056769139173</v>
      </c>
      <c r="O110" s="162">
        <f t="shared" ca="1" si="915"/>
        <v>1.4427890084637056</v>
      </c>
      <c r="P110" s="162">
        <f t="shared" ca="1" si="915"/>
        <v>4.0555941943451908</v>
      </c>
      <c r="Q110" s="162">
        <f t="shared" ca="1" si="915"/>
        <v>3.6025774310486951</v>
      </c>
      <c r="R110" s="162">
        <f t="shared" ca="1" si="915"/>
        <v>3.8535135498885094</v>
      </c>
      <c r="S110" s="162">
        <f t="shared" ca="1" si="915"/>
        <v>7.2364347868382302</v>
      </c>
      <c r="T110" s="162">
        <f t="shared" ca="1" si="915"/>
        <v>6.1051822919339669</v>
      </c>
      <c r="U110" s="162">
        <f t="shared" ca="1" si="915"/>
        <v>2.7689919082614587</v>
      </c>
      <c r="V110" s="162">
        <f t="shared" ca="1" si="915"/>
        <v>3.0425826921993533</v>
      </c>
      <c r="W110" s="162">
        <f t="shared" ca="1" si="915"/>
        <v>5.405897652791035</v>
      </c>
      <c r="X110" s="162">
        <f t="shared" ca="1" si="915"/>
        <v>7.4236880878292597</v>
      </c>
      <c r="Y110" s="162">
        <f t="shared" ca="1" si="915"/>
        <v>21.539509287690041</v>
      </c>
      <c r="Z110" s="162">
        <f t="shared" ca="1" si="915"/>
        <v>23.819254289582354</v>
      </c>
      <c r="AA110" s="162">
        <f t="shared" ref="AA110" ca="1" si="919">+AA93/AA$107</f>
        <v>23.819254289582354</v>
      </c>
      <c r="AB110" s="21">
        <f t="shared" ca="1" si="915"/>
        <v>13.455039539383483</v>
      </c>
      <c r="AC110" s="21">
        <f t="shared" ca="1" si="915"/>
        <v>18.375131243360904</v>
      </c>
      <c r="AD110" s="21">
        <f t="shared" ca="1" si="915"/>
        <v>22.487323833869766</v>
      </c>
      <c r="AE110" s="21">
        <f t="shared" ca="1" si="915"/>
        <v>25.884544790414274</v>
      </c>
      <c r="AL110" s="162" t="e">
        <f t="shared" ca="1" si="917"/>
        <v>#NAME?</v>
      </c>
      <c r="AM110" s="162" t="e">
        <f t="shared" ca="1" si="917"/>
        <v>#NAME?</v>
      </c>
      <c r="AN110" s="162" t="e">
        <f t="shared" ca="1" si="917"/>
        <v>#NAME?</v>
      </c>
      <c r="AO110" s="162" t="e">
        <f t="shared" ca="1" si="917"/>
        <v>#NAME?</v>
      </c>
      <c r="AP110" s="162" t="e">
        <f t="shared" ca="1" si="917"/>
        <v>#NAME?</v>
      </c>
      <c r="AQ110" s="162" t="e">
        <f t="shared" ca="1" si="917"/>
        <v>#NAME?</v>
      </c>
      <c r="AR110" s="162" t="e">
        <f t="shared" ca="1" si="917"/>
        <v>#NAME?</v>
      </c>
      <c r="AS110" s="162" t="e">
        <f t="shared" ca="1" si="917"/>
        <v>#NAME?</v>
      </c>
      <c r="AT110" s="162" t="e">
        <f t="shared" ca="1" si="917"/>
        <v>#NAME?</v>
      </c>
      <c r="AU110" s="162" t="e">
        <f t="shared" ca="1" si="917"/>
        <v>#NAME?</v>
      </c>
      <c r="AV110" s="162" t="e">
        <f t="shared" ca="1" si="917"/>
        <v>#NAME?</v>
      </c>
      <c r="AW110" s="162" t="e">
        <f t="shared" ca="1" si="917"/>
        <v>#NAME?</v>
      </c>
      <c r="AX110" s="162" t="e">
        <f t="shared" ca="1" si="917"/>
        <v>#NAME?</v>
      </c>
      <c r="AY110" s="162" t="e">
        <f t="shared" ca="1" si="917"/>
        <v>#NAME?</v>
      </c>
      <c r="AZ110" s="162" t="e">
        <f t="shared" ca="1" si="917"/>
        <v>#NAME?</v>
      </c>
      <c r="BA110" s="162" t="e">
        <f t="shared" ca="1" si="917"/>
        <v>#NAME?</v>
      </c>
      <c r="BB110" s="162" t="e">
        <f t="shared" ca="1" si="917"/>
        <v>#NAME?</v>
      </c>
      <c r="BC110" s="162" t="e">
        <f t="shared" ca="1" si="917"/>
        <v>#NAME?</v>
      </c>
      <c r="BD110" s="162" t="e">
        <f t="shared" ca="1" si="917"/>
        <v>#NAME?</v>
      </c>
      <c r="BE110" s="162" t="e">
        <f t="shared" ca="1" si="917"/>
        <v>#NAME?</v>
      </c>
      <c r="BF110" s="162" t="e">
        <f t="shared" ca="1" si="917"/>
        <v>#NAME?</v>
      </c>
      <c r="BG110" s="162" t="e">
        <f t="shared" ca="1" si="917"/>
        <v>#NAME?</v>
      </c>
      <c r="BH110" s="162" t="e">
        <f t="shared" ca="1" si="917"/>
        <v>#NAME?</v>
      </c>
      <c r="BI110" s="162" t="e">
        <f t="shared" ca="1" si="917"/>
        <v>#NAME?</v>
      </c>
      <c r="BJ110" s="162" t="e">
        <f t="shared" ca="1" si="917"/>
        <v>#NAME?</v>
      </c>
      <c r="BK110" s="162" t="e">
        <f t="shared" ca="1" si="917"/>
        <v>#NAME?</v>
      </c>
      <c r="BL110" s="162" t="e">
        <f t="shared" ca="1" si="917"/>
        <v>#NAME?</v>
      </c>
      <c r="BM110" s="162" t="e">
        <f t="shared" ca="1" si="917"/>
        <v>#NAME?</v>
      </c>
      <c r="BN110" s="162" t="e">
        <f t="shared" ca="1" si="917"/>
        <v>#NAME?</v>
      </c>
      <c r="BO110" s="162" t="e">
        <f t="shared" ca="1" si="917"/>
        <v>#NAME?</v>
      </c>
      <c r="BP110" s="162" t="e">
        <f t="shared" ca="1" si="917"/>
        <v>#NAME?</v>
      </c>
      <c r="BQ110" s="162" t="e">
        <f t="shared" ca="1" si="917"/>
        <v>#NAME?</v>
      </c>
      <c r="BR110" s="162" t="e">
        <f t="shared" ca="1" si="917"/>
        <v>#NAME?</v>
      </c>
      <c r="BS110" s="162" t="e">
        <f t="shared" ca="1" si="917"/>
        <v>#NAME?</v>
      </c>
      <c r="BT110" s="162" t="e">
        <f t="shared" ca="1" si="917"/>
        <v>#NAME?</v>
      </c>
      <c r="BU110" s="162" t="e">
        <f t="shared" ca="1" si="917"/>
        <v>#NAME?</v>
      </c>
      <c r="BV110" s="162" t="e">
        <f t="shared" ca="1" si="917"/>
        <v>#NAME?</v>
      </c>
      <c r="BW110" s="162" t="e">
        <f t="shared" ca="1" si="917"/>
        <v>#NAME?</v>
      </c>
      <c r="BX110" s="162" t="e">
        <f t="shared" ca="1" si="917"/>
        <v>#NAME?</v>
      </c>
      <c r="BY110" s="162" t="e">
        <f t="shared" ca="1" si="917"/>
        <v>#NAME?</v>
      </c>
      <c r="BZ110" s="162" t="e">
        <f t="shared" ca="1" si="917"/>
        <v>#NAME?</v>
      </c>
      <c r="CA110" s="162" t="e">
        <f t="shared" ca="1" si="917"/>
        <v>#NAME?</v>
      </c>
      <c r="CB110" s="162" t="e">
        <f t="shared" ca="1" si="917"/>
        <v>#NAME?</v>
      </c>
      <c r="CC110" s="162" t="e">
        <f t="shared" ca="1" si="917"/>
        <v>#NAME?</v>
      </c>
      <c r="CD110" s="162" t="e">
        <f t="shared" ca="1" si="917"/>
        <v>#NAME?</v>
      </c>
      <c r="CE110" s="162" t="e">
        <f t="shared" ca="1" si="917"/>
        <v>#NAME?</v>
      </c>
      <c r="CF110" s="162" t="e">
        <f t="shared" ca="1" si="917"/>
        <v>#NAME?</v>
      </c>
      <c r="CG110" s="162" t="e">
        <f t="shared" ca="1" si="917"/>
        <v>#NAME?</v>
      </c>
      <c r="CH110" s="162" t="e">
        <f t="shared" ca="1" si="917"/>
        <v>#NAME?</v>
      </c>
      <c r="CI110" s="162" t="e">
        <f t="shared" ca="1" si="917"/>
        <v>#NAME?</v>
      </c>
      <c r="CJ110" s="162" t="e">
        <f t="shared" ref="CJ110:CK111" ca="1" si="920">+CJ93/CJ$107</f>
        <v>#NAME?</v>
      </c>
      <c r="CK110" s="162" t="e">
        <f t="shared" ca="1" si="920"/>
        <v>#NAME?</v>
      </c>
      <c r="CL110" s="162" t="e">
        <f t="shared" ref="CL110" ca="1" si="921">+CL93/CL$107</f>
        <v>#NAME?</v>
      </c>
      <c r="CM110" s="94" t="e">
        <f t="shared" ref="CM110:DB110" ca="1" si="922">+CL110</f>
        <v>#NAME?</v>
      </c>
      <c r="CN110" s="94" t="e">
        <f t="shared" ca="1" si="922"/>
        <v>#NAME?</v>
      </c>
      <c r="CO110" s="94" t="e">
        <f t="shared" ca="1" si="922"/>
        <v>#NAME?</v>
      </c>
      <c r="CP110" s="94" t="e">
        <f t="shared" ca="1" si="922"/>
        <v>#NAME?</v>
      </c>
      <c r="CQ110" s="94" t="e">
        <f t="shared" ca="1" si="922"/>
        <v>#NAME?</v>
      </c>
      <c r="CR110" s="94" t="e">
        <f t="shared" ca="1" si="922"/>
        <v>#NAME?</v>
      </c>
      <c r="CS110" s="94" t="e">
        <f t="shared" ca="1" si="922"/>
        <v>#NAME?</v>
      </c>
      <c r="CT110" s="94" t="e">
        <f t="shared" ca="1" si="922"/>
        <v>#NAME?</v>
      </c>
      <c r="CU110" s="94" t="e">
        <f t="shared" ca="1" si="922"/>
        <v>#NAME?</v>
      </c>
      <c r="CV110" s="94" t="e">
        <f t="shared" ca="1" si="922"/>
        <v>#NAME?</v>
      </c>
      <c r="CW110" s="94" t="e">
        <f t="shared" ca="1" si="922"/>
        <v>#NAME?</v>
      </c>
      <c r="CX110" s="94" t="e">
        <f t="shared" ca="1" si="922"/>
        <v>#NAME?</v>
      </c>
      <c r="CY110" s="94" t="e">
        <f t="shared" ca="1" si="922"/>
        <v>#NAME?</v>
      </c>
      <c r="CZ110" s="94" t="e">
        <f t="shared" ca="1" si="922"/>
        <v>#NAME?</v>
      </c>
      <c r="DA110" s="94" t="e">
        <f t="shared" ca="1" si="922"/>
        <v>#NAME?</v>
      </c>
      <c r="DB110" s="94" t="e">
        <f t="shared" ca="1" si="922"/>
        <v>#NAME?</v>
      </c>
      <c r="DC110" s="94"/>
      <c r="DE110" s="22"/>
      <c r="DF110" s="162">
        <v>16.890028471497462</v>
      </c>
    </row>
    <row r="111" spans="1:110" s="162" customFormat="1" x14ac:dyDescent="0.2">
      <c r="A111" s="49" t="s">
        <v>504</v>
      </c>
      <c r="E111" s="162">
        <f t="shared" ca="1" si="915"/>
        <v>0.15002847136191205</v>
      </c>
      <c r="F111" s="162">
        <f t="shared" ca="1" si="915"/>
        <v>0.39822049614180688</v>
      </c>
      <c r="G111" s="162">
        <f t="shared" ca="1" si="915"/>
        <v>2.102374937975739</v>
      </c>
      <c r="H111" s="162">
        <f t="shared" ca="1" si="915"/>
        <v>1.122807600070568</v>
      </c>
      <c r="I111" s="162">
        <f t="shared" ca="1" si="915"/>
        <v>0.96306165882182371</v>
      </c>
      <c r="J111" s="162">
        <f t="shared" ca="1" si="915"/>
        <v>0.55595474007433432</v>
      </c>
      <c r="K111" s="162">
        <f t="shared" ca="1" si="915"/>
        <v>0.99853529937531604</v>
      </c>
      <c r="L111" s="162">
        <f t="shared" ca="1" si="915"/>
        <v>0.99282693722279514</v>
      </c>
      <c r="M111" s="162">
        <f t="shared" ca="1" si="915"/>
        <v>1.0623270800341389</v>
      </c>
      <c r="N111" s="162">
        <f t="shared" ca="1" si="915"/>
        <v>0.88327085476114919</v>
      </c>
      <c r="O111" s="162">
        <f t="shared" ca="1" si="915"/>
        <v>0.79251790605753081</v>
      </c>
      <c r="P111" s="162">
        <f t="shared" ca="1" si="915"/>
        <v>0.93919023447993932</v>
      </c>
      <c r="Q111" s="162">
        <f t="shared" ca="1" si="915"/>
        <v>1.6009086690636483</v>
      </c>
      <c r="R111" s="162">
        <f t="shared" ca="1" si="915"/>
        <v>2.0603751643130708</v>
      </c>
      <c r="S111" s="162">
        <f t="shared" ca="1" si="915"/>
        <v>2.0730022863003876</v>
      </c>
      <c r="T111" s="162">
        <f t="shared" ca="1" si="915"/>
        <v>1.7500642649630538</v>
      </c>
      <c r="U111" s="162">
        <f t="shared" ca="1" si="915"/>
        <v>1.1401731386958938</v>
      </c>
      <c r="V111" s="162">
        <f t="shared" ca="1" si="915"/>
        <v>1.0228770378870253</v>
      </c>
      <c r="W111" s="162">
        <f t="shared" ca="1" si="915"/>
        <v>1.8920641784768593</v>
      </c>
      <c r="X111" s="162">
        <f t="shared" ca="1" si="915"/>
        <v>3.7102778649931469</v>
      </c>
      <c r="Y111" s="162">
        <f t="shared" ca="1" si="915"/>
        <v>4.2032813838549545</v>
      </c>
      <c r="Z111" s="162">
        <f t="shared" ca="1" si="915"/>
        <v>10.541988996349987</v>
      </c>
      <c r="AA111" s="162">
        <f t="shared" ref="AA111" ca="1" si="923">+AA94/AA$107</f>
        <v>10.541988996349987</v>
      </c>
      <c r="AB111" s="21">
        <f t="shared" ca="1" si="915"/>
        <v>8.5605273969420175</v>
      </c>
      <c r="AC111" s="21">
        <f t="shared" ca="1" si="915"/>
        <v>9.8141874344235465</v>
      </c>
      <c r="AD111" s="21">
        <f t="shared" ca="1" si="915"/>
        <v>12.74484193845489</v>
      </c>
      <c r="AE111" s="21">
        <f t="shared" ca="1" si="915"/>
        <v>15.171466045428284</v>
      </c>
      <c r="AL111" s="162" t="e">
        <f t="shared" ca="1" si="917"/>
        <v>#NAME?</v>
      </c>
      <c r="AM111" s="162" t="e">
        <f t="shared" ca="1" si="917"/>
        <v>#NAME?</v>
      </c>
      <c r="AN111" s="162" t="e">
        <f t="shared" ca="1" si="917"/>
        <v>#NAME?</v>
      </c>
      <c r="AO111" s="162" t="e">
        <f t="shared" ca="1" si="917"/>
        <v>#NAME?</v>
      </c>
      <c r="AP111" s="162" t="e">
        <f t="shared" ca="1" si="917"/>
        <v>#NAME?</v>
      </c>
      <c r="AQ111" s="162" t="e">
        <f t="shared" ca="1" si="917"/>
        <v>#NAME?</v>
      </c>
      <c r="AR111" s="162" t="e">
        <f t="shared" ca="1" si="917"/>
        <v>#NAME?</v>
      </c>
      <c r="AS111" s="162" t="e">
        <f t="shared" ca="1" si="917"/>
        <v>#NAME?</v>
      </c>
      <c r="AT111" s="162" t="e">
        <f t="shared" ca="1" si="917"/>
        <v>#NAME?</v>
      </c>
      <c r="AU111" s="162" t="e">
        <f t="shared" ca="1" si="917"/>
        <v>#NAME?</v>
      </c>
      <c r="AV111" s="162" t="e">
        <f t="shared" ca="1" si="917"/>
        <v>#NAME?</v>
      </c>
      <c r="AW111" s="162" t="e">
        <f t="shared" ca="1" si="917"/>
        <v>#NAME?</v>
      </c>
      <c r="AX111" s="162" t="e">
        <f t="shared" ca="1" si="917"/>
        <v>#NAME?</v>
      </c>
      <c r="AY111" s="162" t="e">
        <f t="shared" ca="1" si="917"/>
        <v>#NAME?</v>
      </c>
      <c r="AZ111" s="162" t="e">
        <f t="shared" ca="1" si="917"/>
        <v>#NAME?</v>
      </c>
      <c r="BA111" s="162" t="e">
        <f t="shared" ca="1" si="917"/>
        <v>#NAME?</v>
      </c>
      <c r="BB111" s="162" t="e">
        <f t="shared" ca="1" si="917"/>
        <v>#NAME?</v>
      </c>
      <c r="BC111" s="162" t="e">
        <f t="shared" ca="1" si="917"/>
        <v>#NAME?</v>
      </c>
      <c r="BD111" s="162" t="e">
        <f t="shared" ca="1" si="917"/>
        <v>#NAME?</v>
      </c>
      <c r="BE111" s="162" t="e">
        <f t="shared" ca="1" si="917"/>
        <v>#NAME?</v>
      </c>
      <c r="BF111" s="162" t="e">
        <f t="shared" ca="1" si="917"/>
        <v>#NAME?</v>
      </c>
      <c r="BG111" s="162" t="e">
        <f t="shared" ca="1" si="917"/>
        <v>#NAME?</v>
      </c>
      <c r="BH111" s="162" t="e">
        <f t="shared" ca="1" si="917"/>
        <v>#NAME?</v>
      </c>
      <c r="BI111" s="162" t="e">
        <f t="shared" ca="1" si="917"/>
        <v>#NAME?</v>
      </c>
      <c r="BJ111" s="162" t="e">
        <f t="shared" ca="1" si="917"/>
        <v>#NAME?</v>
      </c>
      <c r="BK111" s="162" t="e">
        <f t="shared" ca="1" si="917"/>
        <v>#NAME?</v>
      </c>
      <c r="BL111" s="162" t="e">
        <f t="shared" ca="1" si="917"/>
        <v>#NAME?</v>
      </c>
      <c r="BM111" s="162" t="e">
        <f t="shared" ca="1" si="917"/>
        <v>#NAME?</v>
      </c>
      <c r="BN111" s="162" t="e">
        <f t="shared" ca="1" si="917"/>
        <v>#NAME?</v>
      </c>
      <c r="BO111" s="162" t="e">
        <f t="shared" ca="1" si="917"/>
        <v>#NAME?</v>
      </c>
      <c r="BP111" s="162" t="e">
        <f t="shared" ca="1" si="917"/>
        <v>#NAME?</v>
      </c>
      <c r="BQ111" s="162" t="e">
        <f t="shared" ca="1" si="917"/>
        <v>#NAME?</v>
      </c>
      <c r="BR111" s="162" t="e">
        <f t="shared" ca="1" si="917"/>
        <v>#NAME?</v>
      </c>
      <c r="BS111" s="162" t="e">
        <f t="shared" ca="1" si="917"/>
        <v>#NAME?</v>
      </c>
      <c r="BT111" s="162" t="e">
        <f t="shared" ca="1" si="917"/>
        <v>#NAME?</v>
      </c>
      <c r="BU111" s="162" t="e">
        <f t="shared" ca="1" si="917"/>
        <v>#NAME?</v>
      </c>
      <c r="BV111" s="162" t="e">
        <f t="shared" ca="1" si="917"/>
        <v>#NAME?</v>
      </c>
      <c r="BW111" s="162" t="e">
        <f t="shared" ca="1" si="917"/>
        <v>#NAME?</v>
      </c>
      <c r="BX111" s="162" t="e">
        <f t="shared" ca="1" si="917"/>
        <v>#NAME?</v>
      </c>
      <c r="BY111" s="162" t="e">
        <f t="shared" ca="1" si="917"/>
        <v>#NAME?</v>
      </c>
      <c r="BZ111" s="162" t="e">
        <f t="shared" ca="1" si="917"/>
        <v>#NAME?</v>
      </c>
      <c r="CA111" s="162" t="e">
        <f t="shared" ca="1" si="917"/>
        <v>#NAME?</v>
      </c>
      <c r="CB111" s="162" t="e">
        <f t="shared" ca="1" si="917"/>
        <v>#NAME?</v>
      </c>
      <c r="CC111" s="162" t="e">
        <f t="shared" ca="1" si="917"/>
        <v>#NAME?</v>
      </c>
      <c r="CD111" s="162" t="e">
        <f t="shared" ca="1" si="917"/>
        <v>#NAME?</v>
      </c>
      <c r="CE111" s="162" t="e">
        <f t="shared" ca="1" si="917"/>
        <v>#NAME?</v>
      </c>
      <c r="CF111" s="162" t="e">
        <f t="shared" ca="1" si="917"/>
        <v>#NAME?</v>
      </c>
      <c r="CG111" s="162" t="e">
        <f t="shared" ca="1" si="917"/>
        <v>#NAME?</v>
      </c>
      <c r="CH111" s="162" t="e">
        <f t="shared" ca="1" si="917"/>
        <v>#NAME?</v>
      </c>
      <c r="CI111" s="162" t="e">
        <f t="shared" ca="1" si="917"/>
        <v>#NAME?</v>
      </c>
      <c r="CJ111" s="162" t="e">
        <f t="shared" ca="1" si="920"/>
        <v>#NAME?</v>
      </c>
      <c r="CK111" s="162" t="e">
        <f t="shared" ca="1" si="920"/>
        <v>#NAME?</v>
      </c>
      <c r="CL111" s="162" t="e">
        <f t="shared" ref="CL111" ca="1" si="924">+CL94/CL$107</f>
        <v>#NAME?</v>
      </c>
      <c r="CM111" s="94" t="e">
        <f t="shared" ref="CM111:DB111" ca="1" si="925">+CL111</f>
        <v>#NAME?</v>
      </c>
      <c r="CN111" s="94" t="e">
        <f t="shared" ca="1" si="925"/>
        <v>#NAME?</v>
      </c>
      <c r="CO111" s="94" t="e">
        <f t="shared" ca="1" si="925"/>
        <v>#NAME?</v>
      </c>
      <c r="CP111" s="94" t="e">
        <f t="shared" ca="1" si="925"/>
        <v>#NAME?</v>
      </c>
      <c r="CQ111" s="94" t="e">
        <f t="shared" ca="1" si="925"/>
        <v>#NAME?</v>
      </c>
      <c r="CR111" s="94" t="e">
        <f t="shared" ca="1" si="925"/>
        <v>#NAME?</v>
      </c>
      <c r="CS111" s="94" t="e">
        <f t="shared" ca="1" si="925"/>
        <v>#NAME?</v>
      </c>
      <c r="CT111" s="94" t="e">
        <f t="shared" ca="1" si="925"/>
        <v>#NAME?</v>
      </c>
      <c r="CU111" s="94" t="e">
        <f t="shared" ca="1" si="925"/>
        <v>#NAME?</v>
      </c>
      <c r="CV111" s="94" t="e">
        <f t="shared" ca="1" si="925"/>
        <v>#NAME?</v>
      </c>
      <c r="CW111" s="94" t="e">
        <f t="shared" ca="1" si="925"/>
        <v>#NAME?</v>
      </c>
      <c r="CX111" s="94" t="e">
        <f t="shared" ca="1" si="925"/>
        <v>#NAME?</v>
      </c>
      <c r="CY111" s="94" t="e">
        <f t="shared" ca="1" si="925"/>
        <v>#NAME?</v>
      </c>
      <c r="CZ111" s="94" t="e">
        <f t="shared" ca="1" si="925"/>
        <v>#NAME?</v>
      </c>
      <c r="DA111" s="94" t="e">
        <f t="shared" ca="1" si="925"/>
        <v>#NAME?</v>
      </c>
      <c r="DB111" s="94" t="e">
        <f t="shared" ca="1" si="925"/>
        <v>#NAME?</v>
      </c>
      <c r="DC111" s="94"/>
      <c r="DE111" s="22"/>
      <c r="DF111" s="162">
        <v>7.0958316658512262</v>
      </c>
    </row>
    <row r="112" spans="1:110" s="4" customFormat="1" x14ac:dyDescent="0.2">
      <c r="A112" s="3"/>
      <c r="AB112" s="17"/>
      <c r="AC112" s="17"/>
      <c r="AD112" s="17"/>
      <c r="AE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E112" s="119"/>
    </row>
    <row r="113" spans="1:110" s="177" customFormat="1" x14ac:dyDescent="0.2">
      <c r="A113" s="177" t="s">
        <v>510</v>
      </c>
      <c r="E113" s="177" t="e">
        <f t="shared" ref="E113:Y113" ca="1" si="926">+E25</f>
        <v>#NAME?</v>
      </c>
      <c r="F113" s="177" t="e">
        <f t="shared" ca="1" si="926"/>
        <v>#NAME?</v>
      </c>
      <c r="G113" s="177" t="e">
        <f t="shared" ca="1" si="926"/>
        <v>#NAME?</v>
      </c>
      <c r="H113" s="177" t="e">
        <f t="shared" ca="1" si="926"/>
        <v>#NAME?</v>
      </c>
      <c r="I113" s="177" t="e">
        <f t="shared" ca="1" si="926"/>
        <v>#NAME?</v>
      </c>
      <c r="J113" s="177" t="e">
        <f t="shared" ca="1" si="926"/>
        <v>#NAME?</v>
      </c>
      <c r="K113" s="177" t="e">
        <f t="shared" ca="1" si="926"/>
        <v>#NAME?</v>
      </c>
      <c r="L113" s="177" t="e">
        <f t="shared" ca="1" si="926"/>
        <v>#NAME?</v>
      </c>
      <c r="M113" s="177" t="e">
        <f t="shared" ca="1" si="926"/>
        <v>#NAME?</v>
      </c>
      <c r="N113" s="177" t="e">
        <f t="shared" ca="1" si="926"/>
        <v>#NAME?</v>
      </c>
      <c r="O113" s="177" t="e">
        <f t="shared" ca="1" si="926"/>
        <v>#NAME?</v>
      </c>
      <c r="P113" s="177" t="e">
        <f t="shared" ca="1" si="926"/>
        <v>#NAME?</v>
      </c>
      <c r="Q113" s="177" t="e">
        <f t="shared" ca="1" si="926"/>
        <v>#NAME?</v>
      </c>
      <c r="R113" s="177" t="e">
        <f t="shared" ca="1" si="926"/>
        <v>#NAME?</v>
      </c>
      <c r="S113" s="177" t="e">
        <f t="shared" ca="1" si="926"/>
        <v>#NAME?</v>
      </c>
      <c r="T113" s="177" t="e">
        <f t="shared" ca="1" si="926"/>
        <v>#NAME?</v>
      </c>
      <c r="U113" s="177" t="e">
        <f t="shared" ca="1" si="926"/>
        <v>#NAME?</v>
      </c>
      <c r="V113" s="177" t="e">
        <f t="shared" ca="1" si="926"/>
        <v>#NAME?</v>
      </c>
      <c r="W113" s="177" t="e">
        <f t="shared" ca="1" si="926"/>
        <v>#NAME?</v>
      </c>
      <c r="X113" s="177" t="e">
        <f t="shared" ca="1" si="926"/>
        <v>#NAME?</v>
      </c>
      <c r="Y113" s="177" t="e">
        <f t="shared" ca="1" si="926"/>
        <v>#NAME?</v>
      </c>
      <c r="Z113" s="177" t="e">
        <f ca="1">+Z25</f>
        <v>#NAME?</v>
      </c>
      <c r="AA113" s="177" t="e">
        <f ca="1">+AA25</f>
        <v>#NAME?</v>
      </c>
      <c r="AB113" s="178">
        <f t="shared" ref="AA113:AE113" si="927">+AB25</f>
        <v>259.06727999999998</v>
      </c>
      <c r="AC113" s="178">
        <f t="shared" si="927"/>
        <v>297.83818399999996</v>
      </c>
      <c r="AD113" s="178">
        <f t="shared" si="927"/>
        <v>342.41580479999988</v>
      </c>
      <c r="AE113" s="178">
        <f t="shared" si="927"/>
        <v>393.67025803999985</v>
      </c>
      <c r="AL113" s="177" t="e">
        <f t="shared" ref="AL113:BQ113" ca="1" si="928">+SUM(AI23:AL23)</f>
        <v>#NAME?</v>
      </c>
      <c r="AM113" s="177" t="e">
        <f t="shared" ca="1" si="928"/>
        <v>#NAME?</v>
      </c>
      <c r="AN113" s="177" t="e">
        <f t="shared" ca="1" si="928"/>
        <v>#NAME?</v>
      </c>
      <c r="AO113" s="177" t="e">
        <f t="shared" ca="1" si="928"/>
        <v>#NAME?</v>
      </c>
      <c r="AP113" s="177" t="e">
        <f t="shared" ca="1" si="928"/>
        <v>#NAME?</v>
      </c>
      <c r="AQ113" s="177" t="e">
        <f t="shared" ca="1" si="928"/>
        <v>#NAME?</v>
      </c>
      <c r="AR113" s="177" t="e">
        <f t="shared" ca="1" si="928"/>
        <v>#NAME?</v>
      </c>
      <c r="AS113" s="177" t="e">
        <f t="shared" ca="1" si="928"/>
        <v>#NAME?</v>
      </c>
      <c r="AT113" s="177" t="e">
        <f t="shared" ca="1" si="928"/>
        <v>#NAME?</v>
      </c>
      <c r="AU113" s="177" t="e">
        <f t="shared" ca="1" si="928"/>
        <v>#NAME?</v>
      </c>
      <c r="AV113" s="177" t="e">
        <f t="shared" ca="1" si="928"/>
        <v>#NAME?</v>
      </c>
      <c r="AW113" s="177" t="e">
        <f t="shared" ca="1" si="928"/>
        <v>#NAME?</v>
      </c>
      <c r="AX113" s="177" t="e">
        <f t="shared" ca="1" si="928"/>
        <v>#NAME?</v>
      </c>
      <c r="AY113" s="177" t="e">
        <f t="shared" ca="1" si="928"/>
        <v>#NAME?</v>
      </c>
      <c r="AZ113" s="177" t="e">
        <f t="shared" ca="1" si="928"/>
        <v>#NAME?</v>
      </c>
      <c r="BA113" s="177" t="e">
        <f t="shared" ca="1" si="928"/>
        <v>#NAME?</v>
      </c>
      <c r="BB113" s="177" t="e">
        <f t="shared" ca="1" si="928"/>
        <v>#NAME?</v>
      </c>
      <c r="BC113" s="177" t="e">
        <f t="shared" ca="1" si="928"/>
        <v>#NAME?</v>
      </c>
      <c r="BD113" s="177" t="e">
        <f t="shared" ca="1" si="928"/>
        <v>#NAME?</v>
      </c>
      <c r="BE113" s="177" t="e">
        <f t="shared" ca="1" si="928"/>
        <v>#NAME?</v>
      </c>
      <c r="BF113" s="177" t="e">
        <f t="shared" ca="1" si="928"/>
        <v>#NAME?</v>
      </c>
      <c r="BG113" s="177" t="e">
        <f t="shared" ca="1" si="928"/>
        <v>#NAME?</v>
      </c>
      <c r="BH113" s="177" t="e">
        <f t="shared" ca="1" si="928"/>
        <v>#NAME?</v>
      </c>
      <c r="BI113" s="177" t="e">
        <f t="shared" ca="1" si="928"/>
        <v>#NAME?</v>
      </c>
      <c r="BJ113" s="177" t="e">
        <f t="shared" ca="1" si="928"/>
        <v>#NAME?</v>
      </c>
      <c r="BK113" s="177" t="e">
        <f t="shared" ca="1" si="928"/>
        <v>#NAME?</v>
      </c>
      <c r="BL113" s="177" t="e">
        <f t="shared" ca="1" si="928"/>
        <v>#NAME?</v>
      </c>
      <c r="BM113" s="177" t="e">
        <f t="shared" ca="1" si="928"/>
        <v>#NAME?</v>
      </c>
      <c r="BN113" s="177" t="e">
        <f t="shared" ca="1" si="928"/>
        <v>#NAME?</v>
      </c>
      <c r="BO113" s="177" t="e">
        <f t="shared" ca="1" si="928"/>
        <v>#NAME?</v>
      </c>
      <c r="BP113" s="177" t="e">
        <f t="shared" ca="1" si="928"/>
        <v>#NAME?</v>
      </c>
      <c r="BQ113" s="177" t="e">
        <f t="shared" ca="1" si="928"/>
        <v>#NAME?</v>
      </c>
      <c r="BR113" s="177" t="e">
        <f t="shared" ref="BR113:CW113" ca="1" si="929">+SUM(BO23:BR23)</f>
        <v>#NAME?</v>
      </c>
      <c r="BS113" s="177" t="e">
        <f t="shared" ca="1" si="929"/>
        <v>#NAME?</v>
      </c>
      <c r="BT113" s="177" t="e">
        <f t="shared" ca="1" si="929"/>
        <v>#NAME?</v>
      </c>
      <c r="BU113" s="177" t="e">
        <f t="shared" ca="1" si="929"/>
        <v>#NAME?</v>
      </c>
      <c r="BV113" s="177" t="e">
        <f t="shared" ca="1" si="929"/>
        <v>#NAME?</v>
      </c>
      <c r="BW113" s="177" t="e">
        <f t="shared" ca="1" si="929"/>
        <v>#NAME?</v>
      </c>
      <c r="BX113" s="177" t="e">
        <f t="shared" ca="1" si="929"/>
        <v>#NAME?</v>
      </c>
      <c r="BY113" s="177" t="e">
        <f t="shared" ca="1" si="929"/>
        <v>#NAME?</v>
      </c>
      <c r="BZ113" s="177" t="e">
        <f t="shared" ca="1" si="929"/>
        <v>#NAME?</v>
      </c>
      <c r="CA113" s="177" t="e">
        <f t="shared" ca="1" si="929"/>
        <v>#NAME?</v>
      </c>
      <c r="CB113" s="177" t="e">
        <f t="shared" ca="1" si="929"/>
        <v>#NAME?</v>
      </c>
      <c r="CC113" s="177" t="e">
        <f t="shared" ca="1" si="929"/>
        <v>#NAME?</v>
      </c>
      <c r="CD113" s="177" t="e">
        <f t="shared" ca="1" si="929"/>
        <v>#NAME?</v>
      </c>
      <c r="CE113" s="177" t="e">
        <f t="shared" ca="1" si="929"/>
        <v>#NAME?</v>
      </c>
      <c r="CF113" s="177" t="e">
        <f t="shared" ca="1" si="929"/>
        <v>#NAME?</v>
      </c>
      <c r="CG113" s="177" t="e">
        <f t="shared" ca="1" si="929"/>
        <v>#NAME?</v>
      </c>
      <c r="CH113" s="177" t="e">
        <f t="shared" ca="1" si="929"/>
        <v>#NAME?</v>
      </c>
      <c r="CI113" s="177" t="e">
        <f t="shared" ca="1" si="929"/>
        <v>#NAME?</v>
      </c>
      <c r="CJ113" s="177" t="e">
        <f t="shared" ca="1" si="929"/>
        <v>#NAME?</v>
      </c>
      <c r="CK113" s="177" t="e">
        <f t="shared" ca="1" si="929"/>
        <v>#NAME?</v>
      </c>
      <c r="CL113" s="177" t="e">
        <f t="shared" ca="1" si="929"/>
        <v>#NAME?</v>
      </c>
      <c r="CM113" s="178" t="e">
        <f t="shared" ca="1" si="929"/>
        <v>#NAME?</v>
      </c>
      <c r="CN113" s="178" t="e">
        <f t="shared" ca="1" si="929"/>
        <v>#NAME?</v>
      </c>
      <c r="CO113" s="178" t="e">
        <f t="shared" ca="1" si="929"/>
        <v>#NAME?</v>
      </c>
      <c r="CP113" s="178">
        <f t="shared" si="929"/>
        <v>259.06727999999998</v>
      </c>
      <c r="CQ113" s="178">
        <f t="shared" si="929"/>
        <v>268.02506199999993</v>
      </c>
      <c r="CR113" s="178">
        <f t="shared" si="929"/>
        <v>277.72323099999994</v>
      </c>
      <c r="CS113" s="178">
        <f t="shared" si="929"/>
        <v>286.68608199999994</v>
      </c>
      <c r="CT113" s="178">
        <f t="shared" si="929"/>
        <v>297.83818399999996</v>
      </c>
      <c r="CU113" s="178">
        <f t="shared" si="929"/>
        <v>308.1392229999999</v>
      </c>
      <c r="CV113" s="178">
        <f t="shared" si="929"/>
        <v>319.29049869999989</v>
      </c>
      <c r="CW113" s="178">
        <f t="shared" si="929"/>
        <v>329.59518849999989</v>
      </c>
      <c r="CX113" s="178">
        <f t="shared" ref="CX113:DB113" si="930">+SUM(CU23:CX23)</f>
        <v>342.41580479999988</v>
      </c>
      <c r="CY113" s="178">
        <f t="shared" si="930"/>
        <v>354.26154831999986</v>
      </c>
      <c r="CZ113" s="178">
        <f t="shared" si="930"/>
        <v>367.08373485999982</v>
      </c>
      <c r="DA113" s="178">
        <f t="shared" si="930"/>
        <v>378.93128039499987</v>
      </c>
      <c r="DB113" s="178">
        <f t="shared" si="930"/>
        <v>393.67025803999985</v>
      </c>
      <c r="DE113" s="179"/>
      <c r="DF113" s="177">
        <v>222.87299999999999</v>
      </c>
    </row>
    <row r="114" spans="1:110" s="163" customFormat="1" x14ac:dyDescent="0.2">
      <c r="A114" s="163" t="s">
        <v>511</v>
      </c>
      <c r="E114" s="163">
        <f t="shared" ref="E114:AE114" ca="1" si="931">+E113/E80</f>
        <v>0.35056255315945956</v>
      </c>
      <c r="F114" s="163">
        <f t="shared" ca="1" si="931"/>
        <v>0.44362610364683297</v>
      </c>
      <c r="G114" s="163">
        <f t="shared" ca="1" si="931"/>
        <v>0.60668385081479803</v>
      </c>
      <c r="H114" s="163">
        <f t="shared" ca="1" si="931"/>
        <v>0.85228712129765538</v>
      </c>
      <c r="I114" s="163">
        <f t="shared" ca="1" si="931"/>
        <v>0.90472998758044476</v>
      </c>
      <c r="J114" s="163">
        <f t="shared" ca="1" si="931"/>
        <v>0.96892893003650593</v>
      </c>
      <c r="K114" s="163">
        <f t="shared" ca="1" si="931"/>
        <v>0.81081002596816076</v>
      </c>
      <c r="L114" s="163">
        <f t="shared" ca="1" si="931"/>
        <v>0.8378019908923261</v>
      </c>
      <c r="M114" s="163">
        <f t="shared" ca="1" si="931"/>
        <v>0.97903087576681336</v>
      </c>
      <c r="N114" s="163">
        <f t="shared" ca="1" si="931"/>
        <v>1.6162736592525684</v>
      </c>
      <c r="O114" s="163">
        <f t="shared" ca="1" si="931"/>
        <v>0.48945769071544165</v>
      </c>
      <c r="P114" s="163">
        <f t="shared" ca="1" si="931"/>
        <v>0.95151103835008088</v>
      </c>
      <c r="Q114" s="163">
        <f t="shared" ca="1" si="931"/>
        <v>0.92698644386737417</v>
      </c>
      <c r="R114" s="163">
        <f t="shared" ca="1" si="931"/>
        <v>1.2640729705317828</v>
      </c>
      <c r="S114" s="163">
        <f t="shared" ca="1" si="931"/>
        <v>1.9455086861616047</v>
      </c>
      <c r="T114" s="163">
        <f t="shared" ca="1" si="931"/>
        <v>1.9009906401716155</v>
      </c>
      <c r="U114" s="163">
        <f t="shared" ca="1" si="931"/>
        <v>1.9539838658688045</v>
      </c>
      <c r="V114" s="163">
        <f t="shared" ca="1" si="931"/>
        <v>2.9240901734974223</v>
      </c>
      <c r="W114" s="163">
        <f t="shared" ca="1" si="931"/>
        <v>3.949926611719544</v>
      </c>
      <c r="X114" s="163">
        <f t="shared" ca="1" si="931"/>
        <v>5.8127695607993672</v>
      </c>
      <c r="Y114" s="163">
        <f t="shared" ca="1" si="931"/>
        <v>8.4440555492830516</v>
      </c>
      <c r="Z114" s="163">
        <f t="shared" ref="Z114:AA114" ca="1" si="932">+Z113/Z80</f>
        <v>9.375868427985397</v>
      </c>
      <c r="AA114" s="163">
        <f t="shared" ca="1" si="932"/>
        <v>9.375868427985397</v>
      </c>
      <c r="AB114" s="94">
        <f t="shared" ca="1" si="931"/>
        <v>9.7500011290504673</v>
      </c>
      <c r="AC114" s="94">
        <f t="shared" ca="1" si="931"/>
        <v>11.209144706635051</v>
      </c>
      <c r="AD114" s="94">
        <f t="shared" ca="1" si="931"/>
        <v>12.886824161680021</v>
      </c>
      <c r="AE114" s="94">
        <f t="shared" ca="1" si="931"/>
        <v>14.815786309886713</v>
      </c>
      <c r="AL114" s="163" t="e">
        <f t="shared" ref="AL114:BQ114" ca="1" si="933">+AL113/AL80</f>
        <v>#NAME?</v>
      </c>
      <c r="AM114" s="163" t="e">
        <f t="shared" ca="1" si="933"/>
        <v>#NAME?</v>
      </c>
      <c r="AN114" s="163" t="e">
        <f t="shared" ca="1" si="933"/>
        <v>#NAME?</v>
      </c>
      <c r="AO114" s="163" t="e">
        <f t="shared" ca="1" si="933"/>
        <v>#NAME?</v>
      </c>
      <c r="AP114" s="163" t="e">
        <f t="shared" ca="1" si="933"/>
        <v>#NAME?</v>
      </c>
      <c r="AQ114" s="163" t="e">
        <f t="shared" ca="1" si="933"/>
        <v>#NAME?</v>
      </c>
      <c r="AR114" s="163" t="e">
        <f t="shared" ca="1" si="933"/>
        <v>#NAME?</v>
      </c>
      <c r="AS114" s="163" t="e">
        <f t="shared" ca="1" si="933"/>
        <v>#NAME?</v>
      </c>
      <c r="AT114" s="163" t="e">
        <f t="shared" ca="1" si="933"/>
        <v>#NAME?</v>
      </c>
      <c r="AU114" s="163" t="e">
        <f t="shared" ca="1" si="933"/>
        <v>#NAME?</v>
      </c>
      <c r="AV114" s="163" t="e">
        <f t="shared" ca="1" si="933"/>
        <v>#NAME?</v>
      </c>
      <c r="AW114" s="163" t="e">
        <f t="shared" ca="1" si="933"/>
        <v>#NAME?</v>
      </c>
      <c r="AX114" s="163" t="e">
        <f t="shared" ca="1" si="933"/>
        <v>#NAME?</v>
      </c>
      <c r="AY114" s="163" t="e">
        <f t="shared" ca="1" si="933"/>
        <v>#NAME?</v>
      </c>
      <c r="AZ114" s="163" t="e">
        <f t="shared" ca="1" si="933"/>
        <v>#NAME?</v>
      </c>
      <c r="BA114" s="163" t="e">
        <f t="shared" ca="1" si="933"/>
        <v>#NAME?</v>
      </c>
      <c r="BB114" s="163" t="e">
        <f t="shared" ca="1" si="933"/>
        <v>#NAME?</v>
      </c>
      <c r="BC114" s="163" t="e">
        <f t="shared" ca="1" si="933"/>
        <v>#NAME?</v>
      </c>
      <c r="BD114" s="163" t="e">
        <f t="shared" ca="1" si="933"/>
        <v>#NAME?</v>
      </c>
      <c r="BE114" s="163" t="e">
        <f t="shared" ca="1" si="933"/>
        <v>#NAME?</v>
      </c>
      <c r="BF114" s="163" t="e">
        <f t="shared" ca="1" si="933"/>
        <v>#NAME?</v>
      </c>
      <c r="BG114" s="163" t="e">
        <f t="shared" ca="1" si="933"/>
        <v>#NAME?</v>
      </c>
      <c r="BH114" s="163" t="e">
        <f t="shared" ca="1" si="933"/>
        <v>#NAME?</v>
      </c>
      <c r="BI114" s="163" t="e">
        <f t="shared" ca="1" si="933"/>
        <v>#NAME?</v>
      </c>
      <c r="BJ114" s="163" t="e">
        <f t="shared" ca="1" si="933"/>
        <v>#NAME?</v>
      </c>
      <c r="BK114" s="163" t="e">
        <f t="shared" ca="1" si="933"/>
        <v>#NAME?</v>
      </c>
      <c r="BL114" s="163" t="e">
        <f t="shared" ca="1" si="933"/>
        <v>#NAME?</v>
      </c>
      <c r="BM114" s="163" t="e">
        <f t="shared" ca="1" si="933"/>
        <v>#NAME?</v>
      </c>
      <c r="BN114" s="163" t="e">
        <f t="shared" ca="1" si="933"/>
        <v>#NAME?</v>
      </c>
      <c r="BO114" s="163" t="e">
        <f t="shared" ca="1" si="933"/>
        <v>#NAME?</v>
      </c>
      <c r="BP114" s="163" t="e">
        <f t="shared" ca="1" si="933"/>
        <v>#NAME?</v>
      </c>
      <c r="BQ114" s="163" t="e">
        <f t="shared" ca="1" si="933"/>
        <v>#NAME?</v>
      </c>
      <c r="BR114" s="163" t="e">
        <f t="shared" ref="BR114:CW114" ca="1" si="934">+BR113/BR80</f>
        <v>#NAME?</v>
      </c>
      <c r="BS114" s="163" t="e">
        <f t="shared" ca="1" si="934"/>
        <v>#NAME?</v>
      </c>
      <c r="BT114" s="163" t="e">
        <f t="shared" ca="1" si="934"/>
        <v>#NAME?</v>
      </c>
      <c r="BU114" s="163" t="e">
        <f t="shared" ca="1" si="934"/>
        <v>#NAME?</v>
      </c>
      <c r="BV114" s="163" t="e">
        <f t="shared" ca="1" si="934"/>
        <v>#NAME?</v>
      </c>
      <c r="BW114" s="163" t="e">
        <f t="shared" ca="1" si="934"/>
        <v>#NAME?</v>
      </c>
      <c r="BX114" s="163" t="e">
        <f t="shared" ca="1" si="934"/>
        <v>#NAME?</v>
      </c>
      <c r="BY114" s="163" t="e">
        <f t="shared" ca="1" si="934"/>
        <v>#NAME?</v>
      </c>
      <c r="BZ114" s="163" t="e">
        <f t="shared" ca="1" si="934"/>
        <v>#NAME?</v>
      </c>
      <c r="CA114" s="163" t="e">
        <f t="shared" ca="1" si="934"/>
        <v>#NAME?</v>
      </c>
      <c r="CB114" s="163" t="e">
        <f t="shared" ca="1" si="934"/>
        <v>#NAME?</v>
      </c>
      <c r="CC114" s="163" t="e">
        <f t="shared" ca="1" si="934"/>
        <v>#NAME?</v>
      </c>
      <c r="CD114" s="163" t="e">
        <f t="shared" ca="1" si="934"/>
        <v>#NAME?</v>
      </c>
      <c r="CE114" s="163" t="e">
        <f t="shared" ca="1" si="934"/>
        <v>#NAME?</v>
      </c>
      <c r="CF114" s="163" t="e">
        <f t="shared" ca="1" si="934"/>
        <v>#NAME?</v>
      </c>
      <c r="CG114" s="163" t="e">
        <f t="shared" ca="1" si="934"/>
        <v>#NAME?</v>
      </c>
      <c r="CH114" s="163" t="e">
        <f t="shared" ca="1" si="934"/>
        <v>#NAME?</v>
      </c>
      <c r="CI114" s="163" t="e">
        <f t="shared" ca="1" si="934"/>
        <v>#NAME?</v>
      </c>
      <c r="CJ114" s="163" t="e">
        <f t="shared" ca="1" si="934"/>
        <v>#NAME?</v>
      </c>
      <c r="CK114" s="163" t="e">
        <f t="shared" ref="CK114:CL114" ca="1" si="935">+CK113/CK80</f>
        <v>#NAME?</v>
      </c>
      <c r="CL114" s="163" t="e">
        <f t="shared" ca="1" si="935"/>
        <v>#NAME?</v>
      </c>
      <c r="CM114" s="50" t="e">
        <f t="shared" ca="1" si="934"/>
        <v>#NAME?</v>
      </c>
      <c r="CN114" s="50" t="e">
        <f t="shared" ca="1" si="934"/>
        <v>#NAME?</v>
      </c>
      <c r="CO114" s="50" t="e">
        <f t="shared" ca="1" si="934"/>
        <v>#NAME?</v>
      </c>
      <c r="CP114" s="50" t="e">
        <f t="shared" ca="1" si="934"/>
        <v>#NAME?</v>
      </c>
      <c r="CQ114" s="50" t="e">
        <f t="shared" ca="1" si="934"/>
        <v>#NAME?</v>
      </c>
      <c r="CR114" s="50" t="e">
        <f t="shared" ca="1" si="934"/>
        <v>#NAME?</v>
      </c>
      <c r="CS114" s="50" t="e">
        <f t="shared" ca="1" si="934"/>
        <v>#NAME?</v>
      </c>
      <c r="CT114" s="50" t="e">
        <f t="shared" ca="1" si="934"/>
        <v>#NAME?</v>
      </c>
      <c r="CU114" s="50" t="e">
        <f t="shared" ca="1" si="934"/>
        <v>#NAME?</v>
      </c>
      <c r="CV114" s="50" t="e">
        <f t="shared" ca="1" si="934"/>
        <v>#NAME?</v>
      </c>
      <c r="CW114" s="50" t="e">
        <f t="shared" ca="1" si="934"/>
        <v>#NAME?</v>
      </c>
      <c r="CX114" s="50" t="e">
        <f t="shared" ref="CX114:DB114" ca="1" si="936">+CX113/CX80</f>
        <v>#NAME?</v>
      </c>
      <c r="CY114" s="50" t="e">
        <f t="shared" ca="1" si="936"/>
        <v>#NAME?</v>
      </c>
      <c r="CZ114" s="50" t="e">
        <f t="shared" ca="1" si="936"/>
        <v>#NAME?</v>
      </c>
      <c r="DA114" s="50" t="e">
        <f t="shared" ca="1" si="936"/>
        <v>#NAME?</v>
      </c>
      <c r="DB114" s="50" t="e">
        <f t="shared" ca="1" si="936"/>
        <v>#NAME?</v>
      </c>
      <c r="DE114" s="164"/>
      <c r="DF114" s="163">
        <v>8.3878288359489659</v>
      </c>
    </row>
    <row r="115" spans="1:110" s="163" customFormat="1" x14ac:dyDescent="0.2">
      <c r="AB115" s="94"/>
      <c r="AC115" s="94"/>
      <c r="AD115" s="94"/>
      <c r="AE115" s="94"/>
      <c r="CM115" s="94"/>
      <c r="CN115" s="94"/>
      <c r="CO115" s="94"/>
      <c r="CP115" s="94"/>
      <c r="CQ115" s="94"/>
      <c r="CR115" s="94"/>
      <c r="CS115" s="94"/>
      <c r="CT115" s="94"/>
      <c r="CU115" s="94"/>
      <c r="CV115" s="94"/>
      <c r="CW115" s="94"/>
      <c r="CX115" s="94"/>
      <c r="CY115" s="94"/>
      <c r="CZ115" s="94"/>
      <c r="DA115" s="94"/>
      <c r="DB115" s="94"/>
      <c r="DE115" s="164"/>
    </row>
    <row r="116" spans="1:110" s="163" customFormat="1" x14ac:dyDescent="0.2">
      <c r="A116" s="163" t="s">
        <v>506</v>
      </c>
      <c r="AB116" s="94"/>
      <c r="AC116" s="94"/>
      <c r="AD116" s="94"/>
      <c r="AE116" s="94"/>
      <c r="CM116" s="94"/>
      <c r="CN116" s="94"/>
      <c r="CO116" s="94"/>
      <c r="CP116" s="94"/>
      <c r="CQ116" s="94"/>
      <c r="CR116" s="94"/>
      <c r="CS116" s="94"/>
      <c r="CT116" s="94"/>
      <c r="CU116" s="94"/>
      <c r="CV116" s="94"/>
      <c r="CW116" s="94"/>
      <c r="CX116" s="94"/>
      <c r="CY116" s="94"/>
      <c r="CZ116" s="94"/>
      <c r="DA116" s="94"/>
      <c r="DB116" s="94"/>
      <c r="DE116" s="164"/>
    </row>
    <row r="117" spans="1:110" s="163" customFormat="1" x14ac:dyDescent="0.2">
      <c r="A117" s="163" t="s">
        <v>507</v>
      </c>
      <c r="E117" s="163">
        <f t="shared" ref="E117:AE119" ca="1" si="937">+E92/E$114</f>
        <v>0.60992474900893268</v>
      </c>
      <c r="F117" s="163">
        <f t="shared" ca="1" si="937"/>
        <v>3.4345195286352426</v>
      </c>
      <c r="G117" s="163">
        <f t="shared" ca="1" si="937"/>
        <v>1.7086583255253927</v>
      </c>
      <c r="H117" s="163">
        <f t="shared" ca="1" si="937"/>
        <v>0.68572258089181548</v>
      </c>
      <c r="I117" s="163">
        <f t="shared" ca="1" si="937"/>
        <v>1.0486144737229111</v>
      </c>
      <c r="J117" s="163">
        <f t="shared" ca="1" si="937"/>
        <v>0.63668343356813828</v>
      </c>
      <c r="K117" s="163">
        <f t="shared" ca="1" si="937"/>
        <v>1.2872838336186978</v>
      </c>
      <c r="L117" s="163">
        <f t="shared" ca="1" si="937"/>
        <v>1.1163143942462819</v>
      </c>
      <c r="M117" s="163">
        <f t="shared" ca="1" si="937"/>
        <v>1.0693332768530013</v>
      </c>
      <c r="N117" s="163">
        <f t="shared" ca="1" si="937"/>
        <v>0.59187507895689773</v>
      </c>
      <c r="O117" s="163">
        <f t="shared" ca="1" si="937"/>
        <v>1.4965960377497467</v>
      </c>
      <c r="P117" s="163">
        <f t="shared" ca="1" si="937"/>
        <v>1.9674860263822087</v>
      </c>
      <c r="Q117" s="163">
        <f t="shared" ca="1" si="937"/>
        <v>2.132304449146226</v>
      </c>
      <c r="R117" s="163">
        <f t="shared" ca="1" si="937"/>
        <v>2.3668341331827847</v>
      </c>
      <c r="S117" s="163">
        <f t="shared" ca="1" si="937"/>
        <v>4.1522891506347763</v>
      </c>
      <c r="T117" s="163">
        <f t="shared" ca="1" si="937"/>
        <v>1.8775244215484395</v>
      </c>
      <c r="U117" s="163">
        <f t="shared" ca="1" si="937"/>
        <v>1.3394561654408821</v>
      </c>
      <c r="V117" s="163">
        <f t="shared" ca="1" si="937"/>
        <v>2.049054882499882</v>
      </c>
      <c r="W117" s="163">
        <f t="shared" ca="1" si="937"/>
        <v>4.1013887299581704</v>
      </c>
      <c r="X117" s="163">
        <f t="shared" ca="1" si="937"/>
        <v>4.4009983982895386</v>
      </c>
      <c r="Y117" s="163">
        <f t="shared" ca="1" si="937"/>
        <v>11.14149254939257</v>
      </c>
      <c r="Z117" s="163">
        <f ca="1">+Z92/Z$114</f>
        <v>11.493725254419264</v>
      </c>
      <c r="AA117" s="163">
        <f ca="1">+AA92/AA$114</f>
        <v>11.493725254419264</v>
      </c>
      <c r="AB117" s="50">
        <f t="shared" ref="AA117:AE117" ca="1" si="938">+AB92/AB$114</f>
        <v>12.969229267393398</v>
      </c>
      <c r="AC117" s="50">
        <f t="shared" ca="1" si="938"/>
        <v>11.280967755296281</v>
      </c>
      <c r="AD117" s="50">
        <f t="shared" ca="1" si="938"/>
        <v>9.8123477447615812</v>
      </c>
      <c r="AE117" s="50">
        <f t="shared" ca="1" si="938"/>
        <v>8.5348153216558433</v>
      </c>
      <c r="AL117" s="163" t="e">
        <f t="shared" ref="AL117:BQ117" ca="1" si="939">+AL92/AL114</f>
        <v>#NAME?</v>
      </c>
      <c r="AM117" s="163" t="e">
        <f t="shared" ca="1" si="939"/>
        <v>#NAME?</v>
      </c>
      <c r="AN117" s="163" t="e">
        <f t="shared" ca="1" si="939"/>
        <v>#NAME?</v>
      </c>
      <c r="AO117" s="163" t="e">
        <f t="shared" ca="1" si="939"/>
        <v>#NAME?</v>
      </c>
      <c r="AP117" s="163" t="e">
        <f t="shared" ca="1" si="939"/>
        <v>#NAME?</v>
      </c>
      <c r="AQ117" s="163" t="e">
        <f t="shared" ca="1" si="939"/>
        <v>#NAME?</v>
      </c>
      <c r="AR117" s="163" t="e">
        <f t="shared" ca="1" si="939"/>
        <v>#NAME?</v>
      </c>
      <c r="AS117" s="163" t="e">
        <f t="shared" ca="1" si="939"/>
        <v>#NAME?</v>
      </c>
      <c r="AT117" s="163" t="e">
        <f t="shared" ca="1" si="939"/>
        <v>#NAME?</v>
      </c>
      <c r="AU117" s="163" t="e">
        <f t="shared" ca="1" si="939"/>
        <v>#NAME?</v>
      </c>
      <c r="AV117" s="163" t="e">
        <f t="shared" ca="1" si="939"/>
        <v>#NAME?</v>
      </c>
      <c r="AW117" s="163" t="e">
        <f t="shared" ca="1" si="939"/>
        <v>#NAME?</v>
      </c>
      <c r="AX117" s="163" t="e">
        <f t="shared" ca="1" si="939"/>
        <v>#NAME?</v>
      </c>
      <c r="AY117" s="163" t="e">
        <f t="shared" ca="1" si="939"/>
        <v>#NAME?</v>
      </c>
      <c r="AZ117" s="163" t="e">
        <f t="shared" ca="1" si="939"/>
        <v>#NAME?</v>
      </c>
      <c r="BA117" s="163" t="e">
        <f t="shared" ca="1" si="939"/>
        <v>#NAME?</v>
      </c>
      <c r="BB117" s="163" t="e">
        <f t="shared" ca="1" si="939"/>
        <v>#NAME?</v>
      </c>
      <c r="BC117" s="163" t="e">
        <f t="shared" ca="1" si="939"/>
        <v>#NAME?</v>
      </c>
      <c r="BD117" s="163" t="e">
        <f t="shared" ca="1" si="939"/>
        <v>#NAME?</v>
      </c>
      <c r="BE117" s="163" t="e">
        <f t="shared" ca="1" si="939"/>
        <v>#NAME?</v>
      </c>
      <c r="BF117" s="163" t="e">
        <f t="shared" ca="1" si="939"/>
        <v>#NAME?</v>
      </c>
      <c r="BG117" s="163" t="e">
        <f t="shared" ca="1" si="939"/>
        <v>#NAME?</v>
      </c>
      <c r="BH117" s="163" t="e">
        <f t="shared" ca="1" si="939"/>
        <v>#NAME?</v>
      </c>
      <c r="BI117" s="163" t="e">
        <f t="shared" ca="1" si="939"/>
        <v>#NAME?</v>
      </c>
      <c r="BJ117" s="163" t="e">
        <f t="shared" ca="1" si="939"/>
        <v>#NAME?</v>
      </c>
      <c r="BK117" s="163" t="e">
        <f t="shared" ca="1" si="939"/>
        <v>#NAME?</v>
      </c>
      <c r="BL117" s="163" t="e">
        <f t="shared" ca="1" si="939"/>
        <v>#NAME?</v>
      </c>
      <c r="BM117" s="163" t="e">
        <f t="shared" ca="1" si="939"/>
        <v>#NAME?</v>
      </c>
      <c r="BN117" s="163" t="e">
        <f t="shared" ca="1" si="939"/>
        <v>#NAME?</v>
      </c>
      <c r="BO117" s="163" t="e">
        <f t="shared" ca="1" si="939"/>
        <v>#NAME?</v>
      </c>
      <c r="BP117" s="163" t="e">
        <f t="shared" ca="1" si="939"/>
        <v>#NAME?</v>
      </c>
      <c r="BQ117" s="163" t="e">
        <f t="shared" ca="1" si="939"/>
        <v>#NAME?</v>
      </c>
      <c r="BR117" s="163" t="e">
        <f t="shared" ref="BR117:DB117" ca="1" si="940">+BR92/BR114</f>
        <v>#NAME?</v>
      </c>
      <c r="BS117" s="163" t="e">
        <f t="shared" ca="1" si="940"/>
        <v>#NAME?</v>
      </c>
      <c r="BT117" s="163" t="e">
        <f t="shared" ca="1" si="940"/>
        <v>#NAME?</v>
      </c>
      <c r="BU117" s="163" t="e">
        <f t="shared" ca="1" si="940"/>
        <v>#NAME?</v>
      </c>
      <c r="BV117" s="163" t="e">
        <f t="shared" ca="1" si="940"/>
        <v>#NAME?</v>
      </c>
      <c r="BW117" s="163" t="e">
        <f t="shared" ca="1" si="940"/>
        <v>#NAME?</v>
      </c>
      <c r="BX117" s="163" t="e">
        <f t="shared" ca="1" si="940"/>
        <v>#NAME?</v>
      </c>
      <c r="BY117" s="163" t="e">
        <f t="shared" ca="1" si="940"/>
        <v>#NAME?</v>
      </c>
      <c r="BZ117" s="163" t="e">
        <f t="shared" ca="1" si="940"/>
        <v>#NAME?</v>
      </c>
      <c r="CA117" s="163" t="e">
        <f t="shared" ca="1" si="940"/>
        <v>#NAME?</v>
      </c>
      <c r="CB117" s="163" t="e">
        <f t="shared" ca="1" si="940"/>
        <v>#NAME?</v>
      </c>
      <c r="CC117" s="163" t="e">
        <f t="shared" ca="1" si="940"/>
        <v>#NAME?</v>
      </c>
      <c r="CD117" s="163" t="e">
        <f t="shared" ca="1" si="940"/>
        <v>#NAME?</v>
      </c>
      <c r="CE117" s="163" t="e">
        <f t="shared" ca="1" si="940"/>
        <v>#NAME?</v>
      </c>
      <c r="CF117" s="163" t="e">
        <f t="shared" ca="1" si="940"/>
        <v>#NAME?</v>
      </c>
      <c r="CG117" s="163" t="e">
        <f t="shared" ca="1" si="940"/>
        <v>#NAME?</v>
      </c>
      <c r="CH117" s="163" t="e">
        <f t="shared" ca="1" si="940"/>
        <v>#NAME?</v>
      </c>
      <c r="CI117" s="163" t="e">
        <f t="shared" ca="1" si="940"/>
        <v>#NAME?</v>
      </c>
      <c r="CJ117" s="163" t="e">
        <f t="shared" ca="1" si="940"/>
        <v>#NAME?</v>
      </c>
      <c r="CK117" s="163" t="e">
        <f t="shared" ref="CK117:CL117" ca="1" si="941">+CK92/CK114</f>
        <v>#NAME?</v>
      </c>
      <c r="CL117" s="163" t="e">
        <f t="shared" ca="1" si="941"/>
        <v>#NAME?</v>
      </c>
      <c r="CM117" s="50" t="e">
        <f t="shared" ca="1" si="940"/>
        <v>#NAME?</v>
      </c>
      <c r="CN117" s="50" t="e">
        <f t="shared" ca="1" si="940"/>
        <v>#NAME?</v>
      </c>
      <c r="CO117" s="50" t="e">
        <f t="shared" ca="1" si="940"/>
        <v>#NAME?</v>
      </c>
      <c r="CP117" s="50" t="e">
        <f t="shared" ca="1" si="940"/>
        <v>#NAME?</v>
      </c>
      <c r="CQ117" s="50" t="e">
        <f t="shared" ca="1" si="940"/>
        <v>#NAME?</v>
      </c>
      <c r="CR117" s="50" t="e">
        <f t="shared" ca="1" si="940"/>
        <v>#NAME?</v>
      </c>
      <c r="CS117" s="50" t="e">
        <f t="shared" ca="1" si="940"/>
        <v>#NAME?</v>
      </c>
      <c r="CT117" s="50" t="e">
        <f t="shared" ca="1" si="940"/>
        <v>#NAME?</v>
      </c>
      <c r="CU117" s="50" t="e">
        <f t="shared" ca="1" si="940"/>
        <v>#NAME?</v>
      </c>
      <c r="CV117" s="50" t="e">
        <f t="shared" ca="1" si="940"/>
        <v>#NAME?</v>
      </c>
      <c r="CW117" s="50" t="e">
        <f t="shared" ca="1" si="940"/>
        <v>#NAME?</v>
      </c>
      <c r="CX117" s="50" t="e">
        <f t="shared" ca="1" si="940"/>
        <v>#NAME?</v>
      </c>
      <c r="CY117" s="50" t="e">
        <f t="shared" ca="1" si="940"/>
        <v>#NAME?</v>
      </c>
      <c r="CZ117" s="50" t="e">
        <f t="shared" ca="1" si="940"/>
        <v>#NAME?</v>
      </c>
      <c r="DA117" s="50" t="e">
        <f t="shared" ca="1" si="940"/>
        <v>#NAME?</v>
      </c>
      <c r="DB117" s="50" t="e">
        <f t="shared" ca="1" si="940"/>
        <v>#NAME?</v>
      </c>
      <c r="DE117" s="106"/>
      <c r="DF117" s="163">
        <v>15.075414922399755</v>
      </c>
    </row>
    <row r="118" spans="1:110" s="163" customFormat="1" x14ac:dyDescent="0.2">
      <c r="A118" s="163" t="s">
        <v>508</v>
      </c>
      <c r="E118" s="163">
        <f t="shared" ca="1" si="937"/>
        <v>0.86112338637853791</v>
      </c>
      <c r="F118" s="163">
        <f t="shared" ca="1" si="937"/>
        <v>4.5091457013163314</v>
      </c>
      <c r="G118" s="163">
        <f t="shared" ca="1" si="937"/>
        <v>4.9601998754747783</v>
      </c>
      <c r="H118" s="163">
        <f t="shared" ca="1" si="937"/>
        <v>1.8062936277150279</v>
      </c>
      <c r="I118" s="163">
        <f t="shared" ca="1" si="937"/>
        <v>2.4245927313960447</v>
      </c>
      <c r="J118" s="163">
        <f t="shared" ca="1" si="937"/>
        <v>1.3861554599891728</v>
      </c>
      <c r="K118" s="163">
        <f t="shared" ca="1" si="937"/>
        <v>1.6623346622299013</v>
      </c>
      <c r="L118" s="163">
        <f t="shared" ca="1" si="937"/>
        <v>1.6049973255124388</v>
      </c>
      <c r="M118" s="163">
        <f t="shared" ca="1" si="937"/>
        <v>1.2125042223923179</v>
      </c>
      <c r="N118" s="163">
        <f t="shared" ca="1" si="937"/>
        <v>0.78296057630225158</v>
      </c>
      <c r="O118" s="163">
        <f t="shared" ca="1" si="937"/>
        <v>2.2974771606536599</v>
      </c>
      <c r="P118" s="163">
        <f t="shared" ca="1" si="937"/>
        <v>3.1626255923233391</v>
      </c>
      <c r="Q118" s="163">
        <f t="shared" ca="1" si="937"/>
        <v>2.8874956082188472</v>
      </c>
      <c r="R118" s="163">
        <f t="shared" ca="1" si="937"/>
        <v>2.3668341331827847</v>
      </c>
      <c r="S118" s="163">
        <f t="shared" ca="1" si="937"/>
        <v>5.1735707386107386</v>
      </c>
      <c r="T118" s="163">
        <f t="shared" ca="1" si="937"/>
        <v>5.2026630798132771</v>
      </c>
      <c r="U118" s="163">
        <f t="shared" ca="1" si="937"/>
        <v>2.7559158623291951</v>
      </c>
      <c r="V118" s="163">
        <f t="shared" ca="1" si="937"/>
        <v>2.5939529030642174</v>
      </c>
      <c r="W118" s="163">
        <f t="shared" ca="1" si="937"/>
        <v>4.2503515214896446</v>
      </c>
      <c r="X118" s="163">
        <f t="shared" ca="1" si="937"/>
        <v>5.1661051034899597</v>
      </c>
      <c r="Y118" s="163">
        <f t="shared" ca="1" si="937"/>
        <v>15.755646029443991</v>
      </c>
      <c r="Z118" s="163">
        <f t="shared" ref="Z118:AA119" ca="1" si="942">+Z93/Z$114</f>
        <v>22.683383703166044</v>
      </c>
      <c r="AA118" s="163">
        <f t="shared" ca="1" si="942"/>
        <v>22.683383703166044</v>
      </c>
      <c r="AB118" s="94">
        <f t="shared" ca="1" si="937"/>
        <v>18.392818781469696</v>
      </c>
      <c r="AC118" s="94">
        <f t="shared" ca="1" si="937"/>
        <v>23.276617359290846</v>
      </c>
      <c r="AD118" s="94">
        <f t="shared" ca="1" si="937"/>
        <v>26.788378038126762</v>
      </c>
      <c r="AE118" s="94">
        <f t="shared" ca="1" si="937"/>
        <v>29.357650584452387</v>
      </c>
      <c r="AL118" s="163" t="e">
        <f t="shared" ref="AL118:BQ118" ca="1" si="943">+AL93/AL114</f>
        <v>#NAME?</v>
      </c>
      <c r="AM118" s="163" t="e">
        <f t="shared" ca="1" si="943"/>
        <v>#NAME?</v>
      </c>
      <c r="AN118" s="163" t="e">
        <f t="shared" ca="1" si="943"/>
        <v>#NAME?</v>
      </c>
      <c r="AO118" s="163" t="e">
        <f t="shared" ca="1" si="943"/>
        <v>#NAME?</v>
      </c>
      <c r="AP118" s="163" t="e">
        <f t="shared" ca="1" si="943"/>
        <v>#NAME?</v>
      </c>
      <c r="AQ118" s="163" t="e">
        <f t="shared" ca="1" si="943"/>
        <v>#NAME?</v>
      </c>
      <c r="AR118" s="163" t="e">
        <f t="shared" ca="1" si="943"/>
        <v>#NAME?</v>
      </c>
      <c r="AS118" s="163" t="e">
        <f t="shared" ca="1" si="943"/>
        <v>#NAME?</v>
      </c>
      <c r="AT118" s="163" t="e">
        <f t="shared" ca="1" si="943"/>
        <v>#NAME?</v>
      </c>
      <c r="AU118" s="163" t="e">
        <f t="shared" ca="1" si="943"/>
        <v>#NAME?</v>
      </c>
      <c r="AV118" s="163" t="e">
        <f t="shared" ca="1" si="943"/>
        <v>#NAME?</v>
      </c>
      <c r="AW118" s="163" t="e">
        <f t="shared" ca="1" si="943"/>
        <v>#NAME?</v>
      </c>
      <c r="AX118" s="163" t="e">
        <f t="shared" ca="1" si="943"/>
        <v>#NAME?</v>
      </c>
      <c r="AY118" s="163" t="e">
        <f t="shared" ca="1" si="943"/>
        <v>#NAME?</v>
      </c>
      <c r="AZ118" s="163" t="e">
        <f t="shared" ca="1" si="943"/>
        <v>#NAME?</v>
      </c>
      <c r="BA118" s="163" t="e">
        <f t="shared" ca="1" si="943"/>
        <v>#NAME?</v>
      </c>
      <c r="BB118" s="163" t="e">
        <f t="shared" ca="1" si="943"/>
        <v>#NAME?</v>
      </c>
      <c r="BC118" s="163" t="e">
        <f t="shared" ca="1" si="943"/>
        <v>#NAME?</v>
      </c>
      <c r="BD118" s="163" t="e">
        <f t="shared" ca="1" si="943"/>
        <v>#NAME?</v>
      </c>
      <c r="BE118" s="163" t="e">
        <f t="shared" ca="1" si="943"/>
        <v>#NAME?</v>
      </c>
      <c r="BF118" s="163" t="e">
        <f t="shared" ca="1" si="943"/>
        <v>#NAME?</v>
      </c>
      <c r="BG118" s="163" t="e">
        <f t="shared" ca="1" si="943"/>
        <v>#NAME?</v>
      </c>
      <c r="BH118" s="163" t="e">
        <f t="shared" ca="1" si="943"/>
        <v>#NAME?</v>
      </c>
      <c r="BI118" s="163" t="e">
        <f t="shared" ca="1" si="943"/>
        <v>#NAME?</v>
      </c>
      <c r="BJ118" s="163" t="e">
        <f t="shared" ca="1" si="943"/>
        <v>#NAME?</v>
      </c>
      <c r="BK118" s="163" t="e">
        <f t="shared" ca="1" si="943"/>
        <v>#NAME?</v>
      </c>
      <c r="BL118" s="163" t="e">
        <f t="shared" ca="1" si="943"/>
        <v>#NAME?</v>
      </c>
      <c r="BM118" s="163" t="e">
        <f t="shared" ca="1" si="943"/>
        <v>#NAME?</v>
      </c>
      <c r="BN118" s="163" t="e">
        <f t="shared" ca="1" si="943"/>
        <v>#NAME?</v>
      </c>
      <c r="BO118" s="163" t="e">
        <f t="shared" ca="1" si="943"/>
        <v>#NAME?</v>
      </c>
      <c r="BP118" s="163" t="e">
        <f t="shared" ca="1" si="943"/>
        <v>#NAME?</v>
      </c>
      <c r="BQ118" s="163" t="e">
        <f t="shared" ca="1" si="943"/>
        <v>#NAME?</v>
      </c>
      <c r="BR118" s="163" t="e">
        <f t="shared" ref="BR118:CJ118" ca="1" si="944">+BR93/BR114</f>
        <v>#NAME?</v>
      </c>
      <c r="BS118" s="163" t="e">
        <f t="shared" ca="1" si="944"/>
        <v>#NAME?</v>
      </c>
      <c r="BT118" s="163" t="e">
        <f t="shared" ca="1" si="944"/>
        <v>#NAME?</v>
      </c>
      <c r="BU118" s="163" t="e">
        <f t="shared" ca="1" si="944"/>
        <v>#NAME?</v>
      </c>
      <c r="BV118" s="163" t="e">
        <f t="shared" ca="1" si="944"/>
        <v>#NAME?</v>
      </c>
      <c r="BW118" s="163" t="e">
        <f t="shared" ca="1" si="944"/>
        <v>#NAME?</v>
      </c>
      <c r="BX118" s="163" t="e">
        <f t="shared" ca="1" si="944"/>
        <v>#NAME?</v>
      </c>
      <c r="BY118" s="163" t="e">
        <f t="shared" ca="1" si="944"/>
        <v>#NAME?</v>
      </c>
      <c r="BZ118" s="163" t="e">
        <f t="shared" ca="1" si="944"/>
        <v>#NAME?</v>
      </c>
      <c r="CA118" s="163" t="e">
        <f t="shared" ca="1" si="944"/>
        <v>#NAME?</v>
      </c>
      <c r="CB118" s="163" t="e">
        <f t="shared" ca="1" si="944"/>
        <v>#NAME?</v>
      </c>
      <c r="CC118" s="163" t="e">
        <f t="shared" ca="1" si="944"/>
        <v>#NAME?</v>
      </c>
      <c r="CD118" s="163" t="e">
        <f t="shared" ca="1" si="944"/>
        <v>#NAME?</v>
      </c>
      <c r="CE118" s="163" t="e">
        <f t="shared" ca="1" si="944"/>
        <v>#NAME?</v>
      </c>
      <c r="CF118" s="163" t="e">
        <f t="shared" ca="1" si="944"/>
        <v>#NAME?</v>
      </c>
      <c r="CG118" s="163" t="e">
        <f t="shared" ca="1" si="944"/>
        <v>#NAME?</v>
      </c>
      <c r="CH118" s="163" t="e">
        <f t="shared" ca="1" si="944"/>
        <v>#NAME?</v>
      </c>
      <c r="CI118" s="163" t="e">
        <f t="shared" ca="1" si="944"/>
        <v>#NAME?</v>
      </c>
      <c r="CJ118" s="163" t="e">
        <f t="shared" ca="1" si="944"/>
        <v>#NAME?</v>
      </c>
      <c r="CK118" s="163" t="e">
        <f t="shared" ref="CK118:CL118" ca="1" si="945">+CK93/CK114</f>
        <v>#NAME?</v>
      </c>
      <c r="CL118" s="163" t="e">
        <f t="shared" ca="1" si="945"/>
        <v>#NAME?</v>
      </c>
      <c r="CM118" s="94" t="e">
        <f t="shared" ref="CM118:DB118" ca="1" si="946">+CL118</f>
        <v>#NAME?</v>
      </c>
      <c r="CN118" s="94" t="e">
        <f t="shared" ca="1" si="946"/>
        <v>#NAME?</v>
      </c>
      <c r="CO118" s="94" t="e">
        <f t="shared" ca="1" si="946"/>
        <v>#NAME?</v>
      </c>
      <c r="CP118" s="94" t="e">
        <f t="shared" ca="1" si="946"/>
        <v>#NAME?</v>
      </c>
      <c r="CQ118" s="94" t="e">
        <f t="shared" ca="1" si="946"/>
        <v>#NAME?</v>
      </c>
      <c r="CR118" s="94" t="e">
        <f t="shared" ca="1" si="946"/>
        <v>#NAME?</v>
      </c>
      <c r="CS118" s="94" t="e">
        <f t="shared" ca="1" si="946"/>
        <v>#NAME?</v>
      </c>
      <c r="CT118" s="94" t="e">
        <f t="shared" ca="1" si="946"/>
        <v>#NAME?</v>
      </c>
      <c r="CU118" s="94" t="e">
        <f t="shared" ca="1" si="946"/>
        <v>#NAME?</v>
      </c>
      <c r="CV118" s="94" t="e">
        <f t="shared" ca="1" si="946"/>
        <v>#NAME?</v>
      </c>
      <c r="CW118" s="94" t="e">
        <f t="shared" ca="1" si="946"/>
        <v>#NAME?</v>
      </c>
      <c r="CX118" s="94" t="e">
        <f t="shared" ca="1" si="946"/>
        <v>#NAME?</v>
      </c>
      <c r="CY118" s="94" t="e">
        <f t="shared" ca="1" si="946"/>
        <v>#NAME?</v>
      </c>
      <c r="CZ118" s="94" t="e">
        <f t="shared" ca="1" si="946"/>
        <v>#NAME?</v>
      </c>
      <c r="DA118" s="94" t="e">
        <f t="shared" ca="1" si="946"/>
        <v>#NAME?</v>
      </c>
      <c r="DB118" s="94" t="e">
        <f t="shared" ca="1" si="946"/>
        <v>#NAME?</v>
      </c>
      <c r="DE118" s="164"/>
      <c r="DF118" s="163">
        <v>25.63237808079041</v>
      </c>
    </row>
    <row r="119" spans="1:110" s="163" customFormat="1" x14ac:dyDescent="0.2">
      <c r="A119" s="163" t="s">
        <v>509</v>
      </c>
      <c r="E119" s="163">
        <f t="shared" ca="1" si="937"/>
        <v>0.15812863863194532</v>
      </c>
      <c r="F119" s="163">
        <f t="shared" ca="1" si="937"/>
        <v>0.35844673666837823</v>
      </c>
      <c r="G119" s="163">
        <f t="shared" ca="1" si="937"/>
        <v>1.5011131202094716</v>
      </c>
      <c r="H119" s="163">
        <f t="shared" ca="1" si="937"/>
        <v>0.64298106500966967</v>
      </c>
      <c r="I119" s="163">
        <f t="shared" ca="1" si="937"/>
        <v>0.63021904931593986</v>
      </c>
      <c r="J119" s="163">
        <f t="shared" ca="1" si="937"/>
        <v>0.37596197617630756</v>
      </c>
      <c r="K119" s="163">
        <f t="shared" ca="1" si="937"/>
        <v>0.73349784449744948</v>
      </c>
      <c r="L119" s="163">
        <f t="shared" ca="1" si="937"/>
        <v>0.77508704765618253</v>
      </c>
      <c r="M119" s="163">
        <f t="shared" ca="1" si="937"/>
        <v>0.76438725160823517</v>
      </c>
      <c r="N119" s="163">
        <f t="shared" ca="1" si="937"/>
        <v>0.49045277651974722</v>
      </c>
      <c r="O119" s="163">
        <f t="shared" ca="1" si="937"/>
        <v>1.2619944966970846</v>
      </c>
      <c r="P119" s="163">
        <f t="shared" ca="1" si="937"/>
        <v>0.73239750559066841</v>
      </c>
      <c r="Q119" s="163">
        <f t="shared" ca="1" si="937"/>
        <v>1.2831415395102668</v>
      </c>
      <c r="R119" s="163">
        <f t="shared" ca="1" si="937"/>
        <v>1.2654856932316625</v>
      </c>
      <c r="S119" s="163">
        <f t="shared" ca="1" si="937"/>
        <v>1.4820590919969825</v>
      </c>
      <c r="T119" s="163">
        <f t="shared" ca="1" si="937"/>
        <v>1.4913550985452408</v>
      </c>
      <c r="U119" s="163">
        <f t="shared" ca="1" si="937"/>
        <v>1.134788884488491</v>
      </c>
      <c r="V119" s="163">
        <f t="shared" ca="1" si="937"/>
        <v>0.87205349215564743</v>
      </c>
      <c r="W119" s="163">
        <f t="shared" ca="1" si="937"/>
        <v>1.4876230325213731</v>
      </c>
      <c r="X119" s="163">
        <f t="shared" ca="1" si="937"/>
        <v>2.581962656153526</v>
      </c>
      <c r="Y119" s="163">
        <f t="shared" ca="1" si="937"/>
        <v>3.074601782317222</v>
      </c>
      <c r="Z119" s="163">
        <f t="shared" ca="1" si="942"/>
        <v>10.039272367285934</v>
      </c>
      <c r="AA119" s="163">
        <f t="shared" ca="1" si="942"/>
        <v>10.039272367285934</v>
      </c>
      <c r="AB119" s="94">
        <f t="shared" ca="1" si="937"/>
        <v>11.702100809506472</v>
      </c>
      <c r="AC119" s="94">
        <f t="shared" ca="1" si="937"/>
        <v>12.432079127923236</v>
      </c>
      <c r="AD119" s="94">
        <f t="shared" ca="1" si="937"/>
        <v>15.182493319604106</v>
      </c>
      <c r="AE119" s="94">
        <f t="shared" ca="1" si="937"/>
        <v>17.207125047859058</v>
      </c>
      <c r="AL119" s="163" t="e">
        <f t="shared" ref="AL119:BQ119" ca="1" si="947">+AL94/AL114</f>
        <v>#NAME?</v>
      </c>
      <c r="AM119" s="163" t="e">
        <f t="shared" ca="1" si="947"/>
        <v>#NAME?</v>
      </c>
      <c r="AN119" s="163" t="e">
        <f t="shared" ca="1" si="947"/>
        <v>#NAME?</v>
      </c>
      <c r="AO119" s="163" t="e">
        <f t="shared" ca="1" si="947"/>
        <v>#NAME?</v>
      </c>
      <c r="AP119" s="163" t="e">
        <f t="shared" ca="1" si="947"/>
        <v>#NAME?</v>
      </c>
      <c r="AQ119" s="163" t="e">
        <f t="shared" ca="1" si="947"/>
        <v>#NAME?</v>
      </c>
      <c r="AR119" s="163" t="e">
        <f t="shared" ca="1" si="947"/>
        <v>#NAME?</v>
      </c>
      <c r="AS119" s="163" t="e">
        <f t="shared" ca="1" si="947"/>
        <v>#NAME?</v>
      </c>
      <c r="AT119" s="163" t="e">
        <f t="shared" ca="1" si="947"/>
        <v>#NAME?</v>
      </c>
      <c r="AU119" s="163" t="e">
        <f t="shared" ca="1" si="947"/>
        <v>#NAME?</v>
      </c>
      <c r="AV119" s="163" t="e">
        <f t="shared" ca="1" si="947"/>
        <v>#NAME?</v>
      </c>
      <c r="AW119" s="163" t="e">
        <f t="shared" ca="1" si="947"/>
        <v>#NAME?</v>
      </c>
      <c r="AX119" s="163" t="e">
        <f t="shared" ca="1" si="947"/>
        <v>#NAME?</v>
      </c>
      <c r="AY119" s="163" t="e">
        <f t="shared" ca="1" si="947"/>
        <v>#NAME?</v>
      </c>
      <c r="AZ119" s="163" t="e">
        <f t="shared" ca="1" si="947"/>
        <v>#NAME?</v>
      </c>
      <c r="BA119" s="163" t="e">
        <f t="shared" ca="1" si="947"/>
        <v>#NAME?</v>
      </c>
      <c r="BB119" s="163" t="e">
        <f t="shared" ca="1" si="947"/>
        <v>#NAME?</v>
      </c>
      <c r="BC119" s="163" t="e">
        <f t="shared" ca="1" si="947"/>
        <v>#NAME?</v>
      </c>
      <c r="BD119" s="163" t="e">
        <f t="shared" ca="1" si="947"/>
        <v>#NAME?</v>
      </c>
      <c r="BE119" s="163" t="e">
        <f t="shared" ca="1" si="947"/>
        <v>#NAME?</v>
      </c>
      <c r="BF119" s="163" t="e">
        <f t="shared" ca="1" si="947"/>
        <v>#NAME?</v>
      </c>
      <c r="BG119" s="163" t="e">
        <f t="shared" ca="1" si="947"/>
        <v>#NAME?</v>
      </c>
      <c r="BH119" s="163" t="e">
        <f t="shared" ca="1" si="947"/>
        <v>#NAME?</v>
      </c>
      <c r="BI119" s="163" t="e">
        <f t="shared" ca="1" si="947"/>
        <v>#NAME?</v>
      </c>
      <c r="BJ119" s="163" t="e">
        <f t="shared" ca="1" si="947"/>
        <v>#NAME?</v>
      </c>
      <c r="BK119" s="163" t="e">
        <f t="shared" ca="1" si="947"/>
        <v>#NAME?</v>
      </c>
      <c r="BL119" s="163" t="e">
        <f t="shared" ca="1" si="947"/>
        <v>#NAME?</v>
      </c>
      <c r="BM119" s="163" t="e">
        <f t="shared" ca="1" si="947"/>
        <v>#NAME?</v>
      </c>
      <c r="BN119" s="163" t="e">
        <f t="shared" ca="1" si="947"/>
        <v>#NAME?</v>
      </c>
      <c r="BO119" s="163" t="e">
        <f t="shared" ca="1" si="947"/>
        <v>#NAME?</v>
      </c>
      <c r="BP119" s="163" t="e">
        <f t="shared" ca="1" si="947"/>
        <v>#NAME?</v>
      </c>
      <c r="BQ119" s="163" t="e">
        <f t="shared" ca="1" si="947"/>
        <v>#NAME?</v>
      </c>
      <c r="BR119" s="163" t="e">
        <f t="shared" ref="BR119:CJ119" ca="1" si="948">+BR94/BR114</f>
        <v>#NAME?</v>
      </c>
      <c r="BS119" s="163" t="e">
        <f t="shared" ca="1" si="948"/>
        <v>#NAME?</v>
      </c>
      <c r="BT119" s="163" t="e">
        <f t="shared" ca="1" si="948"/>
        <v>#NAME?</v>
      </c>
      <c r="BU119" s="163" t="e">
        <f t="shared" ca="1" si="948"/>
        <v>#NAME?</v>
      </c>
      <c r="BV119" s="163" t="e">
        <f t="shared" ca="1" si="948"/>
        <v>#NAME?</v>
      </c>
      <c r="BW119" s="163" t="e">
        <f t="shared" ca="1" si="948"/>
        <v>#NAME?</v>
      </c>
      <c r="BX119" s="163" t="e">
        <f t="shared" ca="1" si="948"/>
        <v>#NAME?</v>
      </c>
      <c r="BY119" s="163" t="e">
        <f t="shared" ca="1" si="948"/>
        <v>#NAME?</v>
      </c>
      <c r="BZ119" s="163" t="e">
        <f t="shared" ca="1" si="948"/>
        <v>#NAME?</v>
      </c>
      <c r="CA119" s="163" t="e">
        <f t="shared" ca="1" si="948"/>
        <v>#NAME?</v>
      </c>
      <c r="CB119" s="163" t="e">
        <f t="shared" ca="1" si="948"/>
        <v>#NAME?</v>
      </c>
      <c r="CC119" s="163" t="e">
        <f t="shared" ca="1" si="948"/>
        <v>#NAME?</v>
      </c>
      <c r="CD119" s="163" t="e">
        <f t="shared" ca="1" si="948"/>
        <v>#NAME?</v>
      </c>
      <c r="CE119" s="163" t="e">
        <f t="shared" ca="1" si="948"/>
        <v>#NAME?</v>
      </c>
      <c r="CF119" s="163" t="e">
        <f t="shared" ca="1" si="948"/>
        <v>#NAME?</v>
      </c>
      <c r="CG119" s="163" t="e">
        <f t="shared" ca="1" si="948"/>
        <v>#NAME?</v>
      </c>
      <c r="CH119" s="163" t="e">
        <f t="shared" ca="1" si="948"/>
        <v>#NAME?</v>
      </c>
      <c r="CI119" s="163" t="e">
        <f t="shared" ca="1" si="948"/>
        <v>#NAME?</v>
      </c>
      <c r="CJ119" s="163" t="e">
        <f t="shared" ca="1" si="948"/>
        <v>#NAME?</v>
      </c>
      <c r="CK119" s="163" t="e">
        <f t="shared" ref="CK119:CL119" ca="1" si="949">+CK94/CK114</f>
        <v>#NAME?</v>
      </c>
      <c r="CL119" s="163" t="e">
        <f t="shared" ca="1" si="949"/>
        <v>#NAME?</v>
      </c>
      <c r="CM119" s="94" t="e">
        <f t="shared" ref="CM119:DB119" ca="1" si="950">+CL119</f>
        <v>#NAME?</v>
      </c>
      <c r="CN119" s="94" t="e">
        <f t="shared" ca="1" si="950"/>
        <v>#NAME?</v>
      </c>
      <c r="CO119" s="94" t="e">
        <f t="shared" ca="1" si="950"/>
        <v>#NAME?</v>
      </c>
      <c r="CP119" s="94" t="e">
        <f t="shared" ca="1" si="950"/>
        <v>#NAME?</v>
      </c>
      <c r="CQ119" s="94" t="e">
        <f t="shared" ca="1" si="950"/>
        <v>#NAME?</v>
      </c>
      <c r="CR119" s="94" t="e">
        <f t="shared" ca="1" si="950"/>
        <v>#NAME?</v>
      </c>
      <c r="CS119" s="94" t="e">
        <f t="shared" ca="1" si="950"/>
        <v>#NAME?</v>
      </c>
      <c r="CT119" s="94" t="e">
        <f t="shared" ca="1" si="950"/>
        <v>#NAME?</v>
      </c>
      <c r="CU119" s="94" t="e">
        <f t="shared" ca="1" si="950"/>
        <v>#NAME?</v>
      </c>
      <c r="CV119" s="94" t="e">
        <f t="shared" ca="1" si="950"/>
        <v>#NAME?</v>
      </c>
      <c r="CW119" s="94" t="e">
        <f t="shared" ca="1" si="950"/>
        <v>#NAME?</v>
      </c>
      <c r="CX119" s="94" t="e">
        <f t="shared" ca="1" si="950"/>
        <v>#NAME?</v>
      </c>
      <c r="CY119" s="94" t="e">
        <f t="shared" ca="1" si="950"/>
        <v>#NAME?</v>
      </c>
      <c r="CZ119" s="94" t="e">
        <f t="shared" ca="1" si="950"/>
        <v>#NAME?</v>
      </c>
      <c r="DA119" s="94" t="e">
        <f t="shared" ca="1" si="950"/>
        <v>#NAME?</v>
      </c>
      <c r="DB119" s="94" t="e">
        <f t="shared" ca="1" si="950"/>
        <v>#NAME?</v>
      </c>
      <c r="DE119" s="164"/>
      <c r="DF119" s="163">
        <v>10.768663910998001</v>
      </c>
    </row>
    <row r="120" spans="1:110" s="4" customFormat="1" x14ac:dyDescent="0.2">
      <c r="A120" s="3"/>
      <c r="AB120" s="17"/>
      <c r="AC120" s="17"/>
      <c r="AD120" s="17"/>
      <c r="AE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E120" s="119"/>
    </row>
    <row r="121" spans="1:110" s="4" customFormat="1" x14ac:dyDescent="0.2">
      <c r="A121" s="3"/>
      <c r="AB121" s="17"/>
      <c r="AC121" s="17"/>
      <c r="AD121" s="17"/>
      <c r="AE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E121" s="119"/>
    </row>
    <row r="122" spans="1:110" s="162" customFormat="1" x14ac:dyDescent="0.2">
      <c r="A122" s="49" t="s">
        <v>340</v>
      </c>
      <c r="B122" s="162" t="e">
        <f t="shared" ref="B122:AE122" ca="1" si="951">+B93*B80</f>
        <v>#NAME?</v>
      </c>
      <c r="C122" s="162" t="e">
        <f t="shared" ca="1" si="951"/>
        <v>#NAME?</v>
      </c>
      <c r="D122" s="162" t="e">
        <f t="shared" ca="1" si="951"/>
        <v>#NAME?</v>
      </c>
      <c r="E122" s="162">
        <f t="shared" ca="1" si="951"/>
        <v>8.0211900527426785</v>
      </c>
      <c r="F122" s="162">
        <f t="shared" ca="1" si="951"/>
        <v>53.151957170062808</v>
      </c>
      <c r="G122" s="162">
        <f t="shared" ca="1" si="951"/>
        <v>79.959397167948936</v>
      </c>
      <c r="H122" s="162">
        <f t="shared" ca="1" si="951"/>
        <v>40.905544235392846</v>
      </c>
      <c r="I122" s="162">
        <f t="shared" ca="1" si="951"/>
        <v>58.286192146110089</v>
      </c>
      <c r="J122" s="162">
        <f t="shared" ca="1" si="951"/>
        <v>35.687141472853128</v>
      </c>
      <c r="K122" s="162">
        <f t="shared" ca="1" si="951"/>
        <v>35.813393152591779</v>
      </c>
      <c r="L122" s="162">
        <f t="shared" ca="1" si="951"/>
        <v>35.729225366099342</v>
      </c>
      <c r="M122" s="162">
        <f t="shared" ca="1" si="951"/>
        <v>31.541877988093418</v>
      </c>
      <c r="N122" s="162">
        <f t="shared" ca="1" si="951"/>
        <v>33.625030703784759</v>
      </c>
      <c r="O122" s="162">
        <f t="shared" ca="1" si="951"/>
        <v>29.879564204865044</v>
      </c>
      <c r="P122" s="162">
        <f t="shared" ca="1" si="951"/>
        <v>79.959397167948936</v>
      </c>
      <c r="Q122" s="162">
        <f t="shared" ca="1" si="951"/>
        <v>71.121779586228158</v>
      </c>
      <c r="R122" s="162">
        <f t="shared" ca="1" si="951"/>
        <v>79.49647434223975</v>
      </c>
      <c r="S122" s="162">
        <f t="shared" ca="1" si="951"/>
        <v>267.4431415801667</v>
      </c>
      <c r="T122" s="162">
        <f t="shared" ca="1" si="951"/>
        <v>262.79287137645105</v>
      </c>
      <c r="U122" s="162">
        <f t="shared" ca="1" si="951"/>
        <v>143.08523703738226</v>
      </c>
      <c r="V122" s="162">
        <f t="shared" ca="1" si="951"/>
        <v>201.53976475647747</v>
      </c>
      <c r="W122" s="162">
        <f t="shared" ca="1" si="951"/>
        <v>446.08926841066341</v>
      </c>
      <c r="X122" s="162">
        <f t="shared" ca="1" si="951"/>
        <v>797.91061594963799</v>
      </c>
      <c r="Y122" s="162">
        <f t="shared" ca="1" si="951"/>
        <v>3535.0470326882596</v>
      </c>
      <c r="Z122" s="162">
        <f t="shared" ca="1" si="951"/>
        <v>5651.0251851116846</v>
      </c>
      <c r="AA122" s="162">
        <f t="shared" ref="AA122" ca="1" si="952">+AA93*AA80</f>
        <v>5651.0251851116846</v>
      </c>
      <c r="AB122" s="21">
        <f t="shared" ca="1" si="951"/>
        <v>4764.9775332482686</v>
      </c>
      <c r="AC122" s="21">
        <f t="shared" ca="1" si="951"/>
        <v>6932.6654439540607</v>
      </c>
      <c r="AD122" s="21">
        <f t="shared" ca="1" si="951"/>
        <v>9172.7640252118163</v>
      </c>
      <c r="AE122" s="21">
        <f t="shared" ca="1" si="951"/>
        <v>11557.233881029524</v>
      </c>
      <c r="AL122" s="162" t="e">
        <f t="shared" ref="AL122:BQ122" ca="1" si="953">+AL93*AL80</f>
        <v>#NAME?</v>
      </c>
      <c r="AM122" s="162" t="e">
        <f t="shared" ca="1" si="953"/>
        <v>#NAME?</v>
      </c>
      <c r="AN122" s="162" t="e">
        <f t="shared" ca="1" si="953"/>
        <v>#NAME?</v>
      </c>
      <c r="AO122" s="162" t="e">
        <f t="shared" ca="1" si="953"/>
        <v>#NAME?</v>
      </c>
      <c r="AP122" s="162" t="e">
        <f t="shared" ca="1" si="953"/>
        <v>#NAME?</v>
      </c>
      <c r="AQ122" s="162" t="e">
        <f t="shared" ca="1" si="953"/>
        <v>#NAME?</v>
      </c>
      <c r="AR122" s="162" t="e">
        <f t="shared" ca="1" si="953"/>
        <v>#NAME?</v>
      </c>
      <c r="AS122" s="162" t="e">
        <f t="shared" ca="1" si="953"/>
        <v>#NAME?</v>
      </c>
      <c r="AT122" s="162" t="e">
        <f t="shared" ca="1" si="953"/>
        <v>#NAME?</v>
      </c>
      <c r="AU122" s="162" t="e">
        <f t="shared" ca="1" si="953"/>
        <v>#NAME?</v>
      </c>
      <c r="AV122" s="162" t="e">
        <f t="shared" ca="1" si="953"/>
        <v>#NAME?</v>
      </c>
      <c r="AW122" s="162" t="e">
        <f t="shared" ca="1" si="953"/>
        <v>#NAME?</v>
      </c>
      <c r="AX122" s="162" t="e">
        <f t="shared" ca="1" si="953"/>
        <v>#NAME?</v>
      </c>
      <c r="AY122" s="162" t="e">
        <f t="shared" ca="1" si="953"/>
        <v>#NAME?</v>
      </c>
      <c r="AZ122" s="162" t="e">
        <f t="shared" ca="1" si="953"/>
        <v>#NAME?</v>
      </c>
      <c r="BA122" s="162" t="e">
        <f t="shared" ca="1" si="953"/>
        <v>#NAME?</v>
      </c>
      <c r="BB122" s="162" t="e">
        <f t="shared" ca="1" si="953"/>
        <v>#NAME?</v>
      </c>
      <c r="BC122" s="162" t="e">
        <f t="shared" ca="1" si="953"/>
        <v>#NAME?</v>
      </c>
      <c r="BD122" s="162" t="e">
        <f t="shared" ca="1" si="953"/>
        <v>#NAME?</v>
      </c>
      <c r="BE122" s="162" t="e">
        <f t="shared" ca="1" si="953"/>
        <v>#NAME?</v>
      </c>
      <c r="BF122" s="162" t="e">
        <f t="shared" ca="1" si="953"/>
        <v>#NAME?</v>
      </c>
      <c r="BG122" s="162" t="e">
        <f t="shared" ca="1" si="953"/>
        <v>#NAME?</v>
      </c>
      <c r="BH122" s="162" t="e">
        <f t="shared" ca="1" si="953"/>
        <v>#NAME?</v>
      </c>
      <c r="BI122" s="162" t="e">
        <f t="shared" ca="1" si="953"/>
        <v>#NAME?</v>
      </c>
      <c r="BJ122" s="162" t="e">
        <f t="shared" ca="1" si="953"/>
        <v>#NAME?</v>
      </c>
      <c r="BK122" s="162" t="e">
        <f t="shared" ca="1" si="953"/>
        <v>#NAME?</v>
      </c>
      <c r="BL122" s="162" t="e">
        <f t="shared" ca="1" si="953"/>
        <v>#NAME?</v>
      </c>
      <c r="BM122" s="162" t="e">
        <f t="shared" ca="1" si="953"/>
        <v>#NAME?</v>
      </c>
      <c r="BN122" s="162" t="e">
        <f t="shared" ca="1" si="953"/>
        <v>#NAME?</v>
      </c>
      <c r="BO122" s="162" t="e">
        <f t="shared" ca="1" si="953"/>
        <v>#NAME?</v>
      </c>
      <c r="BP122" s="162" t="e">
        <f t="shared" ca="1" si="953"/>
        <v>#NAME?</v>
      </c>
      <c r="BQ122" s="162" t="e">
        <f t="shared" ca="1" si="953"/>
        <v>#NAME?</v>
      </c>
      <c r="BR122" s="162" t="e">
        <f t="shared" ref="BR122:CJ122" ca="1" si="954">+BR93*BR80</f>
        <v>#NAME?</v>
      </c>
      <c r="BS122" s="162" t="e">
        <f t="shared" ca="1" si="954"/>
        <v>#NAME?</v>
      </c>
      <c r="BT122" s="162" t="e">
        <f t="shared" ca="1" si="954"/>
        <v>#NAME?</v>
      </c>
      <c r="BU122" s="162" t="e">
        <f t="shared" ca="1" si="954"/>
        <v>#NAME?</v>
      </c>
      <c r="BV122" s="162" t="e">
        <f t="shared" ca="1" si="954"/>
        <v>#NAME?</v>
      </c>
      <c r="BW122" s="162" t="e">
        <f t="shared" ca="1" si="954"/>
        <v>#NAME?</v>
      </c>
      <c r="BX122" s="162" t="e">
        <f t="shared" ca="1" si="954"/>
        <v>#NAME?</v>
      </c>
      <c r="BY122" s="162" t="e">
        <f t="shared" ca="1" si="954"/>
        <v>#NAME?</v>
      </c>
      <c r="BZ122" s="162" t="e">
        <f t="shared" ca="1" si="954"/>
        <v>#NAME?</v>
      </c>
      <c r="CA122" s="162" t="e">
        <f t="shared" ca="1" si="954"/>
        <v>#NAME?</v>
      </c>
      <c r="CB122" s="162" t="e">
        <f t="shared" ca="1" si="954"/>
        <v>#NAME?</v>
      </c>
      <c r="CC122" s="162" t="e">
        <f t="shared" ca="1" si="954"/>
        <v>#NAME?</v>
      </c>
      <c r="CD122" s="162" t="e">
        <f t="shared" ca="1" si="954"/>
        <v>#NAME?</v>
      </c>
      <c r="CE122" s="162" t="e">
        <f t="shared" ca="1" si="954"/>
        <v>#NAME?</v>
      </c>
      <c r="CF122" s="162" t="e">
        <f t="shared" ca="1" si="954"/>
        <v>#NAME?</v>
      </c>
      <c r="CG122" s="162" t="e">
        <f t="shared" ca="1" si="954"/>
        <v>#NAME?</v>
      </c>
      <c r="CH122" s="162" t="e">
        <f t="shared" ca="1" si="954"/>
        <v>#NAME?</v>
      </c>
      <c r="CI122" s="162" t="e">
        <f t="shared" ca="1" si="954"/>
        <v>#NAME?</v>
      </c>
      <c r="CJ122" s="162" t="e">
        <f t="shared" ca="1" si="954"/>
        <v>#NAME?</v>
      </c>
      <c r="CK122" s="162" t="e">
        <f t="shared" ref="CK122:CL122" ca="1" si="955">+CK93*CK80</f>
        <v>#NAME?</v>
      </c>
      <c r="CL122" s="162" t="e">
        <f t="shared" ca="1" si="955"/>
        <v>#NAME?</v>
      </c>
      <c r="CM122" s="21" t="e">
        <f t="shared" ref="CM122:DB122" ca="1" si="956">+CM93*CM80</f>
        <v>#NAME?</v>
      </c>
      <c r="CN122" s="21" t="e">
        <f t="shared" ca="1" si="956"/>
        <v>#NAME?</v>
      </c>
      <c r="CO122" s="21" t="e">
        <f t="shared" ca="1" si="956"/>
        <v>#NAME?</v>
      </c>
      <c r="CP122" s="21" t="e">
        <f t="shared" ca="1" si="956"/>
        <v>#NAME?</v>
      </c>
      <c r="CQ122" s="21" t="e">
        <f t="shared" ca="1" si="956"/>
        <v>#NAME?</v>
      </c>
      <c r="CR122" s="21" t="e">
        <f t="shared" ca="1" si="956"/>
        <v>#NAME?</v>
      </c>
      <c r="CS122" s="21" t="e">
        <f t="shared" ca="1" si="956"/>
        <v>#NAME?</v>
      </c>
      <c r="CT122" s="21" t="e">
        <f t="shared" ca="1" si="956"/>
        <v>#NAME?</v>
      </c>
      <c r="CU122" s="21" t="e">
        <f t="shared" ca="1" si="956"/>
        <v>#NAME?</v>
      </c>
      <c r="CV122" s="21" t="e">
        <f t="shared" ca="1" si="956"/>
        <v>#NAME?</v>
      </c>
      <c r="CW122" s="21" t="e">
        <f t="shared" ca="1" si="956"/>
        <v>#NAME?</v>
      </c>
      <c r="CX122" s="21" t="e">
        <f t="shared" ca="1" si="956"/>
        <v>#NAME?</v>
      </c>
      <c r="CY122" s="21" t="e">
        <f t="shared" ca="1" si="956"/>
        <v>#NAME?</v>
      </c>
      <c r="CZ122" s="21" t="e">
        <f t="shared" ca="1" si="956"/>
        <v>#NAME?</v>
      </c>
      <c r="DA122" s="21" t="e">
        <f t="shared" ca="1" si="956"/>
        <v>#NAME?</v>
      </c>
      <c r="DB122" s="21" t="e">
        <f t="shared" ca="1" si="956"/>
        <v>#NAME?</v>
      </c>
      <c r="DE122" s="22"/>
      <c r="DF122" s="162">
        <v>5712.7650000000003</v>
      </c>
    </row>
    <row r="123" spans="1:110" s="162" customFormat="1" x14ac:dyDescent="0.2">
      <c r="A123" s="49" t="s">
        <v>341</v>
      </c>
      <c r="B123" s="162" t="e">
        <f t="shared" ref="B123:AE123" ca="1" si="957">+B94*B80</f>
        <v>#NAME?</v>
      </c>
      <c r="C123" s="162" t="e">
        <f t="shared" ca="1" si="957"/>
        <v>#NAME?</v>
      </c>
      <c r="D123" s="162" t="e">
        <f t="shared" ca="1" si="957"/>
        <v>#NAME?</v>
      </c>
      <c r="E123" s="162">
        <f t="shared" ca="1" si="957"/>
        <v>1.4729362636201115</v>
      </c>
      <c r="F123" s="162">
        <f t="shared" ca="1" si="957"/>
        <v>4.2252228819274187</v>
      </c>
      <c r="G123" s="162">
        <f t="shared" ca="1" si="957"/>
        <v>24.198238616616113</v>
      </c>
      <c r="H123" s="162">
        <f t="shared" ca="1" si="957"/>
        <v>14.561027063215953</v>
      </c>
      <c r="I123" s="162">
        <f t="shared" ca="1" si="957"/>
        <v>15.150201568664006</v>
      </c>
      <c r="J123" s="162">
        <f t="shared" ca="1" si="957"/>
        <v>9.6792954466464565</v>
      </c>
      <c r="K123" s="162">
        <f t="shared" ca="1" si="957"/>
        <v>15.802501913981491</v>
      </c>
      <c r="L123" s="162">
        <f t="shared" ca="1" si="957"/>
        <v>17.254396230978458</v>
      </c>
      <c r="M123" s="162">
        <f t="shared" ca="1" si="957"/>
        <v>19.884639558871505</v>
      </c>
      <c r="N123" s="162">
        <f t="shared" ca="1" si="957"/>
        <v>21.062988569767608</v>
      </c>
      <c r="O123" s="162">
        <f t="shared" ca="1" si="957"/>
        <v>16.41271836605268</v>
      </c>
      <c r="P123" s="162">
        <f t="shared" ca="1" si="957"/>
        <v>18.516913028367131</v>
      </c>
      <c r="Q123" s="162">
        <f t="shared" ca="1" si="957"/>
        <v>31.605003827962875</v>
      </c>
      <c r="R123" s="162">
        <f t="shared" ca="1" si="957"/>
        <v>42.504732178751759</v>
      </c>
      <c r="S123" s="162">
        <f t="shared" ca="1" si="957"/>
        <v>76.613727654868953</v>
      </c>
      <c r="T123" s="162">
        <f t="shared" ca="1" si="957"/>
        <v>75.330168910857054</v>
      </c>
      <c r="U123" s="162">
        <f t="shared" ca="1" si="957"/>
        <v>58.917450544804403</v>
      </c>
      <c r="V123" s="162">
        <f t="shared" ca="1" si="957"/>
        <v>67.755068126525188</v>
      </c>
      <c r="W123" s="162">
        <f t="shared" ca="1" si="957"/>
        <v>156.13124394373193</v>
      </c>
      <c r="X123" s="162">
        <f t="shared" ca="1" si="957"/>
        <v>398.78697240183391</v>
      </c>
      <c r="Y123" s="162">
        <f t="shared" ca="1" si="957"/>
        <v>689.83917809316813</v>
      </c>
      <c r="Z123" s="162">
        <f t="shared" ca="1" si="957"/>
        <v>2501.0457756269489</v>
      </c>
      <c r="AA123" s="162">
        <f t="shared" ref="AA123" ca="1" si="958">+AA94*AA80</f>
        <v>2501.0457756269489</v>
      </c>
      <c r="AB123" s="21">
        <f t="shared" ca="1" si="957"/>
        <v>3031.6314270046396</v>
      </c>
      <c r="AC123" s="21">
        <f t="shared" ca="1" si="957"/>
        <v>3702.7478708049598</v>
      </c>
      <c r="AD123" s="21">
        <f t="shared" ca="1" si="957"/>
        <v>5198.7256689028618</v>
      </c>
      <c r="AE123" s="21">
        <f t="shared" ca="1" si="957"/>
        <v>6773.933357717221</v>
      </c>
      <c r="AL123" s="162" t="e">
        <f t="shared" ref="AL123:BQ123" ca="1" si="959">+AL94*AL80</f>
        <v>#NAME?</v>
      </c>
      <c r="AM123" s="162" t="e">
        <f t="shared" ca="1" si="959"/>
        <v>#NAME?</v>
      </c>
      <c r="AN123" s="162" t="e">
        <f t="shared" ca="1" si="959"/>
        <v>#NAME?</v>
      </c>
      <c r="AO123" s="162" t="e">
        <f t="shared" ca="1" si="959"/>
        <v>#NAME?</v>
      </c>
      <c r="AP123" s="162" t="e">
        <f t="shared" ca="1" si="959"/>
        <v>#NAME?</v>
      </c>
      <c r="AQ123" s="162" t="e">
        <f t="shared" ca="1" si="959"/>
        <v>#NAME?</v>
      </c>
      <c r="AR123" s="162" t="e">
        <f t="shared" ca="1" si="959"/>
        <v>#NAME?</v>
      </c>
      <c r="AS123" s="162" t="e">
        <f t="shared" ca="1" si="959"/>
        <v>#NAME?</v>
      </c>
      <c r="AT123" s="162" t="e">
        <f t="shared" ca="1" si="959"/>
        <v>#NAME?</v>
      </c>
      <c r="AU123" s="162" t="e">
        <f t="shared" ca="1" si="959"/>
        <v>#NAME?</v>
      </c>
      <c r="AV123" s="162" t="e">
        <f t="shared" ca="1" si="959"/>
        <v>#NAME?</v>
      </c>
      <c r="AW123" s="162" t="e">
        <f t="shared" ca="1" si="959"/>
        <v>#NAME?</v>
      </c>
      <c r="AX123" s="162" t="e">
        <f t="shared" ca="1" si="959"/>
        <v>#NAME?</v>
      </c>
      <c r="AY123" s="162" t="e">
        <f t="shared" ca="1" si="959"/>
        <v>#NAME?</v>
      </c>
      <c r="AZ123" s="162" t="e">
        <f t="shared" ca="1" si="959"/>
        <v>#NAME?</v>
      </c>
      <c r="BA123" s="162" t="e">
        <f t="shared" ca="1" si="959"/>
        <v>#NAME?</v>
      </c>
      <c r="BB123" s="162" t="e">
        <f t="shared" ca="1" si="959"/>
        <v>#NAME?</v>
      </c>
      <c r="BC123" s="162" t="e">
        <f t="shared" ca="1" si="959"/>
        <v>#NAME?</v>
      </c>
      <c r="BD123" s="162" t="e">
        <f t="shared" ca="1" si="959"/>
        <v>#NAME?</v>
      </c>
      <c r="BE123" s="162" t="e">
        <f t="shared" ca="1" si="959"/>
        <v>#NAME?</v>
      </c>
      <c r="BF123" s="162" t="e">
        <f t="shared" ca="1" si="959"/>
        <v>#NAME?</v>
      </c>
      <c r="BG123" s="162" t="e">
        <f t="shared" ca="1" si="959"/>
        <v>#NAME?</v>
      </c>
      <c r="BH123" s="162" t="e">
        <f t="shared" ca="1" si="959"/>
        <v>#NAME?</v>
      </c>
      <c r="BI123" s="162" t="e">
        <f t="shared" ca="1" si="959"/>
        <v>#NAME?</v>
      </c>
      <c r="BJ123" s="162" t="e">
        <f t="shared" ca="1" si="959"/>
        <v>#NAME?</v>
      </c>
      <c r="BK123" s="162" t="e">
        <f t="shared" ca="1" si="959"/>
        <v>#NAME?</v>
      </c>
      <c r="BL123" s="162" t="e">
        <f t="shared" ca="1" si="959"/>
        <v>#NAME?</v>
      </c>
      <c r="BM123" s="162" t="e">
        <f t="shared" ca="1" si="959"/>
        <v>#NAME?</v>
      </c>
      <c r="BN123" s="162" t="e">
        <f t="shared" ca="1" si="959"/>
        <v>#NAME?</v>
      </c>
      <c r="BO123" s="162" t="e">
        <f t="shared" ca="1" si="959"/>
        <v>#NAME?</v>
      </c>
      <c r="BP123" s="162" t="e">
        <f t="shared" ca="1" si="959"/>
        <v>#NAME?</v>
      </c>
      <c r="BQ123" s="162" t="e">
        <f t="shared" ca="1" si="959"/>
        <v>#NAME?</v>
      </c>
      <c r="BR123" s="162" t="e">
        <f t="shared" ref="BR123:CJ123" ca="1" si="960">+BR94*BR80</f>
        <v>#NAME?</v>
      </c>
      <c r="BS123" s="162" t="e">
        <f t="shared" ca="1" si="960"/>
        <v>#NAME?</v>
      </c>
      <c r="BT123" s="162" t="e">
        <f t="shared" ca="1" si="960"/>
        <v>#NAME?</v>
      </c>
      <c r="BU123" s="162" t="e">
        <f t="shared" ca="1" si="960"/>
        <v>#NAME?</v>
      </c>
      <c r="BV123" s="162" t="e">
        <f t="shared" ca="1" si="960"/>
        <v>#NAME?</v>
      </c>
      <c r="BW123" s="162" t="e">
        <f t="shared" ca="1" si="960"/>
        <v>#NAME?</v>
      </c>
      <c r="BX123" s="162" t="e">
        <f t="shared" ca="1" si="960"/>
        <v>#NAME?</v>
      </c>
      <c r="BY123" s="162" t="e">
        <f t="shared" ca="1" si="960"/>
        <v>#NAME?</v>
      </c>
      <c r="BZ123" s="162" t="e">
        <f t="shared" ca="1" si="960"/>
        <v>#NAME?</v>
      </c>
      <c r="CA123" s="162" t="e">
        <f t="shared" ca="1" si="960"/>
        <v>#NAME?</v>
      </c>
      <c r="CB123" s="162" t="e">
        <f t="shared" ca="1" si="960"/>
        <v>#NAME?</v>
      </c>
      <c r="CC123" s="162" t="e">
        <f t="shared" ca="1" si="960"/>
        <v>#NAME?</v>
      </c>
      <c r="CD123" s="162" t="e">
        <f t="shared" ca="1" si="960"/>
        <v>#NAME?</v>
      </c>
      <c r="CE123" s="162" t="e">
        <f t="shared" ca="1" si="960"/>
        <v>#NAME?</v>
      </c>
      <c r="CF123" s="162" t="e">
        <f t="shared" ca="1" si="960"/>
        <v>#NAME?</v>
      </c>
      <c r="CG123" s="162" t="e">
        <f t="shared" ca="1" si="960"/>
        <v>#NAME?</v>
      </c>
      <c r="CH123" s="162" t="e">
        <f t="shared" ca="1" si="960"/>
        <v>#NAME?</v>
      </c>
      <c r="CI123" s="162" t="e">
        <f t="shared" ca="1" si="960"/>
        <v>#NAME?</v>
      </c>
      <c r="CJ123" s="162" t="e">
        <f t="shared" ca="1" si="960"/>
        <v>#NAME?</v>
      </c>
      <c r="CK123" s="162" t="e">
        <f t="shared" ref="CK123:CL123" ca="1" si="961">+CK94*CK80</f>
        <v>#NAME?</v>
      </c>
      <c r="CL123" s="162" t="e">
        <f t="shared" ca="1" si="961"/>
        <v>#NAME?</v>
      </c>
      <c r="CM123" s="21" t="e">
        <f t="shared" ref="CM123:DB123" ca="1" si="962">+CM94*CM80</f>
        <v>#NAME?</v>
      </c>
      <c r="CN123" s="21" t="e">
        <f t="shared" ca="1" si="962"/>
        <v>#NAME?</v>
      </c>
      <c r="CO123" s="21" t="e">
        <f t="shared" ca="1" si="962"/>
        <v>#NAME?</v>
      </c>
      <c r="CP123" s="21" t="e">
        <f t="shared" ca="1" si="962"/>
        <v>#NAME?</v>
      </c>
      <c r="CQ123" s="21" t="e">
        <f t="shared" ca="1" si="962"/>
        <v>#NAME?</v>
      </c>
      <c r="CR123" s="21" t="e">
        <f t="shared" ca="1" si="962"/>
        <v>#NAME?</v>
      </c>
      <c r="CS123" s="21" t="e">
        <f t="shared" ca="1" si="962"/>
        <v>#NAME?</v>
      </c>
      <c r="CT123" s="21" t="e">
        <f t="shared" ca="1" si="962"/>
        <v>#NAME?</v>
      </c>
      <c r="CU123" s="21" t="e">
        <f t="shared" ca="1" si="962"/>
        <v>#NAME?</v>
      </c>
      <c r="CV123" s="21" t="e">
        <f t="shared" ca="1" si="962"/>
        <v>#NAME?</v>
      </c>
      <c r="CW123" s="21" t="e">
        <f t="shared" ca="1" si="962"/>
        <v>#NAME?</v>
      </c>
      <c r="CX123" s="21" t="e">
        <f t="shared" ca="1" si="962"/>
        <v>#NAME?</v>
      </c>
      <c r="CY123" s="21" t="e">
        <f t="shared" ca="1" si="962"/>
        <v>#NAME?</v>
      </c>
      <c r="CZ123" s="21" t="e">
        <f t="shared" ca="1" si="962"/>
        <v>#NAME?</v>
      </c>
      <c r="DA123" s="21" t="e">
        <f t="shared" ca="1" si="962"/>
        <v>#NAME?</v>
      </c>
      <c r="DB123" s="21" t="e">
        <f t="shared" ca="1" si="962"/>
        <v>#NAME?</v>
      </c>
      <c r="DE123" s="22"/>
      <c r="DF123" s="162">
        <v>2400.0444318358573</v>
      </c>
    </row>
    <row r="124" spans="1:110" s="162" customFormat="1" x14ac:dyDescent="0.2">
      <c r="A124" s="49" t="s">
        <v>80</v>
      </c>
      <c r="B124" s="162" t="e">
        <f ca="1">+B183</f>
        <v>#NAME?</v>
      </c>
      <c r="C124" s="162" t="e">
        <f t="shared" ref="C124:W124" ca="1" si="963">+C183</f>
        <v>#NAME?</v>
      </c>
      <c r="D124" s="162" t="e">
        <f t="shared" ca="1" si="963"/>
        <v>#NAME?</v>
      </c>
      <c r="E124" s="162" t="e">
        <f t="shared" ca="1" si="963"/>
        <v>#NAME?</v>
      </c>
      <c r="F124" s="162" t="e">
        <f t="shared" ca="1" si="963"/>
        <v>#NAME?</v>
      </c>
      <c r="G124" s="162" t="e">
        <f t="shared" ca="1" si="963"/>
        <v>#NAME?</v>
      </c>
      <c r="H124" s="162" t="e">
        <f t="shared" ca="1" si="963"/>
        <v>#NAME?</v>
      </c>
      <c r="I124" s="162" t="e">
        <f t="shared" ca="1" si="963"/>
        <v>#NAME?</v>
      </c>
      <c r="J124" s="162" t="e">
        <f t="shared" ca="1" si="963"/>
        <v>#NAME?</v>
      </c>
      <c r="K124" s="162" t="e">
        <f t="shared" ca="1" si="963"/>
        <v>#NAME?</v>
      </c>
      <c r="L124" s="162" t="e">
        <f t="shared" ca="1" si="963"/>
        <v>#NAME?</v>
      </c>
      <c r="M124" s="162" t="e">
        <f t="shared" ca="1" si="963"/>
        <v>#NAME?</v>
      </c>
      <c r="N124" s="162" t="e">
        <f t="shared" ca="1" si="963"/>
        <v>#NAME?</v>
      </c>
      <c r="O124" s="162" t="e">
        <f t="shared" ca="1" si="963"/>
        <v>#NAME?</v>
      </c>
      <c r="P124" s="162" t="e">
        <f t="shared" ca="1" si="963"/>
        <v>#NAME?</v>
      </c>
      <c r="Q124" s="162" t="e">
        <f t="shared" ca="1" si="963"/>
        <v>#NAME?</v>
      </c>
      <c r="R124" s="162" t="e">
        <f t="shared" ca="1" si="963"/>
        <v>#NAME?</v>
      </c>
      <c r="S124" s="162" t="e">
        <f t="shared" ca="1" si="963"/>
        <v>#NAME?</v>
      </c>
      <c r="T124" s="162" t="e">
        <f t="shared" ca="1" si="963"/>
        <v>#NAME?</v>
      </c>
      <c r="U124" s="162" t="e">
        <f t="shared" ca="1" si="963"/>
        <v>#NAME?</v>
      </c>
      <c r="V124" s="162" t="e">
        <f t="shared" ca="1" si="963"/>
        <v>#NAME?</v>
      </c>
      <c r="W124" s="162" t="e">
        <f t="shared" ca="1" si="963"/>
        <v>#NAME?</v>
      </c>
      <c r="X124" s="162" t="e">
        <f t="shared" ref="X124:Y124" ca="1" si="964">+X183</f>
        <v>#NAME?</v>
      </c>
      <c r="Y124" s="162" t="e">
        <f t="shared" ca="1" si="964"/>
        <v>#NAME?</v>
      </c>
      <c r="Z124" s="162" t="e">
        <f t="shared" ref="Z124:AA124" ca="1" si="965">+Z183</f>
        <v>#NAME?</v>
      </c>
      <c r="AA124" s="162" t="e">
        <f t="shared" ca="1" si="965"/>
        <v>#NAME?</v>
      </c>
      <c r="AB124" s="21" t="e">
        <f t="shared" ref="AA124:AD124" ca="1" si="966">+AB183</f>
        <v>#NAME?</v>
      </c>
      <c r="AC124" s="21" t="e">
        <f t="shared" ca="1" si="966"/>
        <v>#NAME?</v>
      </c>
      <c r="AD124" s="21" t="e">
        <f t="shared" ca="1" si="966"/>
        <v>#NAME?</v>
      </c>
      <c r="AE124" s="21" t="e">
        <f t="shared" ref="AE124" ca="1" si="967">+AE183</f>
        <v>#NAME?</v>
      </c>
      <c r="AL124" s="162" t="e">
        <f t="shared" ref="AL124:AM124" ca="1" si="968">+AL183</f>
        <v>#NAME?</v>
      </c>
      <c r="AM124" s="162" t="e">
        <f t="shared" ca="1" si="968"/>
        <v>#NAME?</v>
      </c>
      <c r="AN124" s="162" t="e">
        <f t="shared" ref="AN124:AO124" ca="1" si="969">+AN183</f>
        <v>#NAME?</v>
      </c>
      <c r="AO124" s="162" t="e">
        <f t="shared" ca="1" si="969"/>
        <v>#NAME?</v>
      </c>
      <c r="AP124" s="162" t="e">
        <f t="shared" ref="AP124:CD124" ca="1" si="970">+AP183</f>
        <v>#NAME?</v>
      </c>
      <c r="AQ124" s="162" t="e">
        <f t="shared" ca="1" si="970"/>
        <v>#NAME?</v>
      </c>
      <c r="AR124" s="162" t="e">
        <f t="shared" ca="1" si="970"/>
        <v>#NAME?</v>
      </c>
      <c r="AS124" s="162" t="e">
        <f t="shared" ca="1" si="970"/>
        <v>#NAME?</v>
      </c>
      <c r="AT124" s="162" t="e">
        <f t="shared" ca="1" si="970"/>
        <v>#NAME?</v>
      </c>
      <c r="AU124" s="162" t="e">
        <f t="shared" ca="1" si="970"/>
        <v>#NAME?</v>
      </c>
      <c r="AV124" s="162" t="e">
        <f t="shared" ca="1" si="970"/>
        <v>#NAME?</v>
      </c>
      <c r="AW124" s="162" t="e">
        <f t="shared" ca="1" si="970"/>
        <v>#NAME?</v>
      </c>
      <c r="AX124" s="162" t="e">
        <f t="shared" ca="1" si="970"/>
        <v>#NAME?</v>
      </c>
      <c r="AY124" s="162" t="e">
        <f t="shared" ca="1" si="970"/>
        <v>#NAME?</v>
      </c>
      <c r="AZ124" s="162" t="e">
        <f t="shared" ca="1" si="970"/>
        <v>#NAME?</v>
      </c>
      <c r="BA124" s="162" t="e">
        <f t="shared" ca="1" si="970"/>
        <v>#NAME?</v>
      </c>
      <c r="BB124" s="162" t="e">
        <f t="shared" ca="1" si="970"/>
        <v>#NAME?</v>
      </c>
      <c r="BC124" s="162" t="e">
        <f t="shared" ca="1" si="970"/>
        <v>#NAME?</v>
      </c>
      <c r="BD124" s="162" t="e">
        <f t="shared" ca="1" si="970"/>
        <v>#NAME?</v>
      </c>
      <c r="BE124" s="162" t="e">
        <f t="shared" ca="1" si="970"/>
        <v>#NAME?</v>
      </c>
      <c r="BF124" s="162" t="e">
        <f t="shared" ca="1" si="970"/>
        <v>#NAME?</v>
      </c>
      <c r="BG124" s="162" t="e">
        <f t="shared" ca="1" si="970"/>
        <v>#NAME?</v>
      </c>
      <c r="BH124" s="162" t="e">
        <f t="shared" ca="1" si="970"/>
        <v>#NAME?</v>
      </c>
      <c r="BI124" s="162" t="e">
        <f t="shared" ca="1" si="970"/>
        <v>#NAME?</v>
      </c>
      <c r="BJ124" s="162" t="e">
        <f t="shared" ca="1" si="970"/>
        <v>#NAME?</v>
      </c>
      <c r="BK124" s="162" t="e">
        <f t="shared" ca="1" si="970"/>
        <v>#NAME?</v>
      </c>
      <c r="BL124" s="162" t="e">
        <f t="shared" ca="1" si="970"/>
        <v>#NAME?</v>
      </c>
      <c r="BM124" s="162" t="e">
        <f t="shared" ca="1" si="970"/>
        <v>#NAME?</v>
      </c>
      <c r="BN124" s="162" t="e">
        <f t="shared" ca="1" si="970"/>
        <v>#NAME?</v>
      </c>
      <c r="BO124" s="162" t="e">
        <f t="shared" ca="1" si="970"/>
        <v>#NAME?</v>
      </c>
      <c r="BP124" s="162" t="e">
        <f t="shared" ca="1" si="970"/>
        <v>#NAME?</v>
      </c>
      <c r="BQ124" s="162" t="e">
        <f t="shared" ca="1" si="970"/>
        <v>#NAME?</v>
      </c>
      <c r="BR124" s="162" t="e">
        <f t="shared" ca="1" si="970"/>
        <v>#NAME?</v>
      </c>
      <c r="BS124" s="162" t="e">
        <f t="shared" ca="1" si="970"/>
        <v>#NAME?</v>
      </c>
      <c r="BT124" s="162" t="e">
        <f t="shared" ca="1" si="970"/>
        <v>#NAME?</v>
      </c>
      <c r="BU124" s="162" t="e">
        <f t="shared" ca="1" si="970"/>
        <v>#NAME?</v>
      </c>
      <c r="BV124" s="162" t="e">
        <f t="shared" ca="1" si="970"/>
        <v>#NAME?</v>
      </c>
      <c r="BW124" s="162" t="e">
        <f t="shared" ca="1" si="970"/>
        <v>#NAME?</v>
      </c>
      <c r="BX124" s="162" t="e">
        <f t="shared" ca="1" si="970"/>
        <v>#NAME?</v>
      </c>
      <c r="BY124" s="162" t="e">
        <f t="shared" ca="1" si="970"/>
        <v>#NAME?</v>
      </c>
      <c r="BZ124" s="162" t="e">
        <f t="shared" ca="1" si="970"/>
        <v>#NAME?</v>
      </c>
      <c r="CA124" s="162" t="e">
        <f t="shared" ca="1" si="970"/>
        <v>#NAME?</v>
      </c>
      <c r="CB124" s="162" t="e">
        <f t="shared" ca="1" si="970"/>
        <v>#NAME?</v>
      </c>
      <c r="CC124" s="162" t="e">
        <f t="shared" ca="1" si="970"/>
        <v>#NAME?</v>
      </c>
      <c r="CD124" s="162" t="e">
        <f t="shared" ca="1" si="970"/>
        <v>#NAME?</v>
      </c>
      <c r="CE124" s="162" t="e">
        <f t="shared" ref="CE124:CF124" ca="1" si="971">+CE183</f>
        <v>#NAME?</v>
      </c>
      <c r="CF124" s="162" t="e">
        <f t="shared" ca="1" si="971"/>
        <v>#NAME?</v>
      </c>
      <c r="CG124" s="162" t="e">
        <f t="shared" ref="CG124:CH124" ca="1" si="972">+CG183</f>
        <v>#NAME?</v>
      </c>
      <c r="CH124" s="162" t="e">
        <f t="shared" ca="1" si="972"/>
        <v>#NAME?</v>
      </c>
      <c r="CI124" s="162" t="e">
        <f t="shared" ref="CI124:CJ124" ca="1" si="973">+CI183</f>
        <v>#NAME?</v>
      </c>
      <c r="CJ124" s="162" t="e">
        <f t="shared" ca="1" si="973"/>
        <v>#NAME?</v>
      </c>
      <c r="CK124" s="162" t="e">
        <f t="shared" ref="CK124:CL124" ca="1" si="974">+CK183</f>
        <v>#NAME?</v>
      </c>
      <c r="CL124" s="162" t="e">
        <f t="shared" ca="1" si="974"/>
        <v>#NAME?</v>
      </c>
      <c r="CM124" s="21" t="e">
        <f t="shared" ref="CM124:DB124" ca="1" si="975">+CM183</f>
        <v>#NAME?</v>
      </c>
      <c r="CN124" s="21" t="e">
        <f t="shared" ca="1" si="975"/>
        <v>#NAME?</v>
      </c>
      <c r="CO124" s="21" t="e">
        <f t="shared" ca="1" si="975"/>
        <v>#NAME?</v>
      </c>
      <c r="CP124" s="21" t="e">
        <f t="shared" ca="1" si="975"/>
        <v>#NAME?</v>
      </c>
      <c r="CQ124" s="21" t="e">
        <f t="shared" ca="1" si="975"/>
        <v>#NAME?</v>
      </c>
      <c r="CR124" s="21" t="e">
        <f t="shared" ca="1" si="975"/>
        <v>#NAME?</v>
      </c>
      <c r="CS124" s="21" t="e">
        <f t="shared" ca="1" si="975"/>
        <v>#NAME?</v>
      </c>
      <c r="CT124" s="21" t="e">
        <f t="shared" ca="1" si="975"/>
        <v>#NAME?</v>
      </c>
      <c r="CU124" s="21" t="e">
        <f t="shared" ca="1" si="975"/>
        <v>#NAME?</v>
      </c>
      <c r="CV124" s="21" t="e">
        <f t="shared" ca="1" si="975"/>
        <v>#NAME?</v>
      </c>
      <c r="CW124" s="21" t="e">
        <f t="shared" ca="1" si="975"/>
        <v>#NAME?</v>
      </c>
      <c r="CX124" s="21" t="e">
        <f t="shared" ca="1" si="975"/>
        <v>#NAME?</v>
      </c>
      <c r="CY124" s="21" t="e">
        <f t="shared" ca="1" si="975"/>
        <v>#NAME?</v>
      </c>
      <c r="CZ124" s="21" t="e">
        <f t="shared" ca="1" si="975"/>
        <v>#NAME?</v>
      </c>
      <c r="DA124" s="21" t="e">
        <f t="shared" ca="1" si="975"/>
        <v>#NAME?</v>
      </c>
      <c r="DB124" s="21" t="e">
        <f t="shared" ca="1" si="975"/>
        <v>#NAME?</v>
      </c>
      <c r="DE124" s="22"/>
      <c r="DF124" s="162">
        <v>23.33</v>
      </c>
    </row>
    <row r="125" spans="1:110" s="162" customFormat="1" x14ac:dyDescent="0.2">
      <c r="A125" s="49" t="s">
        <v>342</v>
      </c>
      <c r="B125" s="162" t="e">
        <f ca="1">+B122+B124</f>
        <v>#NAME?</v>
      </c>
      <c r="C125" s="162" t="e">
        <f t="shared" ref="C125:W125" ca="1" si="976">+C122+C124</f>
        <v>#NAME?</v>
      </c>
      <c r="D125" s="162" t="e">
        <f t="shared" ca="1" si="976"/>
        <v>#NAME?</v>
      </c>
      <c r="E125" s="162">
        <f t="shared" ca="1" si="976"/>
        <v>10.030889552742678</v>
      </c>
      <c r="F125" s="162">
        <f t="shared" ca="1" si="976"/>
        <v>55.346415470062809</v>
      </c>
      <c r="G125" s="162">
        <f t="shared" ca="1" si="976"/>
        <v>76.688611467948931</v>
      </c>
      <c r="H125" s="162">
        <f t="shared" ca="1" si="976"/>
        <v>39.998372835392843</v>
      </c>
      <c r="I125" s="162">
        <f t="shared" ca="1" si="976"/>
        <v>55.505001746110089</v>
      </c>
      <c r="J125" s="162">
        <f t="shared" ca="1" si="976"/>
        <v>33.269012772853131</v>
      </c>
      <c r="K125" s="162">
        <f t="shared" ca="1" si="976"/>
        <v>34.62541105259178</v>
      </c>
      <c r="L125" s="162">
        <f t="shared" ca="1" si="976"/>
        <v>37.463093266099342</v>
      </c>
      <c r="M125" s="162">
        <f t="shared" ca="1" si="976"/>
        <v>33.777194588093415</v>
      </c>
      <c r="N125" s="162">
        <f t="shared" ca="1" si="976"/>
        <v>36.078214003784758</v>
      </c>
      <c r="O125" s="162">
        <f t="shared" ca="1" si="976"/>
        <v>40.012593504865045</v>
      </c>
      <c r="P125" s="162">
        <f t="shared" ca="1" si="976"/>
        <v>88.796797867948939</v>
      </c>
      <c r="Q125" s="162">
        <f t="shared" ca="1" si="976"/>
        <v>80.134973786228159</v>
      </c>
      <c r="R125" s="162">
        <f t="shared" ca="1" si="976"/>
        <v>90.629574842239748</v>
      </c>
      <c r="S125" s="162">
        <f t="shared" ca="1" si="976"/>
        <v>256.4797907801667</v>
      </c>
      <c r="T125" s="162">
        <f t="shared" ca="1" si="976"/>
        <v>252.69168497645106</v>
      </c>
      <c r="U125" s="162">
        <f t="shared" ca="1" si="976"/>
        <v>135.16166433738226</v>
      </c>
      <c r="V125" s="162">
        <f t="shared" ca="1" si="976"/>
        <v>158.56926475647748</v>
      </c>
      <c r="W125" s="162">
        <f t="shared" ca="1" si="976"/>
        <v>457.6225684106634</v>
      </c>
      <c r="X125" s="162">
        <f t="shared" ref="X125:Y125" ca="1" si="977">+X122+X124</f>
        <v>824.56231594963799</v>
      </c>
      <c r="Y125" s="162">
        <f t="shared" ca="1" si="977"/>
        <v>3533.2650326882595</v>
      </c>
      <c r="Z125" s="162">
        <f t="shared" ref="Z125:AA125" ca="1" si="978">+Z122+Z124</f>
        <v>5664.3680851116842</v>
      </c>
      <c r="AA125" s="162">
        <f t="shared" ca="1" si="978"/>
        <v>5664.3680851116842</v>
      </c>
      <c r="AB125" s="21">
        <f t="shared" ref="AA125:AD125" ca="1" si="979">+AB122+AB124</f>
        <v>4771.712738791206</v>
      </c>
      <c r="AC125" s="21">
        <f t="shared" ca="1" si="979"/>
        <v>6921.5557057878559</v>
      </c>
      <c r="AD125" s="21">
        <f t="shared" ca="1" si="979"/>
        <v>9145.0964868057945</v>
      </c>
      <c r="AE125" s="21">
        <f t="shared" ref="AE125" ca="1" si="980">+AE122+AE124</f>
        <v>11513.795204523838</v>
      </c>
      <c r="AL125" s="162" t="e">
        <f t="shared" ref="AL125" ca="1" si="981">+AL122+AL124</f>
        <v>#NAME?</v>
      </c>
      <c r="AM125" s="162" t="e">
        <f t="shared" ref="AM125:AO125" ca="1" si="982">+AM122+AM124</f>
        <v>#NAME?</v>
      </c>
      <c r="AN125" s="162" t="e">
        <f t="shared" ca="1" si="982"/>
        <v>#NAME?</v>
      </c>
      <c r="AO125" s="162" t="e">
        <f t="shared" ca="1" si="982"/>
        <v>#NAME?</v>
      </c>
      <c r="AP125" s="162" t="e">
        <f t="shared" ref="AP125:CD125" ca="1" si="983">+AP122+AP124</f>
        <v>#NAME?</v>
      </c>
      <c r="AQ125" s="162" t="e">
        <f t="shared" ca="1" si="983"/>
        <v>#NAME?</v>
      </c>
      <c r="AR125" s="162" t="e">
        <f t="shared" ca="1" si="983"/>
        <v>#NAME?</v>
      </c>
      <c r="AS125" s="162" t="e">
        <f t="shared" ca="1" si="983"/>
        <v>#NAME?</v>
      </c>
      <c r="AT125" s="162" t="e">
        <f t="shared" ca="1" si="983"/>
        <v>#NAME?</v>
      </c>
      <c r="AU125" s="162" t="e">
        <f t="shared" ca="1" si="983"/>
        <v>#NAME?</v>
      </c>
      <c r="AV125" s="162" t="e">
        <f t="shared" ca="1" si="983"/>
        <v>#NAME?</v>
      </c>
      <c r="AW125" s="162" t="e">
        <f t="shared" ca="1" si="983"/>
        <v>#NAME?</v>
      </c>
      <c r="AX125" s="162" t="e">
        <f t="shared" ca="1" si="983"/>
        <v>#NAME?</v>
      </c>
      <c r="AY125" s="162" t="e">
        <f t="shared" ca="1" si="983"/>
        <v>#NAME?</v>
      </c>
      <c r="AZ125" s="162" t="e">
        <f t="shared" ca="1" si="983"/>
        <v>#NAME?</v>
      </c>
      <c r="BA125" s="162" t="e">
        <f t="shared" ca="1" si="983"/>
        <v>#NAME?</v>
      </c>
      <c r="BB125" s="162" t="e">
        <f t="shared" ca="1" si="983"/>
        <v>#NAME?</v>
      </c>
      <c r="BC125" s="162" t="e">
        <f t="shared" ca="1" si="983"/>
        <v>#NAME?</v>
      </c>
      <c r="BD125" s="162" t="e">
        <f t="shared" ca="1" si="983"/>
        <v>#NAME?</v>
      </c>
      <c r="BE125" s="162" t="e">
        <f t="shared" ca="1" si="983"/>
        <v>#NAME?</v>
      </c>
      <c r="BF125" s="162" t="e">
        <f t="shared" ca="1" si="983"/>
        <v>#NAME?</v>
      </c>
      <c r="BG125" s="162" t="e">
        <f t="shared" ca="1" si="983"/>
        <v>#NAME?</v>
      </c>
      <c r="BH125" s="162" t="e">
        <f t="shared" ca="1" si="983"/>
        <v>#NAME?</v>
      </c>
      <c r="BI125" s="162" t="e">
        <f t="shared" ca="1" si="983"/>
        <v>#NAME?</v>
      </c>
      <c r="BJ125" s="162" t="e">
        <f t="shared" ca="1" si="983"/>
        <v>#NAME?</v>
      </c>
      <c r="BK125" s="162" t="e">
        <f t="shared" ca="1" si="983"/>
        <v>#NAME?</v>
      </c>
      <c r="BL125" s="162" t="e">
        <f t="shared" ca="1" si="983"/>
        <v>#NAME?</v>
      </c>
      <c r="BM125" s="162" t="e">
        <f t="shared" ca="1" si="983"/>
        <v>#NAME?</v>
      </c>
      <c r="BN125" s="162" t="e">
        <f t="shared" ca="1" si="983"/>
        <v>#NAME?</v>
      </c>
      <c r="BO125" s="162" t="e">
        <f t="shared" ca="1" si="983"/>
        <v>#NAME?</v>
      </c>
      <c r="BP125" s="162" t="e">
        <f t="shared" ca="1" si="983"/>
        <v>#NAME?</v>
      </c>
      <c r="BQ125" s="162" t="e">
        <f t="shared" ca="1" si="983"/>
        <v>#NAME?</v>
      </c>
      <c r="BR125" s="162" t="e">
        <f t="shared" ca="1" si="983"/>
        <v>#NAME?</v>
      </c>
      <c r="BS125" s="162" t="e">
        <f t="shared" ca="1" si="983"/>
        <v>#NAME?</v>
      </c>
      <c r="BT125" s="162" t="e">
        <f t="shared" ca="1" si="983"/>
        <v>#NAME?</v>
      </c>
      <c r="BU125" s="162" t="e">
        <f t="shared" ca="1" si="983"/>
        <v>#NAME?</v>
      </c>
      <c r="BV125" s="162" t="e">
        <f t="shared" ca="1" si="983"/>
        <v>#NAME?</v>
      </c>
      <c r="BW125" s="162" t="e">
        <f t="shared" ca="1" si="983"/>
        <v>#NAME?</v>
      </c>
      <c r="BX125" s="162" t="e">
        <f t="shared" ca="1" si="983"/>
        <v>#NAME?</v>
      </c>
      <c r="BY125" s="162" t="e">
        <f t="shared" ca="1" si="983"/>
        <v>#NAME?</v>
      </c>
      <c r="BZ125" s="162" t="e">
        <f t="shared" ca="1" si="983"/>
        <v>#NAME?</v>
      </c>
      <c r="CA125" s="162" t="e">
        <f t="shared" ca="1" si="983"/>
        <v>#NAME?</v>
      </c>
      <c r="CB125" s="162" t="e">
        <f t="shared" ca="1" si="983"/>
        <v>#NAME?</v>
      </c>
      <c r="CC125" s="162" t="e">
        <f t="shared" ca="1" si="983"/>
        <v>#NAME?</v>
      </c>
      <c r="CD125" s="162" t="e">
        <f t="shared" ca="1" si="983"/>
        <v>#NAME?</v>
      </c>
      <c r="CE125" s="162" t="e">
        <f t="shared" ref="CE125:CF125" ca="1" si="984">+CE122+CE124</f>
        <v>#NAME?</v>
      </c>
      <c r="CF125" s="162" t="e">
        <f t="shared" ca="1" si="984"/>
        <v>#NAME?</v>
      </c>
      <c r="CG125" s="162" t="e">
        <f t="shared" ref="CG125:CH125" ca="1" si="985">+CG122+CG124</f>
        <v>#NAME?</v>
      </c>
      <c r="CH125" s="162" t="e">
        <f t="shared" ca="1" si="985"/>
        <v>#NAME?</v>
      </c>
      <c r="CI125" s="162" t="e">
        <f t="shared" ref="CI125:CJ125" ca="1" si="986">+CI122+CI124</f>
        <v>#NAME?</v>
      </c>
      <c r="CJ125" s="162" t="e">
        <f t="shared" ca="1" si="986"/>
        <v>#NAME?</v>
      </c>
      <c r="CK125" s="162" t="e">
        <f t="shared" ref="CK125:CL125" ca="1" si="987">+CK122+CK124</f>
        <v>#NAME?</v>
      </c>
      <c r="CL125" s="162" t="e">
        <f t="shared" ca="1" si="987"/>
        <v>#NAME?</v>
      </c>
      <c r="CM125" s="21" t="e">
        <f t="shared" ref="CM125:DB125" ca="1" si="988">+CM122+CM124</f>
        <v>#NAME?</v>
      </c>
      <c r="CN125" s="21" t="e">
        <f t="shared" ca="1" si="988"/>
        <v>#NAME?</v>
      </c>
      <c r="CO125" s="21" t="e">
        <f t="shared" ca="1" si="988"/>
        <v>#NAME?</v>
      </c>
      <c r="CP125" s="21" t="e">
        <f t="shared" ca="1" si="988"/>
        <v>#NAME?</v>
      </c>
      <c r="CQ125" s="21" t="e">
        <f t="shared" ca="1" si="988"/>
        <v>#NAME?</v>
      </c>
      <c r="CR125" s="21" t="e">
        <f t="shared" ca="1" si="988"/>
        <v>#NAME?</v>
      </c>
      <c r="CS125" s="21" t="e">
        <f t="shared" ca="1" si="988"/>
        <v>#NAME?</v>
      </c>
      <c r="CT125" s="21" t="e">
        <f t="shared" ca="1" si="988"/>
        <v>#NAME?</v>
      </c>
      <c r="CU125" s="21" t="e">
        <f t="shared" ca="1" si="988"/>
        <v>#NAME?</v>
      </c>
      <c r="CV125" s="21" t="e">
        <f t="shared" ca="1" si="988"/>
        <v>#NAME?</v>
      </c>
      <c r="CW125" s="21" t="e">
        <f t="shared" ca="1" si="988"/>
        <v>#NAME?</v>
      </c>
      <c r="CX125" s="21" t="e">
        <f t="shared" ca="1" si="988"/>
        <v>#NAME?</v>
      </c>
      <c r="CY125" s="21" t="e">
        <f t="shared" ca="1" si="988"/>
        <v>#NAME?</v>
      </c>
      <c r="CZ125" s="21" t="e">
        <f t="shared" ca="1" si="988"/>
        <v>#NAME?</v>
      </c>
      <c r="DA125" s="21" t="e">
        <f t="shared" ca="1" si="988"/>
        <v>#NAME?</v>
      </c>
      <c r="DB125" s="21" t="e">
        <f t="shared" ca="1" si="988"/>
        <v>#NAME?</v>
      </c>
      <c r="DE125" s="22"/>
      <c r="DF125" s="162">
        <v>5736.0950000000003</v>
      </c>
    </row>
    <row r="126" spans="1:110" s="162" customFormat="1" x14ac:dyDescent="0.2">
      <c r="A126" s="49" t="s">
        <v>345</v>
      </c>
      <c r="B126" s="162" t="e">
        <f ca="1">+B123+B124</f>
        <v>#NAME?</v>
      </c>
      <c r="C126" s="162" t="e">
        <f t="shared" ref="C126:W126" ca="1" si="989">+C123+C124</f>
        <v>#NAME?</v>
      </c>
      <c r="D126" s="162" t="e">
        <f t="shared" ca="1" si="989"/>
        <v>#NAME?</v>
      </c>
      <c r="E126" s="162">
        <f t="shared" ca="1" si="989"/>
        <v>3.4826357636201113</v>
      </c>
      <c r="F126" s="162">
        <f t="shared" ca="1" si="989"/>
        <v>6.4196811819274187</v>
      </c>
      <c r="G126" s="162">
        <f t="shared" ca="1" si="989"/>
        <v>20.927452916616112</v>
      </c>
      <c r="H126" s="162">
        <f t="shared" ca="1" si="989"/>
        <v>13.653855663215953</v>
      </c>
      <c r="I126" s="162">
        <f t="shared" ca="1" si="989"/>
        <v>12.369011168664006</v>
      </c>
      <c r="J126" s="162">
        <f t="shared" ca="1" si="989"/>
        <v>7.261166746646456</v>
      </c>
      <c r="K126" s="162">
        <f t="shared" ca="1" si="989"/>
        <v>14.614519813981492</v>
      </c>
      <c r="L126" s="162">
        <f t="shared" ca="1" si="989"/>
        <v>18.988264130978457</v>
      </c>
      <c r="M126" s="162">
        <f t="shared" ca="1" si="989"/>
        <v>22.119956158871506</v>
      </c>
      <c r="N126" s="162">
        <f t="shared" ca="1" si="989"/>
        <v>23.516171869767607</v>
      </c>
      <c r="O126" s="162">
        <f t="shared" ca="1" si="989"/>
        <v>26.545747666052677</v>
      </c>
      <c r="P126" s="162">
        <f t="shared" ca="1" si="989"/>
        <v>27.354313728367131</v>
      </c>
      <c r="Q126" s="162">
        <f t="shared" ca="1" si="989"/>
        <v>40.618198027962876</v>
      </c>
      <c r="R126" s="162">
        <f t="shared" ca="1" si="989"/>
        <v>53.637832678751757</v>
      </c>
      <c r="S126" s="162">
        <f t="shared" ca="1" si="989"/>
        <v>65.650376854868952</v>
      </c>
      <c r="T126" s="162">
        <f t="shared" ca="1" si="989"/>
        <v>65.228982510857051</v>
      </c>
      <c r="U126" s="162">
        <f t="shared" ca="1" si="989"/>
        <v>50.993877844804402</v>
      </c>
      <c r="V126" s="162">
        <f t="shared" ca="1" si="989"/>
        <v>24.784568126525187</v>
      </c>
      <c r="W126" s="162">
        <f t="shared" ca="1" si="989"/>
        <v>167.66454394373193</v>
      </c>
      <c r="X126" s="162">
        <f t="shared" ref="X126:Y126" ca="1" si="990">+X123+X124</f>
        <v>425.43867240183391</v>
      </c>
      <c r="Y126" s="162">
        <f t="shared" ca="1" si="990"/>
        <v>688.05717809316809</v>
      </c>
      <c r="Z126" s="162">
        <f t="shared" ref="Z126:AA126" ca="1" si="991">+Z123+Z124</f>
        <v>2514.388675626949</v>
      </c>
      <c r="AA126" s="162">
        <f t="shared" ca="1" si="991"/>
        <v>2514.388675626949</v>
      </c>
      <c r="AB126" s="21">
        <f t="shared" ref="AA126:AD126" ca="1" si="992">+AB123+AB124</f>
        <v>3038.366632547577</v>
      </c>
      <c r="AC126" s="21">
        <f t="shared" ca="1" si="992"/>
        <v>3691.638132638755</v>
      </c>
      <c r="AD126" s="21">
        <f t="shared" ca="1" si="992"/>
        <v>5171.0581304968391</v>
      </c>
      <c r="AE126" s="21">
        <f t="shared" ref="AE126" ca="1" si="993">+AE123+AE124</f>
        <v>6730.494681211534</v>
      </c>
      <c r="AL126" s="162" t="e">
        <f t="shared" ref="AL126:AM126" ca="1" si="994">+AL123+AL124</f>
        <v>#NAME?</v>
      </c>
      <c r="AM126" s="162" t="e">
        <f t="shared" ca="1" si="994"/>
        <v>#NAME?</v>
      </c>
      <c r="AN126" s="162" t="e">
        <f t="shared" ref="AN126:AO126" ca="1" si="995">+AN123+AN124</f>
        <v>#NAME?</v>
      </c>
      <c r="AO126" s="162" t="e">
        <f t="shared" ca="1" si="995"/>
        <v>#NAME?</v>
      </c>
      <c r="AP126" s="162" t="e">
        <f t="shared" ref="AP126:CD126" ca="1" si="996">+AP123+AP124</f>
        <v>#NAME?</v>
      </c>
      <c r="AQ126" s="162" t="e">
        <f t="shared" ca="1" si="996"/>
        <v>#NAME?</v>
      </c>
      <c r="AR126" s="162" t="e">
        <f t="shared" ca="1" si="996"/>
        <v>#NAME?</v>
      </c>
      <c r="AS126" s="162" t="e">
        <f t="shared" ca="1" si="996"/>
        <v>#NAME?</v>
      </c>
      <c r="AT126" s="162" t="e">
        <f t="shared" ca="1" si="996"/>
        <v>#NAME?</v>
      </c>
      <c r="AU126" s="162" t="e">
        <f t="shared" ca="1" si="996"/>
        <v>#NAME?</v>
      </c>
      <c r="AV126" s="162" t="e">
        <f t="shared" ca="1" si="996"/>
        <v>#NAME?</v>
      </c>
      <c r="AW126" s="162" t="e">
        <f t="shared" ca="1" si="996"/>
        <v>#NAME?</v>
      </c>
      <c r="AX126" s="162" t="e">
        <f t="shared" ca="1" si="996"/>
        <v>#NAME?</v>
      </c>
      <c r="AY126" s="162" t="e">
        <f t="shared" ca="1" si="996"/>
        <v>#NAME?</v>
      </c>
      <c r="AZ126" s="162" t="e">
        <f t="shared" ca="1" si="996"/>
        <v>#NAME?</v>
      </c>
      <c r="BA126" s="162" t="e">
        <f t="shared" ca="1" si="996"/>
        <v>#NAME?</v>
      </c>
      <c r="BB126" s="162" t="e">
        <f t="shared" ca="1" si="996"/>
        <v>#NAME?</v>
      </c>
      <c r="BC126" s="162" t="e">
        <f t="shared" ca="1" si="996"/>
        <v>#NAME?</v>
      </c>
      <c r="BD126" s="162" t="e">
        <f t="shared" ca="1" si="996"/>
        <v>#NAME?</v>
      </c>
      <c r="BE126" s="162" t="e">
        <f t="shared" ca="1" si="996"/>
        <v>#NAME?</v>
      </c>
      <c r="BF126" s="162" t="e">
        <f t="shared" ca="1" si="996"/>
        <v>#NAME?</v>
      </c>
      <c r="BG126" s="162" t="e">
        <f t="shared" ca="1" si="996"/>
        <v>#NAME?</v>
      </c>
      <c r="BH126" s="162" t="e">
        <f t="shared" ca="1" si="996"/>
        <v>#NAME?</v>
      </c>
      <c r="BI126" s="162" t="e">
        <f t="shared" ca="1" si="996"/>
        <v>#NAME?</v>
      </c>
      <c r="BJ126" s="162" t="e">
        <f t="shared" ca="1" si="996"/>
        <v>#NAME?</v>
      </c>
      <c r="BK126" s="162" t="e">
        <f t="shared" ca="1" si="996"/>
        <v>#NAME?</v>
      </c>
      <c r="BL126" s="162" t="e">
        <f t="shared" ca="1" si="996"/>
        <v>#NAME?</v>
      </c>
      <c r="BM126" s="162" t="e">
        <f t="shared" ca="1" si="996"/>
        <v>#NAME?</v>
      </c>
      <c r="BN126" s="162" t="e">
        <f t="shared" ca="1" si="996"/>
        <v>#NAME?</v>
      </c>
      <c r="BO126" s="162" t="e">
        <f t="shared" ca="1" si="996"/>
        <v>#NAME?</v>
      </c>
      <c r="BP126" s="162" t="e">
        <f t="shared" ca="1" si="996"/>
        <v>#NAME?</v>
      </c>
      <c r="BQ126" s="162" t="e">
        <f t="shared" ca="1" si="996"/>
        <v>#NAME?</v>
      </c>
      <c r="BR126" s="162" t="e">
        <f t="shared" ca="1" si="996"/>
        <v>#NAME?</v>
      </c>
      <c r="BS126" s="162" t="e">
        <f t="shared" ca="1" si="996"/>
        <v>#NAME?</v>
      </c>
      <c r="BT126" s="162" t="e">
        <f t="shared" ca="1" si="996"/>
        <v>#NAME?</v>
      </c>
      <c r="BU126" s="162" t="e">
        <f t="shared" ca="1" si="996"/>
        <v>#NAME?</v>
      </c>
      <c r="BV126" s="162" t="e">
        <f t="shared" ca="1" si="996"/>
        <v>#NAME?</v>
      </c>
      <c r="BW126" s="162" t="e">
        <f t="shared" ca="1" si="996"/>
        <v>#NAME?</v>
      </c>
      <c r="BX126" s="162" t="e">
        <f t="shared" ca="1" si="996"/>
        <v>#NAME?</v>
      </c>
      <c r="BY126" s="162" t="e">
        <f t="shared" ca="1" si="996"/>
        <v>#NAME?</v>
      </c>
      <c r="BZ126" s="162" t="e">
        <f t="shared" ca="1" si="996"/>
        <v>#NAME?</v>
      </c>
      <c r="CA126" s="162" t="e">
        <f t="shared" ca="1" si="996"/>
        <v>#NAME?</v>
      </c>
      <c r="CB126" s="162" t="e">
        <f t="shared" ca="1" si="996"/>
        <v>#NAME?</v>
      </c>
      <c r="CC126" s="162" t="e">
        <f t="shared" ca="1" si="996"/>
        <v>#NAME?</v>
      </c>
      <c r="CD126" s="162" t="e">
        <f t="shared" ca="1" si="996"/>
        <v>#NAME?</v>
      </c>
      <c r="CE126" s="162" t="e">
        <f t="shared" ref="CE126:CF126" ca="1" si="997">+CE123+CE124</f>
        <v>#NAME?</v>
      </c>
      <c r="CF126" s="162" t="e">
        <f t="shared" ca="1" si="997"/>
        <v>#NAME?</v>
      </c>
      <c r="CG126" s="162" t="e">
        <f t="shared" ref="CG126:CH126" ca="1" si="998">+CG123+CG124</f>
        <v>#NAME?</v>
      </c>
      <c r="CH126" s="162" t="e">
        <f t="shared" ca="1" si="998"/>
        <v>#NAME?</v>
      </c>
      <c r="CI126" s="162" t="e">
        <f t="shared" ref="CI126:CJ126" ca="1" si="999">+CI123+CI124</f>
        <v>#NAME?</v>
      </c>
      <c r="CJ126" s="162" t="e">
        <f t="shared" ca="1" si="999"/>
        <v>#NAME?</v>
      </c>
      <c r="CK126" s="162" t="e">
        <f t="shared" ref="CK126:CL126" ca="1" si="1000">+CK123+CK124</f>
        <v>#NAME?</v>
      </c>
      <c r="CL126" s="162" t="e">
        <f t="shared" ca="1" si="1000"/>
        <v>#NAME?</v>
      </c>
      <c r="CM126" s="21" t="e">
        <f t="shared" ref="CM126:DB126" ca="1" si="1001">+CM123+CM124</f>
        <v>#NAME?</v>
      </c>
      <c r="CN126" s="21" t="e">
        <f t="shared" ca="1" si="1001"/>
        <v>#NAME?</v>
      </c>
      <c r="CO126" s="21" t="e">
        <f t="shared" ca="1" si="1001"/>
        <v>#NAME?</v>
      </c>
      <c r="CP126" s="21" t="e">
        <f t="shared" ca="1" si="1001"/>
        <v>#NAME?</v>
      </c>
      <c r="CQ126" s="21" t="e">
        <f t="shared" ca="1" si="1001"/>
        <v>#NAME?</v>
      </c>
      <c r="CR126" s="21" t="e">
        <f t="shared" ca="1" si="1001"/>
        <v>#NAME?</v>
      </c>
      <c r="CS126" s="21" t="e">
        <f t="shared" ca="1" si="1001"/>
        <v>#NAME?</v>
      </c>
      <c r="CT126" s="21" t="e">
        <f t="shared" ca="1" si="1001"/>
        <v>#NAME?</v>
      </c>
      <c r="CU126" s="21" t="e">
        <f t="shared" ca="1" si="1001"/>
        <v>#NAME?</v>
      </c>
      <c r="CV126" s="21" t="e">
        <f t="shared" ca="1" si="1001"/>
        <v>#NAME?</v>
      </c>
      <c r="CW126" s="21" t="e">
        <f t="shared" ca="1" si="1001"/>
        <v>#NAME?</v>
      </c>
      <c r="CX126" s="21" t="e">
        <f t="shared" ca="1" si="1001"/>
        <v>#NAME?</v>
      </c>
      <c r="CY126" s="21" t="e">
        <f t="shared" ca="1" si="1001"/>
        <v>#NAME?</v>
      </c>
      <c r="CZ126" s="21" t="e">
        <f t="shared" ca="1" si="1001"/>
        <v>#NAME?</v>
      </c>
      <c r="DA126" s="21" t="e">
        <f t="shared" ca="1" si="1001"/>
        <v>#NAME?</v>
      </c>
      <c r="DB126" s="21" t="e">
        <f t="shared" ca="1" si="1001"/>
        <v>#NAME?</v>
      </c>
      <c r="DE126" s="22"/>
      <c r="DF126" s="162">
        <v>2423.3744318358572</v>
      </c>
    </row>
    <row r="127" spans="1:110" s="162" customFormat="1" x14ac:dyDescent="0.2">
      <c r="A127" s="49" t="s">
        <v>13</v>
      </c>
      <c r="B127" s="162" t="e">
        <f t="shared" ref="B127:AE127" ca="1" si="1002">+B43</f>
        <v>#NAME?</v>
      </c>
      <c r="C127" s="162" t="e">
        <f t="shared" ca="1" si="1002"/>
        <v>#NAME?</v>
      </c>
      <c r="D127" s="162" t="e">
        <f t="shared" ca="1" si="1002"/>
        <v>#NAME?</v>
      </c>
      <c r="E127" s="162" t="e">
        <f t="shared" ca="1" si="1002"/>
        <v>#NAME?</v>
      </c>
      <c r="F127" s="162" t="e">
        <f t="shared" ca="1" si="1002"/>
        <v>#NAME?</v>
      </c>
      <c r="G127" s="162" t="e">
        <f t="shared" ca="1" si="1002"/>
        <v>#NAME?</v>
      </c>
      <c r="H127" s="162" t="e">
        <f t="shared" ca="1" si="1002"/>
        <v>#NAME?</v>
      </c>
      <c r="I127" s="162" t="e">
        <f t="shared" ca="1" si="1002"/>
        <v>#NAME?</v>
      </c>
      <c r="J127" s="162" t="e">
        <f t="shared" ca="1" si="1002"/>
        <v>#NAME?</v>
      </c>
      <c r="K127" s="162" t="e">
        <f t="shared" ca="1" si="1002"/>
        <v>#NAME?</v>
      </c>
      <c r="L127" s="162" t="e">
        <f t="shared" ca="1" si="1002"/>
        <v>#NAME?</v>
      </c>
      <c r="M127" s="162" t="e">
        <f t="shared" ca="1" si="1002"/>
        <v>#NAME?</v>
      </c>
      <c r="N127" s="162" t="e">
        <f t="shared" ca="1" si="1002"/>
        <v>#NAME?</v>
      </c>
      <c r="O127" s="162" t="e">
        <f t="shared" ca="1" si="1002"/>
        <v>#NAME?</v>
      </c>
      <c r="P127" s="162" t="e">
        <f t="shared" ca="1" si="1002"/>
        <v>#NAME?</v>
      </c>
      <c r="Q127" s="162" t="e">
        <f t="shared" ca="1" si="1002"/>
        <v>#NAME?</v>
      </c>
      <c r="R127" s="162" t="e">
        <f t="shared" ca="1" si="1002"/>
        <v>#NAME?</v>
      </c>
      <c r="S127" s="162" t="e">
        <f t="shared" ca="1" si="1002"/>
        <v>#NAME?</v>
      </c>
      <c r="T127" s="162" t="e">
        <f t="shared" ca="1" si="1002"/>
        <v>#NAME?</v>
      </c>
      <c r="U127" s="162" t="e">
        <f t="shared" ca="1" si="1002"/>
        <v>#NAME?</v>
      </c>
      <c r="V127" s="162" t="e">
        <f t="shared" ca="1" si="1002"/>
        <v>#NAME?</v>
      </c>
      <c r="W127" s="162" t="e">
        <f t="shared" ca="1" si="1002"/>
        <v>#NAME?</v>
      </c>
      <c r="X127" s="162" t="e">
        <f t="shared" ca="1" si="1002"/>
        <v>#NAME?</v>
      </c>
      <c r="Y127" s="162" t="e">
        <f t="shared" ca="1" si="1002"/>
        <v>#NAME?</v>
      </c>
      <c r="Z127" s="162" t="e">
        <f t="shared" ca="1" si="1002"/>
        <v>#NAME?</v>
      </c>
      <c r="AA127" s="162" t="e">
        <f t="shared" ref="AA127" ca="1" si="1003">+AA43</f>
        <v>#NAME?</v>
      </c>
      <c r="AB127" s="21" t="e">
        <f t="shared" ca="1" si="1002"/>
        <v>#NAME?</v>
      </c>
      <c r="AC127" s="21" t="e">
        <f t="shared" ca="1" si="1002"/>
        <v>#NAME?</v>
      </c>
      <c r="AD127" s="21" t="e">
        <f t="shared" ca="1" si="1002"/>
        <v>#NAME?</v>
      </c>
      <c r="AE127" s="21" t="e">
        <f t="shared" ca="1" si="1002"/>
        <v>#NAME?</v>
      </c>
      <c r="AL127" s="162" t="e">
        <f t="shared" ref="AL127:BQ127" ca="1" si="1004">+SUM(AI43:AL43)</f>
        <v>#NAME?</v>
      </c>
      <c r="AM127" s="162" t="e">
        <f t="shared" ca="1" si="1004"/>
        <v>#NAME?</v>
      </c>
      <c r="AN127" s="162" t="e">
        <f t="shared" ca="1" si="1004"/>
        <v>#NAME?</v>
      </c>
      <c r="AO127" s="162" t="e">
        <f t="shared" ca="1" si="1004"/>
        <v>#NAME?</v>
      </c>
      <c r="AP127" s="162" t="e">
        <f t="shared" ca="1" si="1004"/>
        <v>#NAME?</v>
      </c>
      <c r="AQ127" s="162" t="e">
        <f t="shared" ca="1" si="1004"/>
        <v>#NAME?</v>
      </c>
      <c r="AR127" s="162" t="e">
        <f t="shared" ca="1" si="1004"/>
        <v>#NAME?</v>
      </c>
      <c r="AS127" s="162" t="e">
        <f t="shared" ca="1" si="1004"/>
        <v>#NAME?</v>
      </c>
      <c r="AT127" s="162" t="e">
        <f t="shared" ca="1" si="1004"/>
        <v>#NAME?</v>
      </c>
      <c r="AU127" s="162" t="e">
        <f t="shared" ca="1" si="1004"/>
        <v>#NAME?</v>
      </c>
      <c r="AV127" s="162" t="e">
        <f t="shared" ca="1" si="1004"/>
        <v>#NAME?</v>
      </c>
      <c r="AW127" s="162" t="e">
        <f t="shared" ca="1" si="1004"/>
        <v>#NAME?</v>
      </c>
      <c r="AX127" s="162" t="e">
        <f t="shared" ca="1" si="1004"/>
        <v>#NAME?</v>
      </c>
      <c r="AY127" s="162" t="e">
        <f t="shared" ca="1" si="1004"/>
        <v>#NAME?</v>
      </c>
      <c r="AZ127" s="162" t="e">
        <f t="shared" ca="1" si="1004"/>
        <v>#NAME?</v>
      </c>
      <c r="BA127" s="162" t="e">
        <f t="shared" ca="1" si="1004"/>
        <v>#NAME?</v>
      </c>
      <c r="BB127" s="162" t="e">
        <f t="shared" ca="1" si="1004"/>
        <v>#NAME?</v>
      </c>
      <c r="BC127" s="162" t="e">
        <f t="shared" ca="1" si="1004"/>
        <v>#NAME?</v>
      </c>
      <c r="BD127" s="162" t="e">
        <f t="shared" ca="1" si="1004"/>
        <v>#NAME?</v>
      </c>
      <c r="BE127" s="162" t="e">
        <f t="shared" ca="1" si="1004"/>
        <v>#NAME?</v>
      </c>
      <c r="BF127" s="162" t="e">
        <f t="shared" ca="1" si="1004"/>
        <v>#NAME?</v>
      </c>
      <c r="BG127" s="162" t="e">
        <f t="shared" ca="1" si="1004"/>
        <v>#NAME?</v>
      </c>
      <c r="BH127" s="162" t="e">
        <f t="shared" ca="1" si="1004"/>
        <v>#NAME?</v>
      </c>
      <c r="BI127" s="162" t="e">
        <f t="shared" ca="1" si="1004"/>
        <v>#NAME?</v>
      </c>
      <c r="BJ127" s="162" t="e">
        <f t="shared" ca="1" si="1004"/>
        <v>#NAME?</v>
      </c>
      <c r="BK127" s="162" t="e">
        <f t="shared" ca="1" si="1004"/>
        <v>#NAME?</v>
      </c>
      <c r="BL127" s="162" t="e">
        <f t="shared" ca="1" si="1004"/>
        <v>#NAME?</v>
      </c>
      <c r="BM127" s="162" t="e">
        <f t="shared" ca="1" si="1004"/>
        <v>#NAME?</v>
      </c>
      <c r="BN127" s="162" t="e">
        <f t="shared" ca="1" si="1004"/>
        <v>#NAME?</v>
      </c>
      <c r="BO127" s="162" t="e">
        <f t="shared" ca="1" si="1004"/>
        <v>#NAME?</v>
      </c>
      <c r="BP127" s="162" t="e">
        <f t="shared" ca="1" si="1004"/>
        <v>#NAME?</v>
      </c>
      <c r="BQ127" s="162" t="e">
        <f t="shared" ca="1" si="1004"/>
        <v>#NAME?</v>
      </c>
      <c r="BR127" s="162" t="e">
        <f t="shared" ref="BR127:CW127" ca="1" si="1005">+SUM(BO43:BR43)</f>
        <v>#NAME?</v>
      </c>
      <c r="BS127" s="162" t="e">
        <f t="shared" ca="1" si="1005"/>
        <v>#NAME?</v>
      </c>
      <c r="BT127" s="162" t="e">
        <f t="shared" ca="1" si="1005"/>
        <v>#NAME?</v>
      </c>
      <c r="BU127" s="162" t="e">
        <f t="shared" ca="1" si="1005"/>
        <v>#NAME?</v>
      </c>
      <c r="BV127" s="162" t="e">
        <f t="shared" ca="1" si="1005"/>
        <v>#NAME?</v>
      </c>
      <c r="BW127" s="162" t="e">
        <f t="shared" ca="1" si="1005"/>
        <v>#NAME?</v>
      </c>
      <c r="BX127" s="162" t="e">
        <f t="shared" ca="1" si="1005"/>
        <v>#NAME?</v>
      </c>
      <c r="BY127" s="162" t="e">
        <f t="shared" ca="1" si="1005"/>
        <v>#NAME?</v>
      </c>
      <c r="BZ127" s="162" t="e">
        <f t="shared" ca="1" si="1005"/>
        <v>#NAME?</v>
      </c>
      <c r="CA127" s="162" t="e">
        <f t="shared" ca="1" si="1005"/>
        <v>#NAME?</v>
      </c>
      <c r="CB127" s="162" t="e">
        <f t="shared" ca="1" si="1005"/>
        <v>#NAME?</v>
      </c>
      <c r="CC127" s="162" t="e">
        <f t="shared" ca="1" si="1005"/>
        <v>#NAME?</v>
      </c>
      <c r="CD127" s="162" t="e">
        <f t="shared" ca="1" si="1005"/>
        <v>#NAME?</v>
      </c>
      <c r="CE127" s="162" t="e">
        <f t="shared" ca="1" si="1005"/>
        <v>#NAME?</v>
      </c>
      <c r="CF127" s="162" t="e">
        <f t="shared" ca="1" si="1005"/>
        <v>#NAME?</v>
      </c>
      <c r="CG127" s="162" t="e">
        <f t="shared" ca="1" si="1005"/>
        <v>#NAME?</v>
      </c>
      <c r="CH127" s="162" t="e">
        <f t="shared" ca="1" si="1005"/>
        <v>#NAME?</v>
      </c>
      <c r="CI127" s="162" t="e">
        <f t="shared" ca="1" si="1005"/>
        <v>#NAME?</v>
      </c>
      <c r="CJ127" s="162" t="e">
        <f t="shared" ca="1" si="1005"/>
        <v>#NAME?</v>
      </c>
      <c r="CK127" s="162" t="e">
        <f t="shared" ca="1" si="1005"/>
        <v>#NAME?</v>
      </c>
      <c r="CL127" s="162" t="e">
        <f t="shared" ca="1" si="1005"/>
        <v>#NAME?</v>
      </c>
      <c r="CM127" s="21" t="e">
        <f t="shared" ca="1" si="1005"/>
        <v>#NAME?</v>
      </c>
      <c r="CN127" s="21" t="e">
        <f t="shared" ca="1" si="1005"/>
        <v>#NAME?</v>
      </c>
      <c r="CO127" s="21" t="e">
        <f t="shared" ca="1" si="1005"/>
        <v>#NAME?</v>
      </c>
      <c r="CP127" s="21" t="e">
        <f t="shared" ca="1" si="1005"/>
        <v>#NAME?</v>
      </c>
      <c r="CQ127" s="21" t="e">
        <f t="shared" ca="1" si="1005"/>
        <v>#NAME?</v>
      </c>
      <c r="CR127" s="21" t="e">
        <f t="shared" ca="1" si="1005"/>
        <v>#NAME?</v>
      </c>
      <c r="CS127" s="21" t="e">
        <f t="shared" ca="1" si="1005"/>
        <v>#NAME?</v>
      </c>
      <c r="CT127" s="21" t="e">
        <f t="shared" ca="1" si="1005"/>
        <v>#NAME?</v>
      </c>
      <c r="CU127" s="21" t="e">
        <f t="shared" ca="1" si="1005"/>
        <v>#NAME?</v>
      </c>
      <c r="CV127" s="21" t="e">
        <f t="shared" ca="1" si="1005"/>
        <v>#NAME?</v>
      </c>
      <c r="CW127" s="21" t="e">
        <f t="shared" ca="1" si="1005"/>
        <v>#NAME?</v>
      </c>
      <c r="CX127" s="21" t="e">
        <f t="shared" ref="CX127:DB127" ca="1" si="1006">+SUM(CU43:CX43)</f>
        <v>#NAME?</v>
      </c>
      <c r="CY127" s="21" t="e">
        <f t="shared" ca="1" si="1006"/>
        <v>#NAME?</v>
      </c>
      <c r="CZ127" s="21" t="e">
        <f t="shared" ca="1" si="1006"/>
        <v>#NAME?</v>
      </c>
      <c r="DA127" s="21" t="e">
        <f t="shared" ca="1" si="1006"/>
        <v>#NAME?</v>
      </c>
      <c r="DB127" s="21" t="e">
        <f t="shared" ca="1" si="1006"/>
        <v>#NAME?</v>
      </c>
      <c r="DE127" s="22"/>
      <c r="DF127" s="162">
        <v>47.89700000000002</v>
      </c>
    </row>
    <row r="128" spans="1:110" s="162" customFormat="1" x14ac:dyDescent="0.2">
      <c r="A128" s="49" t="s">
        <v>343</v>
      </c>
      <c r="B128" s="162" t="e">
        <f ca="1">+B125/B127</f>
        <v>#NAME?</v>
      </c>
      <c r="C128" s="162" t="e">
        <f t="shared" ref="C128:W128" ca="1" si="1007">+C125/C127</f>
        <v>#NAME?</v>
      </c>
      <c r="D128" s="162" t="e">
        <f t="shared" ca="1" si="1007"/>
        <v>#NAME?</v>
      </c>
      <c r="E128" s="162">
        <f t="shared" ca="1" si="1007"/>
        <v>5.1773853656619293</v>
      </c>
      <c r="F128" s="162">
        <f t="shared" ca="1" si="1007"/>
        <v>30.097656755220488</v>
      </c>
      <c r="G128" s="162">
        <f t="shared" ca="1" si="1007"/>
        <v>38.298879433078909</v>
      </c>
      <c r="H128" s="162">
        <f t="shared" ca="1" si="1007"/>
        <v>8.1477951272110669</v>
      </c>
      <c r="I128" s="162">
        <f t="shared" ca="1" si="1007"/>
        <v>8.0184974756447573</v>
      </c>
      <c r="J128" s="162">
        <f t="shared" ca="1" si="1007"/>
        <v>7.5042024945307304</v>
      </c>
      <c r="K128" s="162">
        <f t="shared" ca="1" si="1007"/>
        <v>13.447635800708655</v>
      </c>
      <c r="L128" s="162">
        <f t="shared" ca="1" si="1007"/>
        <v>8.1481160083903816</v>
      </c>
      <c r="M128" s="162">
        <f t="shared" ca="1" si="1007"/>
        <v>5.388826829322575</v>
      </c>
      <c r="N128" s="162">
        <f t="shared" ca="1" si="1007"/>
        <v>3.5233438754811242</v>
      </c>
      <c r="O128" s="162">
        <f t="shared" ca="1" si="1007"/>
        <v>22.518238959850304</v>
      </c>
      <c r="P128" s="162">
        <f t="shared" ca="1" si="1007"/>
        <v>21.821653761064226</v>
      </c>
      <c r="Q128" s="162">
        <f t="shared" ca="1" si="1007"/>
        <v>20.376748825467171</v>
      </c>
      <c r="R128" s="162">
        <f t="shared" ca="1" si="1007"/>
        <v>23.501745016575811</v>
      </c>
      <c r="S128" s="162">
        <f t="shared" ca="1" si="1007"/>
        <v>22.789047087068766</v>
      </c>
      <c r="T128" s="162">
        <f t="shared" ca="1" si="1007"/>
        <v>17.775116970129222</v>
      </c>
      <c r="U128" s="162">
        <f t="shared" ca="1" si="1007"/>
        <v>8.7878101971439424</v>
      </c>
      <c r="V128" s="162">
        <f t="shared" ca="1" si="1007"/>
        <v>7.1506511581013896</v>
      </c>
      <c r="W128" s="162">
        <f t="shared" ca="1" si="1007"/>
        <v>17.178733671835673</v>
      </c>
      <c r="X128" s="162">
        <f t="shared" ref="X128:Y128" ca="1" si="1008">+X125/X127</f>
        <v>17.611251467307664</v>
      </c>
      <c r="Y128" s="162">
        <f t="shared" ca="1" si="1008"/>
        <v>43.195638859811872</v>
      </c>
      <c r="Z128" s="162">
        <f t="shared" ref="Z128:AA128" ca="1" si="1009">+Z125/Z127</f>
        <v>61.235617322928626</v>
      </c>
      <c r="AA128" s="162">
        <f t="shared" ca="1" si="1009"/>
        <v>61.235617322928626</v>
      </c>
      <c r="AB128" s="21">
        <f t="shared" ref="AA128:AD128" ca="1" si="1010">+AB125/AB127</f>
        <v>84.364838360435542</v>
      </c>
      <c r="AC128" s="21">
        <f t="shared" ca="1" si="1010"/>
        <v>106.19966943327856</v>
      </c>
      <c r="AD128" s="21">
        <f t="shared" ca="1" si="1010"/>
        <v>122.02409218719045</v>
      </c>
      <c r="AE128" s="21">
        <f t="shared" ref="AE128" ca="1" si="1011">+AE125/AE127</f>
        <v>133.62925004810438</v>
      </c>
      <c r="AL128" s="162" t="e">
        <f t="shared" ref="AL128" ca="1" si="1012">+AL125/AL127</f>
        <v>#NAME?</v>
      </c>
      <c r="AM128" s="162" t="e">
        <f t="shared" ref="AM128:AO128" ca="1" si="1013">+AM125/AM127</f>
        <v>#NAME?</v>
      </c>
      <c r="AN128" s="162" t="e">
        <f t="shared" ca="1" si="1013"/>
        <v>#NAME?</v>
      </c>
      <c r="AO128" s="162" t="e">
        <f t="shared" ca="1" si="1013"/>
        <v>#NAME?</v>
      </c>
      <c r="AP128" s="162" t="e">
        <f t="shared" ref="AP128:CD128" ca="1" si="1014">+AP125/AP127</f>
        <v>#NAME?</v>
      </c>
      <c r="AQ128" s="162" t="e">
        <f t="shared" ca="1" si="1014"/>
        <v>#NAME?</v>
      </c>
      <c r="AR128" s="162" t="e">
        <f t="shared" ca="1" si="1014"/>
        <v>#NAME?</v>
      </c>
      <c r="AS128" s="162" t="e">
        <f t="shared" ca="1" si="1014"/>
        <v>#NAME?</v>
      </c>
      <c r="AT128" s="162" t="e">
        <f t="shared" ca="1" si="1014"/>
        <v>#NAME?</v>
      </c>
      <c r="AU128" s="162" t="e">
        <f t="shared" ca="1" si="1014"/>
        <v>#NAME?</v>
      </c>
      <c r="AV128" s="162" t="e">
        <f t="shared" ca="1" si="1014"/>
        <v>#NAME?</v>
      </c>
      <c r="AW128" s="162" t="e">
        <f t="shared" ca="1" si="1014"/>
        <v>#NAME?</v>
      </c>
      <c r="AX128" s="162" t="e">
        <f t="shared" ca="1" si="1014"/>
        <v>#NAME?</v>
      </c>
      <c r="AY128" s="162" t="e">
        <f t="shared" ca="1" si="1014"/>
        <v>#NAME?</v>
      </c>
      <c r="AZ128" s="162" t="e">
        <f t="shared" ca="1" si="1014"/>
        <v>#NAME?</v>
      </c>
      <c r="BA128" s="162" t="e">
        <f t="shared" ca="1" si="1014"/>
        <v>#NAME?</v>
      </c>
      <c r="BB128" s="162" t="e">
        <f t="shared" ca="1" si="1014"/>
        <v>#NAME?</v>
      </c>
      <c r="BC128" s="162" t="e">
        <f t="shared" ca="1" si="1014"/>
        <v>#NAME?</v>
      </c>
      <c r="BD128" s="162" t="e">
        <f t="shared" ca="1" si="1014"/>
        <v>#NAME?</v>
      </c>
      <c r="BE128" s="162" t="e">
        <f t="shared" ca="1" si="1014"/>
        <v>#NAME?</v>
      </c>
      <c r="BF128" s="162" t="e">
        <f t="shared" ca="1" si="1014"/>
        <v>#NAME?</v>
      </c>
      <c r="BG128" s="162" t="e">
        <f t="shared" ca="1" si="1014"/>
        <v>#NAME?</v>
      </c>
      <c r="BH128" s="162" t="e">
        <f t="shared" ca="1" si="1014"/>
        <v>#NAME?</v>
      </c>
      <c r="BI128" s="162" t="e">
        <f t="shared" ca="1" si="1014"/>
        <v>#NAME?</v>
      </c>
      <c r="BJ128" s="162" t="e">
        <f t="shared" ca="1" si="1014"/>
        <v>#NAME?</v>
      </c>
      <c r="BK128" s="162" t="e">
        <f t="shared" ca="1" si="1014"/>
        <v>#NAME?</v>
      </c>
      <c r="BL128" s="162" t="e">
        <f t="shared" ca="1" si="1014"/>
        <v>#NAME?</v>
      </c>
      <c r="BM128" s="162" t="e">
        <f t="shared" ca="1" si="1014"/>
        <v>#NAME?</v>
      </c>
      <c r="BN128" s="162" t="e">
        <f t="shared" ca="1" si="1014"/>
        <v>#NAME?</v>
      </c>
      <c r="BO128" s="162" t="e">
        <f t="shared" ca="1" si="1014"/>
        <v>#NAME?</v>
      </c>
      <c r="BP128" s="162" t="e">
        <f t="shared" ca="1" si="1014"/>
        <v>#NAME?</v>
      </c>
      <c r="BQ128" s="162" t="e">
        <f t="shared" ca="1" si="1014"/>
        <v>#NAME?</v>
      </c>
      <c r="BR128" s="162" t="e">
        <f t="shared" ca="1" si="1014"/>
        <v>#NAME?</v>
      </c>
      <c r="BS128" s="162" t="e">
        <f t="shared" ca="1" si="1014"/>
        <v>#NAME?</v>
      </c>
      <c r="BT128" s="162" t="e">
        <f t="shared" ca="1" si="1014"/>
        <v>#NAME?</v>
      </c>
      <c r="BU128" s="162" t="e">
        <f t="shared" ca="1" si="1014"/>
        <v>#NAME?</v>
      </c>
      <c r="BV128" s="162" t="e">
        <f t="shared" ca="1" si="1014"/>
        <v>#NAME?</v>
      </c>
      <c r="BW128" s="162" t="e">
        <f t="shared" ca="1" si="1014"/>
        <v>#NAME?</v>
      </c>
      <c r="BX128" s="162" t="e">
        <f t="shared" ca="1" si="1014"/>
        <v>#NAME?</v>
      </c>
      <c r="BY128" s="162" t="e">
        <f t="shared" ca="1" si="1014"/>
        <v>#NAME?</v>
      </c>
      <c r="BZ128" s="162" t="e">
        <f t="shared" ca="1" si="1014"/>
        <v>#NAME?</v>
      </c>
      <c r="CA128" s="162" t="e">
        <f t="shared" ca="1" si="1014"/>
        <v>#NAME?</v>
      </c>
      <c r="CB128" s="162" t="e">
        <f t="shared" ca="1" si="1014"/>
        <v>#NAME?</v>
      </c>
      <c r="CC128" s="162" t="e">
        <f t="shared" ca="1" si="1014"/>
        <v>#NAME?</v>
      </c>
      <c r="CD128" s="162" t="e">
        <f t="shared" ca="1" si="1014"/>
        <v>#NAME?</v>
      </c>
      <c r="CE128" s="162" t="e">
        <f t="shared" ref="CE128:CF128" ca="1" si="1015">+CE125/CE127</f>
        <v>#NAME?</v>
      </c>
      <c r="CF128" s="162" t="e">
        <f t="shared" ca="1" si="1015"/>
        <v>#NAME?</v>
      </c>
      <c r="CG128" s="162" t="e">
        <f t="shared" ref="CG128:CH128" ca="1" si="1016">+CG125/CG127</f>
        <v>#NAME?</v>
      </c>
      <c r="CH128" s="162" t="e">
        <f t="shared" ca="1" si="1016"/>
        <v>#NAME?</v>
      </c>
      <c r="CI128" s="162" t="e">
        <f t="shared" ref="CI128:CJ128" ca="1" si="1017">+CI125/CI127</f>
        <v>#NAME?</v>
      </c>
      <c r="CJ128" s="162" t="e">
        <f t="shared" ca="1" si="1017"/>
        <v>#NAME?</v>
      </c>
      <c r="CK128" s="162" t="e">
        <f t="shared" ref="CK128:CL128" ca="1" si="1018">+CK125/CK127</f>
        <v>#NAME?</v>
      </c>
      <c r="CL128" s="162" t="e">
        <f t="shared" ca="1" si="1018"/>
        <v>#NAME?</v>
      </c>
      <c r="CM128" s="21" t="e">
        <f t="shared" ref="CM128:DB128" ca="1" si="1019">+CM125/CM127</f>
        <v>#NAME?</v>
      </c>
      <c r="CN128" s="21" t="e">
        <f t="shared" ca="1" si="1019"/>
        <v>#NAME?</v>
      </c>
      <c r="CO128" s="21" t="e">
        <f t="shared" ca="1" si="1019"/>
        <v>#NAME?</v>
      </c>
      <c r="CP128" s="21" t="e">
        <f t="shared" ca="1" si="1019"/>
        <v>#NAME?</v>
      </c>
      <c r="CQ128" s="21" t="e">
        <f t="shared" ca="1" si="1019"/>
        <v>#NAME?</v>
      </c>
      <c r="CR128" s="21" t="e">
        <f t="shared" ca="1" si="1019"/>
        <v>#NAME?</v>
      </c>
      <c r="CS128" s="21" t="e">
        <f t="shared" ca="1" si="1019"/>
        <v>#NAME?</v>
      </c>
      <c r="CT128" s="21" t="e">
        <f t="shared" ca="1" si="1019"/>
        <v>#NAME?</v>
      </c>
      <c r="CU128" s="21" t="e">
        <f t="shared" ca="1" si="1019"/>
        <v>#NAME?</v>
      </c>
      <c r="CV128" s="21" t="e">
        <f t="shared" ca="1" si="1019"/>
        <v>#NAME?</v>
      </c>
      <c r="CW128" s="21" t="e">
        <f t="shared" ca="1" si="1019"/>
        <v>#NAME?</v>
      </c>
      <c r="CX128" s="21" t="e">
        <f t="shared" ca="1" si="1019"/>
        <v>#NAME?</v>
      </c>
      <c r="CY128" s="21" t="e">
        <f t="shared" ca="1" si="1019"/>
        <v>#NAME?</v>
      </c>
      <c r="CZ128" s="21" t="e">
        <f t="shared" ca="1" si="1019"/>
        <v>#NAME?</v>
      </c>
      <c r="DA128" s="21" t="e">
        <f t="shared" ca="1" si="1019"/>
        <v>#NAME?</v>
      </c>
      <c r="DB128" s="21" t="e">
        <f t="shared" ca="1" si="1019"/>
        <v>#NAME?</v>
      </c>
      <c r="DE128" s="22"/>
      <c r="DF128" s="162">
        <v>119.75896193916107</v>
      </c>
    </row>
    <row r="129" spans="1:110" s="162" customFormat="1" x14ac:dyDescent="0.2">
      <c r="A129" s="49" t="s">
        <v>344</v>
      </c>
      <c r="B129" s="162" t="e">
        <f ca="1">+B126/B127</f>
        <v>#NAME?</v>
      </c>
      <c r="C129" s="162" t="e">
        <f t="shared" ref="C129:W129" ca="1" si="1020">+C126/C127</f>
        <v>#NAME?</v>
      </c>
      <c r="D129" s="162" t="e">
        <f t="shared" ca="1" si="1020"/>
        <v>#NAME?</v>
      </c>
      <c r="E129" s="162">
        <f t="shared" ca="1" si="1020"/>
        <v>1.7975422161404959</v>
      </c>
      <c r="F129" s="162">
        <f t="shared" ca="1" si="1020"/>
        <v>3.4910546428451537</v>
      </c>
      <c r="G129" s="162">
        <f t="shared" ca="1" si="1020"/>
        <v>10.451330135634185</v>
      </c>
      <c r="H129" s="162">
        <f t="shared" ca="1" si="1020"/>
        <v>2.7813336082000535</v>
      </c>
      <c r="I129" s="162">
        <f t="shared" ca="1" si="1020"/>
        <v>1.7868819333764809</v>
      </c>
      <c r="J129" s="162">
        <f t="shared" ca="1" si="1020"/>
        <v>1.6378383688574645</v>
      </c>
      <c r="K129" s="162">
        <f t="shared" ca="1" si="1020"/>
        <v>5.6759106646317425</v>
      </c>
      <c r="L129" s="162">
        <f t="shared" ca="1" si="1020"/>
        <v>4.1298933283006978</v>
      </c>
      <c r="M129" s="162">
        <f t="shared" ca="1" si="1020"/>
        <v>3.5290264530845481</v>
      </c>
      <c r="N129" s="162">
        <f t="shared" ca="1" si="1020"/>
        <v>2.2965538184183756</v>
      </c>
      <c r="O129" s="162">
        <f t="shared" ca="1" si="1020"/>
        <v>14.93938375275229</v>
      </c>
      <c r="P129" s="162">
        <f t="shared" ca="1" si="1020"/>
        <v>6.722273520939761</v>
      </c>
      <c r="Q129" s="162">
        <f t="shared" ca="1" si="1020"/>
        <v>10.328409430404365</v>
      </c>
      <c r="R129" s="162">
        <f t="shared" ca="1" si="1020"/>
        <v>13.909175553919306</v>
      </c>
      <c r="S129" s="162">
        <f t="shared" ca="1" si="1020"/>
        <v>5.8332452817374589</v>
      </c>
      <c r="T129" s="162">
        <f t="shared" ca="1" si="1020"/>
        <v>4.5884089699312804</v>
      </c>
      <c r="U129" s="162">
        <f t="shared" ca="1" si="1020"/>
        <v>3.3154705656620487</v>
      </c>
      <c r="V129" s="162">
        <f t="shared" ca="1" si="1020"/>
        <v>1.1176554362483446</v>
      </c>
      <c r="W129" s="162">
        <f t="shared" ca="1" si="1020"/>
        <v>6.2939739983156917</v>
      </c>
      <c r="X129" s="162">
        <f t="shared" ref="X129:Y129" ca="1" si="1021">+X126/X127</f>
        <v>9.0866479084205967</v>
      </c>
      <c r="Y129" s="162">
        <f t="shared" ca="1" si="1021"/>
        <v>8.4117860123277222</v>
      </c>
      <c r="Z129" s="162">
        <f t="shared" ref="Z129:AA129" ca="1" si="1022">+Z126/Z127</f>
        <v>27.182227642743548</v>
      </c>
      <c r="AA129" s="162">
        <f t="shared" ca="1" si="1022"/>
        <v>27.182227642743548</v>
      </c>
      <c r="AB129" s="21">
        <f t="shared" ref="AA129:AD129" ca="1" si="1023">+AB126/AB127</f>
        <v>53.71893151714584</v>
      </c>
      <c r="AC129" s="21">
        <f t="shared" ca="1" si="1023"/>
        <v>56.641998709291009</v>
      </c>
      <c r="AD129" s="21">
        <f t="shared" ca="1" si="1023"/>
        <v>68.998033528836046</v>
      </c>
      <c r="AE129" s="21">
        <f t="shared" ref="AE129" ca="1" si="1024">+AE126/AE127</f>
        <v>78.114204806220343</v>
      </c>
      <c r="AL129" s="162" t="e">
        <f t="shared" ref="AL129:AM129" ca="1" si="1025">+AL126/AL127</f>
        <v>#NAME?</v>
      </c>
      <c r="AM129" s="162" t="e">
        <f t="shared" ca="1" si="1025"/>
        <v>#NAME?</v>
      </c>
      <c r="AN129" s="162" t="e">
        <f t="shared" ref="AN129:AO129" ca="1" si="1026">+AN126/AN127</f>
        <v>#NAME?</v>
      </c>
      <c r="AO129" s="162" t="e">
        <f t="shared" ca="1" si="1026"/>
        <v>#NAME?</v>
      </c>
      <c r="AP129" s="162" t="e">
        <f t="shared" ref="AP129:CD129" ca="1" si="1027">+AP126/AP127</f>
        <v>#NAME?</v>
      </c>
      <c r="AQ129" s="162" t="e">
        <f t="shared" ca="1" si="1027"/>
        <v>#NAME?</v>
      </c>
      <c r="AR129" s="162" t="e">
        <f t="shared" ca="1" si="1027"/>
        <v>#NAME?</v>
      </c>
      <c r="AS129" s="162" t="e">
        <f t="shared" ca="1" si="1027"/>
        <v>#NAME?</v>
      </c>
      <c r="AT129" s="162" t="e">
        <f t="shared" ca="1" si="1027"/>
        <v>#NAME?</v>
      </c>
      <c r="AU129" s="162" t="e">
        <f t="shared" ca="1" si="1027"/>
        <v>#NAME?</v>
      </c>
      <c r="AV129" s="162" t="e">
        <f t="shared" ca="1" si="1027"/>
        <v>#NAME?</v>
      </c>
      <c r="AW129" s="162" t="e">
        <f t="shared" ca="1" si="1027"/>
        <v>#NAME?</v>
      </c>
      <c r="AX129" s="162" t="e">
        <f t="shared" ca="1" si="1027"/>
        <v>#NAME?</v>
      </c>
      <c r="AY129" s="162" t="e">
        <f t="shared" ca="1" si="1027"/>
        <v>#NAME?</v>
      </c>
      <c r="AZ129" s="162" t="e">
        <f t="shared" ca="1" si="1027"/>
        <v>#NAME?</v>
      </c>
      <c r="BA129" s="162" t="e">
        <f t="shared" ca="1" si="1027"/>
        <v>#NAME?</v>
      </c>
      <c r="BB129" s="162" t="e">
        <f t="shared" ca="1" si="1027"/>
        <v>#NAME?</v>
      </c>
      <c r="BC129" s="162" t="e">
        <f t="shared" ca="1" si="1027"/>
        <v>#NAME?</v>
      </c>
      <c r="BD129" s="162" t="e">
        <f t="shared" ca="1" si="1027"/>
        <v>#NAME?</v>
      </c>
      <c r="BE129" s="162" t="e">
        <f t="shared" ca="1" si="1027"/>
        <v>#NAME?</v>
      </c>
      <c r="BF129" s="162" t="e">
        <f t="shared" ca="1" si="1027"/>
        <v>#NAME?</v>
      </c>
      <c r="BG129" s="162" t="e">
        <f t="shared" ca="1" si="1027"/>
        <v>#NAME?</v>
      </c>
      <c r="BH129" s="162" t="e">
        <f t="shared" ca="1" si="1027"/>
        <v>#NAME?</v>
      </c>
      <c r="BI129" s="162" t="e">
        <f t="shared" ca="1" si="1027"/>
        <v>#NAME?</v>
      </c>
      <c r="BJ129" s="162" t="e">
        <f t="shared" ca="1" si="1027"/>
        <v>#NAME?</v>
      </c>
      <c r="BK129" s="162" t="e">
        <f t="shared" ca="1" si="1027"/>
        <v>#NAME?</v>
      </c>
      <c r="BL129" s="162" t="e">
        <f t="shared" ca="1" si="1027"/>
        <v>#NAME?</v>
      </c>
      <c r="BM129" s="162" t="e">
        <f t="shared" ca="1" si="1027"/>
        <v>#NAME?</v>
      </c>
      <c r="BN129" s="162" t="e">
        <f t="shared" ca="1" si="1027"/>
        <v>#NAME?</v>
      </c>
      <c r="BO129" s="162" t="e">
        <f t="shared" ca="1" si="1027"/>
        <v>#NAME?</v>
      </c>
      <c r="BP129" s="162" t="e">
        <f t="shared" ca="1" si="1027"/>
        <v>#NAME?</v>
      </c>
      <c r="BQ129" s="162" t="e">
        <f t="shared" ca="1" si="1027"/>
        <v>#NAME?</v>
      </c>
      <c r="BR129" s="162" t="e">
        <f t="shared" ca="1" si="1027"/>
        <v>#NAME?</v>
      </c>
      <c r="BS129" s="162" t="e">
        <f t="shared" ca="1" si="1027"/>
        <v>#NAME?</v>
      </c>
      <c r="BT129" s="162" t="e">
        <f t="shared" ca="1" si="1027"/>
        <v>#NAME?</v>
      </c>
      <c r="BU129" s="162" t="e">
        <f t="shared" ca="1" si="1027"/>
        <v>#NAME?</v>
      </c>
      <c r="BV129" s="162" t="e">
        <f t="shared" ca="1" si="1027"/>
        <v>#NAME?</v>
      </c>
      <c r="BW129" s="162" t="e">
        <f t="shared" ca="1" si="1027"/>
        <v>#NAME?</v>
      </c>
      <c r="BX129" s="162" t="e">
        <f t="shared" ca="1" si="1027"/>
        <v>#NAME?</v>
      </c>
      <c r="BY129" s="162" t="e">
        <f t="shared" ca="1" si="1027"/>
        <v>#NAME?</v>
      </c>
      <c r="BZ129" s="162" t="e">
        <f t="shared" ca="1" si="1027"/>
        <v>#NAME?</v>
      </c>
      <c r="CA129" s="162" t="e">
        <f t="shared" ca="1" si="1027"/>
        <v>#NAME?</v>
      </c>
      <c r="CB129" s="162" t="e">
        <f t="shared" ca="1" si="1027"/>
        <v>#NAME?</v>
      </c>
      <c r="CC129" s="162" t="e">
        <f t="shared" ca="1" si="1027"/>
        <v>#NAME?</v>
      </c>
      <c r="CD129" s="162" t="e">
        <f t="shared" ca="1" si="1027"/>
        <v>#NAME?</v>
      </c>
      <c r="CE129" s="162" t="e">
        <f t="shared" ref="CE129:CF129" ca="1" si="1028">+CE126/CE127</f>
        <v>#NAME?</v>
      </c>
      <c r="CF129" s="162" t="e">
        <f t="shared" ca="1" si="1028"/>
        <v>#NAME?</v>
      </c>
      <c r="CG129" s="162" t="e">
        <f t="shared" ref="CG129:CH129" ca="1" si="1029">+CG126/CG127</f>
        <v>#NAME?</v>
      </c>
      <c r="CH129" s="162" t="e">
        <f t="shared" ca="1" si="1029"/>
        <v>#NAME?</v>
      </c>
      <c r="CI129" s="162" t="e">
        <f t="shared" ref="CI129:CJ129" ca="1" si="1030">+CI126/CI127</f>
        <v>#NAME?</v>
      </c>
      <c r="CJ129" s="162" t="e">
        <f t="shared" ca="1" si="1030"/>
        <v>#NAME?</v>
      </c>
      <c r="CK129" s="162" t="e">
        <f t="shared" ref="CK129:CL129" ca="1" si="1031">+CK126/CK127</f>
        <v>#NAME?</v>
      </c>
      <c r="CL129" s="162" t="e">
        <f t="shared" ca="1" si="1031"/>
        <v>#NAME?</v>
      </c>
      <c r="CM129" s="21" t="e">
        <f t="shared" ref="CM129:DB129" ca="1" si="1032">+CM126/CM127</f>
        <v>#NAME?</v>
      </c>
      <c r="CN129" s="21" t="e">
        <f t="shared" ca="1" si="1032"/>
        <v>#NAME?</v>
      </c>
      <c r="CO129" s="21" t="e">
        <f t="shared" ca="1" si="1032"/>
        <v>#NAME?</v>
      </c>
      <c r="CP129" s="21" t="e">
        <f t="shared" ca="1" si="1032"/>
        <v>#NAME?</v>
      </c>
      <c r="CQ129" s="21" t="e">
        <f t="shared" ca="1" si="1032"/>
        <v>#NAME?</v>
      </c>
      <c r="CR129" s="21" t="e">
        <f t="shared" ca="1" si="1032"/>
        <v>#NAME?</v>
      </c>
      <c r="CS129" s="21" t="e">
        <f t="shared" ca="1" si="1032"/>
        <v>#NAME?</v>
      </c>
      <c r="CT129" s="21" t="e">
        <f t="shared" ca="1" si="1032"/>
        <v>#NAME?</v>
      </c>
      <c r="CU129" s="21" t="e">
        <f t="shared" ca="1" si="1032"/>
        <v>#NAME?</v>
      </c>
      <c r="CV129" s="21" t="e">
        <f t="shared" ca="1" si="1032"/>
        <v>#NAME?</v>
      </c>
      <c r="CW129" s="21" t="e">
        <f t="shared" ca="1" si="1032"/>
        <v>#NAME?</v>
      </c>
      <c r="CX129" s="21" t="e">
        <f t="shared" ca="1" si="1032"/>
        <v>#NAME?</v>
      </c>
      <c r="CY129" s="21" t="e">
        <f t="shared" ca="1" si="1032"/>
        <v>#NAME?</v>
      </c>
      <c r="CZ129" s="21" t="e">
        <f t="shared" ca="1" si="1032"/>
        <v>#NAME?</v>
      </c>
      <c r="DA129" s="21" t="e">
        <f t="shared" ca="1" si="1032"/>
        <v>#NAME?</v>
      </c>
      <c r="DB129" s="21" t="e">
        <f t="shared" ca="1" si="1032"/>
        <v>#NAME?</v>
      </c>
      <c r="DE129" s="22"/>
      <c r="DF129" s="162">
        <v>50.595536919553545</v>
      </c>
    </row>
    <row r="130" spans="1:110" s="10" customFormat="1" x14ac:dyDescent="0.2">
      <c r="A130" s="149" t="s">
        <v>490</v>
      </c>
      <c r="AB130" s="20"/>
      <c r="AC130" s="20"/>
      <c r="AD130" s="20"/>
      <c r="AE130" s="20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E130" s="126"/>
    </row>
    <row r="131" spans="1:110" x14ac:dyDescent="0.2">
      <c r="A131" s="152" t="s">
        <v>491</v>
      </c>
      <c r="AA131" s="2"/>
      <c r="CL131" s="2"/>
    </row>
    <row r="132" spans="1:110" s="23" customFormat="1" outlineLevel="1" x14ac:dyDescent="0.2">
      <c r="A132" s="23" t="s">
        <v>41</v>
      </c>
      <c r="B132" s="23" t="e">
        <f ca="1">'Annual Raw'!C41</f>
        <v>#NAME?</v>
      </c>
      <c r="C132" s="23" t="e">
        <f ca="1">'Annual Raw'!D41</f>
        <v>#NAME?</v>
      </c>
      <c r="D132" s="23" t="e">
        <f ca="1">'Annual Raw'!E41</f>
        <v>#NAME?</v>
      </c>
      <c r="E132" s="23" t="e">
        <f ca="1">'Annual Raw'!F41</f>
        <v>#NAME?</v>
      </c>
      <c r="F132" s="23" t="e">
        <f ca="1">'Annual Raw'!G41</f>
        <v>#NAME?</v>
      </c>
      <c r="G132" s="23" t="e">
        <f ca="1">'Annual Raw'!H41</f>
        <v>#NAME?</v>
      </c>
      <c r="H132" s="23" t="e">
        <f ca="1">'Annual Raw'!I41</f>
        <v>#NAME?</v>
      </c>
      <c r="I132" s="23" t="e">
        <f ca="1">'Annual Raw'!J41</f>
        <v>#NAME?</v>
      </c>
      <c r="J132" s="23" t="e">
        <f ca="1">'Annual Raw'!K41</f>
        <v>#NAME?</v>
      </c>
      <c r="K132" s="23" t="e">
        <f ca="1">'Annual Raw'!L41</f>
        <v>#NAME?</v>
      </c>
      <c r="L132" s="23" t="e">
        <f ca="1">'Annual Raw'!M41</f>
        <v>#NAME?</v>
      </c>
      <c r="M132" s="23" t="e">
        <f ca="1">'Annual Raw'!N41</f>
        <v>#NAME?</v>
      </c>
      <c r="N132" s="23" t="e">
        <f ca="1">'Annual Raw'!O41</f>
        <v>#NAME?</v>
      </c>
      <c r="O132" s="23" t="e">
        <f ca="1">'Annual Raw'!P41</f>
        <v>#NAME?</v>
      </c>
      <c r="P132" s="23" t="e">
        <f ca="1">'Annual Raw'!Q41</f>
        <v>#NAME?</v>
      </c>
      <c r="Q132" s="23" t="e">
        <f ca="1">'Annual Raw'!R41</f>
        <v>#NAME?</v>
      </c>
      <c r="R132" s="23" t="e">
        <f ca="1">'Annual Raw'!S41</f>
        <v>#NAME?</v>
      </c>
      <c r="S132" s="23" t="e">
        <f ca="1">'Annual Raw'!T41</f>
        <v>#NAME?</v>
      </c>
      <c r="T132" s="23" t="e">
        <f ca="1">'Annual Raw'!U41</f>
        <v>#NAME?</v>
      </c>
      <c r="U132" s="23" t="e">
        <f ca="1">'Annual Raw'!V41</f>
        <v>#NAME?</v>
      </c>
      <c r="V132" s="23" t="e">
        <f ca="1">'Annual Raw'!W41</f>
        <v>#NAME?</v>
      </c>
      <c r="W132" s="23" t="e">
        <f ca="1">'Annual Raw'!X41</f>
        <v>#NAME?</v>
      </c>
      <c r="X132" s="23" t="e">
        <f ca="1">'Annual Raw'!Y41</f>
        <v>#NAME?</v>
      </c>
      <c r="Y132" s="23" t="e">
        <f ca="1">'Annual Raw'!Z41</f>
        <v>#NAME?</v>
      </c>
      <c r="Z132" s="23" t="e">
        <f ca="1">'Annual Raw'!AA41</f>
        <v>#NAME?</v>
      </c>
      <c r="AA132" s="23" t="e">
        <f ca="1">'Annual Raw'!AB41</f>
        <v>#NAME?</v>
      </c>
      <c r="AB132" s="24" t="e">
        <f ca="1">+CP132</f>
        <v>#NAME?</v>
      </c>
      <c r="AC132" s="24" t="e">
        <f ca="1">+CT132</f>
        <v>#NAME?</v>
      </c>
      <c r="AD132" s="24" t="e">
        <f ca="1">+CX132</f>
        <v>#NAME?</v>
      </c>
      <c r="AE132" s="24" t="e">
        <f ca="1">+DB132</f>
        <v>#NAME?</v>
      </c>
      <c r="AJ132" s="23" t="e">
        <f ca="1">+'QTR Raw'!D56</f>
        <v>#NAME?</v>
      </c>
      <c r="AK132" s="23" t="e">
        <f t="shared" ref="AK132:CE132" ca="1" si="1033">+AJ132</f>
        <v>#NAME?</v>
      </c>
      <c r="AL132" s="23" t="e">
        <f ca="1">+'QTR Raw'!F56</f>
        <v>#NAME?</v>
      </c>
      <c r="AM132" s="23" t="e">
        <f t="shared" ca="1" si="1033"/>
        <v>#NAME?</v>
      </c>
      <c r="AN132" s="23" t="e">
        <f ca="1">+'QTR Raw'!H56</f>
        <v>#NAME?</v>
      </c>
      <c r="AO132" s="23" t="e">
        <f t="shared" ca="1" si="1033"/>
        <v>#NAME?</v>
      </c>
      <c r="AP132" s="23" t="e">
        <f ca="1">+'QTR Raw'!J56</f>
        <v>#NAME?</v>
      </c>
      <c r="AQ132" s="23" t="e">
        <f t="shared" ca="1" si="1033"/>
        <v>#NAME?</v>
      </c>
      <c r="AR132" s="23" t="e">
        <f ca="1">+'QTR Raw'!L56</f>
        <v>#NAME?</v>
      </c>
      <c r="AS132" s="23" t="e">
        <f t="shared" ca="1" si="1033"/>
        <v>#NAME?</v>
      </c>
      <c r="AT132" s="23" t="e">
        <f ca="1">+'QTR Raw'!N56</f>
        <v>#NAME?</v>
      </c>
      <c r="AU132" s="23" t="e">
        <f t="shared" ca="1" si="1033"/>
        <v>#NAME?</v>
      </c>
      <c r="AV132" s="23" t="e">
        <f ca="1">+'QTR Raw'!P56</f>
        <v>#NAME?</v>
      </c>
      <c r="AW132" s="23" t="e">
        <f t="shared" ca="1" si="1033"/>
        <v>#NAME?</v>
      </c>
      <c r="AX132" s="23" t="e">
        <f ca="1">+'QTR Raw'!R56</f>
        <v>#NAME?</v>
      </c>
      <c r="AY132" s="23" t="e">
        <f t="shared" ca="1" si="1033"/>
        <v>#NAME?</v>
      </c>
      <c r="AZ132" s="23" t="e">
        <f ca="1">+'QTR Raw'!T56</f>
        <v>#NAME?</v>
      </c>
      <c r="BA132" s="23" t="e">
        <f t="shared" ca="1" si="1033"/>
        <v>#NAME?</v>
      </c>
      <c r="BB132" s="23" t="e">
        <f ca="1">+'QTR Raw'!V56</f>
        <v>#NAME?</v>
      </c>
      <c r="BC132" s="23" t="e">
        <f t="shared" ca="1" si="1033"/>
        <v>#NAME?</v>
      </c>
      <c r="BD132" s="23" t="e">
        <f ca="1">+'QTR Raw'!X56</f>
        <v>#NAME?</v>
      </c>
      <c r="BE132" s="23" t="e">
        <f t="shared" ca="1" si="1033"/>
        <v>#NAME?</v>
      </c>
      <c r="BF132" s="23" t="e">
        <f ca="1">+'QTR Raw'!Z56</f>
        <v>#NAME?</v>
      </c>
      <c r="BG132" s="23" t="e">
        <f t="shared" ca="1" si="1033"/>
        <v>#NAME?</v>
      </c>
      <c r="BH132" s="23" t="e">
        <f ca="1">+'QTR Raw'!AB56</f>
        <v>#NAME?</v>
      </c>
      <c r="BI132" s="23" t="e">
        <f t="shared" ca="1" si="1033"/>
        <v>#NAME?</v>
      </c>
      <c r="BJ132" s="23" t="e">
        <f ca="1">+'QTR Raw'!AD56</f>
        <v>#NAME?</v>
      </c>
      <c r="BK132" s="23" t="e">
        <f t="shared" ca="1" si="1033"/>
        <v>#NAME?</v>
      </c>
      <c r="BL132" s="23" t="e">
        <f ca="1">+'QTR Raw'!AF56</f>
        <v>#NAME?</v>
      </c>
      <c r="BM132" s="23" t="e">
        <f t="shared" ca="1" si="1033"/>
        <v>#NAME?</v>
      </c>
      <c r="BN132" s="23" t="e">
        <f ca="1">+'QTR Raw'!AH56</f>
        <v>#NAME?</v>
      </c>
      <c r="BO132" s="23" t="e">
        <f t="shared" ca="1" si="1033"/>
        <v>#NAME?</v>
      </c>
      <c r="BP132" s="23" t="e">
        <f ca="1">+'QTR Raw'!AJ56</f>
        <v>#NAME?</v>
      </c>
      <c r="BQ132" s="23" t="e">
        <f t="shared" ca="1" si="1033"/>
        <v>#NAME?</v>
      </c>
      <c r="BR132" s="23" t="e">
        <f ca="1">+'QTR Raw'!AL56</f>
        <v>#NAME?</v>
      </c>
      <c r="BS132" s="23" t="e">
        <f t="shared" ca="1" si="1033"/>
        <v>#NAME?</v>
      </c>
      <c r="BT132" s="23" t="e">
        <f ca="1">+'QTR Raw'!AN56</f>
        <v>#NAME?</v>
      </c>
      <c r="BU132" s="23" t="e">
        <f t="shared" ca="1" si="1033"/>
        <v>#NAME?</v>
      </c>
      <c r="BV132" s="23" t="e">
        <f ca="1">+'QTR Raw'!AP56</f>
        <v>#NAME?</v>
      </c>
      <c r="BW132" s="23" t="e">
        <f t="shared" ca="1" si="1033"/>
        <v>#NAME?</v>
      </c>
      <c r="BX132" s="23" t="e">
        <f ca="1">+'QTR Raw'!AR56</f>
        <v>#NAME?</v>
      </c>
      <c r="BY132" s="23" t="e">
        <f t="shared" ca="1" si="1033"/>
        <v>#NAME?</v>
      </c>
      <c r="BZ132" s="23" t="e">
        <f ca="1">+'QTR Raw'!AT56</f>
        <v>#NAME?</v>
      </c>
      <c r="CA132" s="23" t="e">
        <f t="shared" ca="1" si="1033"/>
        <v>#NAME?</v>
      </c>
      <c r="CB132" s="23" t="e">
        <f ca="1">+'QTR Raw'!AV56</f>
        <v>#NAME?</v>
      </c>
      <c r="CC132" s="23" t="e">
        <f t="shared" ca="1" si="1033"/>
        <v>#NAME?</v>
      </c>
      <c r="CD132" s="23" t="e">
        <f ca="1">+'QTR Raw'!AX56</f>
        <v>#NAME?</v>
      </c>
      <c r="CE132" s="23" t="e">
        <f t="shared" ca="1" si="1033"/>
        <v>#NAME?</v>
      </c>
      <c r="CF132" s="23" t="e">
        <f ca="1">+'QTR Raw'!AZ56</f>
        <v>#NAME?</v>
      </c>
      <c r="CG132" s="23" t="e">
        <f t="shared" ref="CG132:CG133" ca="1" si="1034">+CF132</f>
        <v>#NAME?</v>
      </c>
      <c r="CH132" s="23" t="e">
        <f ca="1">Z132</f>
        <v>#NAME?</v>
      </c>
      <c r="CI132" s="23" t="e">
        <f ca="1">CH132</f>
        <v>#NAME?</v>
      </c>
      <c r="CJ132" s="23" t="e">
        <f ca="1">+'QTR Raw'!BD56</f>
        <v>#NAME?</v>
      </c>
      <c r="CK132" s="24" t="e">
        <f t="shared" ref="CK132:DB132" ca="1" si="1035">CJ132</f>
        <v>#NAME?</v>
      </c>
      <c r="CL132" s="23" t="e">
        <f ca="1">+'QTR Raw'!BF56</f>
        <v>#NAME?</v>
      </c>
      <c r="CM132" s="24" t="e">
        <f t="shared" ca="1" si="1035"/>
        <v>#NAME?</v>
      </c>
      <c r="CN132" s="24" t="e">
        <f t="shared" ca="1" si="1035"/>
        <v>#NAME?</v>
      </c>
      <c r="CO132" s="24" t="e">
        <f t="shared" ca="1" si="1035"/>
        <v>#NAME?</v>
      </c>
      <c r="CP132" s="24" t="e">
        <f t="shared" ca="1" si="1035"/>
        <v>#NAME?</v>
      </c>
      <c r="CQ132" s="24" t="e">
        <f t="shared" ca="1" si="1035"/>
        <v>#NAME?</v>
      </c>
      <c r="CR132" s="24" t="e">
        <f t="shared" ca="1" si="1035"/>
        <v>#NAME?</v>
      </c>
      <c r="CS132" s="24" t="e">
        <f t="shared" ca="1" si="1035"/>
        <v>#NAME?</v>
      </c>
      <c r="CT132" s="24" t="e">
        <f t="shared" ca="1" si="1035"/>
        <v>#NAME?</v>
      </c>
      <c r="CU132" s="24" t="e">
        <f t="shared" ca="1" si="1035"/>
        <v>#NAME?</v>
      </c>
      <c r="CV132" s="24" t="e">
        <f t="shared" ca="1" si="1035"/>
        <v>#NAME?</v>
      </c>
      <c r="CW132" s="24" t="e">
        <f t="shared" ca="1" si="1035"/>
        <v>#NAME?</v>
      </c>
      <c r="CX132" s="24" t="e">
        <f t="shared" ca="1" si="1035"/>
        <v>#NAME?</v>
      </c>
      <c r="CY132" s="24" t="e">
        <f t="shared" ca="1" si="1035"/>
        <v>#NAME?</v>
      </c>
      <c r="CZ132" s="24" t="e">
        <f t="shared" ca="1" si="1035"/>
        <v>#NAME?</v>
      </c>
      <c r="DA132" s="24" t="e">
        <f t="shared" ca="1" si="1035"/>
        <v>#NAME?</v>
      </c>
      <c r="DB132" s="24" t="e">
        <f t="shared" ca="1" si="1035"/>
        <v>#NAME?</v>
      </c>
      <c r="DE132" s="123"/>
      <c r="DF132" s="23">
        <v>53.143000000000001</v>
      </c>
    </row>
    <row r="133" spans="1:110" s="23" customFormat="1" outlineLevel="1" x14ac:dyDescent="0.2">
      <c r="A133" s="23" t="s">
        <v>42</v>
      </c>
      <c r="B133" s="23" t="e">
        <f ca="1">'Annual Raw'!C42</f>
        <v>#NAME?</v>
      </c>
      <c r="C133" s="23" t="e">
        <f ca="1">'Annual Raw'!D42</f>
        <v>#NAME?</v>
      </c>
      <c r="D133" s="23" t="e">
        <f ca="1">'Annual Raw'!E42</f>
        <v>#NAME?</v>
      </c>
      <c r="E133" s="23" t="e">
        <f ca="1">'Annual Raw'!F42</f>
        <v>#NAME?</v>
      </c>
      <c r="F133" s="23" t="e">
        <f ca="1">'Annual Raw'!G42</f>
        <v>#NAME?</v>
      </c>
      <c r="G133" s="23" t="e">
        <f ca="1">'Annual Raw'!H42</f>
        <v>#NAME?</v>
      </c>
      <c r="H133" s="23" t="e">
        <f ca="1">'Annual Raw'!I42</f>
        <v>#NAME?</v>
      </c>
      <c r="I133" s="23" t="e">
        <f ca="1">'Annual Raw'!J42</f>
        <v>#NAME?</v>
      </c>
      <c r="J133" s="23" t="e">
        <f ca="1">'Annual Raw'!K42</f>
        <v>#NAME?</v>
      </c>
      <c r="K133" s="23" t="e">
        <f ca="1">'Annual Raw'!L42</f>
        <v>#NAME?</v>
      </c>
      <c r="L133" s="23" t="e">
        <f ca="1">'Annual Raw'!M42</f>
        <v>#NAME?</v>
      </c>
      <c r="M133" s="23" t="e">
        <f ca="1">'Annual Raw'!N42</f>
        <v>#NAME?</v>
      </c>
      <c r="N133" s="23" t="e">
        <f ca="1">'Annual Raw'!O42</f>
        <v>#NAME?</v>
      </c>
      <c r="O133" s="23" t="e">
        <f ca="1">'Annual Raw'!P42</f>
        <v>#NAME?</v>
      </c>
      <c r="P133" s="23" t="e">
        <f ca="1">'Annual Raw'!Q42</f>
        <v>#NAME?</v>
      </c>
      <c r="Q133" s="23" t="e">
        <f ca="1">'Annual Raw'!R42</f>
        <v>#NAME?</v>
      </c>
      <c r="R133" s="23" t="e">
        <f ca="1">'Annual Raw'!S42</f>
        <v>#NAME?</v>
      </c>
      <c r="S133" s="23" t="e">
        <f ca="1">'Annual Raw'!T42</f>
        <v>#NAME?</v>
      </c>
      <c r="T133" s="23" t="e">
        <f ca="1">'Annual Raw'!U42</f>
        <v>#NAME?</v>
      </c>
      <c r="U133" s="23" t="e">
        <f ca="1">'Annual Raw'!V42</f>
        <v>#NAME?</v>
      </c>
      <c r="V133" s="23" t="e">
        <f ca="1">'Annual Raw'!W42</f>
        <v>#NAME?</v>
      </c>
      <c r="W133" s="23" t="e">
        <f ca="1">'Annual Raw'!X42</f>
        <v>#NAME?</v>
      </c>
      <c r="X133" s="23" t="e">
        <f ca="1">'Annual Raw'!Y42</f>
        <v>#NAME?</v>
      </c>
      <c r="Y133" s="23" t="e">
        <f ca="1">'Annual Raw'!Z42</f>
        <v>#NAME?</v>
      </c>
      <c r="Z133" s="23" t="e">
        <f ca="1">'Annual Raw'!AA42</f>
        <v>#NAME?</v>
      </c>
      <c r="AA133" s="23" t="e">
        <f ca="1">'Annual Raw'!AB42</f>
        <v>#NAME?</v>
      </c>
      <c r="AB133" s="24" t="e">
        <f t="shared" ref="AB133:AB134" ca="1" si="1036">+CP133</f>
        <v>#NAME?</v>
      </c>
      <c r="AC133" s="24" t="e">
        <f t="shared" ref="AC133:AC134" ca="1" si="1037">+CT133</f>
        <v>#NAME?</v>
      </c>
      <c r="AD133" s="24" t="e">
        <f t="shared" ref="AD133:AD134" ca="1" si="1038">+CX133</f>
        <v>#NAME?</v>
      </c>
      <c r="AE133" s="24" t="e">
        <f t="shared" ref="AE133:AE134" ca="1" si="1039">+DB133</f>
        <v>#NAME?</v>
      </c>
      <c r="AJ133" s="23" t="e">
        <f ca="1">+'QTR Raw'!D57</f>
        <v>#NAME?</v>
      </c>
      <c r="AK133" s="23" t="e">
        <f t="shared" ref="AK133:CE133" ca="1" si="1040">+AJ133</f>
        <v>#NAME?</v>
      </c>
      <c r="AL133" s="23" t="e">
        <f ca="1">+'QTR Raw'!F57</f>
        <v>#NAME?</v>
      </c>
      <c r="AM133" s="23" t="e">
        <f t="shared" ca="1" si="1040"/>
        <v>#NAME?</v>
      </c>
      <c r="AN133" s="23" t="e">
        <f ca="1">+'QTR Raw'!H57</f>
        <v>#NAME?</v>
      </c>
      <c r="AO133" s="23" t="e">
        <f t="shared" ca="1" si="1040"/>
        <v>#NAME?</v>
      </c>
      <c r="AP133" s="23" t="e">
        <f ca="1">+'QTR Raw'!J57</f>
        <v>#NAME?</v>
      </c>
      <c r="AQ133" s="23" t="e">
        <f t="shared" ca="1" si="1040"/>
        <v>#NAME?</v>
      </c>
      <c r="AR133" s="23" t="e">
        <f ca="1">+'QTR Raw'!L57</f>
        <v>#NAME?</v>
      </c>
      <c r="AS133" s="23" t="e">
        <f t="shared" ca="1" si="1040"/>
        <v>#NAME?</v>
      </c>
      <c r="AT133" s="23" t="e">
        <f ca="1">+'QTR Raw'!N57</f>
        <v>#NAME?</v>
      </c>
      <c r="AU133" s="23" t="e">
        <f t="shared" ca="1" si="1040"/>
        <v>#NAME?</v>
      </c>
      <c r="AV133" s="23" t="e">
        <f ca="1">+'QTR Raw'!P57</f>
        <v>#NAME?</v>
      </c>
      <c r="AW133" s="23" t="e">
        <f t="shared" ca="1" si="1040"/>
        <v>#NAME?</v>
      </c>
      <c r="AX133" s="23" t="e">
        <f ca="1">+'QTR Raw'!R57</f>
        <v>#NAME?</v>
      </c>
      <c r="AY133" s="23" t="e">
        <f t="shared" ca="1" si="1040"/>
        <v>#NAME?</v>
      </c>
      <c r="AZ133" s="23" t="e">
        <f ca="1">+'QTR Raw'!T57</f>
        <v>#NAME?</v>
      </c>
      <c r="BA133" s="23" t="e">
        <f t="shared" ca="1" si="1040"/>
        <v>#NAME?</v>
      </c>
      <c r="BB133" s="23" t="e">
        <f ca="1">+'QTR Raw'!V57</f>
        <v>#NAME?</v>
      </c>
      <c r="BC133" s="23" t="e">
        <f t="shared" ca="1" si="1040"/>
        <v>#NAME?</v>
      </c>
      <c r="BD133" s="23" t="e">
        <f ca="1">+'QTR Raw'!X57</f>
        <v>#NAME?</v>
      </c>
      <c r="BE133" s="23" t="e">
        <f t="shared" ca="1" si="1040"/>
        <v>#NAME?</v>
      </c>
      <c r="BF133" s="23" t="e">
        <f ca="1">+'QTR Raw'!Z57</f>
        <v>#NAME?</v>
      </c>
      <c r="BG133" s="23" t="e">
        <f t="shared" ca="1" si="1040"/>
        <v>#NAME?</v>
      </c>
      <c r="BH133" s="23" t="e">
        <f ca="1">+'QTR Raw'!AB57</f>
        <v>#NAME?</v>
      </c>
      <c r="BI133" s="23" t="e">
        <f t="shared" ca="1" si="1040"/>
        <v>#NAME?</v>
      </c>
      <c r="BJ133" s="23" t="e">
        <f ca="1">+'QTR Raw'!AD57</f>
        <v>#NAME?</v>
      </c>
      <c r="BK133" s="23" t="e">
        <f t="shared" ca="1" si="1040"/>
        <v>#NAME?</v>
      </c>
      <c r="BL133" s="23" t="e">
        <f ca="1">+'QTR Raw'!AF57</f>
        <v>#NAME?</v>
      </c>
      <c r="BM133" s="23" t="e">
        <f t="shared" ca="1" si="1040"/>
        <v>#NAME?</v>
      </c>
      <c r="BN133" s="23" t="e">
        <f ca="1">+'QTR Raw'!AH57</f>
        <v>#NAME?</v>
      </c>
      <c r="BO133" s="23" t="e">
        <f t="shared" ca="1" si="1040"/>
        <v>#NAME?</v>
      </c>
      <c r="BP133" s="23" t="e">
        <f ca="1">+'QTR Raw'!AJ57</f>
        <v>#NAME?</v>
      </c>
      <c r="BQ133" s="23" t="e">
        <f t="shared" ca="1" si="1040"/>
        <v>#NAME?</v>
      </c>
      <c r="BR133" s="23" t="e">
        <f ca="1">+'QTR Raw'!AL57</f>
        <v>#NAME?</v>
      </c>
      <c r="BS133" s="23" t="e">
        <f t="shared" ca="1" si="1040"/>
        <v>#NAME?</v>
      </c>
      <c r="BT133" s="23" t="e">
        <f ca="1">+'QTR Raw'!AN57</f>
        <v>#NAME?</v>
      </c>
      <c r="BU133" s="23" t="e">
        <f t="shared" ca="1" si="1040"/>
        <v>#NAME?</v>
      </c>
      <c r="BV133" s="23" t="e">
        <f ca="1">+'QTR Raw'!AP57</f>
        <v>#NAME?</v>
      </c>
      <c r="BW133" s="23" t="e">
        <f t="shared" ca="1" si="1040"/>
        <v>#NAME?</v>
      </c>
      <c r="BX133" s="23" t="e">
        <f ca="1">+'QTR Raw'!AR57</f>
        <v>#NAME?</v>
      </c>
      <c r="BY133" s="23" t="e">
        <f t="shared" ca="1" si="1040"/>
        <v>#NAME?</v>
      </c>
      <c r="BZ133" s="23" t="e">
        <f ca="1">+'QTR Raw'!AT57</f>
        <v>#NAME?</v>
      </c>
      <c r="CA133" s="23" t="e">
        <f t="shared" ca="1" si="1040"/>
        <v>#NAME?</v>
      </c>
      <c r="CB133" s="23" t="e">
        <f ca="1">+'QTR Raw'!AV57</f>
        <v>#NAME?</v>
      </c>
      <c r="CC133" s="23" t="e">
        <f t="shared" ca="1" si="1040"/>
        <v>#NAME?</v>
      </c>
      <c r="CD133" s="23" t="e">
        <f ca="1">+'QTR Raw'!AX57</f>
        <v>#NAME?</v>
      </c>
      <c r="CE133" s="23" t="e">
        <f t="shared" ca="1" si="1040"/>
        <v>#NAME?</v>
      </c>
      <c r="CF133" s="23" t="e">
        <f ca="1">+'QTR Raw'!AZ57</f>
        <v>#NAME?</v>
      </c>
      <c r="CG133" s="23" t="e">
        <f t="shared" ca="1" si="1034"/>
        <v>#NAME?</v>
      </c>
      <c r="CH133" s="23" t="e">
        <f t="shared" ref="CH133:CH134" ca="1" si="1041">Z133</f>
        <v>#NAME?</v>
      </c>
      <c r="CI133" s="23" t="e">
        <f ca="1">CH133</f>
        <v>#NAME?</v>
      </c>
      <c r="CJ133" s="23" t="e">
        <f ca="1">+'QTR Raw'!BD57</f>
        <v>#NAME?</v>
      </c>
      <c r="CK133" s="24" t="e">
        <f t="shared" ref="CK133:DB133" ca="1" si="1042">CJ133</f>
        <v>#NAME?</v>
      </c>
      <c r="CL133" s="23" t="e">
        <f ca="1">+'QTR Raw'!BF57</f>
        <v>#NAME?</v>
      </c>
      <c r="CM133" s="24" t="e">
        <f t="shared" ca="1" si="1042"/>
        <v>#NAME?</v>
      </c>
      <c r="CN133" s="24" t="e">
        <f t="shared" ca="1" si="1042"/>
        <v>#NAME?</v>
      </c>
      <c r="CO133" s="24" t="e">
        <f t="shared" ca="1" si="1042"/>
        <v>#NAME?</v>
      </c>
      <c r="CP133" s="24" t="e">
        <f t="shared" ca="1" si="1042"/>
        <v>#NAME?</v>
      </c>
      <c r="CQ133" s="24" t="e">
        <f t="shared" ca="1" si="1042"/>
        <v>#NAME?</v>
      </c>
      <c r="CR133" s="24" t="e">
        <f t="shared" ca="1" si="1042"/>
        <v>#NAME?</v>
      </c>
      <c r="CS133" s="24" t="e">
        <f t="shared" ca="1" si="1042"/>
        <v>#NAME?</v>
      </c>
      <c r="CT133" s="24" t="e">
        <f t="shared" ca="1" si="1042"/>
        <v>#NAME?</v>
      </c>
      <c r="CU133" s="24" t="e">
        <f t="shared" ca="1" si="1042"/>
        <v>#NAME?</v>
      </c>
      <c r="CV133" s="24" t="e">
        <f t="shared" ca="1" si="1042"/>
        <v>#NAME?</v>
      </c>
      <c r="CW133" s="24" t="e">
        <f t="shared" ca="1" si="1042"/>
        <v>#NAME?</v>
      </c>
      <c r="CX133" s="24" t="e">
        <f t="shared" ca="1" si="1042"/>
        <v>#NAME?</v>
      </c>
      <c r="CY133" s="24" t="e">
        <f t="shared" ca="1" si="1042"/>
        <v>#NAME?</v>
      </c>
      <c r="CZ133" s="24" t="e">
        <f t="shared" ca="1" si="1042"/>
        <v>#NAME?</v>
      </c>
      <c r="DA133" s="24" t="e">
        <f t="shared" ca="1" si="1042"/>
        <v>#NAME?</v>
      </c>
      <c r="DB133" s="24" t="e">
        <f t="shared" ca="1" si="1042"/>
        <v>#NAME?</v>
      </c>
      <c r="DE133" s="123"/>
      <c r="DF133" s="23">
        <v>0</v>
      </c>
    </row>
    <row r="134" spans="1:110" s="23" customFormat="1" outlineLevel="1" x14ac:dyDescent="0.2">
      <c r="A134" s="23" t="s">
        <v>43</v>
      </c>
      <c r="B134" s="23" t="e">
        <f ca="1">'Annual Raw'!C43</f>
        <v>#NAME?</v>
      </c>
      <c r="C134" s="23" t="e">
        <f ca="1">'Annual Raw'!D43</f>
        <v>#NAME?</v>
      </c>
      <c r="D134" s="23" t="e">
        <f ca="1">'Annual Raw'!E43</f>
        <v>#NAME?</v>
      </c>
      <c r="E134" s="23" t="e">
        <f ca="1">'Annual Raw'!F43</f>
        <v>#NAME?</v>
      </c>
      <c r="F134" s="23" t="e">
        <f ca="1">'Annual Raw'!G43</f>
        <v>#NAME?</v>
      </c>
      <c r="G134" s="23" t="e">
        <f ca="1">'Annual Raw'!H43</f>
        <v>#NAME?</v>
      </c>
      <c r="H134" s="23" t="e">
        <f ca="1">'Annual Raw'!I43</f>
        <v>#NAME?</v>
      </c>
      <c r="I134" s="23" t="e">
        <f ca="1">'Annual Raw'!J43</f>
        <v>#NAME?</v>
      </c>
      <c r="J134" s="23" t="e">
        <f ca="1">'Annual Raw'!K43</f>
        <v>#NAME?</v>
      </c>
      <c r="K134" s="23" t="e">
        <f ca="1">'Annual Raw'!L43</f>
        <v>#NAME?</v>
      </c>
      <c r="L134" s="23" t="e">
        <f ca="1">'Annual Raw'!M43</f>
        <v>#NAME?</v>
      </c>
      <c r="M134" s="23" t="e">
        <f ca="1">'Annual Raw'!N43</f>
        <v>#NAME?</v>
      </c>
      <c r="N134" s="23" t="e">
        <f ca="1">'Annual Raw'!O43</f>
        <v>#NAME?</v>
      </c>
      <c r="O134" s="23" t="e">
        <f ca="1">'Annual Raw'!P43</f>
        <v>#NAME?</v>
      </c>
      <c r="P134" s="23" t="e">
        <f ca="1">'Annual Raw'!Q43</f>
        <v>#NAME?</v>
      </c>
      <c r="Q134" s="23" t="e">
        <f ca="1">'Annual Raw'!R43</f>
        <v>#NAME?</v>
      </c>
      <c r="R134" s="23" t="e">
        <f ca="1">'Annual Raw'!S43</f>
        <v>#NAME?</v>
      </c>
      <c r="S134" s="23" t="e">
        <f ca="1">'Annual Raw'!T43</f>
        <v>#NAME?</v>
      </c>
      <c r="T134" s="23" t="e">
        <f ca="1">'Annual Raw'!U43</f>
        <v>#NAME?</v>
      </c>
      <c r="U134" s="23" t="e">
        <f ca="1">'Annual Raw'!V43</f>
        <v>#NAME?</v>
      </c>
      <c r="V134" s="23" t="e">
        <f ca="1">'Annual Raw'!W43</f>
        <v>#NAME?</v>
      </c>
      <c r="W134" s="23" t="e">
        <f ca="1">'Annual Raw'!X43</f>
        <v>#NAME?</v>
      </c>
      <c r="X134" s="23" t="e">
        <f ca="1">'Annual Raw'!Y43</f>
        <v>#NAME?</v>
      </c>
      <c r="Y134" s="23" t="e">
        <f ca="1">'Annual Raw'!Z43</f>
        <v>#NAME?</v>
      </c>
      <c r="Z134" s="23" t="e">
        <f ca="1">'Annual Raw'!AA43</f>
        <v>#NAME?</v>
      </c>
      <c r="AA134" s="23" t="e">
        <f ca="1">'Annual Raw'!AB43</f>
        <v>#NAME?</v>
      </c>
      <c r="AB134" s="24" t="e">
        <f t="shared" ca="1" si="1036"/>
        <v>#NAME?</v>
      </c>
      <c r="AC134" s="24" t="e">
        <f t="shared" ca="1" si="1037"/>
        <v>#NAME?</v>
      </c>
      <c r="AD134" s="24" t="e">
        <f t="shared" ca="1" si="1038"/>
        <v>#NAME?</v>
      </c>
      <c r="AE134" s="24" t="e">
        <f t="shared" ca="1" si="1039"/>
        <v>#NAME?</v>
      </c>
      <c r="AJ134" s="23" t="e">
        <f ca="1">+'QTR Raw'!D58</f>
        <v>#NAME?</v>
      </c>
      <c r="AK134" s="23" t="e">
        <f ca="1">+AJ134+AK63</f>
        <v>#NAME?</v>
      </c>
      <c r="AL134" s="23" t="e">
        <f ca="1">+'QTR Raw'!F58</f>
        <v>#NAME?</v>
      </c>
      <c r="AM134" s="23" t="e">
        <f ca="1">+AL134+AM63</f>
        <v>#NAME?</v>
      </c>
      <c r="AN134" s="23" t="e">
        <f ca="1">+'QTR Raw'!H58</f>
        <v>#NAME?</v>
      </c>
      <c r="AO134" s="23" t="e">
        <f ca="1">+AN134+AO63</f>
        <v>#NAME?</v>
      </c>
      <c r="AP134" s="23" t="e">
        <f ca="1">+'QTR Raw'!J58</f>
        <v>#NAME?</v>
      </c>
      <c r="AQ134" s="23" t="e">
        <f ca="1">+AP134+AQ63</f>
        <v>#NAME?</v>
      </c>
      <c r="AR134" s="23" t="e">
        <f ca="1">+'QTR Raw'!L58</f>
        <v>#NAME?</v>
      </c>
      <c r="AS134" s="23" t="e">
        <f ca="1">+AR134+AS63</f>
        <v>#NAME?</v>
      </c>
      <c r="AT134" s="23" t="e">
        <f ca="1">+'QTR Raw'!N58</f>
        <v>#NAME?</v>
      </c>
      <c r="AU134" s="23" t="e">
        <f ca="1">+AT134+AU63</f>
        <v>#NAME?</v>
      </c>
      <c r="AV134" s="23" t="e">
        <f ca="1">+'QTR Raw'!P58</f>
        <v>#NAME?</v>
      </c>
      <c r="AW134" s="23" t="e">
        <f ca="1">+AV134+AW63</f>
        <v>#NAME?</v>
      </c>
      <c r="AX134" s="23" t="e">
        <f ca="1">+'QTR Raw'!R58</f>
        <v>#NAME?</v>
      </c>
      <c r="AY134" s="23" t="e">
        <f ca="1">+AX134+AY63</f>
        <v>#NAME?</v>
      </c>
      <c r="AZ134" s="23" t="e">
        <f ca="1">+'QTR Raw'!T58</f>
        <v>#NAME?</v>
      </c>
      <c r="BA134" s="23" t="e">
        <f ca="1">+AZ134+BA63</f>
        <v>#NAME?</v>
      </c>
      <c r="BB134" s="23" t="e">
        <f ca="1">+'QTR Raw'!V58</f>
        <v>#NAME?</v>
      </c>
      <c r="BC134" s="23" t="e">
        <f ca="1">+BB134+BC63</f>
        <v>#NAME?</v>
      </c>
      <c r="BD134" s="23" t="e">
        <f ca="1">+'QTR Raw'!X58</f>
        <v>#NAME?</v>
      </c>
      <c r="BE134" s="23" t="e">
        <f ca="1">+BD134+BE63</f>
        <v>#NAME?</v>
      </c>
      <c r="BF134" s="23" t="e">
        <f ca="1">+'QTR Raw'!Z58</f>
        <v>#NAME?</v>
      </c>
      <c r="BG134" s="23" t="e">
        <f ca="1">+BF134+BG63</f>
        <v>#NAME?</v>
      </c>
      <c r="BH134" s="23" t="e">
        <f ca="1">+'QTR Raw'!AB58</f>
        <v>#NAME?</v>
      </c>
      <c r="BI134" s="23" t="e">
        <f ca="1">+BH134+BI63</f>
        <v>#NAME?</v>
      </c>
      <c r="BJ134" s="23" t="e">
        <f ca="1">+'QTR Raw'!AD58</f>
        <v>#NAME?</v>
      </c>
      <c r="BK134" s="23" t="e">
        <f ca="1">+BJ134+BK63</f>
        <v>#NAME?</v>
      </c>
      <c r="BL134" s="23" t="e">
        <f ca="1">+'QTR Raw'!AF58</f>
        <v>#NAME?</v>
      </c>
      <c r="BM134" s="23" t="e">
        <f ca="1">+BL134+BM63</f>
        <v>#NAME?</v>
      </c>
      <c r="BN134" s="23" t="e">
        <f ca="1">+'QTR Raw'!AH58</f>
        <v>#NAME?</v>
      </c>
      <c r="BO134" s="23" t="e">
        <f ca="1">+BN134+BO63</f>
        <v>#NAME?</v>
      </c>
      <c r="BP134" s="23" t="e">
        <f ca="1">+'QTR Raw'!AJ58</f>
        <v>#NAME?</v>
      </c>
      <c r="BQ134" s="23" t="e">
        <f ca="1">+BP134+BQ63</f>
        <v>#NAME?</v>
      </c>
      <c r="BR134" s="23" t="e">
        <f ca="1">+'QTR Raw'!AL58</f>
        <v>#NAME?</v>
      </c>
      <c r="BS134" s="23" t="e">
        <f ca="1">+BR134+BS63</f>
        <v>#NAME?</v>
      </c>
      <c r="BT134" s="23" t="e">
        <f ca="1">+'QTR Raw'!AN58</f>
        <v>#NAME?</v>
      </c>
      <c r="BU134" s="23" t="e">
        <f ca="1">+BT134+BU63</f>
        <v>#NAME?</v>
      </c>
      <c r="BV134" s="23" t="e">
        <f ca="1">+'QTR Raw'!AP58</f>
        <v>#NAME?</v>
      </c>
      <c r="BW134" s="23" t="e">
        <f ca="1">+BV134+BW63</f>
        <v>#NAME?</v>
      </c>
      <c r="BX134" s="23" t="e">
        <f ca="1">+'QTR Raw'!AR58</f>
        <v>#NAME?</v>
      </c>
      <c r="BY134" s="23" t="e">
        <f ca="1">+BX134+BY63</f>
        <v>#NAME?</v>
      </c>
      <c r="BZ134" s="23" t="e">
        <f ca="1">+'QTR Raw'!AT58</f>
        <v>#NAME?</v>
      </c>
      <c r="CA134" s="23" t="e">
        <f ca="1">+BZ134+CA63</f>
        <v>#NAME?</v>
      </c>
      <c r="CB134" s="23" t="e">
        <f ca="1">+'QTR Raw'!AV58</f>
        <v>#NAME?</v>
      </c>
      <c r="CC134" s="23" t="e">
        <f ca="1">+CB134+CC63</f>
        <v>#NAME?</v>
      </c>
      <c r="CD134" s="23" t="e">
        <f ca="1">+'QTR Raw'!AX58</f>
        <v>#NAME?</v>
      </c>
      <c r="CE134" s="23" t="e">
        <f ca="1">+CD134+CE63</f>
        <v>#NAME?</v>
      </c>
      <c r="CF134" s="23" t="e">
        <f ca="1">+'QTR Raw'!AZ58</f>
        <v>#NAME?</v>
      </c>
      <c r="CG134" s="23" t="e">
        <f ca="1">+CF134+CG63</f>
        <v>#NAME?</v>
      </c>
      <c r="CH134" s="23" t="e">
        <f t="shared" ca="1" si="1041"/>
        <v>#NAME?</v>
      </c>
      <c r="CI134" s="23" t="e">
        <f ca="1">CH134+CI63</f>
        <v>#NAME?</v>
      </c>
      <c r="CJ134" s="23" t="e">
        <f ca="1">+'QTR Raw'!BD58</f>
        <v>#NAME?</v>
      </c>
      <c r="CK134" s="24" t="e">
        <f t="shared" ref="CK134:DB134" ca="1" si="1043">CJ134+CK63</f>
        <v>#NAME?</v>
      </c>
      <c r="CL134" s="23" t="e">
        <f ca="1">+'QTR Raw'!BF58</f>
        <v>#NAME?</v>
      </c>
      <c r="CM134" s="24" t="e">
        <f t="shared" ca="1" si="1043"/>
        <v>#NAME?</v>
      </c>
      <c r="CN134" s="24" t="e">
        <f t="shared" ca="1" si="1043"/>
        <v>#NAME?</v>
      </c>
      <c r="CO134" s="24" t="e">
        <f t="shared" ca="1" si="1043"/>
        <v>#NAME?</v>
      </c>
      <c r="CP134" s="24" t="e">
        <f t="shared" ca="1" si="1043"/>
        <v>#NAME?</v>
      </c>
      <c r="CQ134" s="24" t="e">
        <f t="shared" ca="1" si="1043"/>
        <v>#NAME?</v>
      </c>
      <c r="CR134" s="24" t="e">
        <f t="shared" ca="1" si="1043"/>
        <v>#NAME?</v>
      </c>
      <c r="CS134" s="24" t="e">
        <f t="shared" ca="1" si="1043"/>
        <v>#NAME?</v>
      </c>
      <c r="CT134" s="24" t="e">
        <f t="shared" ca="1" si="1043"/>
        <v>#NAME?</v>
      </c>
      <c r="CU134" s="24" t="e">
        <f t="shared" ca="1" si="1043"/>
        <v>#NAME?</v>
      </c>
      <c r="CV134" s="24" t="e">
        <f t="shared" ca="1" si="1043"/>
        <v>#NAME?</v>
      </c>
      <c r="CW134" s="24" t="e">
        <f t="shared" ca="1" si="1043"/>
        <v>#NAME?</v>
      </c>
      <c r="CX134" s="24" t="e">
        <f t="shared" ca="1" si="1043"/>
        <v>#NAME?</v>
      </c>
      <c r="CY134" s="24" t="e">
        <f t="shared" ca="1" si="1043"/>
        <v>#NAME?</v>
      </c>
      <c r="CZ134" s="24" t="e">
        <f t="shared" ca="1" si="1043"/>
        <v>#NAME?</v>
      </c>
      <c r="DA134" s="24" t="e">
        <f t="shared" ca="1" si="1043"/>
        <v>#NAME?</v>
      </c>
      <c r="DB134" s="24" t="e">
        <f t="shared" ca="1" si="1043"/>
        <v>#NAME?</v>
      </c>
      <c r="DE134" s="123"/>
      <c r="DF134" s="23">
        <v>285.08999999999997</v>
      </c>
    </row>
    <row r="135" spans="1:110" s="22" customFormat="1" x14ac:dyDescent="0.2">
      <c r="A135" s="22" t="s">
        <v>44</v>
      </c>
      <c r="B135" s="22" t="e">
        <f ca="1">B132+B133+B134</f>
        <v>#NAME?</v>
      </c>
      <c r="C135" s="22" t="e">
        <f t="shared" ref="C135:V135" ca="1" si="1044">C132+C133+C134</f>
        <v>#NAME?</v>
      </c>
      <c r="D135" s="22" t="e">
        <f t="shared" ca="1" si="1044"/>
        <v>#NAME?</v>
      </c>
      <c r="E135" s="22" t="e">
        <f t="shared" ca="1" si="1044"/>
        <v>#NAME?</v>
      </c>
      <c r="F135" s="22" t="e">
        <f t="shared" ca="1" si="1044"/>
        <v>#NAME?</v>
      </c>
      <c r="G135" s="22" t="e">
        <f t="shared" ca="1" si="1044"/>
        <v>#NAME?</v>
      </c>
      <c r="H135" s="22" t="e">
        <f t="shared" ca="1" si="1044"/>
        <v>#NAME?</v>
      </c>
      <c r="I135" s="22" t="e">
        <f t="shared" ca="1" si="1044"/>
        <v>#NAME?</v>
      </c>
      <c r="J135" s="22" t="e">
        <f t="shared" ca="1" si="1044"/>
        <v>#NAME?</v>
      </c>
      <c r="K135" s="22" t="e">
        <f t="shared" ca="1" si="1044"/>
        <v>#NAME?</v>
      </c>
      <c r="L135" s="22" t="e">
        <f t="shared" ca="1" si="1044"/>
        <v>#NAME?</v>
      </c>
      <c r="M135" s="22" t="e">
        <f ca="1">M132+M133+M134</f>
        <v>#NAME?</v>
      </c>
      <c r="N135" s="22" t="e">
        <f t="shared" ca="1" si="1044"/>
        <v>#NAME?</v>
      </c>
      <c r="O135" s="22" t="e">
        <f t="shared" ca="1" si="1044"/>
        <v>#NAME?</v>
      </c>
      <c r="P135" s="22" t="e">
        <f t="shared" ca="1" si="1044"/>
        <v>#NAME?</v>
      </c>
      <c r="Q135" s="22" t="e">
        <f t="shared" ca="1" si="1044"/>
        <v>#NAME?</v>
      </c>
      <c r="R135" s="22" t="e">
        <f t="shared" ca="1" si="1044"/>
        <v>#NAME?</v>
      </c>
      <c r="S135" s="22" t="e">
        <f t="shared" ca="1" si="1044"/>
        <v>#NAME?</v>
      </c>
      <c r="T135" s="22" t="e">
        <f t="shared" ca="1" si="1044"/>
        <v>#NAME?</v>
      </c>
      <c r="U135" s="22" t="e">
        <f t="shared" ca="1" si="1044"/>
        <v>#NAME?</v>
      </c>
      <c r="V135" s="22" t="e">
        <f t="shared" ca="1" si="1044"/>
        <v>#NAME?</v>
      </c>
      <c r="W135" s="22" t="e">
        <f t="shared" ref="W135" ca="1" si="1045">W132+W133+W134</f>
        <v>#NAME?</v>
      </c>
      <c r="X135" s="22" t="e">
        <f t="shared" ref="X135:Y135" ca="1" si="1046">X132+X133+X134</f>
        <v>#NAME?</v>
      </c>
      <c r="Y135" s="22" t="e">
        <f t="shared" ca="1" si="1046"/>
        <v>#NAME?</v>
      </c>
      <c r="Z135" s="22" t="e">
        <f t="shared" ref="Z135:AA135" ca="1" si="1047">Z132+Z133+Z134</f>
        <v>#NAME?</v>
      </c>
      <c r="AA135" s="22" t="e">
        <f t="shared" ca="1" si="1047"/>
        <v>#NAME?</v>
      </c>
      <c r="AB135" s="21" t="e">
        <f t="shared" ref="AA135:AD135" ca="1" si="1048">AB132+AB133+AB134</f>
        <v>#NAME?</v>
      </c>
      <c r="AC135" s="21" t="e">
        <f t="shared" ca="1" si="1048"/>
        <v>#NAME?</v>
      </c>
      <c r="AD135" s="21" t="e">
        <f t="shared" ca="1" si="1048"/>
        <v>#NAME?</v>
      </c>
      <c r="AE135" s="21" t="e">
        <f t="shared" ref="AE135" ca="1" si="1049">AE132+AE133+AE134</f>
        <v>#NAME?</v>
      </c>
      <c r="AJ135" s="22" t="e">
        <f t="shared" ref="AJ135" ca="1" si="1050">AJ132+AJ133+AJ134</f>
        <v>#NAME?</v>
      </c>
      <c r="AK135" s="22" t="e">
        <f t="shared" ref="AK135" ca="1" si="1051">AK132+AK133+AK134</f>
        <v>#NAME?</v>
      </c>
      <c r="AL135" s="22" t="e">
        <f t="shared" ref="AL135:AM135" ca="1" si="1052">AL132+AL133+AL134</f>
        <v>#NAME?</v>
      </c>
      <c r="AM135" s="22" t="e">
        <f t="shared" ca="1" si="1052"/>
        <v>#NAME?</v>
      </c>
      <c r="AN135" s="22" t="e">
        <f t="shared" ref="AN135:AO135" ca="1" si="1053">AN132+AN133+AN134</f>
        <v>#NAME?</v>
      </c>
      <c r="AO135" s="22" t="e">
        <f t="shared" ca="1" si="1053"/>
        <v>#NAME?</v>
      </c>
      <c r="AP135" s="22" t="e">
        <f t="shared" ref="AP135:CE135" ca="1" si="1054">AP132+AP133+AP134</f>
        <v>#NAME?</v>
      </c>
      <c r="AQ135" s="22" t="e">
        <f t="shared" ca="1" si="1054"/>
        <v>#NAME?</v>
      </c>
      <c r="AR135" s="22" t="e">
        <f t="shared" ca="1" si="1054"/>
        <v>#NAME?</v>
      </c>
      <c r="AS135" s="22" t="e">
        <f t="shared" ca="1" si="1054"/>
        <v>#NAME?</v>
      </c>
      <c r="AT135" s="22" t="e">
        <f t="shared" ca="1" si="1054"/>
        <v>#NAME?</v>
      </c>
      <c r="AU135" s="22" t="e">
        <f t="shared" ca="1" si="1054"/>
        <v>#NAME?</v>
      </c>
      <c r="AV135" s="22" t="e">
        <f t="shared" ca="1" si="1054"/>
        <v>#NAME?</v>
      </c>
      <c r="AW135" s="22" t="e">
        <f t="shared" ca="1" si="1054"/>
        <v>#NAME?</v>
      </c>
      <c r="AX135" s="22" t="e">
        <f t="shared" ca="1" si="1054"/>
        <v>#NAME?</v>
      </c>
      <c r="AY135" s="22" t="e">
        <f t="shared" ca="1" si="1054"/>
        <v>#NAME?</v>
      </c>
      <c r="AZ135" s="22" t="e">
        <f t="shared" ca="1" si="1054"/>
        <v>#NAME?</v>
      </c>
      <c r="BA135" s="22" t="e">
        <f t="shared" ca="1" si="1054"/>
        <v>#NAME?</v>
      </c>
      <c r="BB135" s="22" t="e">
        <f t="shared" ca="1" si="1054"/>
        <v>#NAME?</v>
      </c>
      <c r="BC135" s="22" t="e">
        <f t="shared" ca="1" si="1054"/>
        <v>#NAME?</v>
      </c>
      <c r="BD135" s="22" t="e">
        <f t="shared" ca="1" si="1054"/>
        <v>#NAME?</v>
      </c>
      <c r="BE135" s="22" t="e">
        <f t="shared" ca="1" si="1054"/>
        <v>#NAME?</v>
      </c>
      <c r="BF135" s="22" t="e">
        <f t="shared" ca="1" si="1054"/>
        <v>#NAME?</v>
      </c>
      <c r="BG135" s="22" t="e">
        <f t="shared" ca="1" si="1054"/>
        <v>#NAME?</v>
      </c>
      <c r="BH135" s="22" t="e">
        <f t="shared" ca="1" si="1054"/>
        <v>#NAME?</v>
      </c>
      <c r="BI135" s="22" t="e">
        <f t="shared" ca="1" si="1054"/>
        <v>#NAME?</v>
      </c>
      <c r="BJ135" s="22" t="e">
        <f t="shared" ca="1" si="1054"/>
        <v>#NAME?</v>
      </c>
      <c r="BK135" s="22" t="e">
        <f t="shared" ca="1" si="1054"/>
        <v>#NAME?</v>
      </c>
      <c r="BL135" s="22" t="e">
        <f t="shared" ca="1" si="1054"/>
        <v>#NAME?</v>
      </c>
      <c r="BM135" s="22" t="e">
        <f t="shared" ca="1" si="1054"/>
        <v>#NAME?</v>
      </c>
      <c r="BN135" s="22" t="e">
        <f t="shared" ca="1" si="1054"/>
        <v>#NAME?</v>
      </c>
      <c r="BO135" s="22" t="e">
        <f t="shared" ca="1" si="1054"/>
        <v>#NAME?</v>
      </c>
      <c r="BP135" s="22" t="e">
        <f t="shared" ca="1" si="1054"/>
        <v>#NAME?</v>
      </c>
      <c r="BQ135" s="22" t="e">
        <f t="shared" ca="1" si="1054"/>
        <v>#NAME?</v>
      </c>
      <c r="BR135" s="22" t="e">
        <f t="shared" ca="1" si="1054"/>
        <v>#NAME?</v>
      </c>
      <c r="BS135" s="22" t="e">
        <f t="shared" ca="1" si="1054"/>
        <v>#NAME?</v>
      </c>
      <c r="BT135" s="22" t="e">
        <f t="shared" ca="1" si="1054"/>
        <v>#NAME?</v>
      </c>
      <c r="BU135" s="22" t="e">
        <f t="shared" ca="1" si="1054"/>
        <v>#NAME?</v>
      </c>
      <c r="BV135" s="22" t="e">
        <f t="shared" ca="1" si="1054"/>
        <v>#NAME?</v>
      </c>
      <c r="BW135" s="22" t="e">
        <f t="shared" ca="1" si="1054"/>
        <v>#NAME?</v>
      </c>
      <c r="BX135" s="22" t="e">
        <f t="shared" ca="1" si="1054"/>
        <v>#NAME?</v>
      </c>
      <c r="BY135" s="22" t="e">
        <f t="shared" ca="1" si="1054"/>
        <v>#NAME?</v>
      </c>
      <c r="BZ135" s="22" t="e">
        <f t="shared" ca="1" si="1054"/>
        <v>#NAME?</v>
      </c>
      <c r="CA135" s="22" t="e">
        <f t="shared" ca="1" si="1054"/>
        <v>#NAME?</v>
      </c>
      <c r="CB135" s="22" t="e">
        <f t="shared" ca="1" si="1054"/>
        <v>#NAME?</v>
      </c>
      <c r="CC135" s="22" t="e">
        <f t="shared" ca="1" si="1054"/>
        <v>#NAME?</v>
      </c>
      <c r="CD135" s="22" t="e">
        <f t="shared" ca="1" si="1054"/>
        <v>#NAME?</v>
      </c>
      <c r="CE135" s="22" t="e">
        <f t="shared" ca="1" si="1054"/>
        <v>#NAME?</v>
      </c>
      <c r="CF135" s="22" t="e">
        <f t="shared" ref="CF135:CG135" ca="1" si="1055">CF132+CF133+CF134</f>
        <v>#NAME?</v>
      </c>
      <c r="CG135" s="22" t="e">
        <f t="shared" ca="1" si="1055"/>
        <v>#NAME?</v>
      </c>
      <c r="CH135" s="22" t="e">
        <f t="shared" ref="CH135:CI135" ca="1" si="1056">CH132+CH133+CH134</f>
        <v>#NAME?</v>
      </c>
      <c r="CI135" s="22" t="e">
        <f t="shared" ca="1" si="1056"/>
        <v>#NAME?</v>
      </c>
      <c r="CJ135" s="22" t="e">
        <f t="shared" ref="CJ135:DB135" ca="1" si="1057">CJ132+CJ133+CJ134</f>
        <v>#NAME?</v>
      </c>
      <c r="CK135" s="21" t="e">
        <f t="shared" ca="1" si="1057"/>
        <v>#NAME?</v>
      </c>
      <c r="CL135" s="22" t="e">
        <f t="shared" ref="CL135" ca="1" si="1058">CL132+CL133+CL134</f>
        <v>#NAME?</v>
      </c>
      <c r="CM135" s="21" t="e">
        <f t="shared" ca="1" si="1057"/>
        <v>#NAME?</v>
      </c>
      <c r="CN135" s="21" t="e">
        <f t="shared" ca="1" si="1057"/>
        <v>#NAME?</v>
      </c>
      <c r="CO135" s="21" t="e">
        <f t="shared" ca="1" si="1057"/>
        <v>#NAME?</v>
      </c>
      <c r="CP135" s="21" t="e">
        <f t="shared" ca="1" si="1057"/>
        <v>#NAME?</v>
      </c>
      <c r="CQ135" s="21" t="e">
        <f t="shared" ca="1" si="1057"/>
        <v>#NAME?</v>
      </c>
      <c r="CR135" s="21" t="e">
        <f t="shared" ca="1" si="1057"/>
        <v>#NAME?</v>
      </c>
      <c r="CS135" s="21" t="e">
        <f t="shared" ca="1" si="1057"/>
        <v>#NAME?</v>
      </c>
      <c r="CT135" s="21" t="e">
        <f t="shared" ca="1" si="1057"/>
        <v>#NAME?</v>
      </c>
      <c r="CU135" s="21" t="e">
        <f t="shared" ca="1" si="1057"/>
        <v>#NAME?</v>
      </c>
      <c r="CV135" s="21" t="e">
        <f t="shared" ca="1" si="1057"/>
        <v>#NAME?</v>
      </c>
      <c r="CW135" s="21" t="e">
        <f t="shared" ca="1" si="1057"/>
        <v>#NAME?</v>
      </c>
      <c r="CX135" s="21" t="e">
        <f t="shared" ca="1" si="1057"/>
        <v>#NAME?</v>
      </c>
      <c r="CY135" s="21" t="e">
        <f t="shared" ca="1" si="1057"/>
        <v>#NAME?</v>
      </c>
      <c r="CZ135" s="21" t="e">
        <f t="shared" ca="1" si="1057"/>
        <v>#NAME?</v>
      </c>
      <c r="DA135" s="21" t="e">
        <f t="shared" ca="1" si="1057"/>
        <v>#NAME?</v>
      </c>
      <c r="DB135" s="21" t="e">
        <f t="shared" ca="1" si="1057"/>
        <v>#NAME?</v>
      </c>
      <c r="DE135" s="126"/>
      <c r="DF135" s="22">
        <v>338.23299999999995</v>
      </c>
    </row>
    <row r="136" spans="1:110" s="22" customFormat="1" x14ac:dyDescent="0.2">
      <c r="AB136" s="21"/>
      <c r="AC136" s="21"/>
      <c r="AD136" s="21"/>
      <c r="AE136" s="21"/>
      <c r="CK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E136" s="126"/>
    </row>
    <row r="137" spans="1:110" s="23" customFormat="1" x14ac:dyDescent="0.2">
      <c r="A137" s="23" t="s">
        <v>23</v>
      </c>
      <c r="B137" s="23" t="e">
        <f ca="1">'Annual Raw'!C45</f>
        <v>#NAME?</v>
      </c>
      <c r="C137" s="23" t="e">
        <f ca="1">'Annual Raw'!D45</f>
        <v>#NAME?</v>
      </c>
      <c r="D137" s="23" t="e">
        <f ca="1">'Annual Raw'!E45</f>
        <v>#NAME?</v>
      </c>
      <c r="E137" s="23" t="e">
        <f ca="1">'Annual Raw'!F45</f>
        <v>#NAME?</v>
      </c>
      <c r="F137" s="23" t="e">
        <f ca="1">'Annual Raw'!G45</f>
        <v>#NAME?</v>
      </c>
      <c r="G137" s="23" t="e">
        <f ca="1">'Annual Raw'!H45</f>
        <v>#NAME?</v>
      </c>
      <c r="H137" s="23" t="e">
        <f ca="1">'Annual Raw'!I45</f>
        <v>#NAME?</v>
      </c>
      <c r="I137" s="23" t="e">
        <f ca="1">'Annual Raw'!J45</f>
        <v>#NAME?</v>
      </c>
      <c r="J137" s="23" t="e">
        <f ca="1">'Annual Raw'!K45</f>
        <v>#NAME?</v>
      </c>
      <c r="K137" s="23" t="e">
        <f ca="1">'Annual Raw'!L45</f>
        <v>#NAME?</v>
      </c>
      <c r="L137" s="23" t="e">
        <f ca="1">'Annual Raw'!M45</f>
        <v>#NAME?</v>
      </c>
      <c r="M137" s="23" t="e">
        <f ca="1">'Annual Raw'!N45</f>
        <v>#NAME?</v>
      </c>
      <c r="N137" s="23" t="e">
        <f ca="1">'Annual Raw'!O45</f>
        <v>#NAME?</v>
      </c>
      <c r="O137" s="23" t="e">
        <f ca="1">'Annual Raw'!P45</f>
        <v>#NAME?</v>
      </c>
      <c r="P137" s="23" t="e">
        <f ca="1">'Annual Raw'!Q45</f>
        <v>#NAME?</v>
      </c>
      <c r="Q137" s="23" t="e">
        <f ca="1">'Annual Raw'!R45</f>
        <v>#NAME?</v>
      </c>
      <c r="R137" s="23" t="e">
        <f ca="1">'Annual Raw'!S45</f>
        <v>#NAME?</v>
      </c>
      <c r="S137" s="23" t="e">
        <f ca="1">'Annual Raw'!T45</f>
        <v>#NAME?</v>
      </c>
      <c r="T137" s="23" t="e">
        <f ca="1">'Annual Raw'!U45</f>
        <v>#NAME?</v>
      </c>
      <c r="U137" s="23" t="e">
        <f ca="1">'Annual Raw'!V45</f>
        <v>#NAME?</v>
      </c>
      <c r="V137" s="23" t="e">
        <f ca="1">'Annual Raw'!W45</f>
        <v>#NAME?</v>
      </c>
      <c r="W137" s="23" t="e">
        <f ca="1">'Annual Raw'!X45</f>
        <v>#NAME?</v>
      </c>
      <c r="X137" s="23" t="e">
        <f ca="1">'Annual Raw'!Y45</f>
        <v>#NAME?</v>
      </c>
      <c r="Y137" s="23" t="e">
        <f ca="1">'Annual Raw'!Z45</f>
        <v>#NAME?</v>
      </c>
      <c r="Z137" s="23" t="e">
        <f ca="1">'Annual Raw'!AA45</f>
        <v>#NAME?</v>
      </c>
      <c r="AA137" s="23" t="e">
        <f ca="1">'Annual Raw'!AB45</f>
        <v>#NAME?</v>
      </c>
      <c r="AB137" s="24" t="e">
        <f ca="1">+CP137</f>
        <v>#NAME?</v>
      </c>
      <c r="AC137" s="24" t="e">
        <f ca="1">+CT137</f>
        <v>#NAME?</v>
      </c>
      <c r="AD137" s="24" t="e">
        <f ca="1">+CX137</f>
        <v>#NAME?</v>
      </c>
      <c r="AE137" s="24" t="e">
        <f ca="1">+DB137</f>
        <v>#NAME?</v>
      </c>
      <c r="AJ137" s="23" t="e">
        <f ca="1">+'QTR Raw'!D60</f>
        <v>#NAME?</v>
      </c>
      <c r="AK137" s="23" t="e">
        <f t="shared" ref="AK137:CE137" ca="1" si="1059">+AJ137</f>
        <v>#NAME?</v>
      </c>
      <c r="AL137" s="23" t="e">
        <f ca="1">+'QTR Raw'!F60</f>
        <v>#NAME?</v>
      </c>
      <c r="AM137" s="23" t="e">
        <f t="shared" ca="1" si="1059"/>
        <v>#NAME?</v>
      </c>
      <c r="AN137" s="23" t="e">
        <f ca="1">+'QTR Raw'!H60</f>
        <v>#NAME?</v>
      </c>
      <c r="AO137" s="23" t="e">
        <f t="shared" ca="1" si="1059"/>
        <v>#NAME?</v>
      </c>
      <c r="AP137" s="23" t="e">
        <f ca="1">+'QTR Raw'!J60</f>
        <v>#NAME?</v>
      </c>
      <c r="AQ137" s="23" t="e">
        <f t="shared" ca="1" si="1059"/>
        <v>#NAME?</v>
      </c>
      <c r="AR137" s="23" t="e">
        <f ca="1">+'QTR Raw'!L60</f>
        <v>#NAME?</v>
      </c>
      <c r="AS137" s="23" t="e">
        <f t="shared" ca="1" si="1059"/>
        <v>#NAME?</v>
      </c>
      <c r="AT137" s="23" t="e">
        <f ca="1">+'QTR Raw'!N60</f>
        <v>#NAME?</v>
      </c>
      <c r="AU137" s="23" t="e">
        <f t="shared" ca="1" si="1059"/>
        <v>#NAME?</v>
      </c>
      <c r="AV137" s="23" t="e">
        <f ca="1">+'QTR Raw'!P60</f>
        <v>#NAME?</v>
      </c>
      <c r="AW137" s="23" t="e">
        <f t="shared" ca="1" si="1059"/>
        <v>#NAME?</v>
      </c>
      <c r="AX137" s="23" t="e">
        <f ca="1">+'QTR Raw'!R60</f>
        <v>#NAME?</v>
      </c>
      <c r="AY137" s="23" t="e">
        <f t="shared" ca="1" si="1059"/>
        <v>#NAME?</v>
      </c>
      <c r="AZ137" s="23" t="e">
        <f ca="1">+'QTR Raw'!T60</f>
        <v>#NAME?</v>
      </c>
      <c r="BA137" s="23" t="e">
        <f t="shared" ca="1" si="1059"/>
        <v>#NAME?</v>
      </c>
      <c r="BB137" s="23" t="e">
        <f ca="1">+'QTR Raw'!V60</f>
        <v>#NAME?</v>
      </c>
      <c r="BC137" s="23" t="e">
        <f t="shared" ca="1" si="1059"/>
        <v>#NAME?</v>
      </c>
      <c r="BD137" s="23" t="e">
        <f ca="1">+'QTR Raw'!X60</f>
        <v>#NAME?</v>
      </c>
      <c r="BE137" s="23" t="e">
        <f t="shared" ca="1" si="1059"/>
        <v>#NAME?</v>
      </c>
      <c r="BF137" s="23" t="e">
        <f ca="1">+'QTR Raw'!Z60</f>
        <v>#NAME?</v>
      </c>
      <c r="BG137" s="23" t="e">
        <f t="shared" ca="1" si="1059"/>
        <v>#NAME?</v>
      </c>
      <c r="BH137" s="22" t="e">
        <f ca="1">+'QTR Raw'!AB60</f>
        <v>#NAME?</v>
      </c>
      <c r="BI137" s="23" t="e">
        <f t="shared" ca="1" si="1059"/>
        <v>#NAME?</v>
      </c>
      <c r="BJ137" s="23" t="e">
        <f ca="1">+'QTR Raw'!AD60</f>
        <v>#NAME?</v>
      </c>
      <c r="BK137" s="23" t="e">
        <f t="shared" ca="1" si="1059"/>
        <v>#NAME?</v>
      </c>
      <c r="BL137" s="23" t="e">
        <f ca="1">+'QTR Raw'!AF60</f>
        <v>#NAME?</v>
      </c>
      <c r="BM137" s="23" t="e">
        <f t="shared" ca="1" si="1059"/>
        <v>#NAME?</v>
      </c>
      <c r="BN137" s="23" t="e">
        <f ca="1">+'QTR Raw'!AH60</f>
        <v>#NAME?</v>
      </c>
      <c r="BO137" s="23" t="e">
        <f t="shared" ca="1" si="1059"/>
        <v>#NAME?</v>
      </c>
      <c r="BP137" s="23" t="e">
        <f ca="1">+'QTR Raw'!AJ60</f>
        <v>#NAME?</v>
      </c>
      <c r="BQ137" s="23" t="e">
        <f t="shared" ca="1" si="1059"/>
        <v>#NAME?</v>
      </c>
      <c r="BR137" s="23" t="e">
        <f ca="1">+'QTR Raw'!AL60</f>
        <v>#NAME?</v>
      </c>
      <c r="BS137" s="23" t="e">
        <f t="shared" ca="1" si="1059"/>
        <v>#NAME?</v>
      </c>
      <c r="BT137" s="23" t="e">
        <f ca="1">+'QTR Raw'!AN60</f>
        <v>#NAME?</v>
      </c>
      <c r="BU137" s="23" t="e">
        <f t="shared" ca="1" si="1059"/>
        <v>#NAME?</v>
      </c>
      <c r="BV137" s="23" t="e">
        <f ca="1">+'QTR Raw'!AP60</f>
        <v>#NAME?</v>
      </c>
      <c r="BW137" s="23" t="e">
        <f t="shared" ca="1" si="1059"/>
        <v>#NAME?</v>
      </c>
      <c r="BX137" s="23" t="e">
        <f ca="1">+'QTR Raw'!AR60</f>
        <v>#NAME?</v>
      </c>
      <c r="BY137" s="23" t="e">
        <f t="shared" ca="1" si="1059"/>
        <v>#NAME?</v>
      </c>
      <c r="BZ137" s="23" t="e">
        <f ca="1">+'QTR Raw'!AT60</f>
        <v>#NAME?</v>
      </c>
      <c r="CA137" s="23" t="e">
        <f t="shared" ca="1" si="1059"/>
        <v>#NAME?</v>
      </c>
      <c r="CB137" s="23" t="e">
        <f ca="1">+'QTR Raw'!AV60</f>
        <v>#NAME?</v>
      </c>
      <c r="CC137" s="23" t="e">
        <f t="shared" ca="1" si="1059"/>
        <v>#NAME?</v>
      </c>
      <c r="CD137" s="23" t="e">
        <f ca="1">+'QTR Raw'!AX60</f>
        <v>#NAME?</v>
      </c>
      <c r="CE137" s="23" t="e">
        <f t="shared" ca="1" si="1059"/>
        <v>#NAME?</v>
      </c>
      <c r="CF137" s="23" t="e">
        <f ca="1">+'QTR Raw'!AZ60</f>
        <v>#NAME?</v>
      </c>
      <c r="CG137" s="23" t="e">
        <f t="shared" ref="CG137:CI137" ca="1" si="1060">+CF137</f>
        <v>#NAME?</v>
      </c>
      <c r="CH137" s="23" t="e">
        <f t="shared" ref="CH137:CH142" ca="1" si="1061">Z137</f>
        <v>#NAME?</v>
      </c>
      <c r="CI137" s="23" t="e">
        <f t="shared" ca="1" si="1060"/>
        <v>#NAME?</v>
      </c>
      <c r="CJ137" s="23" t="e">
        <f ca="1">+'QTR Raw'!BD60</f>
        <v>#NAME?</v>
      </c>
      <c r="CK137" s="24" t="e">
        <f t="shared" ref="CK137" ca="1" si="1062">+CJ137</f>
        <v>#NAME?</v>
      </c>
      <c r="CL137" s="23" t="e">
        <f ca="1">+'QTR Raw'!BF60</f>
        <v>#NAME?</v>
      </c>
      <c r="CM137" s="24" t="e">
        <f t="shared" ref="CM137" ca="1" si="1063">+CL137</f>
        <v>#NAME?</v>
      </c>
      <c r="CN137" s="24" t="e">
        <f t="shared" ref="CN137" ca="1" si="1064">+CM137</f>
        <v>#NAME?</v>
      </c>
      <c r="CO137" s="24" t="e">
        <f t="shared" ref="CO137" ca="1" si="1065">+CN137</f>
        <v>#NAME?</v>
      </c>
      <c r="CP137" s="24" t="e">
        <f t="shared" ref="CP137" ca="1" si="1066">+CO137</f>
        <v>#NAME?</v>
      </c>
      <c r="CQ137" s="24" t="e">
        <f t="shared" ref="CQ137" ca="1" si="1067">+CP137</f>
        <v>#NAME?</v>
      </c>
      <c r="CR137" s="24" t="e">
        <f t="shared" ref="CR137" ca="1" si="1068">+CQ137</f>
        <v>#NAME?</v>
      </c>
      <c r="CS137" s="24" t="e">
        <f t="shared" ref="CS137" ca="1" si="1069">+CR137</f>
        <v>#NAME?</v>
      </c>
      <c r="CT137" s="24" t="e">
        <f t="shared" ref="CT137" ca="1" si="1070">+CS137</f>
        <v>#NAME?</v>
      </c>
      <c r="CU137" s="24" t="e">
        <f t="shared" ref="CU137" ca="1" si="1071">+CT137</f>
        <v>#NAME?</v>
      </c>
      <c r="CV137" s="24" t="e">
        <f t="shared" ref="CV137" ca="1" si="1072">+CU137</f>
        <v>#NAME?</v>
      </c>
      <c r="CW137" s="24" t="e">
        <f t="shared" ref="CW137" ca="1" si="1073">+CV137</f>
        <v>#NAME?</v>
      </c>
      <c r="CX137" s="24" t="e">
        <f t="shared" ref="CX137" ca="1" si="1074">+CW137</f>
        <v>#NAME?</v>
      </c>
      <c r="CY137" s="24" t="e">
        <f t="shared" ref="CY137" ca="1" si="1075">+CX137</f>
        <v>#NAME?</v>
      </c>
      <c r="CZ137" s="24" t="e">
        <f t="shared" ref="CZ137" ca="1" si="1076">+CY137</f>
        <v>#NAME?</v>
      </c>
      <c r="DA137" s="24" t="e">
        <f t="shared" ref="DA137" ca="1" si="1077">+CZ137</f>
        <v>#NAME?</v>
      </c>
      <c r="DB137" s="24" t="e">
        <f t="shared" ref="DB137" ca="1" si="1078">+DA137</f>
        <v>#NAME?</v>
      </c>
      <c r="DE137" s="123"/>
      <c r="DF137" s="23">
        <v>0</v>
      </c>
    </row>
    <row r="138" spans="1:110" s="23" customFormat="1" x14ac:dyDescent="0.2">
      <c r="AB138" s="24"/>
      <c r="AC138" s="24"/>
      <c r="AD138" s="24"/>
      <c r="AE138" s="24"/>
      <c r="BH138" s="22"/>
      <c r="CK138" s="24"/>
      <c r="CM138" s="24"/>
      <c r="CN138" s="24"/>
      <c r="CO138" s="24"/>
      <c r="CP138" s="24"/>
      <c r="CQ138" s="24"/>
      <c r="CR138" s="24"/>
      <c r="CS138" s="24"/>
      <c r="CT138" s="24"/>
      <c r="CU138" s="24"/>
      <c r="CV138" s="24"/>
      <c r="CW138" s="24"/>
      <c r="CX138" s="24"/>
      <c r="CY138" s="24"/>
      <c r="CZ138" s="24"/>
      <c r="DA138" s="24"/>
      <c r="DB138" s="24"/>
      <c r="DE138" s="123"/>
    </row>
    <row r="139" spans="1:110" s="23" customFormat="1" outlineLevel="1" x14ac:dyDescent="0.2">
      <c r="A139" s="23" t="s">
        <v>45</v>
      </c>
      <c r="B139" s="23" t="e">
        <f ca="1">'Annual Raw'!C47</f>
        <v>#NAME?</v>
      </c>
      <c r="C139" s="23" t="e">
        <f ca="1">'Annual Raw'!D47</f>
        <v>#NAME?</v>
      </c>
      <c r="D139" s="23" t="e">
        <f ca="1">'Annual Raw'!E47</f>
        <v>#NAME?</v>
      </c>
      <c r="E139" s="23" t="e">
        <f ca="1">'Annual Raw'!F47</f>
        <v>#NAME?</v>
      </c>
      <c r="F139" s="23" t="e">
        <f ca="1">'Annual Raw'!G47</f>
        <v>#NAME?</v>
      </c>
      <c r="G139" s="23" t="e">
        <f ca="1">'Annual Raw'!H47</f>
        <v>#NAME?</v>
      </c>
      <c r="H139" s="23" t="e">
        <f ca="1">'Annual Raw'!I47</f>
        <v>#NAME?</v>
      </c>
      <c r="I139" s="23" t="e">
        <f ca="1">'Annual Raw'!J47</f>
        <v>#NAME?</v>
      </c>
      <c r="J139" s="23" t="e">
        <f ca="1">'Annual Raw'!K47</f>
        <v>#NAME?</v>
      </c>
      <c r="K139" s="23" t="e">
        <f ca="1">'Annual Raw'!L47</f>
        <v>#NAME?</v>
      </c>
      <c r="L139" s="23" t="e">
        <f ca="1">'Annual Raw'!M47</f>
        <v>#NAME?</v>
      </c>
      <c r="M139" s="23" t="e">
        <f ca="1">'Annual Raw'!N47</f>
        <v>#NAME?</v>
      </c>
      <c r="N139" s="23" t="e">
        <f ca="1">'Annual Raw'!O47</f>
        <v>#NAME?</v>
      </c>
      <c r="O139" s="23" t="e">
        <f ca="1">'Annual Raw'!P47</f>
        <v>#NAME?</v>
      </c>
      <c r="P139" s="23" t="e">
        <f ca="1">'Annual Raw'!Q47</f>
        <v>#NAME?</v>
      </c>
      <c r="Q139" s="23" t="e">
        <f ca="1">'Annual Raw'!R47</f>
        <v>#NAME?</v>
      </c>
      <c r="R139" s="23" t="e">
        <f ca="1">'Annual Raw'!S47</f>
        <v>#NAME?</v>
      </c>
      <c r="S139" s="23" t="e">
        <f ca="1">'Annual Raw'!T47</f>
        <v>#NAME?</v>
      </c>
      <c r="T139" s="23" t="e">
        <f ca="1">'Annual Raw'!U47</f>
        <v>#NAME?</v>
      </c>
      <c r="U139" s="23" t="e">
        <f ca="1">'Annual Raw'!V47</f>
        <v>#NAME?</v>
      </c>
      <c r="V139" s="23" t="e">
        <f ca="1">'Annual Raw'!W47</f>
        <v>#NAME?</v>
      </c>
      <c r="W139" s="23" t="e">
        <f ca="1">'Annual Raw'!X47</f>
        <v>#NAME?</v>
      </c>
      <c r="X139" s="23" t="e">
        <f ca="1">'Annual Raw'!Y47</f>
        <v>#NAME?</v>
      </c>
      <c r="Y139" s="23" t="e">
        <f ca="1">'Annual Raw'!Z47</f>
        <v>#NAME?</v>
      </c>
      <c r="Z139" s="23" t="e">
        <f ca="1">'Annual Raw'!AA47</f>
        <v>#NAME?</v>
      </c>
      <c r="AA139" s="23" t="e">
        <f ca="1">'Annual Raw'!AB47</f>
        <v>#NAME?</v>
      </c>
      <c r="AB139" s="24" t="e">
        <f t="shared" ref="AB139:AB142" ca="1" si="1079">+CP139</f>
        <v>#NAME?</v>
      </c>
      <c r="AC139" s="24" t="e">
        <f t="shared" ref="AC139:AC142" ca="1" si="1080">+CT139</f>
        <v>#NAME?</v>
      </c>
      <c r="AD139" s="24" t="e">
        <f t="shared" ref="AD139:AD142" ca="1" si="1081">+CX139</f>
        <v>#NAME?</v>
      </c>
      <c r="AE139" s="24" t="e">
        <f t="shared" ref="AE139:AE142" ca="1" si="1082">+DB139</f>
        <v>#NAME?</v>
      </c>
      <c r="AJ139" s="23" t="e">
        <f ca="1">+'QTR Raw'!D62</f>
        <v>#NAME?</v>
      </c>
      <c r="AK139" s="23" t="e">
        <f t="shared" ref="AK139:CC142" ca="1" si="1083">+AJ139</f>
        <v>#NAME?</v>
      </c>
      <c r="AL139" s="23" t="e">
        <f ca="1">+'QTR Raw'!F62</f>
        <v>#NAME?</v>
      </c>
      <c r="AM139" s="23" t="e">
        <f t="shared" ca="1" si="1083"/>
        <v>#NAME?</v>
      </c>
      <c r="AN139" s="23" t="e">
        <f ca="1">+'QTR Raw'!H62</f>
        <v>#NAME?</v>
      </c>
      <c r="AO139" s="23" t="e">
        <f t="shared" ca="1" si="1083"/>
        <v>#NAME?</v>
      </c>
      <c r="AP139" s="23" t="e">
        <f ca="1">+'QTR Raw'!J62</f>
        <v>#NAME?</v>
      </c>
      <c r="AQ139" s="23" t="e">
        <f t="shared" ca="1" si="1083"/>
        <v>#NAME?</v>
      </c>
      <c r="AR139" s="23" t="e">
        <f ca="1">+'QTR Raw'!L62</f>
        <v>#NAME?</v>
      </c>
      <c r="AS139" s="23" t="e">
        <f t="shared" ca="1" si="1083"/>
        <v>#NAME?</v>
      </c>
      <c r="AT139" s="23" t="e">
        <f ca="1">+'QTR Raw'!N62</f>
        <v>#NAME?</v>
      </c>
      <c r="AU139" s="23" t="e">
        <f t="shared" ca="1" si="1083"/>
        <v>#NAME?</v>
      </c>
      <c r="AV139" s="23" t="e">
        <f ca="1">+'QTR Raw'!P62</f>
        <v>#NAME?</v>
      </c>
      <c r="AW139" s="23" t="e">
        <f t="shared" ca="1" si="1083"/>
        <v>#NAME?</v>
      </c>
      <c r="AX139" s="23" t="e">
        <f ca="1">+'QTR Raw'!R62</f>
        <v>#NAME?</v>
      </c>
      <c r="AY139" s="23" t="e">
        <f t="shared" ca="1" si="1083"/>
        <v>#NAME?</v>
      </c>
      <c r="AZ139" s="23" t="e">
        <f ca="1">+'QTR Raw'!T62</f>
        <v>#NAME?</v>
      </c>
      <c r="BA139" s="23" t="e">
        <f t="shared" ca="1" si="1083"/>
        <v>#NAME?</v>
      </c>
      <c r="BB139" s="23" t="e">
        <f ca="1">+'QTR Raw'!V62</f>
        <v>#NAME?</v>
      </c>
      <c r="BC139" s="23" t="e">
        <f t="shared" ca="1" si="1083"/>
        <v>#NAME?</v>
      </c>
      <c r="BD139" s="23" t="e">
        <f ca="1">+'QTR Raw'!X62</f>
        <v>#NAME?</v>
      </c>
      <c r="BE139" s="23" t="e">
        <f t="shared" ca="1" si="1083"/>
        <v>#NAME?</v>
      </c>
      <c r="BF139" s="23" t="e">
        <f ca="1">+'QTR Raw'!Z62</f>
        <v>#NAME?</v>
      </c>
      <c r="BG139" s="23" t="e">
        <f t="shared" ca="1" si="1083"/>
        <v>#NAME?</v>
      </c>
      <c r="BH139" s="22" t="e">
        <f ca="1">+'QTR Raw'!AB62</f>
        <v>#NAME?</v>
      </c>
      <c r="BI139" s="23" t="e">
        <f t="shared" ca="1" si="1083"/>
        <v>#NAME?</v>
      </c>
      <c r="BJ139" s="23" t="e">
        <f ca="1">+'QTR Raw'!AD62</f>
        <v>#NAME?</v>
      </c>
      <c r="BK139" s="23" t="e">
        <f t="shared" ca="1" si="1083"/>
        <v>#NAME?</v>
      </c>
      <c r="BL139" s="23" t="e">
        <f ca="1">+'QTR Raw'!AF62</f>
        <v>#NAME?</v>
      </c>
      <c r="BM139" s="23" t="e">
        <f t="shared" ca="1" si="1083"/>
        <v>#NAME?</v>
      </c>
      <c r="BN139" s="23" t="e">
        <f ca="1">+'QTR Raw'!AH62</f>
        <v>#NAME?</v>
      </c>
      <c r="BO139" s="23" t="e">
        <f t="shared" ca="1" si="1083"/>
        <v>#NAME?</v>
      </c>
      <c r="BP139" s="23" t="e">
        <f ca="1">+'QTR Raw'!AJ62</f>
        <v>#NAME?</v>
      </c>
      <c r="BQ139" s="23" t="e">
        <f t="shared" ca="1" si="1083"/>
        <v>#NAME?</v>
      </c>
      <c r="BR139" s="23" t="e">
        <f ca="1">+'QTR Raw'!AL62</f>
        <v>#NAME?</v>
      </c>
      <c r="BS139" s="23" t="e">
        <f t="shared" ca="1" si="1083"/>
        <v>#NAME?</v>
      </c>
      <c r="BT139" s="23" t="e">
        <f ca="1">+'QTR Raw'!AN62</f>
        <v>#NAME?</v>
      </c>
      <c r="BU139" s="23" t="e">
        <f t="shared" ca="1" si="1083"/>
        <v>#NAME?</v>
      </c>
      <c r="BV139" s="23" t="e">
        <f ca="1">+'QTR Raw'!AP62</f>
        <v>#NAME?</v>
      </c>
      <c r="BW139" s="23" t="e">
        <f t="shared" ca="1" si="1083"/>
        <v>#NAME?</v>
      </c>
      <c r="BX139" s="23" t="e">
        <f ca="1">+'QTR Raw'!AR62</f>
        <v>#NAME?</v>
      </c>
      <c r="BY139" s="23" t="e">
        <f t="shared" ca="1" si="1083"/>
        <v>#NAME?</v>
      </c>
      <c r="BZ139" s="23" t="e">
        <f ca="1">+'QTR Raw'!AT62</f>
        <v>#NAME?</v>
      </c>
      <c r="CA139" s="23" t="e">
        <f t="shared" ca="1" si="1083"/>
        <v>#NAME?</v>
      </c>
      <c r="CB139" s="23" t="e">
        <f ca="1">+'QTR Raw'!AV62</f>
        <v>#NAME?</v>
      </c>
      <c r="CC139" s="23" t="e">
        <f t="shared" ca="1" si="1083"/>
        <v>#NAME?</v>
      </c>
      <c r="CD139" s="23" t="e">
        <f ca="1">+'QTR Raw'!AX62</f>
        <v>#NAME?</v>
      </c>
      <c r="CE139" s="23" t="e">
        <f t="shared" ref="CE139:CE142" ca="1" si="1084">+CD139</f>
        <v>#NAME?</v>
      </c>
      <c r="CF139" s="23" t="e">
        <f ca="1">+'QTR Raw'!AZ62</f>
        <v>#NAME?</v>
      </c>
      <c r="CG139" s="23" t="e">
        <f t="shared" ref="CG139:CI142" ca="1" si="1085">+CF139</f>
        <v>#NAME?</v>
      </c>
      <c r="CH139" s="23" t="e">
        <f t="shared" ca="1" si="1061"/>
        <v>#NAME?</v>
      </c>
      <c r="CI139" s="23" t="e">
        <f t="shared" ca="1" si="1085"/>
        <v>#NAME?</v>
      </c>
      <c r="CJ139" s="23" t="e">
        <f ca="1">+'QTR Raw'!BD62</f>
        <v>#NAME?</v>
      </c>
      <c r="CK139" s="24" t="e">
        <f t="shared" ref="CK139:CK142" ca="1" si="1086">+CJ139</f>
        <v>#NAME?</v>
      </c>
      <c r="CL139" s="23" t="e">
        <f ca="1">+'QTR Raw'!BF62</f>
        <v>#NAME?</v>
      </c>
      <c r="CM139" s="24" t="e">
        <f t="shared" ref="CM139:CM142" ca="1" si="1087">+CL139</f>
        <v>#NAME?</v>
      </c>
      <c r="CN139" s="24" t="e">
        <f t="shared" ref="CN139:CN142" ca="1" si="1088">+CM139</f>
        <v>#NAME?</v>
      </c>
      <c r="CO139" s="24" t="e">
        <f t="shared" ref="CO139:CO142" ca="1" si="1089">+CN139</f>
        <v>#NAME?</v>
      </c>
      <c r="CP139" s="24" t="e">
        <f t="shared" ref="CP139:CP142" ca="1" si="1090">+CO139</f>
        <v>#NAME?</v>
      </c>
      <c r="CQ139" s="24" t="e">
        <f t="shared" ref="CQ139:CQ142" ca="1" si="1091">+CP139</f>
        <v>#NAME?</v>
      </c>
      <c r="CR139" s="24" t="e">
        <f t="shared" ref="CR139:CR142" ca="1" si="1092">+CQ139</f>
        <v>#NAME?</v>
      </c>
      <c r="CS139" s="24" t="e">
        <f t="shared" ref="CS139:CS142" ca="1" si="1093">+CR139</f>
        <v>#NAME?</v>
      </c>
      <c r="CT139" s="24" t="e">
        <f t="shared" ref="CT139:CT142" ca="1" si="1094">+CS139</f>
        <v>#NAME?</v>
      </c>
      <c r="CU139" s="24" t="e">
        <f t="shared" ref="CU139:CU142" ca="1" si="1095">+CT139</f>
        <v>#NAME?</v>
      </c>
      <c r="CV139" s="24" t="e">
        <f t="shared" ref="CV139:CV142" ca="1" si="1096">+CU139</f>
        <v>#NAME?</v>
      </c>
      <c r="CW139" s="24" t="e">
        <f t="shared" ref="CW139:CW142" ca="1" si="1097">+CV139</f>
        <v>#NAME?</v>
      </c>
      <c r="CX139" s="24" t="e">
        <f t="shared" ref="CX139:CX142" ca="1" si="1098">+CW139</f>
        <v>#NAME?</v>
      </c>
      <c r="CY139" s="24" t="e">
        <f t="shared" ref="CY139:CY142" ca="1" si="1099">+CX139</f>
        <v>#NAME?</v>
      </c>
      <c r="CZ139" s="24" t="e">
        <f t="shared" ref="CZ139:CZ142" ca="1" si="1100">+CY139</f>
        <v>#NAME?</v>
      </c>
      <c r="DA139" s="24" t="e">
        <f t="shared" ref="DA139:DA142" ca="1" si="1101">+CZ139</f>
        <v>#NAME?</v>
      </c>
      <c r="DB139" s="24" t="e">
        <f t="shared" ref="DB139:DB142" ca="1" si="1102">+DA139</f>
        <v>#NAME?</v>
      </c>
      <c r="DE139" s="123"/>
      <c r="DF139" s="23">
        <v>0</v>
      </c>
    </row>
    <row r="140" spans="1:110" s="23" customFormat="1" outlineLevel="1" x14ac:dyDescent="0.2">
      <c r="A140" s="23" t="s">
        <v>46</v>
      </c>
      <c r="B140" s="23" t="e">
        <f ca="1">'Annual Raw'!C48</f>
        <v>#NAME?</v>
      </c>
      <c r="C140" s="23" t="e">
        <f ca="1">'Annual Raw'!D48</f>
        <v>#NAME?</v>
      </c>
      <c r="D140" s="23" t="e">
        <f ca="1">'Annual Raw'!E48</f>
        <v>#NAME?</v>
      </c>
      <c r="E140" s="23" t="e">
        <f ca="1">'Annual Raw'!F48</f>
        <v>#NAME?</v>
      </c>
      <c r="F140" s="23" t="e">
        <f ca="1">'Annual Raw'!G48</f>
        <v>#NAME?</v>
      </c>
      <c r="G140" s="23" t="e">
        <f ca="1">'Annual Raw'!H48</f>
        <v>#NAME?</v>
      </c>
      <c r="H140" s="23" t="e">
        <f ca="1">'Annual Raw'!I48</f>
        <v>#NAME?</v>
      </c>
      <c r="I140" s="23" t="e">
        <f ca="1">'Annual Raw'!J48</f>
        <v>#NAME?</v>
      </c>
      <c r="J140" s="23" t="e">
        <f ca="1">'Annual Raw'!K48</f>
        <v>#NAME?</v>
      </c>
      <c r="K140" s="23" t="e">
        <f ca="1">'Annual Raw'!L48</f>
        <v>#NAME?</v>
      </c>
      <c r="L140" s="23" t="e">
        <f ca="1">'Annual Raw'!M48</f>
        <v>#NAME?</v>
      </c>
      <c r="M140" s="23" t="e">
        <f ca="1">'Annual Raw'!N48</f>
        <v>#NAME?</v>
      </c>
      <c r="N140" s="23" t="e">
        <f ca="1">'Annual Raw'!O48</f>
        <v>#NAME?</v>
      </c>
      <c r="O140" s="23" t="e">
        <f ca="1">'Annual Raw'!P48</f>
        <v>#NAME?</v>
      </c>
      <c r="P140" s="23" t="e">
        <f ca="1">'Annual Raw'!Q48</f>
        <v>#NAME?</v>
      </c>
      <c r="Q140" s="23" t="e">
        <f ca="1">'Annual Raw'!R48</f>
        <v>#NAME?</v>
      </c>
      <c r="R140" s="23" t="e">
        <f ca="1">'Annual Raw'!S48</f>
        <v>#NAME?</v>
      </c>
      <c r="S140" s="23" t="e">
        <f ca="1">'Annual Raw'!T48</f>
        <v>#NAME?</v>
      </c>
      <c r="T140" s="23" t="e">
        <f ca="1">'Annual Raw'!U48</f>
        <v>#NAME?</v>
      </c>
      <c r="U140" s="23" t="e">
        <f ca="1">'Annual Raw'!V48</f>
        <v>#NAME?</v>
      </c>
      <c r="V140" s="23" t="e">
        <f ca="1">'Annual Raw'!W48</f>
        <v>#NAME?</v>
      </c>
      <c r="W140" s="23" t="e">
        <f ca="1">'Annual Raw'!X48</f>
        <v>#NAME?</v>
      </c>
      <c r="X140" s="23" t="e">
        <f ca="1">'Annual Raw'!Y48</f>
        <v>#NAME?</v>
      </c>
      <c r="Y140" s="23" t="e">
        <f ca="1">'Annual Raw'!Z48</f>
        <v>#NAME?</v>
      </c>
      <c r="Z140" s="23" t="e">
        <f ca="1">'Annual Raw'!AA48</f>
        <v>#NAME?</v>
      </c>
      <c r="AA140" s="23" t="e">
        <f ca="1">'Annual Raw'!AB48</f>
        <v>#NAME?</v>
      </c>
      <c r="AB140" s="24" t="e">
        <f t="shared" ca="1" si="1079"/>
        <v>#NAME?</v>
      </c>
      <c r="AC140" s="24" t="e">
        <f t="shared" ca="1" si="1080"/>
        <v>#NAME?</v>
      </c>
      <c r="AD140" s="24" t="e">
        <f t="shared" ca="1" si="1081"/>
        <v>#NAME?</v>
      </c>
      <c r="AE140" s="24" t="e">
        <f t="shared" ca="1" si="1082"/>
        <v>#NAME?</v>
      </c>
      <c r="AJ140" s="23" t="e">
        <f ca="1">+'QTR Raw'!D63</f>
        <v>#NAME?</v>
      </c>
      <c r="AK140" s="23" t="e">
        <f t="shared" ca="1" si="1083"/>
        <v>#NAME?</v>
      </c>
      <c r="AL140" s="23" t="e">
        <f ca="1">+'QTR Raw'!F63</f>
        <v>#NAME?</v>
      </c>
      <c r="AM140" s="23" t="e">
        <f t="shared" ca="1" si="1083"/>
        <v>#NAME?</v>
      </c>
      <c r="AN140" s="23" t="e">
        <f ca="1">+'QTR Raw'!H63</f>
        <v>#NAME?</v>
      </c>
      <c r="AO140" s="23" t="e">
        <f t="shared" ca="1" si="1083"/>
        <v>#NAME?</v>
      </c>
      <c r="AP140" s="23" t="e">
        <f ca="1">+'QTR Raw'!J63</f>
        <v>#NAME?</v>
      </c>
      <c r="AQ140" s="23" t="e">
        <f t="shared" ca="1" si="1083"/>
        <v>#NAME?</v>
      </c>
      <c r="AR140" s="23" t="e">
        <f ca="1">+'QTR Raw'!L63</f>
        <v>#NAME?</v>
      </c>
      <c r="AS140" s="23" t="e">
        <f t="shared" ca="1" si="1083"/>
        <v>#NAME?</v>
      </c>
      <c r="AT140" s="23" t="e">
        <f ca="1">+'QTR Raw'!N63</f>
        <v>#NAME?</v>
      </c>
      <c r="AU140" s="23" t="e">
        <f t="shared" ca="1" si="1083"/>
        <v>#NAME?</v>
      </c>
      <c r="AV140" s="23" t="e">
        <f ca="1">+'QTR Raw'!P63</f>
        <v>#NAME?</v>
      </c>
      <c r="AW140" s="23" t="e">
        <f t="shared" ca="1" si="1083"/>
        <v>#NAME?</v>
      </c>
      <c r="AX140" s="23" t="e">
        <f ca="1">+'QTR Raw'!R63</f>
        <v>#NAME?</v>
      </c>
      <c r="AY140" s="23" t="e">
        <f t="shared" ca="1" si="1083"/>
        <v>#NAME?</v>
      </c>
      <c r="AZ140" s="23" t="e">
        <f ca="1">+'QTR Raw'!T63</f>
        <v>#NAME?</v>
      </c>
      <c r="BA140" s="23" t="e">
        <f t="shared" ca="1" si="1083"/>
        <v>#NAME?</v>
      </c>
      <c r="BB140" s="23" t="e">
        <f ca="1">+'QTR Raw'!V63</f>
        <v>#NAME?</v>
      </c>
      <c r="BC140" s="23" t="e">
        <f t="shared" ca="1" si="1083"/>
        <v>#NAME?</v>
      </c>
      <c r="BD140" s="23" t="e">
        <f ca="1">+'QTR Raw'!X63</f>
        <v>#NAME?</v>
      </c>
      <c r="BE140" s="23" t="e">
        <f t="shared" ca="1" si="1083"/>
        <v>#NAME?</v>
      </c>
      <c r="BF140" s="23" t="e">
        <f ca="1">+'QTR Raw'!Z63</f>
        <v>#NAME?</v>
      </c>
      <c r="BG140" s="23" t="e">
        <f t="shared" ca="1" si="1083"/>
        <v>#NAME?</v>
      </c>
      <c r="BH140" s="23" t="e">
        <f ca="1">+'QTR Raw'!AB63</f>
        <v>#NAME?</v>
      </c>
      <c r="BI140" s="23" t="e">
        <f t="shared" ca="1" si="1083"/>
        <v>#NAME?</v>
      </c>
      <c r="BJ140" s="23" t="e">
        <f ca="1">+'QTR Raw'!AD63</f>
        <v>#NAME?</v>
      </c>
      <c r="BK140" s="23" t="e">
        <f t="shared" ca="1" si="1083"/>
        <v>#NAME?</v>
      </c>
      <c r="BL140" s="23" t="e">
        <f ca="1">+'QTR Raw'!AF63</f>
        <v>#NAME?</v>
      </c>
      <c r="BM140" s="23" t="e">
        <f t="shared" ca="1" si="1083"/>
        <v>#NAME?</v>
      </c>
      <c r="BN140" s="23" t="e">
        <f ca="1">+'QTR Raw'!AH63</f>
        <v>#NAME?</v>
      </c>
      <c r="BO140" s="23" t="e">
        <f t="shared" ca="1" si="1083"/>
        <v>#NAME?</v>
      </c>
      <c r="BP140" s="23" t="e">
        <f ca="1">+'QTR Raw'!AJ63</f>
        <v>#NAME?</v>
      </c>
      <c r="BQ140" s="23" t="e">
        <f t="shared" ca="1" si="1083"/>
        <v>#NAME?</v>
      </c>
      <c r="BR140" s="23" t="e">
        <f ca="1">+'QTR Raw'!AL63</f>
        <v>#NAME?</v>
      </c>
      <c r="BS140" s="23" t="e">
        <f t="shared" ca="1" si="1083"/>
        <v>#NAME?</v>
      </c>
      <c r="BT140" s="23" t="e">
        <f ca="1">+'QTR Raw'!AN63</f>
        <v>#NAME?</v>
      </c>
      <c r="BU140" s="23" t="e">
        <f t="shared" ca="1" si="1083"/>
        <v>#NAME?</v>
      </c>
      <c r="BV140" s="23" t="e">
        <f ca="1">+'QTR Raw'!AP63</f>
        <v>#NAME?</v>
      </c>
      <c r="BW140" s="23" t="e">
        <f t="shared" ca="1" si="1083"/>
        <v>#NAME?</v>
      </c>
      <c r="BX140" s="23" t="e">
        <f ca="1">+'QTR Raw'!AR63</f>
        <v>#NAME?</v>
      </c>
      <c r="BY140" s="23" t="e">
        <f t="shared" ca="1" si="1083"/>
        <v>#NAME?</v>
      </c>
      <c r="BZ140" s="23" t="e">
        <f ca="1">+'QTR Raw'!AT63</f>
        <v>#NAME?</v>
      </c>
      <c r="CA140" s="23" t="e">
        <f t="shared" ca="1" si="1083"/>
        <v>#NAME?</v>
      </c>
      <c r="CB140" s="23" t="e">
        <f ca="1">+'QTR Raw'!AV63</f>
        <v>#NAME?</v>
      </c>
      <c r="CC140" s="23" t="e">
        <f t="shared" ca="1" si="1083"/>
        <v>#NAME?</v>
      </c>
      <c r="CD140" s="23" t="e">
        <f ca="1">+'QTR Raw'!AX63</f>
        <v>#NAME?</v>
      </c>
      <c r="CE140" s="23" t="e">
        <f t="shared" ca="1" si="1084"/>
        <v>#NAME?</v>
      </c>
      <c r="CF140" s="23" t="e">
        <f ca="1">+'QTR Raw'!AZ63</f>
        <v>#NAME?</v>
      </c>
      <c r="CG140" s="23" t="e">
        <f t="shared" ca="1" si="1085"/>
        <v>#NAME?</v>
      </c>
      <c r="CH140" s="23" t="e">
        <f t="shared" ca="1" si="1061"/>
        <v>#NAME?</v>
      </c>
      <c r="CI140" s="23" t="e">
        <f t="shared" ca="1" si="1085"/>
        <v>#NAME?</v>
      </c>
      <c r="CJ140" s="23" t="e">
        <f ca="1">+'QTR Raw'!BD63</f>
        <v>#NAME?</v>
      </c>
      <c r="CK140" s="24" t="e">
        <f t="shared" ca="1" si="1086"/>
        <v>#NAME?</v>
      </c>
      <c r="CL140" s="23" t="e">
        <f ca="1">+'QTR Raw'!BF63</f>
        <v>#NAME?</v>
      </c>
      <c r="CM140" s="24" t="e">
        <f t="shared" ca="1" si="1087"/>
        <v>#NAME?</v>
      </c>
      <c r="CN140" s="24" t="e">
        <f t="shared" ca="1" si="1088"/>
        <v>#NAME?</v>
      </c>
      <c r="CO140" s="24" t="e">
        <f t="shared" ca="1" si="1089"/>
        <v>#NAME?</v>
      </c>
      <c r="CP140" s="24" t="e">
        <f t="shared" ca="1" si="1090"/>
        <v>#NAME?</v>
      </c>
      <c r="CQ140" s="24" t="e">
        <f t="shared" ca="1" si="1091"/>
        <v>#NAME?</v>
      </c>
      <c r="CR140" s="24" t="e">
        <f t="shared" ca="1" si="1092"/>
        <v>#NAME?</v>
      </c>
      <c r="CS140" s="24" t="e">
        <f t="shared" ca="1" si="1093"/>
        <v>#NAME?</v>
      </c>
      <c r="CT140" s="24" t="e">
        <f t="shared" ca="1" si="1094"/>
        <v>#NAME?</v>
      </c>
      <c r="CU140" s="24" t="e">
        <f t="shared" ca="1" si="1095"/>
        <v>#NAME?</v>
      </c>
      <c r="CV140" s="24" t="e">
        <f t="shared" ca="1" si="1096"/>
        <v>#NAME?</v>
      </c>
      <c r="CW140" s="24" t="e">
        <f t="shared" ca="1" si="1097"/>
        <v>#NAME?</v>
      </c>
      <c r="CX140" s="24" t="e">
        <f t="shared" ca="1" si="1098"/>
        <v>#NAME?</v>
      </c>
      <c r="CY140" s="24" t="e">
        <f t="shared" ca="1" si="1099"/>
        <v>#NAME?</v>
      </c>
      <c r="CZ140" s="24" t="e">
        <f t="shared" ca="1" si="1100"/>
        <v>#NAME?</v>
      </c>
      <c r="DA140" s="24" t="e">
        <f t="shared" ca="1" si="1101"/>
        <v>#NAME?</v>
      </c>
      <c r="DB140" s="24" t="e">
        <f t="shared" ca="1" si="1102"/>
        <v>#NAME?</v>
      </c>
      <c r="DE140" s="123"/>
      <c r="DF140" s="23">
        <v>12.327999999999999</v>
      </c>
    </row>
    <row r="141" spans="1:110" s="23" customFormat="1" outlineLevel="1" x14ac:dyDescent="0.2">
      <c r="A141" s="23" t="s">
        <v>47</v>
      </c>
      <c r="B141" s="23" t="e">
        <f ca="1">'Annual Raw'!C87+'Annual Raw'!C88+'Annual Raw'!C89+'Annual Raw'!C90</f>
        <v>#NAME?</v>
      </c>
      <c r="C141" s="23" t="e">
        <f ca="1">'Annual Raw'!D87+'Annual Raw'!D88+'Annual Raw'!D89+'Annual Raw'!D90</f>
        <v>#NAME?</v>
      </c>
      <c r="D141" s="23" t="e">
        <f ca="1">'Annual Raw'!E87+'Annual Raw'!E88+'Annual Raw'!E89+'Annual Raw'!E90</f>
        <v>#NAME?</v>
      </c>
      <c r="E141" s="23" t="e">
        <f ca="1">'Annual Raw'!F87+'Annual Raw'!F88+'Annual Raw'!F89+'Annual Raw'!F90</f>
        <v>#NAME?</v>
      </c>
      <c r="F141" s="23" t="e">
        <f ca="1">'Annual Raw'!G87+'Annual Raw'!G88+'Annual Raw'!G89+'Annual Raw'!G90</f>
        <v>#NAME?</v>
      </c>
      <c r="G141" s="23" t="e">
        <f ca="1">'Annual Raw'!H87+'Annual Raw'!H88+'Annual Raw'!H89+'Annual Raw'!H90</f>
        <v>#NAME?</v>
      </c>
      <c r="H141" s="23" t="e">
        <f ca="1">'Annual Raw'!I87+'Annual Raw'!I88+'Annual Raw'!I89+'Annual Raw'!I90</f>
        <v>#NAME?</v>
      </c>
      <c r="I141" s="23" t="e">
        <f ca="1">'Annual Raw'!J87+'Annual Raw'!J88+'Annual Raw'!J89+'Annual Raw'!J90</f>
        <v>#NAME?</v>
      </c>
      <c r="J141" s="23" t="e">
        <f ca="1">'Annual Raw'!K87+'Annual Raw'!K88+'Annual Raw'!K89+'Annual Raw'!K90</f>
        <v>#NAME?</v>
      </c>
      <c r="K141" s="23" t="e">
        <f ca="1">'Annual Raw'!L87+'Annual Raw'!L88+'Annual Raw'!L89+'Annual Raw'!L90</f>
        <v>#NAME?</v>
      </c>
      <c r="L141" s="23" t="e">
        <f ca="1">'Annual Raw'!M87+'Annual Raw'!M88+'Annual Raw'!M89+'Annual Raw'!M90</f>
        <v>#NAME?</v>
      </c>
      <c r="M141" s="23" t="e">
        <f ca="1">'Annual Raw'!N87+'Annual Raw'!N88+'Annual Raw'!N89+'Annual Raw'!N90</f>
        <v>#NAME?</v>
      </c>
      <c r="N141" s="23" t="e">
        <f ca="1">'Annual Raw'!O87+'Annual Raw'!O88+'Annual Raw'!O89+'Annual Raw'!O90</f>
        <v>#NAME?</v>
      </c>
      <c r="O141" s="23" t="e">
        <f ca="1">'Annual Raw'!P87+'Annual Raw'!P88+'Annual Raw'!P89+'Annual Raw'!P90</f>
        <v>#NAME?</v>
      </c>
      <c r="P141" s="23" t="e">
        <f ca="1">'Annual Raw'!Q87+'Annual Raw'!Q88+'Annual Raw'!Q89+'Annual Raw'!Q90</f>
        <v>#NAME?</v>
      </c>
      <c r="Q141" s="23" t="e">
        <f ca="1">'Annual Raw'!R87+'Annual Raw'!R88+'Annual Raw'!R89+'Annual Raw'!R90</f>
        <v>#NAME?</v>
      </c>
      <c r="R141" s="23" t="e">
        <f ca="1">'Annual Raw'!S87+'Annual Raw'!S88+'Annual Raw'!S89+'Annual Raw'!S90</f>
        <v>#NAME?</v>
      </c>
      <c r="S141" s="23" t="e">
        <f ca="1">'Annual Raw'!T87+'Annual Raw'!T88+'Annual Raw'!T89+'Annual Raw'!T90</f>
        <v>#NAME?</v>
      </c>
      <c r="T141" s="23" t="e">
        <f ca="1">'Annual Raw'!U87+'Annual Raw'!U88+'Annual Raw'!U89+'Annual Raw'!U90</f>
        <v>#NAME?</v>
      </c>
      <c r="U141" s="23" t="e">
        <f ca="1">'Annual Raw'!V87+'Annual Raw'!V88+'Annual Raw'!V89+'Annual Raw'!V90</f>
        <v>#NAME?</v>
      </c>
      <c r="V141" s="23" t="e">
        <f ca="1">'Annual Raw'!W87+'Annual Raw'!W88+'Annual Raw'!W89+'Annual Raw'!W90</f>
        <v>#NAME?</v>
      </c>
      <c r="W141" s="23" t="e">
        <f ca="1">'Annual Raw'!X87+'Annual Raw'!X88+'Annual Raw'!X89+'Annual Raw'!X90</f>
        <v>#NAME?</v>
      </c>
      <c r="X141" s="23" t="e">
        <f ca="1">'Annual Raw'!Y87+'Annual Raw'!Y88+'Annual Raw'!Y89+'Annual Raw'!Y90</f>
        <v>#NAME?</v>
      </c>
      <c r="Y141" s="23" t="e">
        <f ca="1">'Annual Raw'!Z87+'Annual Raw'!Z88+'Annual Raw'!Z89+'Annual Raw'!Z90</f>
        <v>#NAME?</v>
      </c>
      <c r="Z141" s="23" t="e">
        <f ca="1">'Annual Raw'!AA87+'Annual Raw'!AA88+'Annual Raw'!AA89+'Annual Raw'!AA90</f>
        <v>#NAME?</v>
      </c>
      <c r="AA141" s="23" t="e">
        <f ca="1">'Annual Raw'!AB87+'Annual Raw'!AB88+'Annual Raw'!AB89+'Annual Raw'!AB90</f>
        <v>#NAME?</v>
      </c>
      <c r="AB141" s="24" t="e">
        <f t="shared" ca="1" si="1079"/>
        <v>#NAME?</v>
      </c>
      <c r="AC141" s="24" t="e">
        <f t="shared" ca="1" si="1080"/>
        <v>#NAME?</v>
      </c>
      <c r="AD141" s="24" t="e">
        <f t="shared" ca="1" si="1081"/>
        <v>#NAME?</v>
      </c>
      <c r="AE141" s="24" t="e">
        <f t="shared" ca="1" si="1082"/>
        <v>#NAME?</v>
      </c>
      <c r="AJ141" s="23" t="e">
        <f ca="1">+'QTR Raw'!D90</f>
        <v>#NAME?</v>
      </c>
      <c r="AK141" s="23" t="e">
        <f t="shared" ca="1" si="1083"/>
        <v>#NAME?</v>
      </c>
      <c r="AL141" s="23" t="e">
        <f ca="1">+'QTR Raw'!F90</f>
        <v>#NAME?</v>
      </c>
      <c r="AM141" s="23" t="e">
        <f t="shared" ca="1" si="1083"/>
        <v>#NAME?</v>
      </c>
      <c r="AN141" s="23" t="e">
        <f ca="1">+'QTR Raw'!H90</f>
        <v>#NAME?</v>
      </c>
      <c r="AO141" s="23" t="e">
        <f t="shared" ca="1" si="1083"/>
        <v>#NAME?</v>
      </c>
      <c r="AP141" s="23" t="e">
        <f ca="1">+'QTR Raw'!J90</f>
        <v>#NAME?</v>
      </c>
      <c r="AQ141" s="23" t="e">
        <f t="shared" ca="1" si="1083"/>
        <v>#NAME?</v>
      </c>
      <c r="AR141" s="23" t="e">
        <f ca="1">+'QTR Raw'!L90</f>
        <v>#NAME?</v>
      </c>
      <c r="AS141" s="23" t="e">
        <f t="shared" ca="1" si="1083"/>
        <v>#NAME?</v>
      </c>
      <c r="AT141" s="23" t="e">
        <f ca="1">+'QTR Raw'!N90</f>
        <v>#NAME?</v>
      </c>
      <c r="AU141" s="23" t="e">
        <f t="shared" ca="1" si="1083"/>
        <v>#NAME?</v>
      </c>
      <c r="AV141" s="23" t="e">
        <f ca="1">+'QTR Raw'!P90</f>
        <v>#NAME?</v>
      </c>
      <c r="AW141" s="23" t="e">
        <f t="shared" ca="1" si="1083"/>
        <v>#NAME?</v>
      </c>
      <c r="AX141" s="23" t="e">
        <f ca="1">+'QTR Raw'!R90</f>
        <v>#NAME?</v>
      </c>
      <c r="AY141" s="23" t="e">
        <f t="shared" ca="1" si="1083"/>
        <v>#NAME?</v>
      </c>
      <c r="AZ141" s="23" t="e">
        <f ca="1">+'QTR Raw'!T90</f>
        <v>#NAME?</v>
      </c>
      <c r="BA141" s="23" t="e">
        <f t="shared" ca="1" si="1083"/>
        <v>#NAME?</v>
      </c>
      <c r="BB141" s="23" t="e">
        <f ca="1">+'QTR Raw'!V90</f>
        <v>#NAME?</v>
      </c>
      <c r="BC141" s="23" t="e">
        <f t="shared" ca="1" si="1083"/>
        <v>#NAME?</v>
      </c>
      <c r="BD141" s="23" t="e">
        <f ca="1">+'QTR Raw'!X90</f>
        <v>#NAME?</v>
      </c>
      <c r="BE141" s="23" t="e">
        <f t="shared" ca="1" si="1083"/>
        <v>#NAME?</v>
      </c>
      <c r="BF141" s="23" t="e">
        <f ca="1">+'QTR Raw'!Z90</f>
        <v>#NAME?</v>
      </c>
      <c r="BG141" s="23" t="e">
        <f t="shared" ca="1" si="1083"/>
        <v>#NAME?</v>
      </c>
      <c r="BH141" s="22" t="e">
        <f ca="1">+'QTR Raw'!AB90</f>
        <v>#NAME?</v>
      </c>
      <c r="BI141" s="23" t="e">
        <f t="shared" ca="1" si="1083"/>
        <v>#NAME?</v>
      </c>
      <c r="BJ141" s="23" t="e">
        <f ca="1">+'QTR Raw'!AD90</f>
        <v>#NAME?</v>
      </c>
      <c r="BK141" s="23" t="e">
        <f t="shared" ca="1" si="1083"/>
        <v>#NAME?</v>
      </c>
      <c r="BL141" s="23" t="e">
        <f ca="1">+'QTR Raw'!AF90</f>
        <v>#NAME?</v>
      </c>
      <c r="BM141" s="23" t="e">
        <f t="shared" ca="1" si="1083"/>
        <v>#NAME?</v>
      </c>
      <c r="BN141" s="23" t="e">
        <f ca="1">+'QTR Raw'!AH90</f>
        <v>#NAME?</v>
      </c>
      <c r="BO141" s="23" t="e">
        <f t="shared" ca="1" si="1083"/>
        <v>#NAME?</v>
      </c>
      <c r="BP141" s="23" t="e">
        <f ca="1">+'QTR Raw'!AJ90</f>
        <v>#NAME?</v>
      </c>
      <c r="BQ141" s="23" t="e">
        <f t="shared" ca="1" si="1083"/>
        <v>#NAME?</v>
      </c>
      <c r="BR141" s="23" t="e">
        <f ca="1">+'QTR Raw'!AL90</f>
        <v>#NAME?</v>
      </c>
      <c r="BS141" s="23" t="e">
        <f t="shared" ca="1" si="1083"/>
        <v>#NAME?</v>
      </c>
      <c r="BT141" s="23" t="e">
        <f ca="1">+'QTR Raw'!AN90</f>
        <v>#NAME?</v>
      </c>
      <c r="BU141" s="23" t="e">
        <f t="shared" ca="1" si="1083"/>
        <v>#NAME?</v>
      </c>
      <c r="BV141" s="23" t="e">
        <f ca="1">+'QTR Raw'!AP90</f>
        <v>#NAME?</v>
      </c>
      <c r="BW141" s="23" t="e">
        <f t="shared" ca="1" si="1083"/>
        <v>#NAME?</v>
      </c>
      <c r="BX141" s="23" t="e">
        <f ca="1">+'QTR Raw'!AR90</f>
        <v>#NAME?</v>
      </c>
      <c r="BY141" s="23" t="e">
        <f t="shared" ca="1" si="1083"/>
        <v>#NAME?</v>
      </c>
      <c r="BZ141" s="23" t="e">
        <f ca="1">+'QTR Raw'!AT90</f>
        <v>#NAME?</v>
      </c>
      <c r="CA141" s="23" t="e">
        <f t="shared" ca="1" si="1083"/>
        <v>#NAME?</v>
      </c>
      <c r="CB141" s="23" t="e">
        <f ca="1">+'QTR Raw'!AV90</f>
        <v>#NAME?</v>
      </c>
      <c r="CC141" s="23" t="e">
        <f t="shared" ca="1" si="1083"/>
        <v>#NAME?</v>
      </c>
      <c r="CD141" s="23" t="e">
        <f ca="1">+'QTR Raw'!AX90</f>
        <v>#NAME?</v>
      </c>
      <c r="CE141" s="23" t="e">
        <f t="shared" ca="1" si="1084"/>
        <v>#NAME?</v>
      </c>
      <c r="CF141" s="23" t="e">
        <f ca="1">+'QTR Raw'!AZ90</f>
        <v>#NAME?</v>
      </c>
      <c r="CG141" s="23" t="e">
        <f t="shared" ca="1" si="1085"/>
        <v>#NAME?</v>
      </c>
      <c r="CH141" s="23" t="e">
        <f ca="1">+Z141</f>
        <v>#NAME?</v>
      </c>
      <c r="CI141" s="23" t="e">
        <f t="shared" ca="1" si="1085"/>
        <v>#NAME?</v>
      </c>
      <c r="CJ141" s="23" t="e">
        <f ca="1">+'QTR Raw'!BD90</f>
        <v>#NAME?</v>
      </c>
      <c r="CK141" s="24" t="e">
        <f t="shared" ca="1" si="1086"/>
        <v>#NAME?</v>
      </c>
      <c r="CL141" s="23" t="e">
        <f ca="1">+'QTR Raw'!BF90</f>
        <v>#NAME?</v>
      </c>
      <c r="CM141" s="24" t="e">
        <f t="shared" ca="1" si="1087"/>
        <v>#NAME?</v>
      </c>
      <c r="CN141" s="24" t="e">
        <f t="shared" ca="1" si="1088"/>
        <v>#NAME?</v>
      </c>
      <c r="CO141" s="24" t="e">
        <f t="shared" ca="1" si="1089"/>
        <v>#NAME?</v>
      </c>
      <c r="CP141" s="24" t="e">
        <f t="shared" ca="1" si="1090"/>
        <v>#NAME?</v>
      </c>
      <c r="CQ141" s="24" t="e">
        <f t="shared" ca="1" si="1091"/>
        <v>#NAME?</v>
      </c>
      <c r="CR141" s="24" t="e">
        <f t="shared" ca="1" si="1092"/>
        <v>#NAME?</v>
      </c>
      <c r="CS141" s="24" t="e">
        <f t="shared" ca="1" si="1093"/>
        <v>#NAME?</v>
      </c>
      <c r="CT141" s="24" t="e">
        <f t="shared" ca="1" si="1094"/>
        <v>#NAME?</v>
      </c>
      <c r="CU141" s="24" t="e">
        <f t="shared" ca="1" si="1095"/>
        <v>#NAME?</v>
      </c>
      <c r="CV141" s="24" t="e">
        <f t="shared" ca="1" si="1096"/>
        <v>#NAME?</v>
      </c>
      <c r="CW141" s="24" t="e">
        <f t="shared" ca="1" si="1097"/>
        <v>#NAME?</v>
      </c>
      <c r="CX141" s="24" t="e">
        <f t="shared" ca="1" si="1098"/>
        <v>#NAME?</v>
      </c>
      <c r="CY141" s="24" t="e">
        <f t="shared" ca="1" si="1099"/>
        <v>#NAME?</v>
      </c>
      <c r="CZ141" s="24" t="e">
        <f t="shared" ca="1" si="1100"/>
        <v>#NAME?</v>
      </c>
      <c r="DA141" s="24" t="e">
        <f t="shared" ca="1" si="1101"/>
        <v>#NAME?</v>
      </c>
      <c r="DB141" s="24" t="e">
        <f t="shared" ca="1" si="1102"/>
        <v>#NAME?</v>
      </c>
      <c r="DE141" s="123"/>
      <c r="DF141" s="23">
        <v>0</v>
      </c>
    </row>
    <row r="142" spans="1:110" s="23" customFormat="1" outlineLevel="1" x14ac:dyDescent="0.2">
      <c r="A142" s="23" t="s">
        <v>48</v>
      </c>
      <c r="B142" s="23" t="e">
        <f ca="1">'Annual Raw'!C56</f>
        <v>#NAME?</v>
      </c>
      <c r="C142" s="23" t="e">
        <f ca="1">'Annual Raw'!D56</f>
        <v>#NAME?</v>
      </c>
      <c r="D142" s="23" t="e">
        <f ca="1">'Annual Raw'!E56</f>
        <v>#NAME?</v>
      </c>
      <c r="E142" s="23" t="e">
        <f ca="1">'Annual Raw'!F56</f>
        <v>#NAME?</v>
      </c>
      <c r="F142" s="23" t="e">
        <f ca="1">'Annual Raw'!G56</f>
        <v>#NAME?</v>
      </c>
      <c r="G142" s="23" t="e">
        <f ca="1">'Annual Raw'!H56</f>
        <v>#NAME?</v>
      </c>
      <c r="H142" s="23" t="e">
        <f ca="1">'Annual Raw'!I56</f>
        <v>#NAME?</v>
      </c>
      <c r="I142" s="23" t="e">
        <f ca="1">'Annual Raw'!J56</f>
        <v>#NAME?</v>
      </c>
      <c r="J142" s="23" t="e">
        <f ca="1">'Annual Raw'!K56</f>
        <v>#NAME?</v>
      </c>
      <c r="K142" s="23" t="e">
        <f ca="1">'Annual Raw'!L56</f>
        <v>#NAME?</v>
      </c>
      <c r="L142" s="23" t="e">
        <f ca="1">'Annual Raw'!M56</f>
        <v>#NAME?</v>
      </c>
      <c r="M142" s="23" t="e">
        <f ca="1">'Annual Raw'!N56</f>
        <v>#NAME?</v>
      </c>
      <c r="N142" s="23" t="e">
        <f ca="1">'Annual Raw'!O56</f>
        <v>#NAME?</v>
      </c>
      <c r="O142" s="23" t="e">
        <f ca="1">'Annual Raw'!P56</f>
        <v>#NAME?</v>
      </c>
      <c r="P142" s="23" t="e">
        <f ca="1">'Annual Raw'!Q56</f>
        <v>#NAME?</v>
      </c>
      <c r="Q142" s="23" t="e">
        <f ca="1">'Annual Raw'!R56</f>
        <v>#NAME?</v>
      </c>
      <c r="R142" s="23" t="e">
        <f ca="1">'Annual Raw'!S56</f>
        <v>#NAME?</v>
      </c>
      <c r="S142" s="23" t="e">
        <f ca="1">'Annual Raw'!T56</f>
        <v>#NAME?</v>
      </c>
      <c r="T142" s="23" t="e">
        <f ca="1">'Annual Raw'!U56</f>
        <v>#NAME?</v>
      </c>
      <c r="U142" s="23" t="e">
        <f ca="1">'Annual Raw'!V56</f>
        <v>#NAME?</v>
      </c>
      <c r="V142" s="23" t="e">
        <f ca="1">'Annual Raw'!W56</f>
        <v>#NAME?</v>
      </c>
      <c r="W142" s="23" t="e">
        <f ca="1">'Annual Raw'!X56</f>
        <v>#NAME?</v>
      </c>
      <c r="X142" s="23" t="e">
        <f ca="1">'Annual Raw'!Y56</f>
        <v>#NAME?</v>
      </c>
      <c r="Y142" s="23" t="e">
        <f ca="1">'Annual Raw'!Z56</f>
        <v>#NAME?</v>
      </c>
      <c r="Z142" s="23" t="e">
        <f ca="1">'Annual Raw'!AA56</f>
        <v>#NAME?</v>
      </c>
      <c r="AA142" s="23" t="e">
        <f ca="1">'Annual Raw'!AB56</f>
        <v>#NAME?</v>
      </c>
      <c r="AB142" s="24" t="e">
        <f t="shared" ca="1" si="1079"/>
        <v>#NAME?</v>
      </c>
      <c r="AC142" s="24" t="e">
        <f t="shared" ca="1" si="1080"/>
        <v>#NAME?</v>
      </c>
      <c r="AD142" s="24" t="e">
        <f t="shared" ca="1" si="1081"/>
        <v>#NAME?</v>
      </c>
      <c r="AE142" s="24" t="e">
        <f t="shared" ca="1" si="1082"/>
        <v>#NAME?</v>
      </c>
      <c r="AJ142" s="23" t="e">
        <f ca="1">+'QTR Raw'!D88</f>
        <v>#NAME?</v>
      </c>
      <c r="AK142" s="23" t="e">
        <f t="shared" ca="1" si="1083"/>
        <v>#NAME?</v>
      </c>
      <c r="AL142" s="23" t="e">
        <f ca="1">+'QTR Raw'!F88</f>
        <v>#NAME?</v>
      </c>
      <c r="AM142" s="23" t="e">
        <f t="shared" ca="1" si="1083"/>
        <v>#NAME?</v>
      </c>
      <c r="AN142" s="23" t="e">
        <f ca="1">+'QTR Raw'!H88</f>
        <v>#NAME?</v>
      </c>
      <c r="AO142" s="23" t="e">
        <f t="shared" ca="1" si="1083"/>
        <v>#NAME?</v>
      </c>
      <c r="AP142" s="23" t="e">
        <f ca="1">+'QTR Raw'!J88</f>
        <v>#NAME?</v>
      </c>
      <c r="AQ142" s="23" t="e">
        <f t="shared" ca="1" si="1083"/>
        <v>#NAME?</v>
      </c>
      <c r="AR142" s="23" t="e">
        <f ca="1">+'QTR Raw'!L88</f>
        <v>#NAME?</v>
      </c>
      <c r="AS142" s="23" t="e">
        <f t="shared" ca="1" si="1083"/>
        <v>#NAME?</v>
      </c>
      <c r="AT142" s="23" t="e">
        <f ca="1">+'QTR Raw'!N88</f>
        <v>#NAME?</v>
      </c>
      <c r="AU142" s="23" t="e">
        <f t="shared" ca="1" si="1083"/>
        <v>#NAME?</v>
      </c>
      <c r="AV142" s="23" t="e">
        <f ca="1">+'QTR Raw'!P88</f>
        <v>#NAME?</v>
      </c>
      <c r="AW142" s="23" t="e">
        <f t="shared" ca="1" si="1083"/>
        <v>#NAME?</v>
      </c>
      <c r="AX142" s="23" t="e">
        <f ca="1">+'QTR Raw'!R88</f>
        <v>#NAME?</v>
      </c>
      <c r="AY142" s="23" t="e">
        <f t="shared" ca="1" si="1083"/>
        <v>#NAME?</v>
      </c>
      <c r="AZ142" s="23" t="e">
        <f ca="1">+'QTR Raw'!T88</f>
        <v>#NAME?</v>
      </c>
      <c r="BA142" s="23" t="e">
        <f t="shared" ca="1" si="1083"/>
        <v>#NAME?</v>
      </c>
      <c r="BB142" s="23" t="e">
        <f ca="1">+'QTR Raw'!V88</f>
        <v>#NAME?</v>
      </c>
      <c r="BC142" s="23" t="e">
        <f t="shared" ca="1" si="1083"/>
        <v>#NAME?</v>
      </c>
      <c r="BD142" s="23" t="e">
        <f ca="1">+'QTR Raw'!X88</f>
        <v>#NAME?</v>
      </c>
      <c r="BE142" s="23" t="e">
        <f t="shared" ca="1" si="1083"/>
        <v>#NAME?</v>
      </c>
      <c r="BF142" s="23" t="e">
        <f ca="1">+'QTR Raw'!Z88</f>
        <v>#NAME?</v>
      </c>
      <c r="BG142" s="23" t="e">
        <f t="shared" ca="1" si="1083"/>
        <v>#NAME?</v>
      </c>
      <c r="BH142" s="23" t="e">
        <f ca="1">+'QTR Raw'!AB88</f>
        <v>#NAME?</v>
      </c>
      <c r="BI142" s="23" t="e">
        <f t="shared" ca="1" si="1083"/>
        <v>#NAME?</v>
      </c>
      <c r="BJ142" s="23" t="e">
        <f ca="1">+'QTR Raw'!AD88</f>
        <v>#NAME?</v>
      </c>
      <c r="BK142" s="23" t="e">
        <f t="shared" ca="1" si="1083"/>
        <v>#NAME?</v>
      </c>
      <c r="BL142" s="23" t="e">
        <f ca="1">+'QTR Raw'!AF88</f>
        <v>#NAME?</v>
      </c>
      <c r="BM142" s="23" t="e">
        <f t="shared" ca="1" si="1083"/>
        <v>#NAME?</v>
      </c>
      <c r="BN142" s="23" t="e">
        <f ca="1">+'QTR Raw'!AH88</f>
        <v>#NAME?</v>
      </c>
      <c r="BO142" s="23" t="e">
        <f t="shared" ca="1" si="1083"/>
        <v>#NAME?</v>
      </c>
      <c r="BP142" s="23" t="e">
        <f ca="1">+'QTR Raw'!AJ88</f>
        <v>#NAME?</v>
      </c>
      <c r="BQ142" s="23" t="e">
        <f t="shared" ca="1" si="1083"/>
        <v>#NAME?</v>
      </c>
      <c r="BR142" s="23" t="e">
        <f ca="1">+'QTR Raw'!AL88</f>
        <v>#NAME?</v>
      </c>
      <c r="BS142" s="23" t="e">
        <f t="shared" ca="1" si="1083"/>
        <v>#NAME?</v>
      </c>
      <c r="BT142" s="23" t="e">
        <f ca="1">+'QTR Raw'!AN88</f>
        <v>#NAME?</v>
      </c>
      <c r="BU142" s="23" t="e">
        <f t="shared" ca="1" si="1083"/>
        <v>#NAME?</v>
      </c>
      <c r="BV142" s="23" t="e">
        <f ca="1">+'QTR Raw'!AP88</f>
        <v>#NAME?</v>
      </c>
      <c r="BW142" s="23" t="e">
        <f t="shared" ca="1" si="1083"/>
        <v>#NAME?</v>
      </c>
      <c r="BX142" s="23" t="e">
        <f ca="1">+'QTR Raw'!AR88</f>
        <v>#NAME?</v>
      </c>
      <c r="BY142" s="23" t="e">
        <f t="shared" ca="1" si="1083"/>
        <v>#NAME?</v>
      </c>
      <c r="BZ142" s="23" t="e">
        <f ca="1">+'QTR Raw'!AT88</f>
        <v>#NAME?</v>
      </c>
      <c r="CA142" s="23" t="e">
        <f t="shared" ca="1" si="1083"/>
        <v>#NAME?</v>
      </c>
      <c r="CB142" s="23" t="e">
        <f ca="1">+'QTR Raw'!AV88</f>
        <v>#NAME?</v>
      </c>
      <c r="CC142" s="23" t="e">
        <f t="shared" ca="1" si="1083"/>
        <v>#NAME?</v>
      </c>
      <c r="CD142" s="23" t="e">
        <f ca="1">+'QTR Raw'!AX88</f>
        <v>#NAME?</v>
      </c>
      <c r="CE142" s="23" t="e">
        <f t="shared" ca="1" si="1084"/>
        <v>#NAME?</v>
      </c>
      <c r="CF142" s="23" t="e">
        <f ca="1">+'QTR Raw'!AZ88</f>
        <v>#NAME?</v>
      </c>
      <c r="CG142" s="23" t="e">
        <f t="shared" ca="1" si="1085"/>
        <v>#NAME?</v>
      </c>
      <c r="CH142" s="23" t="e">
        <f t="shared" ca="1" si="1061"/>
        <v>#NAME?</v>
      </c>
      <c r="CI142" s="23" t="e">
        <f t="shared" ca="1" si="1085"/>
        <v>#NAME?</v>
      </c>
      <c r="CJ142" s="23" t="e">
        <f ca="1">+'QTR Raw'!BD88</f>
        <v>#NAME?</v>
      </c>
      <c r="CK142" s="24" t="e">
        <f t="shared" ca="1" si="1086"/>
        <v>#NAME?</v>
      </c>
      <c r="CL142" s="23" t="e">
        <f ca="1">+'QTR Raw'!BF88</f>
        <v>#NAME?</v>
      </c>
      <c r="CM142" s="24" t="e">
        <f t="shared" ca="1" si="1087"/>
        <v>#NAME?</v>
      </c>
      <c r="CN142" s="24" t="e">
        <f t="shared" ca="1" si="1088"/>
        <v>#NAME?</v>
      </c>
      <c r="CO142" s="24" t="e">
        <f t="shared" ca="1" si="1089"/>
        <v>#NAME?</v>
      </c>
      <c r="CP142" s="24" t="e">
        <f t="shared" ca="1" si="1090"/>
        <v>#NAME?</v>
      </c>
      <c r="CQ142" s="24" t="e">
        <f t="shared" ca="1" si="1091"/>
        <v>#NAME?</v>
      </c>
      <c r="CR142" s="24" t="e">
        <f t="shared" ca="1" si="1092"/>
        <v>#NAME?</v>
      </c>
      <c r="CS142" s="24" t="e">
        <f t="shared" ca="1" si="1093"/>
        <v>#NAME?</v>
      </c>
      <c r="CT142" s="24" t="e">
        <f t="shared" ca="1" si="1094"/>
        <v>#NAME?</v>
      </c>
      <c r="CU142" s="24" t="e">
        <f t="shared" ca="1" si="1095"/>
        <v>#NAME?</v>
      </c>
      <c r="CV142" s="24" t="e">
        <f t="shared" ca="1" si="1096"/>
        <v>#NAME?</v>
      </c>
      <c r="CW142" s="24" t="e">
        <f t="shared" ca="1" si="1097"/>
        <v>#NAME?</v>
      </c>
      <c r="CX142" s="24" t="e">
        <f t="shared" ca="1" si="1098"/>
        <v>#NAME?</v>
      </c>
      <c r="CY142" s="24" t="e">
        <f t="shared" ca="1" si="1099"/>
        <v>#NAME?</v>
      </c>
      <c r="CZ142" s="24" t="e">
        <f t="shared" ca="1" si="1100"/>
        <v>#NAME?</v>
      </c>
      <c r="DA142" s="24" t="e">
        <f t="shared" ca="1" si="1101"/>
        <v>#NAME?</v>
      </c>
      <c r="DB142" s="24" t="e">
        <f t="shared" ca="1" si="1102"/>
        <v>#NAME?</v>
      </c>
      <c r="DE142" s="123"/>
      <c r="DF142" s="23">
        <v>22.050999999999998</v>
      </c>
    </row>
    <row r="143" spans="1:110" s="22" customFormat="1" x14ac:dyDescent="0.2">
      <c r="A143" s="22" t="s">
        <v>49</v>
      </c>
      <c r="B143" s="22" t="e">
        <f ca="1">SUM(B139:B142)</f>
        <v>#NAME?</v>
      </c>
      <c r="C143" s="22" t="e">
        <f t="shared" ref="C143:V143" ca="1" si="1103">SUM(C139:C142)</f>
        <v>#NAME?</v>
      </c>
      <c r="D143" s="22" t="e">
        <f t="shared" ca="1" si="1103"/>
        <v>#NAME?</v>
      </c>
      <c r="E143" s="22" t="e">
        <f t="shared" ca="1" si="1103"/>
        <v>#NAME?</v>
      </c>
      <c r="F143" s="22" t="e">
        <f t="shared" ca="1" si="1103"/>
        <v>#NAME?</v>
      </c>
      <c r="G143" s="22" t="e">
        <f t="shared" ca="1" si="1103"/>
        <v>#NAME?</v>
      </c>
      <c r="H143" s="22" t="e">
        <f t="shared" ca="1" si="1103"/>
        <v>#NAME?</v>
      </c>
      <c r="I143" s="22" t="e">
        <f t="shared" ca="1" si="1103"/>
        <v>#NAME?</v>
      </c>
      <c r="J143" s="22" t="e">
        <f t="shared" ca="1" si="1103"/>
        <v>#NAME?</v>
      </c>
      <c r="K143" s="22" t="e">
        <f t="shared" ca="1" si="1103"/>
        <v>#NAME?</v>
      </c>
      <c r="L143" s="22" t="e">
        <f t="shared" ca="1" si="1103"/>
        <v>#NAME?</v>
      </c>
      <c r="M143" s="22" t="e">
        <f t="shared" ca="1" si="1103"/>
        <v>#NAME?</v>
      </c>
      <c r="N143" s="22" t="e">
        <f t="shared" ca="1" si="1103"/>
        <v>#NAME?</v>
      </c>
      <c r="O143" s="22" t="e">
        <f t="shared" ca="1" si="1103"/>
        <v>#NAME?</v>
      </c>
      <c r="P143" s="22" t="e">
        <f t="shared" ca="1" si="1103"/>
        <v>#NAME?</v>
      </c>
      <c r="Q143" s="22" t="e">
        <f t="shared" ca="1" si="1103"/>
        <v>#NAME?</v>
      </c>
      <c r="R143" s="22" t="e">
        <f t="shared" ca="1" si="1103"/>
        <v>#NAME?</v>
      </c>
      <c r="S143" s="22" t="e">
        <f t="shared" ca="1" si="1103"/>
        <v>#NAME?</v>
      </c>
      <c r="T143" s="22" t="e">
        <f t="shared" ca="1" si="1103"/>
        <v>#NAME?</v>
      </c>
      <c r="U143" s="22" t="e">
        <f t="shared" ca="1" si="1103"/>
        <v>#NAME?</v>
      </c>
      <c r="V143" s="22" t="e">
        <f t="shared" ca="1" si="1103"/>
        <v>#NAME?</v>
      </c>
      <c r="W143" s="22" t="e">
        <f t="shared" ref="W143" ca="1" si="1104">SUM(W139:W142)</f>
        <v>#NAME?</v>
      </c>
      <c r="X143" s="22" t="e">
        <f t="shared" ref="X143:Y143" ca="1" si="1105">SUM(X139:X142)</f>
        <v>#NAME?</v>
      </c>
      <c r="Y143" s="22" t="e">
        <f t="shared" ca="1" si="1105"/>
        <v>#NAME?</v>
      </c>
      <c r="Z143" s="22" t="e">
        <f t="shared" ref="Z143:AA143" ca="1" si="1106">SUM(Z139:Z142)</f>
        <v>#NAME?</v>
      </c>
      <c r="AA143" s="22" t="e">
        <f t="shared" ca="1" si="1106"/>
        <v>#NAME?</v>
      </c>
      <c r="AB143" s="21" t="e">
        <f t="shared" ref="AA143:AD143" ca="1" si="1107">SUM(AB139:AB142)</f>
        <v>#NAME?</v>
      </c>
      <c r="AC143" s="21" t="e">
        <f t="shared" ca="1" si="1107"/>
        <v>#NAME?</v>
      </c>
      <c r="AD143" s="21" t="e">
        <f t="shared" ca="1" si="1107"/>
        <v>#NAME?</v>
      </c>
      <c r="AE143" s="21" t="e">
        <f t="shared" ref="AE143" ca="1" si="1108">SUM(AE139:AE142)</f>
        <v>#NAME?</v>
      </c>
      <c r="AJ143" s="22" t="e">
        <f t="shared" ref="AJ143" ca="1" si="1109">SUM(AJ139:AJ142)</f>
        <v>#NAME?</v>
      </c>
      <c r="AK143" s="22" t="e">
        <f t="shared" ref="AK143" ca="1" si="1110">SUM(AK139:AK142)</f>
        <v>#NAME?</v>
      </c>
      <c r="AL143" s="22" t="e">
        <f t="shared" ref="AL143:AM143" ca="1" si="1111">SUM(AL139:AL142)</f>
        <v>#NAME?</v>
      </c>
      <c r="AM143" s="22" t="e">
        <f t="shared" ca="1" si="1111"/>
        <v>#NAME?</v>
      </c>
      <c r="AN143" s="22" t="e">
        <f t="shared" ref="AN143:AO143" ca="1" si="1112">SUM(AN139:AN142)</f>
        <v>#NAME?</v>
      </c>
      <c r="AO143" s="22" t="e">
        <f t="shared" ca="1" si="1112"/>
        <v>#NAME?</v>
      </c>
      <c r="AP143" s="22" t="e">
        <f t="shared" ref="AP143:CE143" ca="1" si="1113">SUM(AP139:AP142)</f>
        <v>#NAME?</v>
      </c>
      <c r="AQ143" s="22" t="e">
        <f t="shared" ca="1" si="1113"/>
        <v>#NAME?</v>
      </c>
      <c r="AR143" s="22" t="e">
        <f t="shared" ca="1" si="1113"/>
        <v>#NAME?</v>
      </c>
      <c r="AS143" s="22" t="e">
        <f t="shared" ca="1" si="1113"/>
        <v>#NAME?</v>
      </c>
      <c r="AT143" s="22" t="e">
        <f t="shared" ca="1" si="1113"/>
        <v>#NAME?</v>
      </c>
      <c r="AU143" s="22" t="e">
        <f t="shared" ca="1" si="1113"/>
        <v>#NAME?</v>
      </c>
      <c r="AV143" s="22" t="e">
        <f t="shared" ca="1" si="1113"/>
        <v>#NAME?</v>
      </c>
      <c r="AW143" s="22" t="e">
        <f t="shared" ca="1" si="1113"/>
        <v>#NAME?</v>
      </c>
      <c r="AX143" s="22" t="e">
        <f t="shared" ca="1" si="1113"/>
        <v>#NAME?</v>
      </c>
      <c r="AY143" s="22" t="e">
        <f t="shared" ca="1" si="1113"/>
        <v>#NAME?</v>
      </c>
      <c r="AZ143" s="22" t="e">
        <f t="shared" ca="1" si="1113"/>
        <v>#NAME?</v>
      </c>
      <c r="BA143" s="22" t="e">
        <f t="shared" ca="1" si="1113"/>
        <v>#NAME?</v>
      </c>
      <c r="BB143" s="22" t="e">
        <f t="shared" ca="1" si="1113"/>
        <v>#NAME?</v>
      </c>
      <c r="BC143" s="22" t="e">
        <f t="shared" ca="1" si="1113"/>
        <v>#NAME?</v>
      </c>
      <c r="BD143" s="22" t="e">
        <f t="shared" ca="1" si="1113"/>
        <v>#NAME?</v>
      </c>
      <c r="BE143" s="22" t="e">
        <f t="shared" ca="1" si="1113"/>
        <v>#NAME?</v>
      </c>
      <c r="BF143" s="22" t="e">
        <f t="shared" ca="1" si="1113"/>
        <v>#NAME?</v>
      </c>
      <c r="BG143" s="22" t="e">
        <f t="shared" ca="1" si="1113"/>
        <v>#NAME?</v>
      </c>
      <c r="BH143" s="22" t="e">
        <f t="shared" ref="BH143" ca="1" si="1114">SUM(BH139:BH142)</f>
        <v>#NAME?</v>
      </c>
      <c r="BI143" s="22" t="e">
        <f t="shared" ca="1" si="1113"/>
        <v>#NAME?</v>
      </c>
      <c r="BJ143" s="22" t="e">
        <f t="shared" ca="1" si="1113"/>
        <v>#NAME?</v>
      </c>
      <c r="BK143" s="22" t="e">
        <f t="shared" ca="1" si="1113"/>
        <v>#NAME?</v>
      </c>
      <c r="BL143" s="22" t="e">
        <f t="shared" ca="1" si="1113"/>
        <v>#NAME?</v>
      </c>
      <c r="BM143" s="22" t="e">
        <f t="shared" ca="1" si="1113"/>
        <v>#NAME?</v>
      </c>
      <c r="BN143" s="22" t="e">
        <f t="shared" ca="1" si="1113"/>
        <v>#NAME?</v>
      </c>
      <c r="BO143" s="22" t="e">
        <f t="shared" ca="1" si="1113"/>
        <v>#NAME?</v>
      </c>
      <c r="BP143" s="22" t="e">
        <f t="shared" ca="1" si="1113"/>
        <v>#NAME?</v>
      </c>
      <c r="BQ143" s="22" t="e">
        <f t="shared" ca="1" si="1113"/>
        <v>#NAME?</v>
      </c>
      <c r="BR143" s="22" t="e">
        <f t="shared" ca="1" si="1113"/>
        <v>#NAME?</v>
      </c>
      <c r="BS143" s="22" t="e">
        <f t="shared" ca="1" si="1113"/>
        <v>#NAME?</v>
      </c>
      <c r="BT143" s="22" t="e">
        <f t="shared" ca="1" si="1113"/>
        <v>#NAME?</v>
      </c>
      <c r="BU143" s="22" t="e">
        <f t="shared" ca="1" si="1113"/>
        <v>#NAME?</v>
      </c>
      <c r="BV143" s="22" t="e">
        <f t="shared" ca="1" si="1113"/>
        <v>#NAME?</v>
      </c>
      <c r="BW143" s="22" t="e">
        <f t="shared" ca="1" si="1113"/>
        <v>#NAME?</v>
      </c>
      <c r="BX143" s="22" t="e">
        <f t="shared" ca="1" si="1113"/>
        <v>#NAME?</v>
      </c>
      <c r="BY143" s="22" t="e">
        <f t="shared" ca="1" si="1113"/>
        <v>#NAME?</v>
      </c>
      <c r="BZ143" s="22" t="e">
        <f t="shared" ca="1" si="1113"/>
        <v>#NAME?</v>
      </c>
      <c r="CA143" s="22" t="e">
        <f t="shared" ca="1" si="1113"/>
        <v>#NAME?</v>
      </c>
      <c r="CB143" s="22" t="e">
        <f t="shared" ca="1" si="1113"/>
        <v>#NAME?</v>
      </c>
      <c r="CC143" s="22" t="e">
        <f t="shared" ca="1" si="1113"/>
        <v>#NAME?</v>
      </c>
      <c r="CD143" s="22" t="e">
        <f t="shared" ca="1" si="1113"/>
        <v>#NAME?</v>
      </c>
      <c r="CE143" s="22" t="e">
        <f t="shared" ca="1" si="1113"/>
        <v>#NAME?</v>
      </c>
      <c r="CF143" s="22" t="e">
        <f t="shared" ref="CF143:CG143" ca="1" si="1115">SUM(CF139:CF142)</f>
        <v>#NAME?</v>
      </c>
      <c r="CG143" s="22" t="e">
        <f t="shared" ca="1" si="1115"/>
        <v>#NAME?</v>
      </c>
      <c r="CH143" s="22" t="e">
        <f t="shared" ref="CH143:CI143" ca="1" si="1116">SUM(CH139:CH142)</f>
        <v>#NAME?</v>
      </c>
      <c r="CI143" s="22" t="e">
        <f t="shared" ca="1" si="1116"/>
        <v>#NAME?</v>
      </c>
      <c r="CJ143" s="22" t="e">
        <f t="shared" ref="CJ143:DB143" ca="1" si="1117">SUM(CJ139:CJ142)</f>
        <v>#NAME?</v>
      </c>
      <c r="CK143" s="21" t="e">
        <f t="shared" ca="1" si="1117"/>
        <v>#NAME?</v>
      </c>
      <c r="CL143" s="22" t="e">
        <f t="shared" ref="CL143" ca="1" si="1118">SUM(CL139:CL142)</f>
        <v>#NAME?</v>
      </c>
      <c r="CM143" s="21" t="e">
        <f t="shared" ca="1" si="1117"/>
        <v>#NAME?</v>
      </c>
      <c r="CN143" s="21" t="e">
        <f t="shared" ca="1" si="1117"/>
        <v>#NAME?</v>
      </c>
      <c r="CO143" s="21" t="e">
        <f t="shared" ca="1" si="1117"/>
        <v>#NAME?</v>
      </c>
      <c r="CP143" s="21" t="e">
        <f t="shared" ca="1" si="1117"/>
        <v>#NAME?</v>
      </c>
      <c r="CQ143" s="21" t="e">
        <f t="shared" ca="1" si="1117"/>
        <v>#NAME?</v>
      </c>
      <c r="CR143" s="21" t="e">
        <f t="shared" ca="1" si="1117"/>
        <v>#NAME?</v>
      </c>
      <c r="CS143" s="21" t="e">
        <f t="shared" ca="1" si="1117"/>
        <v>#NAME?</v>
      </c>
      <c r="CT143" s="21" t="e">
        <f t="shared" ca="1" si="1117"/>
        <v>#NAME?</v>
      </c>
      <c r="CU143" s="21" t="e">
        <f t="shared" ca="1" si="1117"/>
        <v>#NAME?</v>
      </c>
      <c r="CV143" s="21" t="e">
        <f t="shared" ca="1" si="1117"/>
        <v>#NAME?</v>
      </c>
      <c r="CW143" s="21" t="e">
        <f t="shared" ca="1" si="1117"/>
        <v>#NAME?</v>
      </c>
      <c r="CX143" s="21" t="e">
        <f t="shared" ca="1" si="1117"/>
        <v>#NAME?</v>
      </c>
      <c r="CY143" s="21" t="e">
        <f t="shared" ca="1" si="1117"/>
        <v>#NAME?</v>
      </c>
      <c r="CZ143" s="21" t="e">
        <f t="shared" ca="1" si="1117"/>
        <v>#NAME?</v>
      </c>
      <c r="DA143" s="21" t="e">
        <f t="shared" ca="1" si="1117"/>
        <v>#NAME?</v>
      </c>
      <c r="DB143" s="21" t="e">
        <f t="shared" ca="1" si="1117"/>
        <v>#NAME?</v>
      </c>
      <c r="DE143" s="126"/>
      <c r="DF143" s="22">
        <v>34.378999999999998</v>
      </c>
    </row>
    <row r="144" spans="1:110" s="26" customFormat="1" x14ac:dyDescent="0.2">
      <c r="A144" s="26" t="s">
        <v>437</v>
      </c>
      <c r="B144" s="26" t="e">
        <f ca="1">B143+B135+B137</f>
        <v>#NAME?</v>
      </c>
      <c r="C144" s="26" t="e">
        <f t="shared" ref="C144:V144" ca="1" si="1119">C143+C135+C137</f>
        <v>#NAME?</v>
      </c>
      <c r="D144" s="26" t="e">
        <f ca="1">D143+D135+D137</f>
        <v>#NAME?</v>
      </c>
      <c r="E144" s="26" t="e">
        <f t="shared" ca="1" si="1119"/>
        <v>#NAME?</v>
      </c>
      <c r="F144" s="26" t="e">
        <f t="shared" ca="1" si="1119"/>
        <v>#NAME?</v>
      </c>
      <c r="G144" s="26" t="e">
        <f t="shared" ca="1" si="1119"/>
        <v>#NAME?</v>
      </c>
      <c r="H144" s="26" t="e">
        <f t="shared" ca="1" si="1119"/>
        <v>#NAME?</v>
      </c>
      <c r="I144" s="26" t="e">
        <f t="shared" ca="1" si="1119"/>
        <v>#NAME?</v>
      </c>
      <c r="J144" s="26" t="e">
        <f t="shared" ca="1" si="1119"/>
        <v>#NAME?</v>
      </c>
      <c r="K144" s="26" t="e">
        <f t="shared" ca="1" si="1119"/>
        <v>#NAME?</v>
      </c>
      <c r="L144" s="26" t="e">
        <f t="shared" ca="1" si="1119"/>
        <v>#NAME?</v>
      </c>
      <c r="M144" s="26" t="e">
        <f t="shared" ca="1" si="1119"/>
        <v>#NAME?</v>
      </c>
      <c r="N144" s="26" t="e">
        <f t="shared" ca="1" si="1119"/>
        <v>#NAME?</v>
      </c>
      <c r="O144" s="26" t="e">
        <f t="shared" ca="1" si="1119"/>
        <v>#NAME?</v>
      </c>
      <c r="P144" s="26" t="e">
        <f t="shared" ca="1" si="1119"/>
        <v>#NAME?</v>
      </c>
      <c r="Q144" s="26" t="e">
        <f t="shared" ca="1" si="1119"/>
        <v>#NAME?</v>
      </c>
      <c r="R144" s="26" t="e">
        <f t="shared" ca="1" si="1119"/>
        <v>#NAME?</v>
      </c>
      <c r="S144" s="26" t="e">
        <f t="shared" ca="1" si="1119"/>
        <v>#NAME?</v>
      </c>
      <c r="T144" s="26" t="e">
        <f t="shared" ca="1" si="1119"/>
        <v>#NAME?</v>
      </c>
      <c r="U144" s="26" t="e">
        <f t="shared" ca="1" si="1119"/>
        <v>#NAME?</v>
      </c>
      <c r="V144" s="26" t="e">
        <f t="shared" ca="1" si="1119"/>
        <v>#NAME?</v>
      </c>
      <c r="W144" s="26" t="e">
        <f t="shared" ref="W144" ca="1" si="1120">W143+W135+W137</f>
        <v>#NAME?</v>
      </c>
      <c r="X144" s="26" t="e">
        <f t="shared" ref="X144:Y144" ca="1" si="1121">X143+X135+X137</f>
        <v>#NAME?</v>
      </c>
      <c r="Y144" s="26" t="e">
        <f t="shared" ca="1" si="1121"/>
        <v>#NAME?</v>
      </c>
      <c r="Z144" s="26" t="e">
        <f t="shared" ref="Z144:AA144" ca="1" si="1122">Z143+Z135+Z137</f>
        <v>#NAME?</v>
      </c>
      <c r="AA144" s="26" t="e">
        <f t="shared" ca="1" si="1122"/>
        <v>#NAME?</v>
      </c>
      <c r="AB144" s="27" t="e">
        <f t="shared" ref="AA144:AD144" ca="1" si="1123">AB143+AB135+AB137</f>
        <v>#NAME?</v>
      </c>
      <c r="AC144" s="27" t="e">
        <f t="shared" ca="1" si="1123"/>
        <v>#NAME?</v>
      </c>
      <c r="AD144" s="27" t="e">
        <f t="shared" ca="1" si="1123"/>
        <v>#NAME?</v>
      </c>
      <c r="AE144" s="27" t="e">
        <f t="shared" ref="AE144" ca="1" si="1124">AE143+AE135+AE137</f>
        <v>#NAME?</v>
      </c>
      <c r="AJ144" s="26" t="e">
        <f t="shared" ref="AJ144" ca="1" si="1125">AJ143+AJ135+AJ137</f>
        <v>#NAME?</v>
      </c>
      <c r="AK144" s="26" t="e">
        <f t="shared" ref="AK144" ca="1" si="1126">AK143+AK135+AK137</f>
        <v>#NAME?</v>
      </c>
      <c r="AL144" s="26" t="e">
        <f t="shared" ref="AL144" ca="1" si="1127">AL143+AL135+AL137</f>
        <v>#NAME?</v>
      </c>
      <c r="AM144" s="26" t="e">
        <f t="shared" ref="AM144:AO144" ca="1" si="1128">AM143+AM135+AM137</f>
        <v>#NAME?</v>
      </c>
      <c r="AN144" s="26" t="e">
        <f t="shared" ca="1" si="1128"/>
        <v>#NAME?</v>
      </c>
      <c r="AO144" s="26" t="e">
        <f t="shared" ca="1" si="1128"/>
        <v>#NAME?</v>
      </c>
      <c r="AP144" s="26" t="e">
        <f t="shared" ref="AP144:CE144" ca="1" si="1129">AP143+AP135+AP137</f>
        <v>#NAME?</v>
      </c>
      <c r="AQ144" s="26" t="e">
        <f t="shared" ca="1" si="1129"/>
        <v>#NAME?</v>
      </c>
      <c r="AR144" s="26" t="e">
        <f t="shared" ca="1" si="1129"/>
        <v>#NAME?</v>
      </c>
      <c r="AS144" s="26" t="e">
        <f t="shared" ca="1" si="1129"/>
        <v>#NAME?</v>
      </c>
      <c r="AT144" s="26" t="e">
        <f t="shared" ca="1" si="1129"/>
        <v>#NAME?</v>
      </c>
      <c r="AU144" s="26" t="e">
        <f t="shared" ca="1" si="1129"/>
        <v>#NAME?</v>
      </c>
      <c r="AV144" s="26" t="e">
        <f t="shared" ca="1" si="1129"/>
        <v>#NAME?</v>
      </c>
      <c r="AW144" s="26" t="e">
        <f t="shared" ca="1" si="1129"/>
        <v>#NAME?</v>
      </c>
      <c r="AX144" s="26" t="e">
        <f t="shared" ca="1" si="1129"/>
        <v>#NAME?</v>
      </c>
      <c r="AY144" s="26" t="e">
        <f t="shared" ca="1" si="1129"/>
        <v>#NAME?</v>
      </c>
      <c r="AZ144" s="26" t="e">
        <f t="shared" ca="1" si="1129"/>
        <v>#NAME?</v>
      </c>
      <c r="BA144" s="26" t="e">
        <f t="shared" ca="1" si="1129"/>
        <v>#NAME?</v>
      </c>
      <c r="BB144" s="26" t="e">
        <f t="shared" ca="1" si="1129"/>
        <v>#NAME?</v>
      </c>
      <c r="BC144" s="26" t="e">
        <f t="shared" ca="1" si="1129"/>
        <v>#NAME?</v>
      </c>
      <c r="BD144" s="26" t="e">
        <f t="shared" ca="1" si="1129"/>
        <v>#NAME?</v>
      </c>
      <c r="BE144" s="26" t="e">
        <f t="shared" ca="1" si="1129"/>
        <v>#NAME?</v>
      </c>
      <c r="BF144" s="26" t="e">
        <f t="shared" ca="1" si="1129"/>
        <v>#NAME?</v>
      </c>
      <c r="BG144" s="26" t="e">
        <f t="shared" ca="1" si="1129"/>
        <v>#NAME?</v>
      </c>
      <c r="BH144" s="26" t="e">
        <f t="shared" ref="BH144" ca="1" si="1130">BH143+BH135+BH137</f>
        <v>#NAME?</v>
      </c>
      <c r="BI144" s="26" t="e">
        <f t="shared" ca="1" si="1129"/>
        <v>#NAME?</v>
      </c>
      <c r="BJ144" s="26" t="e">
        <f t="shared" ca="1" si="1129"/>
        <v>#NAME?</v>
      </c>
      <c r="BK144" s="26" t="e">
        <f t="shared" ca="1" si="1129"/>
        <v>#NAME?</v>
      </c>
      <c r="BL144" s="26" t="e">
        <f t="shared" ca="1" si="1129"/>
        <v>#NAME?</v>
      </c>
      <c r="BM144" s="26" t="e">
        <f t="shared" ca="1" si="1129"/>
        <v>#NAME?</v>
      </c>
      <c r="BN144" s="26" t="e">
        <f t="shared" ca="1" si="1129"/>
        <v>#NAME?</v>
      </c>
      <c r="BO144" s="26" t="e">
        <f t="shared" ca="1" si="1129"/>
        <v>#NAME?</v>
      </c>
      <c r="BP144" s="26" t="e">
        <f t="shared" ca="1" si="1129"/>
        <v>#NAME?</v>
      </c>
      <c r="BQ144" s="26" t="e">
        <f t="shared" ca="1" si="1129"/>
        <v>#NAME?</v>
      </c>
      <c r="BR144" s="26" t="e">
        <f t="shared" ca="1" si="1129"/>
        <v>#NAME?</v>
      </c>
      <c r="BS144" s="26" t="e">
        <f t="shared" ca="1" si="1129"/>
        <v>#NAME?</v>
      </c>
      <c r="BT144" s="26" t="e">
        <f t="shared" ca="1" si="1129"/>
        <v>#NAME?</v>
      </c>
      <c r="BU144" s="26" t="e">
        <f t="shared" ca="1" si="1129"/>
        <v>#NAME?</v>
      </c>
      <c r="BV144" s="26" t="e">
        <f t="shared" ca="1" si="1129"/>
        <v>#NAME?</v>
      </c>
      <c r="BW144" s="26" t="e">
        <f t="shared" ca="1" si="1129"/>
        <v>#NAME?</v>
      </c>
      <c r="BX144" s="26" t="e">
        <f t="shared" ca="1" si="1129"/>
        <v>#NAME?</v>
      </c>
      <c r="BY144" s="26" t="e">
        <f t="shared" ca="1" si="1129"/>
        <v>#NAME?</v>
      </c>
      <c r="BZ144" s="26" t="e">
        <f t="shared" ca="1" si="1129"/>
        <v>#NAME?</v>
      </c>
      <c r="CA144" s="26" t="e">
        <f t="shared" ca="1" si="1129"/>
        <v>#NAME?</v>
      </c>
      <c r="CB144" s="26" t="e">
        <f t="shared" ca="1" si="1129"/>
        <v>#NAME?</v>
      </c>
      <c r="CC144" s="26" t="e">
        <f t="shared" ca="1" si="1129"/>
        <v>#NAME?</v>
      </c>
      <c r="CD144" s="26" t="e">
        <f t="shared" ca="1" si="1129"/>
        <v>#NAME?</v>
      </c>
      <c r="CE144" s="26" t="e">
        <f t="shared" ca="1" si="1129"/>
        <v>#NAME?</v>
      </c>
      <c r="CF144" s="26" t="e">
        <f t="shared" ref="CF144:CG144" ca="1" si="1131">CF143+CF135+CF137</f>
        <v>#NAME?</v>
      </c>
      <c r="CG144" s="26" t="e">
        <f t="shared" ca="1" si="1131"/>
        <v>#NAME?</v>
      </c>
      <c r="CH144" s="26" t="e">
        <f t="shared" ref="CH144:CI144" ca="1" si="1132">CH143+CH135+CH137</f>
        <v>#NAME?</v>
      </c>
      <c r="CI144" s="26" t="e">
        <f t="shared" ca="1" si="1132"/>
        <v>#NAME?</v>
      </c>
      <c r="CJ144" s="26" t="e">
        <f t="shared" ref="CJ144:DB144" ca="1" si="1133">CJ143+CJ135+CJ137</f>
        <v>#NAME?</v>
      </c>
      <c r="CK144" s="27" t="e">
        <f t="shared" ca="1" si="1133"/>
        <v>#NAME?</v>
      </c>
      <c r="CL144" s="26" t="e">
        <f t="shared" ref="CL144" ca="1" si="1134">CL143+CL135+CL137</f>
        <v>#NAME?</v>
      </c>
      <c r="CM144" s="27" t="e">
        <f t="shared" ca="1" si="1133"/>
        <v>#NAME?</v>
      </c>
      <c r="CN144" s="27" t="e">
        <f t="shared" ca="1" si="1133"/>
        <v>#NAME?</v>
      </c>
      <c r="CO144" s="27" t="e">
        <f t="shared" ca="1" si="1133"/>
        <v>#NAME?</v>
      </c>
      <c r="CP144" s="27" t="e">
        <f t="shared" ca="1" si="1133"/>
        <v>#NAME?</v>
      </c>
      <c r="CQ144" s="27" t="e">
        <f t="shared" ca="1" si="1133"/>
        <v>#NAME?</v>
      </c>
      <c r="CR144" s="27" t="e">
        <f t="shared" ca="1" si="1133"/>
        <v>#NAME?</v>
      </c>
      <c r="CS144" s="27" t="e">
        <f t="shared" ca="1" si="1133"/>
        <v>#NAME?</v>
      </c>
      <c r="CT144" s="27" t="e">
        <f t="shared" ca="1" si="1133"/>
        <v>#NAME?</v>
      </c>
      <c r="CU144" s="27" t="e">
        <f t="shared" ca="1" si="1133"/>
        <v>#NAME?</v>
      </c>
      <c r="CV144" s="27" t="e">
        <f t="shared" ca="1" si="1133"/>
        <v>#NAME?</v>
      </c>
      <c r="CW144" s="27" t="e">
        <f t="shared" ca="1" si="1133"/>
        <v>#NAME?</v>
      </c>
      <c r="CX144" s="27" t="e">
        <f t="shared" ca="1" si="1133"/>
        <v>#NAME?</v>
      </c>
      <c r="CY144" s="27" t="e">
        <f t="shared" ca="1" si="1133"/>
        <v>#NAME?</v>
      </c>
      <c r="CZ144" s="27" t="e">
        <f t="shared" ca="1" si="1133"/>
        <v>#NAME?</v>
      </c>
      <c r="DA144" s="27" t="e">
        <f t="shared" ca="1" si="1133"/>
        <v>#NAME?</v>
      </c>
      <c r="DB144" s="27" t="e">
        <f t="shared" ca="1" si="1133"/>
        <v>#NAME?</v>
      </c>
      <c r="DE144" s="121"/>
      <c r="DF144" s="26">
        <v>372.61199999999997</v>
      </c>
    </row>
    <row r="145" spans="1:110" s="23" customFormat="1" x14ac:dyDescent="0.2">
      <c r="AB145" s="24"/>
      <c r="AC145" s="24"/>
      <c r="AD145" s="24"/>
      <c r="AE145" s="24"/>
      <c r="CK145" s="24"/>
      <c r="CM145" s="24"/>
      <c r="CN145" s="24"/>
      <c r="CO145" s="24"/>
      <c r="CP145" s="24"/>
      <c r="CQ145" s="24"/>
      <c r="CR145" s="24"/>
      <c r="CS145" s="24"/>
      <c r="CT145" s="24"/>
      <c r="CU145" s="24"/>
      <c r="CV145" s="24"/>
      <c r="CW145" s="24"/>
      <c r="CX145" s="24"/>
      <c r="CY145" s="24"/>
      <c r="CZ145" s="24"/>
      <c r="DA145" s="24"/>
      <c r="DB145" s="24"/>
      <c r="DE145" s="123"/>
    </row>
    <row r="146" spans="1:110" s="23" customFormat="1" outlineLevel="1" x14ac:dyDescent="0.2">
      <c r="A146" s="23" t="s">
        <v>50</v>
      </c>
      <c r="B146" s="23" t="e">
        <f ca="1">'Annual Raw'!C62</f>
        <v>#NAME?</v>
      </c>
      <c r="C146" s="23" t="e">
        <f ca="1">'Annual Raw'!D62</f>
        <v>#NAME?</v>
      </c>
      <c r="D146" s="23" t="e">
        <f ca="1">'Annual Raw'!E62</f>
        <v>#NAME?</v>
      </c>
      <c r="E146" s="23" t="e">
        <f ca="1">'Annual Raw'!F62-E150</f>
        <v>#NAME?</v>
      </c>
      <c r="F146" s="23" t="e">
        <f ca="1">'Annual Raw'!G62-F150</f>
        <v>#NAME?</v>
      </c>
      <c r="G146" s="23" t="e">
        <f ca="1">'Annual Raw'!H62-G150</f>
        <v>#NAME?</v>
      </c>
      <c r="H146" s="23" t="e">
        <f ca="1">'Annual Raw'!I62-H150</f>
        <v>#NAME?</v>
      </c>
      <c r="I146" s="23" t="e">
        <f ca="1">'Annual Raw'!J62-I150</f>
        <v>#NAME?</v>
      </c>
      <c r="J146" s="23" t="e">
        <f ca="1">'Annual Raw'!K62-J150</f>
        <v>#NAME?</v>
      </c>
      <c r="K146" s="23" t="e">
        <f ca="1">'Annual Raw'!L62-K150</f>
        <v>#NAME?</v>
      </c>
      <c r="L146" s="23" t="e">
        <f ca="1">'Annual Raw'!M62-L150</f>
        <v>#NAME?</v>
      </c>
      <c r="M146" s="23" t="e">
        <f ca="1">'Annual Raw'!N62-M150</f>
        <v>#NAME?</v>
      </c>
      <c r="N146" s="23" t="e">
        <f ca="1">'Annual Raw'!O62-N150</f>
        <v>#NAME?</v>
      </c>
      <c r="O146" s="23" t="e">
        <f ca="1">'Annual Raw'!P62-O150</f>
        <v>#NAME?</v>
      </c>
      <c r="P146" s="23" t="e">
        <f ca="1">'Annual Raw'!Q62-P150</f>
        <v>#NAME?</v>
      </c>
      <c r="Q146" s="23" t="e">
        <f ca="1">'Annual Raw'!R62-Q150</f>
        <v>#NAME?</v>
      </c>
      <c r="R146" s="23" t="e">
        <f ca="1">'Annual Raw'!S62-R150</f>
        <v>#NAME?</v>
      </c>
      <c r="S146" s="23" t="e">
        <f ca="1">'Annual Raw'!T62-S150</f>
        <v>#NAME?</v>
      </c>
      <c r="T146" s="23" t="e">
        <f ca="1">'Annual Raw'!U62-T150</f>
        <v>#NAME?</v>
      </c>
      <c r="U146" s="23" t="e">
        <f ca="1">'Annual Raw'!V62-U150</f>
        <v>#NAME?</v>
      </c>
      <c r="V146" s="23" t="e">
        <f ca="1">'Annual Raw'!W62-V150</f>
        <v>#NAME?</v>
      </c>
      <c r="W146" s="23" t="e">
        <f ca="1">'Annual Raw'!X62-W150</f>
        <v>#NAME?</v>
      </c>
      <c r="X146" s="23" t="e">
        <f ca="1">'Annual Raw'!Y62-X150</f>
        <v>#NAME?</v>
      </c>
      <c r="Y146" s="23" t="e">
        <f ca="1">'Annual Raw'!Z62-Y150</f>
        <v>#NAME?</v>
      </c>
      <c r="Z146" s="23" t="e">
        <f ca="1">'Annual Raw'!AA62-Z150</f>
        <v>#NAME?</v>
      </c>
      <c r="AA146" s="23" t="e">
        <f ca="1">'Annual Raw'!AB62-AA150</f>
        <v>#NAME?</v>
      </c>
      <c r="AB146" s="24" t="e">
        <f t="shared" ref="AB146:AB152" ca="1" si="1135">+CP146</f>
        <v>#NAME?</v>
      </c>
      <c r="AC146" s="24" t="e">
        <f t="shared" ref="AC146:AC152" ca="1" si="1136">+CT146</f>
        <v>#NAME?</v>
      </c>
      <c r="AD146" s="24" t="e">
        <f t="shared" ref="AD146:AD152" ca="1" si="1137">+CX146</f>
        <v>#NAME?</v>
      </c>
      <c r="AE146" s="24" t="e">
        <f t="shared" ref="AE146:AE152" ca="1" si="1138">+DB146</f>
        <v>#NAME?</v>
      </c>
      <c r="AJ146" s="23" t="e">
        <f ca="1">+'QTR Raw'!D68</f>
        <v>#NAME?</v>
      </c>
      <c r="AL146" s="23" t="e">
        <f ca="1">+'QTR Raw'!F68</f>
        <v>#NAME?</v>
      </c>
      <c r="AN146" s="23" t="e">
        <f ca="1">+'QTR Raw'!H68</f>
        <v>#NAME?</v>
      </c>
      <c r="AP146" s="23" t="e">
        <f ca="1">+'QTR Raw'!J68</f>
        <v>#NAME?</v>
      </c>
      <c r="AR146" s="23" t="e">
        <f ca="1">+'QTR Raw'!L68</f>
        <v>#NAME?</v>
      </c>
      <c r="AT146" s="23" t="e">
        <f ca="1">+'QTR Raw'!N68</f>
        <v>#NAME?</v>
      </c>
      <c r="AV146" s="23" t="e">
        <f ca="1">+'QTR Raw'!P68</f>
        <v>#NAME?</v>
      </c>
      <c r="AX146" s="23" t="e">
        <f ca="1">+'QTR Raw'!R68</f>
        <v>#NAME?</v>
      </c>
      <c r="AZ146" s="23" t="e">
        <f ca="1">+'QTR Raw'!T68</f>
        <v>#NAME?</v>
      </c>
      <c r="BB146" s="23" t="e">
        <f ca="1">+'QTR Raw'!V68</f>
        <v>#NAME?</v>
      </c>
      <c r="BD146" s="23" t="e">
        <f ca="1">+'QTR Raw'!X68</f>
        <v>#NAME?</v>
      </c>
      <c r="BF146" s="23" t="e">
        <f ca="1">+'QTR Raw'!Z68</f>
        <v>#NAME?</v>
      </c>
      <c r="BH146" s="23" t="e">
        <f ca="1">+'QTR Raw'!AB68</f>
        <v>#NAME?</v>
      </c>
      <c r="BJ146" s="23" t="e">
        <f ca="1">+'QTR Raw'!AD68</f>
        <v>#NAME?</v>
      </c>
      <c r="BL146" s="23" t="e">
        <f ca="1">+'QTR Raw'!AF68</f>
        <v>#NAME?</v>
      </c>
      <c r="BN146" s="23" t="e">
        <f ca="1">+'QTR Raw'!AH68</f>
        <v>#NAME?</v>
      </c>
      <c r="BP146" s="23" t="e">
        <f ca="1">+'QTR Raw'!AJ68</f>
        <v>#NAME?</v>
      </c>
      <c r="BR146" s="23" t="e">
        <f ca="1">+'QTR Raw'!AL68</f>
        <v>#NAME?</v>
      </c>
      <c r="BT146" s="23" t="e">
        <f ca="1">+'QTR Raw'!AN68</f>
        <v>#NAME?</v>
      </c>
      <c r="BV146" s="23" t="e">
        <f ca="1">+'QTR Raw'!AP68</f>
        <v>#NAME?</v>
      </c>
      <c r="BX146" s="23" t="e">
        <f ca="1">+'QTR Raw'!AR68</f>
        <v>#NAME?</v>
      </c>
      <c r="BZ146" s="23" t="e">
        <f ca="1">+'QTR Raw'!AT68</f>
        <v>#NAME?</v>
      </c>
      <c r="CB146" s="23" t="e">
        <f ca="1">+'QTR Raw'!AV68</f>
        <v>#NAME?</v>
      </c>
      <c r="CD146" s="23" t="e">
        <f ca="1">+'QTR Raw'!AX68</f>
        <v>#NAME?</v>
      </c>
      <c r="CF146" s="23" t="e">
        <f ca="1">+'QTR Raw'!AZ68</f>
        <v>#NAME?</v>
      </c>
      <c r="CH146" s="23" t="e">
        <f t="shared" ref="CH146:CH152" ca="1" si="1139">Z146</f>
        <v>#NAME?</v>
      </c>
      <c r="CI146" s="23" t="e">
        <f ca="1">CH146</f>
        <v>#NAME?</v>
      </c>
      <c r="CJ146" s="23" t="e">
        <f ca="1">+CJ147+CJ149</f>
        <v>#NAME?</v>
      </c>
      <c r="CK146" s="24" t="e">
        <f ca="1">+CJ146</f>
        <v>#NAME?</v>
      </c>
      <c r="CL146" s="23" t="e">
        <f ca="1">+CL147+CL149</f>
        <v>#NAME?</v>
      </c>
      <c r="CM146" s="24" t="e">
        <f t="shared" ref="CM146:DB146" ca="1" si="1140">+CL146</f>
        <v>#NAME?</v>
      </c>
      <c r="CN146" s="24" t="e">
        <f t="shared" ca="1" si="1140"/>
        <v>#NAME?</v>
      </c>
      <c r="CO146" s="24" t="e">
        <f t="shared" ca="1" si="1140"/>
        <v>#NAME?</v>
      </c>
      <c r="CP146" s="24" t="e">
        <f t="shared" ca="1" si="1140"/>
        <v>#NAME?</v>
      </c>
      <c r="CQ146" s="24" t="e">
        <f t="shared" ca="1" si="1140"/>
        <v>#NAME?</v>
      </c>
      <c r="CR146" s="24" t="e">
        <f t="shared" ca="1" si="1140"/>
        <v>#NAME?</v>
      </c>
      <c r="CS146" s="24" t="e">
        <f t="shared" ca="1" si="1140"/>
        <v>#NAME?</v>
      </c>
      <c r="CT146" s="24" t="e">
        <f t="shared" ca="1" si="1140"/>
        <v>#NAME?</v>
      </c>
      <c r="CU146" s="24" t="e">
        <f t="shared" ca="1" si="1140"/>
        <v>#NAME?</v>
      </c>
      <c r="CV146" s="24" t="e">
        <f t="shared" ca="1" si="1140"/>
        <v>#NAME?</v>
      </c>
      <c r="CW146" s="24" t="e">
        <f t="shared" ca="1" si="1140"/>
        <v>#NAME?</v>
      </c>
      <c r="CX146" s="24" t="e">
        <f t="shared" ca="1" si="1140"/>
        <v>#NAME?</v>
      </c>
      <c r="CY146" s="24" t="e">
        <f t="shared" ca="1" si="1140"/>
        <v>#NAME?</v>
      </c>
      <c r="CZ146" s="24" t="e">
        <f t="shared" ca="1" si="1140"/>
        <v>#NAME?</v>
      </c>
      <c r="DA146" s="24" t="e">
        <f t="shared" ca="1" si="1140"/>
        <v>#NAME?</v>
      </c>
      <c r="DB146" s="24" t="e">
        <f t="shared" ca="1" si="1140"/>
        <v>#NAME?</v>
      </c>
      <c r="DE146" s="123"/>
      <c r="DF146" s="23">
        <v>237.18729999999999</v>
      </c>
    </row>
    <row r="147" spans="1:110" s="23" customFormat="1" outlineLevel="1" x14ac:dyDescent="0.2">
      <c r="A147" s="23" t="s">
        <v>51</v>
      </c>
      <c r="B147" s="23" t="e">
        <f ca="1">'Annual Raw'!C63</f>
        <v>#NAME?</v>
      </c>
      <c r="C147" s="23" t="e">
        <f ca="1">'Annual Raw'!D63</f>
        <v>#NAME?</v>
      </c>
      <c r="D147" s="23" t="e">
        <f ca="1">'Annual Raw'!E63</f>
        <v>#NAME?</v>
      </c>
      <c r="E147" s="23" t="e">
        <f ca="1">'Annual Raw'!F63</f>
        <v>#NAME?</v>
      </c>
      <c r="F147" s="23" t="e">
        <f ca="1">'Annual Raw'!G63</f>
        <v>#NAME?</v>
      </c>
      <c r="G147" s="23" t="e">
        <f ca="1">'Annual Raw'!H63</f>
        <v>#NAME?</v>
      </c>
      <c r="H147" s="23" t="e">
        <f ca="1">'Annual Raw'!I63</f>
        <v>#NAME?</v>
      </c>
      <c r="I147" s="23" t="e">
        <f ca="1">'Annual Raw'!J63</f>
        <v>#NAME?</v>
      </c>
      <c r="J147" s="23" t="e">
        <f ca="1">'Annual Raw'!K63</f>
        <v>#NAME?</v>
      </c>
      <c r="K147" s="23" t="e">
        <f ca="1">'Annual Raw'!L63</f>
        <v>#NAME?</v>
      </c>
      <c r="L147" s="23" t="e">
        <f ca="1">'Annual Raw'!M63</f>
        <v>#NAME?</v>
      </c>
      <c r="M147" s="23" t="e">
        <f ca="1">'Annual Raw'!N63</f>
        <v>#NAME?</v>
      </c>
      <c r="N147" s="23" t="e">
        <f ca="1">'Annual Raw'!O63</f>
        <v>#NAME?</v>
      </c>
      <c r="O147" s="23" t="e">
        <f ca="1">'Annual Raw'!P63</f>
        <v>#NAME?</v>
      </c>
      <c r="P147" s="23" t="e">
        <f ca="1">'Annual Raw'!Q63</f>
        <v>#NAME?</v>
      </c>
      <c r="Q147" s="23" t="e">
        <f ca="1">'Annual Raw'!R63</f>
        <v>#NAME?</v>
      </c>
      <c r="R147" s="23" t="e">
        <f ca="1">'Annual Raw'!S63</f>
        <v>#NAME?</v>
      </c>
      <c r="S147" s="23" t="e">
        <f ca="1">'Annual Raw'!T63</f>
        <v>#NAME?</v>
      </c>
      <c r="T147" s="23" t="e">
        <f ca="1">'Annual Raw'!U63</f>
        <v>#NAME?</v>
      </c>
      <c r="U147" s="23" t="e">
        <f ca="1">'Annual Raw'!V63</f>
        <v>#NAME?</v>
      </c>
      <c r="V147" s="23" t="e">
        <f ca="1">'Annual Raw'!W63</f>
        <v>#NAME?</v>
      </c>
      <c r="W147" s="23" t="e">
        <f ca="1">'Annual Raw'!X63</f>
        <v>#NAME?</v>
      </c>
      <c r="X147" s="23" t="e">
        <f ca="1">'Annual Raw'!Y63</f>
        <v>#NAME?</v>
      </c>
      <c r="Y147" s="23" t="e">
        <f ca="1">'Annual Raw'!Z63</f>
        <v>#NAME?</v>
      </c>
      <c r="Z147" s="23" t="e">
        <f ca="1">'Annual Raw'!AA63</f>
        <v>#NAME?</v>
      </c>
      <c r="AA147" s="23" t="e">
        <f ca="1">'Annual Raw'!AB63</f>
        <v>#NAME?</v>
      </c>
      <c r="AB147" s="24" t="e">
        <f t="shared" ca="1" si="1135"/>
        <v>#NAME?</v>
      </c>
      <c r="AC147" s="24" t="e">
        <f t="shared" ca="1" si="1136"/>
        <v>#NAME?</v>
      </c>
      <c r="AD147" s="24" t="e">
        <f t="shared" ca="1" si="1137"/>
        <v>#NAME?</v>
      </c>
      <c r="AE147" s="24" t="e">
        <f t="shared" ca="1" si="1138"/>
        <v>#NAME?</v>
      </c>
      <c r="AJ147" s="23" t="e">
        <f ca="1">+'QTR Raw'!D69</f>
        <v>#NAME?</v>
      </c>
      <c r="AL147" s="23" t="e">
        <f ca="1">+'QTR Raw'!F69</f>
        <v>#NAME?</v>
      </c>
      <c r="AN147" s="23" t="e">
        <f ca="1">+'QTR Raw'!H69</f>
        <v>#NAME?</v>
      </c>
      <c r="AP147" s="23" t="e">
        <f ca="1">+'QTR Raw'!J69</f>
        <v>#NAME?</v>
      </c>
      <c r="AR147" s="23" t="e">
        <f ca="1">+'QTR Raw'!L69</f>
        <v>#NAME?</v>
      </c>
      <c r="AT147" s="23" t="e">
        <f ca="1">+'QTR Raw'!N69</f>
        <v>#NAME?</v>
      </c>
      <c r="AV147" s="23" t="e">
        <f ca="1">+'QTR Raw'!P69</f>
        <v>#NAME?</v>
      </c>
      <c r="AX147" s="23" t="e">
        <f ca="1">+'QTR Raw'!R69</f>
        <v>#NAME?</v>
      </c>
      <c r="AZ147" s="23" t="e">
        <f ca="1">+'QTR Raw'!T69</f>
        <v>#NAME?</v>
      </c>
      <c r="BB147" s="23" t="e">
        <f ca="1">+'QTR Raw'!V69</f>
        <v>#NAME?</v>
      </c>
      <c r="BD147" s="23" t="e">
        <f ca="1">+'QTR Raw'!X69</f>
        <v>#NAME?</v>
      </c>
      <c r="BF147" s="23" t="e">
        <f ca="1">+'QTR Raw'!Z69</f>
        <v>#NAME?</v>
      </c>
      <c r="BH147" s="23" t="e">
        <f ca="1">+'QTR Raw'!AB69</f>
        <v>#NAME?</v>
      </c>
      <c r="BJ147" s="23" t="e">
        <f ca="1">+'QTR Raw'!AD69</f>
        <v>#NAME?</v>
      </c>
      <c r="BL147" s="23" t="e">
        <f ca="1">+'QTR Raw'!AF69</f>
        <v>#NAME?</v>
      </c>
      <c r="BN147" s="23" t="e">
        <f ca="1">+'QTR Raw'!AH69</f>
        <v>#NAME?</v>
      </c>
      <c r="BP147" s="23" t="e">
        <f ca="1">+'QTR Raw'!AJ69</f>
        <v>#NAME?</v>
      </c>
      <c r="BR147" s="23" t="e">
        <f ca="1">+'QTR Raw'!AL69</f>
        <v>#NAME?</v>
      </c>
      <c r="BT147" s="23" t="e">
        <f ca="1">+'QTR Raw'!AN69</f>
        <v>#NAME?</v>
      </c>
      <c r="BV147" s="23" t="e">
        <f ca="1">+'QTR Raw'!AP69</f>
        <v>#NAME?</v>
      </c>
      <c r="BX147" s="23" t="e">
        <f ca="1">+'QTR Raw'!AR69</f>
        <v>#NAME?</v>
      </c>
      <c r="BZ147" s="23" t="e">
        <f ca="1">+'QTR Raw'!AT69</f>
        <v>#NAME?</v>
      </c>
      <c r="CB147" s="23" t="e">
        <f ca="1">+'QTR Raw'!AV69</f>
        <v>#NAME?</v>
      </c>
      <c r="CD147" s="23" t="e">
        <f ca="1">+'QTR Raw'!AX69</f>
        <v>#NAME?</v>
      </c>
      <c r="CF147" s="23" t="e">
        <f ca="1">+'QTR Raw'!AZ69</f>
        <v>#NAME?</v>
      </c>
      <c r="CH147" s="23" t="e">
        <f t="shared" ca="1" si="1139"/>
        <v>#NAME?</v>
      </c>
      <c r="CI147" s="23" t="e">
        <f t="shared" ref="CI147:DB147" ca="1" si="1141">CH147+CI47</f>
        <v>#NAME?</v>
      </c>
      <c r="CJ147" s="23" t="e">
        <f t="shared" ca="1" si="1141"/>
        <v>#NAME?</v>
      </c>
      <c r="CK147" s="24" t="e">
        <f t="shared" ca="1" si="1141"/>
        <v>#NAME?</v>
      </c>
      <c r="CL147" s="23" t="e">
        <f t="shared" ca="1" si="1141"/>
        <v>#NAME?</v>
      </c>
      <c r="CM147" s="24" t="e">
        <f t="shared" ca="1" si="1141"/>
        <v>#NAME?</v>
      </c>
      <c r="CN147" s="24" t="e">
        <f t="shared" ca="1" si="1141"/>
        <v>#NAME?</v>
      </c>
      <c r="CO147" s="24" t="e">
        <f t="shared" ca="1" si="1141"/>
        <v>#NAME?</v>
      </c>
      <c r="CP147" s="24" t="e">
        <f t="shared" ca="1" si="1141"/>
        <v>#NAME?</v>
      </c>
      <c r="CQ147" s="24" t="e">
        <f t="shared" ca="1" si="1141"/>
        <v>#NAME?</v>
      </c>
      <c r="CR147" s="24" t="e">
        <f t="shared" ca="1" si="1141"/>
        <v>#NAME?</v>
      </c>
      <c r="CS147" s="24" t="e">
        <f t="shared" ca="1" si="1141"/>
        <v>#NAME?</v>
      </c>
      <c r="CT147" s="24" t="e">
        <f t="shared" ca="1" si="1141"/>
        <v>#NAME?</v>
      </c>
      <c r="CU147" s="24" t="e">
        <f t="shared" ca="1" si="1141"/>
        <v>#NAME?</v>
      </c>
      <c r="CV147" s="24" t="e">
        <f t="shared" ca="1" si="1141"/>
        <v>#NAME?</v>
      </c>
      <c r="CW147" s="24" t="e">
        <f t="shared" ca="1" si="1141"/>
        <v>#NAME?</v>
      </c>
      <c r="CX147" s="24" t="e">
        <f t="shared" ca="1" si="1141"/>
        <v>#NAME?</v>
      </c>
      <c r="CY147" s="24" t="e">
        <f t="shared" ca="1" si="1141"/>
        <v>#NAME?</v>
      </c>
      <c r="CZ147" s="24" t="e">
        <f t="shared" ca="1" si="1141"/>
        <v>#NAME?</v>
      </c>
      <c r="DA147" s="24" t="e">
        <f t="shared" ca="1" si="1141"/>
        <v>#NAME?</v>
      </c>
      <c r="DB147" s="24" t="e">
        <f t="shared" ca="1" si="1141"/>
        <v>#NAME?</v>
      </c>
      <c r="DE147" s="123"/>
      <c r="DF147" s="23">
        <v>56.009300000000003</v>
      </c>
    </row>
    <row r="148" spans="1:110" s="23" customFormat="1" outlineLevel="1" x14ac:dyDescent="0.2">
      <c r="A148" s="23" t="s">
        <v>52</v>
      </c>
      <c r="B148" s="23" t="e">
        <f ca="1">'Annual Raw'!C64</f>
        <v>#NAME?</v>
      </c>
      <c r="C148" s="23" t="e">
        <f ca="1">'Annual Raw'!D64</f>
        <v>#NAME?</v>
      </c>
      <c r="D148" s="23" t="e">
        <f ca="1">'Annual Raw'!E64</f>
        <v>#NAME?</v>
      </c>
      <c r="E148" s="23" t="e">
        <f ca="1">'Annual Raw'!F64</f>
        <v>#NAME?</v>
      </c>
      <c r="F148" s="23" t="e">
        <f ca="1">'Annual Raw'!G64</f>
        <v>#NAME?</v>
      </c>
      <c r="G148" s="23" t="e">
        <f ca="1">'Annual Raw'!H64</f>
        <v>#NAME?</v>
      </c>
      <c r="H148" s="23" t="e">
        <f ca="1">'Annual Raw'!I64</f>
        <v>#NAME?</v>
      </c>
      <c r="I148" s="23" t="e">
        <f ca="1">'Annual Raw'!J64</f>
        <v>#NAME?</v>
      </c>
      <c r="J148" s="23" t="e">
        <f ca="1">'Annual Raw'!K64</f>
        <v>#NAME?</v>
      </c>
      <c r="K148" s="23" t="e">
        <f ca="1">'Annual Raw'!L64</f>
        <v>#NAME?</v>
      </c>
      <c r="L148" s="23" t="e">
        <f ca="1">'Annual Raw'!M64</f>
        <v>#NAME?</v>
      </c>
      <c r="M148" s="23" t="e">
        <f ca="1">'Annual Raw'!N64</f>
        <v>#NAME?</v>
      </c>
      <c r="N148" s="23" t="e">
        <f ca="1">'Annual Raw'!O64</f>
        <v>#NAME?</v>
      </c>
      <c r="O148" s="23" t="e">
        <f ca="1">'Annual Raw'!P64</f>
        <v>#NAME?</v>
      </c>
      <c r="P148" s="23" t="e">
        <f ca="1">'Annual Raw'!Q64</f>
        <v>#NAME?</v>
      </c>
      <c r="Q148" s="23" t="e">
        <f ca="1">'Annual Raw'!R64</f>
        <v>#NAME?</v>
      </c>
      <c r="R148" s="23" t="e">
        <f ca="1">'Annual Raw'!S64</f>
        <v>#NAME?</v>
      </c>
      <c r="S148" s="23" t="e">
        <f ca="1">'Annual Raw'!T64</f>
        <v>#NAME?</v>
      </c>
      <c r="T148" s="23" t="e">
        <f ca="1">'Annual Raw'!U64</f>
        <v>#NAME?</v>
      </c>
      <c r="U148" s="23" t="e">
        <f ca="1">'Annual Raw'!V64</f>
        <v>#NAME?</v>
      </c>
      <c r="V148" s="23" t="e">
        <f ca="1">'Annual Raw'!W64</f>
        <v>#NAME?</v>
      </c>
      <c r="W148" s="23" t="e">
        <f ca="1">'Annual Raw'!X64</f>
        <v>#NAME?</v>
      </c>
      <c r="X148" s="23" t="e">
        <f ca="1">'Annual Raw'!Y64</f>
        <v>#NAME?</v>
      </c>
      <c r="Y148" s="23" t="e">
        <f ca="1">'Annual Raw'!Z64</f>
        <v>#NAME?</v>
      </c>
      <c r="Z148" s="23" t="e">
        <f ca="1">'Annual Raw'!AA64</f>
        <v>#NAME?</v>
      </c>
      <c r="AA148" s="23" t="e">
        <f ca="1">'Annual Raw'!AB64</f>
        <v>#NAME?</v>
      </c>
      <c r="AB148" s="24" t="e">
        <f t="shared" ca="1" si="1135"/>
        <v>#NAME?</v>
      </c>
      <c r="AC148" s="24" t="e">
        <f t="shared" ca="1" si="1136"/>
        <v>#NAME?</v>
      </c>
      <c r="AD148" s="24" t="e">
        <f t="shared" ca="1" si="1137"/>
        <v>#NAME?</v>
      </c>
      <c r="AE148" s="24" t="e">
        <f t="shared" ca="1" si="1138"/>
        <v>#NAME?</v>
      </c>
      <c r="AJ148" s="23" t="e">
        <f ca="1">+'QTR Raw'!D70</f>
        <v>#NAME?</v>
      </c>
      <c r="AL148" s="23" t="e">
        <f ca="1">+'QTR Raw'!F70</f>
        <v>#NAME?</v>
      </c>
      <c r="AN148" s="23" t="e">
        <f ca="1">+'QTR Raw'!H70</f>
        <v>#NAME?</v>
      </c>
      <c r="AP148" s="23" t="e">
        <f ca="1">+'QTR Raw'!J70</f>
        <v>#NAME?</v>
      </c>
      <c r="AR148" s="23" t="e">
        <f ca="1">+'QTR Raw'!L70</f>
        <v>#NAME?</v>
      </c>
      <c r="AT148" s="23" t="e">
        <f ca="1">+'QTR Raw'!N70</f>
        <v>#NAME?</v>
      </c>
      <c r="AV148" s="23" t="e">
        <f ca="1">+'QTR Raw'!P70</f>
        <v>#NAME?</v>
      </c>
      <c r="AX148" s="23" t="e">
        <f ca="1">+'QTR Raw'!R70</f>
        <v>#NAME?</v>
      </c>
      <c r="AZ148" s="23" t="e">
        <f ca="1">+'QTR Raw'!T70</f>
        <v>#NAME?</v>
      </c>
      <c r="BB148" s="23" t="e">
        <f ca="1">+'QTR Raw'!V70</f>
        <v>#NAME?</v>
      </c>
      <c r="BD148" s="23" t="e">
        <f ca="1">+'QTR Raw'!X70</f>
        <v>#NAME?</v>
      </c>
      <c r="BF148" s="23" t="e">
        <f ca="1">+'QTR Raw'!Z70</f>
        <v>#NAME?</v>
      </c>
      <c r="BH148" s="23" t="e">
        <f ca="1">+'QTR Raw'!AB70</f>
        <v>#NAME?</v>
      </c>
      <c r="BJ148" s="23" t="e">
        <f ca="1">+'QTR Raw'!AD70</f>
        <v>#NAME?</v>
      </c>
      <c r="BL148" s="23" t="e">
        <f ca="1">+'QTR Raw'!AF70</f>
        <v>#NAME?</v>
      </c>
      <c r="BN148" s="23" t="e">
        <f ca="1">+'QTR Raw'!AH70</f>
        <v>#NAME?</v>
      </c>
      <c r="BP148" s="23" t="e">
        <f ca="1">+'QTR Raw'!AJ70</f>
        <v>#NAME?</v>
      </c>
      <c r="BR148" s="23" t="e">
        <f ca="1">+'QTR Raw'!AL70</f>
        <v>#NAME?</v>
      </c>
      <c r="BT148" s="23" t="e">
        <f ca="1">+'QTR Raw'!AN70</f>
        <v>#NAME?</v>
      </c>
      <c r="BV148" s="23" t="e">
        <f ca="1">+'QTR Raw'!AP70</f>
        <v>#NAME?</v>
      </c>
      <c r="BX148" s="23" t="e">
        <f ca="1">+'QTR Raw'!AR70</f>
        <v>#NAME?</v>
      </c>
      <c r="BZ148" s="23" t="e">
        <f ca="1">+'QTR Raw'!AT70</f>
        <v>#NAME?</v>
      </c>
      <c r="CB148" s="23" t="e">
        <f ca="1">+'QTR Raw'!AV70</f>
        <v>#NAME?</v>
      </c>
      <c r="CD148" s="23" t="e">
        <f ca="1">+'QTR Raw'!AX70</f>
        <v>#NAME?</v>
      </c>
      <c r="CF148" s="23" t="e">
        <f ca="1">+'QTR Raw'!AZ70</f>
        <v>#NAME?</v>
      </c>
      <c r="CH148" s="23" t="e">
        <f t="shared" ca="1" si="1139"/>
        <v>#NAME?</v>
      </c>
      <c r="CI148" s="23" t="e">
        <f ca="1">CH148</f>
        <v>#NAME?</v>
      </c>
      <c r="CJ148" s="23" t="e">
        <f ca="1">+'QTR Raw'!BD70</f>
        <v>#NAME?</v>
      </c>
      <c r="CK148" s="24" t="e">
        <f t="shared" ref="CK148:DB148" ca="1" si="1142">CJ148</f>
        <v>#NAME?</v>
      </c>
      <c r="CL148" s="23" t="e">
        <f ca="1">+'QTR Raw'!BF70</f>
        <v>#NAME?</v>
      </c>
      <c r="CM148" s="24" t="e">
        <f t="shared" ca="1" si="1142"/>
        <v>#NAME?</v>
      </c>
      <c r="CN148" s="24" t="e">
        <f t="shared" ca="1" si="1142"/>
        <v>#NAME?</v>
      </c>
      <c r="CO148" s="24" t="e">
        <f t="shared" ca="1" si="1142"/>
        <v>#NAME?</v>
      </c>
      <c r="CP148" s="24" t="e">
        <f t="shared" ca="1" si="1142"/>
        <v>#NAME?</v>
      </c>
      <c r="CQ148" s="24" t="e">
        <f t="shared" ca="1" si="1142"/>
        <v>#NAME?</v>
      </c>
      <c r="CR148" s="24" t="e">
        <f t="shared" ca="1" si="1142"/>
        <v>#NAME?</v>
      </c>
      <c r="CS148" s="24" t="e">
        <f t="shared" ca="1" si="1142"/>
        <v>#NAME?</v>
      </c>
      <c r="CT148" s="24" t="e">
        <f t="shared" ca="1" si="1142"/>
        <v>#NAME?</v>
      </c>
      <c r="CU148" s="24" t="e">
        <f t="shared" ca="1" si="1142"/>
        <v>#NAME?</v>
      </c>
      <c r="CV148" s="24" t="e">
        <f t="shared" ca="1" si="1142"/>
        <v>#NAME?</v>
      </c>
      <c r="CW148" s="24" t="e">
        <f t="shared" ca="1" si="1142"/>
        <v>#NAME?</v>
      </c>
      <c r="CX148" s="24" t="e">
        <f t="shared" ca="1" si="1142"/>
        <v>#NAME?</v>
      </c>
      <c r="CY148" s="24" t="e">
        <f t="shared" ca="1" si="1142"/>
        <v>#NAME?</v>
      </c>
      <c r="CZ148" s="24" t="e">
        <f t="shared" ca="1" si="1142"/>
        <v>#NAME?</v>
      </c>
      <c r="DA148" s="24" t="e">
        <f t="shared" ca="1" si="1142"/>
        <v>#NAME?</v>
      </c>
      <c r="DB148" s="24" t="e">
        <f t="shared" ca="1" si="1142"/>
        <v>#NAME?</v>
      </c>
      <c r="DE148" s="123"/>
      <c r="DF148" s="23">
        <v>0</v>
      </c>
    </row>
    <row r="149" spans="1:110" s="22" customFormat="1" outlineLevel="1" x14ac:dyDescent="0.2">
      <c r="A149" s="22" t="s">
        <v>53</v>
      </c>
      <c r="B149" s="22" t="e">
        <f ca="1">+B146-B147-B148</f>
        <v>#NAME?</v>
      </c>
      <c r="C149" s="22" t="e">
        <f t="shared" ref="C149:W149" ca="1" si="1143">+C146-C147-C148</f>
        <v>#NAME?</v>
      </c>
      <c r="D149" s="22" t="e">
        <f t="shared" ca="1" si="1143"/>
        <v>#NAME?</v>
      </c>
      <c r="E149" s="22" t="e">
        <f t="shared" ca="1" si="1143"/>
        <v>#NAME?</v>
      </c>
      <c r="F149" s="22" t="e">
        <f t="shared" ca="1" si="1143"/>
        <v>#NAME?</v>
      </c>
      <c r="G149" s="22" t="e">
        <f t="shared" ca="1" si="1143"/>
        <v>#NAME?</v>
      </c>
      <c r="H149" s="22" t="e">
        <f t="shared" ca="1" si="1143"/>
        <v>#NAME?</v>
      </c>
      <c r="I149" s="22" t="e">
        <f t="shared" ca="1" si="1143"/>
        <v>#NAME?</v>
      </c>
      <c r="J149" s="22" t="e">
        <f t="shared" ca="1" si="1143"/>
        <v>#NAME?</v>
      </c>
      <c r="K149" s="22" t="e">
        <f t="shared" ca="1" si="1143"/>
        <v>#NAME?</v>
      </c>
      <c r="L149" s="22" t="e">
        <f t="shared" ca="1" si="1143"/>
        <v>#NAME?</v>
      </c>
      <c r="M149" s="22" t="e">
        <f t="shared" ca="1" si="1143"/>
        <v>#NAME?</v>
      </c>
      <c r="N149" s="22" t="e">
        <f t="shared" ca="1" si="1143"/>
        <v>#NAME?</v>
      </c>
      <c r="O149" s="22" t="e">
        <f t="shared" ca="1" si="1143"/>
        <v>#NAME?</v>
      </c>
      <c r="P149" s="22" t="e">
        <f t="shared" ca="1" si="1143"/>
        <v>#NAME?</v>
      </c>
      <c r="Q149" s="22" t="e">
        <f t="shared" ca="1" si="1143"/>
        <v>#NAME?</v>
      </c>
      <c r="R149" s="22" t="e">
        <f t="shared" ca="1" si="1143"/>
        <v>#NAME?</v>
      </c>
      <c r="S149" s="22" t="e">
        <f t="shared" ca="1" si="1143"/>
        <v>#NAME?</v>
      </c>
      <c r="T149" s="22" t="e">
        <f t="shared" ca="1" si="1143"/>
        <v>#NAME?</v>
      </c>
      <c r="U149" s="22" t="e">
        <f t="shared" ca="1" si="1143"/>
        <v>#NAME?</v>
      </c>
      <c r="V149" s="22" t="e">
        <f t="shared" ca="1" si="1143"/>
        <v>#NAME?</v>
      </c>
      <c r="W149" s="22" t="e">
        <f t="shared" ca="1" si="1143"/>
        <v>#NAME?</v>
      </c>
      <c r="X149" s="22" t="e">
        <f t="shared" ref="X149:Y149" ca="1" si="1144">+X146-X147-X148</f>
        <v>#NAME?</v>
      </c>
      <c r="Y149" s="22" t="e">
        <f t="shared" ca="1" si="1144"/>
        <v>#NAME?</v>
      </c>
      <c r="Z149" s="22" t="e">
        <f t="shared" ref="Z149:AE149" ca="1" si="1145">+Z146-Z147-Z148</f>
        <v>#NAME?</v>
      </c>
      <c r="AA149" s="22" t="e">
        <f t="shared" ref="AA149" ca="1" si="1146">+AA146-AA147-AA148</f>
        <v>#NAME?</v>
      </c>
      <c r="AB149" s="21" t="e">
        <f t="shared" ca="1" si="1145"/>
        <v>#NAME?</v>
      </c>
      <c r="AC149" s="21" t="e">
        <f t="shared" ca="1" si="1145"/>
        <v>#NAME?</v>
      </c>
      <c r="AD149" s="21" t="e">
        <f t="shared" ca="1" si="1145"/>
        <v>#NAME?</v>
      </c>
      <c r="AE149" s="21" t="e">
        <f t="shared" ca="1" si="1145"/>
        <v>#NAME?</v>
      </c>
      <c r="AJ149" s="22" t="e">
        <f t="shared" ref="AJ149:AL149" ca="1" si="1147">+AJ146-AJ147-AJ148</f>
        <v>#NAME?</v>
      </c>
      <c r="AK149" s="22" t="e">
        <f t="shared" ref="AK149:CE149" ca="1" si="1148">+AJ149</f>
        <v>#NAME?</v>
      </c>
      <c r="AL149" s="22" t="e">
        <f t="shared" ca="1" si="1147"/>
        <v>#NAME?</v>
      </c>
      <c r="AM149" s="22" t="e">
        <f t="shared" ca="1" si="1148"/>
        <v>#NAME?</v>
      </c>
      <c r="AN149" s="22" t="e">
        <f t="shared" ref="AN149" ca="1" si="1149">+AN146-AN147-AN148</f>
        <v>#NAME?</v>
      </c>
      <c r="AO149" s="22" t="e">
        <f t="shared" ca="1" si="1148"/>
        <v>#NAME?</v>
      </c>
      <c r="AP149" s="22" t="e">
        <f t="shared" ref="AP149:CD149" ca="1" si="1150">+AP146-AP147-AP148</f>
        <v>#NAME?</v>
      </c>
      <c r="AQ149" s="22" t="e">
        <f t="shared" ca="1" si="1148"/>
        <v>#NAME?</v>
      </c>
      <c r="AR149" s="22" t="e">
        <f t="shared" ca="1" si="1150"/>
        <v>#NAME?</v>
      </c>
      <c r="AS149" s="22" t="e">
        <f t="shared" ca="1" si="1148"/>
        <v>#NAME?</v>
      </c>
      <c r="AT149" s="22" t="e">
        <f t="shared" ca="1" si="1150"/>
        <v>#NAME?</v>
      </c>
      <c r="AU149" s="22" t="e">
        <f t="shared" ca="1" si="1148"/>
        <v>#NAME?</v>
      </c>
      <c r="AV149" s="22" t="e">
        <f t="shared" ca="1" si="1150"/>
        <v>#NAME?</v>
      </c>
      <c r="AW149" s="22" t="e">
        <f t="shared" ca="1" si="1148"/>
        <v>#NAME?</v>
      </c>
      <c r="AX149" s="22" t="e">
        <f t="shared" ca="1" si="1150"/>
        <v>#NAME?</v>
      </c>
      <c r="AY149" s="22" t="e">
        <f t="shared" ca="1" si="1148"/>
        <v>#NAME?</v>
      </c>
      <c r="AZ149" s="22" t="e">
        <f t="shared" ca="1" si="1150"/>
        <v>#NAME?</v>
      </c>
      <c r="BA149" s="22" t="e">
        <f t="shared" ca="1" si="1148"/>
        <v>#NAME?</v>
      </c>
      <c r="BB149" s="22" t="e">
        <f t="shared" ca="1" si="1150"/>
        <v>#NAME?</v>
      </c>
      <c r="BC149" s="22" t="e">
        <f t="shared" ca="1" si="1148"/>
        <v>#NAME?</v>
      </c>
      <c r="BD149" s="22" t="e">
        <f t="shared" ca="1" si="1150"/>
        <v>#NAME?</v>
      </c>
      <c r="BE149" s="22" t="e">
        <f t="shared" ca="1" si="1148"/>
        <v>#NAME?</v>
      </c>
      <c r="BF149" s="22" t="e">
        <f t="shared" ca="1" si="1150"/>
        <v>#NAME?</v>
      </c>
      <c r="BG149" s="22" t="e">
        <f t="shared" ca="1" si="1148"/>
        <v>#NAME?</v>
      </c>
      <c r="BH149" s="22" t="e">
        <f t="shared" ca="1" si="1150"/>
        <v>#NAME?</v>
      </c>
      <c r="BI149" s="22" t="e">
        <f t="shared" ca="1" si="1148"/>
        <v>#NAME?</v>
      </c>
      <c r="BJ149" s="22" t="e">
        <f t="shared" ca="1" si="1150"/>
        <v>#NAME?</v>
      </c>
      <c r="BK149" s="22" t="e">
        <f t="shared" ca="1" si="1148"/>
        <v>#NAME?</v>
      </c>
      <c r="BL149" s="22" t="e">
        <f t="shared" ca="1" si="1150"/>
        <v>#NAME?</v>
      </c>
      <c r="BM149" s="22" t="e">
        <f t="shared" ca="1" si="1148"/>
        <v>#NAME?</v>
      </c>
      <c r="BN149" s="22" t="e">
        <f t="shared" ca="1" si="1150"/>
        <v>#NAME?</v>
      </c>
      <c r="BO149" s="22" t="e">
        <f t="shared" ca="1" si="1148"/>
        <v>#NAME?</v>
      </c>
      <c r="BP149" s="22" t="e">
        <f t="shared" ca="1" si="1150"/>
        <v>#NAME?</v>
      </c>
      <c r="BQ149" s="22" t="e">
        <f t="shared" ca="1" si="1148"/>
        <v>#NAME?</v>
      </c>
      <c r="BR149" s="22" t="e">
        <f t="shared" ca="1" si="1150"/>
        <v>#NAME?</v>
      </c>
      <c r="BS149" s="22" t="e">
        <f t="shared" ca="1" si="1148"/>
        <v>#NAME?</v>
      </c>
      <c r="BT149" s="22" t="e">
        <f t="shared" ca="1" si="1150"/>
        <v>#NAME?</v>
      </c>
      <c r="BU149" s="22" t="e">
        <f t="shared" ca="1" si="1148"/>
        <v>#NAME?</v>
      </c>
      <c r="BV149" s="22" t="e">
        <f t="shared" ca="1" si="1150"/>
        <v>#NAME?</v>
      </c>
      <c r="BW149" s="22" t="e">
        <f t="shared" ca="1" si="1148"/>
        <v>#NAME?</v>
      </c>
      <c r="BX149" s="22" t="e">
        <f t="shared" ca="1" si="1150"/>
        <v>#NAME?</v>
      </c>
      <c r="BY149" s="22" t="e">
        <f t="shared" ca="1" si="1148"/>
        <v>#NAME?</v>
      </c>
      <c r="BZ149" s="22" t="e">
        <f t="shared" ca="1" si="1150"/>
        <v>#NAME?</v>
      </c>
      <c r="CA149" s="22" t="e">
        <f t="shared" ca="1" si="1148"/>
        <v>#NAME?</v>
      </c>
      <c r="CB149" s="22" t="e">
        <f t="shared" ca="1" si="1150"/>
        <v>#NAME?</v>
      </c>
      <c r="CC149" s="22" t="e">
        <f t="shared" ca="1" si="1148"/>
        <v>#NAME?</v>
      </c>
      <c r="CD149" s="22" t="e">
        <f t="shared" ca="1" si="1150"/>
        <v>#NAME?</v>
      </c>
      <c r="CE149" s="22" t="e">
        <f t="shared" ca="1" si="1148"/>
        <v>#NAME?</v>
      </c>
      <c r="CF149" s="22" t="e">
        <f t="shared" ref="CF149:CI149" ca="1" si="1151">+CF146-CF147-CF148</f>
        <v>#NAME?</v>
      </c>
      <c r="CG149" s="22" t="e">
        <f t="shared" ref="CG149:CI152" ca="1" si="1152">+CF149</f>
        <v>#NAME?</v>
      </c>
      <c r="CH149" s="22" t="e">
        <f t="shared" ca="1" si="1151"/>
        <v>#NAME?</v>
      </c>
      <c r="CI149" s="22" t="e">
        <f t="shared" ca="1" si="1151"/>
        <v>#NAME?</v>
      </c>
      <c r="CJ149" s="23" t="e">
        <f ca="1">+'QTR Raw'!BD68</f>
        <v>#NAME?</v>
      </c>
      <c r="CK149" s="21" t="e">
        <f t="shared" ref="CK149:DB149" ca="1" si="1153">+CK146-CK147-CK148</f>
        <v>#NAME?</v>
      </c>
      <c r="CL149" s="23" t="e">
        <f ca="1">+'QTR Raw'!BF68</f>
        <v>#NAME?</v>
      </c>
      <c r="CM149" s="21" t="e">
        <f t="shared" ca="1" si="1153"/>
        <v>#NAME?</v>
      </c>
      <c r="CN149" s="21" t="e">
        <f t="shared" ca="1" si="1153"/>
        <v>#NAME?</v>
      </c>
      <c r="CO149" s="21" t="e">
        <f t="shared" ca="1" si="1153"/>
        <v>#NAME?</v>
      </c>
      <c r="CP149" s="21" t="e">
        <f t="shared" ca="1" si="1153"/>
        <v>#NAME?</v>
      </c>
      <c r="CQ149" s="21" t="e">
        <f t="shared" ca="1" si="1153"/>
        <v>#NAME?</v>
      </c>
      <c r="CR149" s="21" t="e">
        <f t="shared" ca="1" si="1153"/>
        <v>#NAME?</v>
      </c>
      <c r="CS149" s="21" t="e">
        <f t="shared" ca="1" si="1153"/>
        <v>#NAME?</v>
      </c>
      <c r="CT149" s="21" t="e">
        <f t="shared" ca="1" si="1153"/>
        <v>#NAME?</v>
      </c>
      <c r="CU149" s="21" t="e">
        <f t="shared" ca="1" si="1153"/>
        <v>#NAME?</v>
      </c>
      <c r="CV149" s="21" t="e">
        <f t="shared" ca="1" si="1153"/>
        <v>#NAME?</v>
      </c>
      <c r="CW149" s="21" t="e">
        <f t="shared" ca="1" si="1153"/>
        <v>#NAME?</v>
      </c>
      <c r="CX149" s="21" t="e">
        <f t="shared" ca="1" si="1153"/>
        <v>#NAME?</v>
      </c>
      <c r="CY149" s="21" t="e">
        <f t="shared" ca="1" si="1153"/>
        <v>#NAME?</v>
      </c>
      <c r="CZ149" s="21" t="e">
        <f t="shared" ca="1" si="1153"/>
        <v>#NAME?</v>
      </c>
      <c r="DA149" s="21" t="e">
        <f t="shared" ca="1" si="1153"/>
        <v>#NAME?</v>
      </c>
      <c r="DB149" s="21" t="e">
        <f t="shared" ca="1" si="1153"/>
        <v>#NAME?</v>
      </c>
      <c r="DE149" s="126"/>
      <c r="DF149" s="22">
        <v>181.178</v>
      </c>
    </row>
    <row r="150" spans="1:110" s="23" customFormat="1" outlineLevel="1" x14ac:dyDescent="0.2">
      <c r="A150" s="23" t="s">
        <v>54</v>
      </c>
      <c r="B150" s="23" t="e">
        <f ca="1">'Annual Raw'!C86</f>
        <v>#NAME?</v>
      </c>
      <c r="C150" s="23" t="e">
        <f ca="1">'Annual Raw'!D86</f>
        <v>#NAME?</v>
      </c>
      <c r="D150" s="23" t="e">
        <f ca="1">'Annual Raw'!E86</f>
        <v>#NAME?</v>
      </c>
      <c r="E150" s="23" t="e">
        <f ca="1">'Annual Raw'!F86</f>
        <v>#NAME?</v>
      </c>
      <c r="F150" s="23" t="e">
        <f ca="1">'Annual Raw'!G86</f>
        <v>#NAME?</v>
      </c>
      <c r="G150" s="23" t="e">
        <f ca="1">'Annual Raw'!H86</f>
        <v>#NAME?</v>
      </c>
      <c r="H150" s="23" t="e">
        <f ca="1">'Annual Raw'!I86</f>
        <v>#NAME?</v>
      </c>
      <c r="I150" s="23" t="e">
        <f ca="1">'Annual Raw'!J86</f>
        <v>#NAME?</v>
      </c>
      <c r="J150" s="23" t="e">
        <f ca="1">'Annual Raw'!K86</f>
        <v>#NAME?</v>
      </c>
      <c r="K150" s="23" t="e">
        <f ca="1">'Annual Raw'!L86</f>
        <v>#NAME?</v>
      </c>
      <c r="L150" s="23" t="e">
        <f ca="1">'Annual Raw'!M86</f>
        <v>#NAME?</v>
      </c>
      <c r="M150" s="23" t="e">
        <f ca="1">'Annual Raw'!N86</f>
        <v>#NAME?</v>
      </c>
      <c r="N150" s="23" t="e">
        <f ca="1">'Annual Raw'!O86</f>
        <v>#NAME?</v>
      </c>
      <c r="O150" s="23" t="e">
        <f ca="1">'Annual Raw'!P86</f>
        <v>#NAME?</v>
      </c>
      <c r="P150" s="23" t="e">
        <f ca="1">'Annual Raw'!Q86</f>
        <v>#NAME?</v>
      </c>
      <c r="Q150" s="23" t="e">
        <f ca="1">'Annual Raw'!R86</f>
        <v>#NAME?</v>
      </c>
      <c r="R150" s="23" t="e">
        <f ca="1">'Annual Raw'!S86</f>
        <v>#NAME?</v>
      </c>
      <c r="S150" s="23" t="e">
        <f ca="1">'Annual Raw'!T86</f>
        <v>#NAME?</v>
      </c>
      <c r="T150" s="23" t="e">
        <f ca="1">'Annual Raw'!U86</f>
        <v>#NAME?</v>
      </c>
      <c r="U150" s="23" t="e">
        <f ca="1">'Annual Raw'!V86</f>
        <v>#NAME?</v>
      </c>
      <c r="V150" s="23" t="e">
        <f ca="1">'Annual Raw'!W86</f>
        <v>#NAME?</v>
      </c>
      <c r="W150" s="23" t="e">
        <f ca="1">'Annual Raw'!X86</f>
        <v>#NAME?</v>
      </c>
      <c r="X150" s="23" t="e">
        <f ca="1">'Annual Raw'!Y86</f>
        <v>#NAME?</v>
      </c>
      <c r="Y150" s="23" t="e">
        <f ca="1">'Annual Raw'!Z86</f>
        <v>#NAME?</v>
      </c>
      <c r="Z150" s="23" t="e">
        <f ca="1">'Annual Raw'!AA86</f>
        <v>#NAME?</v>
      </c>
      <c r="AA150" s="23" t="e">
        <f ca="1">'Annual Raw'!AB86</f>
        <v>#NAME?</v>
      </c>
      <c r="AB150" s="24" t="e">
        <f t="shared" ca="1" si="1135"/>
        <v>#NAME?</v>
      </c>
      <c r="AC150" s="24" t="e">
        <f t="shared" ca="1" si="1136"/>
        <v>#NAME?</v>
      </c>
      <c r="AD150" s="24" t="e">
        <f t="shared" ca="1" si="1137"/>
        <v>#NAME?</v>
      </c>
      <c r="AE150" s="24" t="e">
        <f t="shared" ca="1" si="1138"/>
        <v>#NAME?</v>
      </c>
      <c r="AJ150" s="23" t="e">
        <f ca="1">+'QTR Raw'!D72</f>
        <v>#NAME?</v>
      </c>
      <c r="AK150" s="23" t="e">
        <f ca="1">+AJ150</f>
        <v>#NAME?</v>
      </c>
      <c r="AL150" s="23" t="e">
        <f ca="1">+'QTR Raw'!F72</f>
        <v>#NAME?</v>
      </c>
      <c r="AM150" s="23" t="e">
        <f t="shared" ref="AK150:CE152" ca="1" si="1154">+AL150</f>
        <v>#NAME?</v>
      </c>
      <c r="AN150" s="23" t="e">
        <f ca="1">+'QTR Raw'!H72</f>
        <v>#NAME?</v>
      </c>
      <c r="AO150" s="23" t="e">
        <f t="shared" ca="1" si="1154"/>
        <v>#NAME?</v>
      </c>
      <c r="AP150" s="23" t="e">
        <f ca="1">+'QTR Raw'!J72</f>
        <v>#NAME?</v>
      </c>
      <c r="AQ150" s="23" t="e">
        <f t="shared" ca="1" si="1154"/>
        <v>#NAME?</v>
      </c>
      <c r="AR150" s="23" t="e">
        <f ca="1">+'QTR Raw'!L72</f>
        <v>#NAME?</v>
      </c>
      <c r="AS150" s="23" t="e">
        <f t="shared" ca="1" si="1154"/>
        <v>#NAME?</v>
      </c>
      <c r="AT150" s="23" t="e">
        <f ca="1">+'QTR Raw'!N72</f>
        <v>#NAME?</v>
      </c>
      <c r="AU150" s="23" t="e">
        <f t="shared" ca="1" si="1154"/>
        <v>#NAME?</v>
      </c>
      <c r="AV150" s="23" t="e">
        <f ca="1">+'QTR Raw'!P72</f>
        <v>#NAME?</v>
      </c>
      <c r="AW150" s="23" t="e">
        <f t="shared" ca="1" si="1154"/>
        <v>#NAME?</v>
      </c>
      <c r="AX150" s="23" t="e">
        <f ca="1">+'QTR Raw'!R72</f>
        <v>#NAME?</v>
      </c>
      <c r="AY150" s="23" t="e">
        <f t="shared" ca="1" si="1154"/>
        <v>#NAME?</v>
      </c>
      <c r="AZ150" s="23" t="e">
        <f ca="1">+'QTR Raw'!T72</f>
        <v>#NAME?</v>
      </c>
      <c r="BA150" s="23" t="e">
        <f t="shared" ca="1" si="1154"/>
        <v>#NAME?</v>
      </c>
      <c r="BB150" s="23" t="e">
        <f ca="1">+'QTR Raw'!V72</f>
        <v>#NAME?</v>
      </c>
      <c r="BC150" s="23" t="e">
        <f t="shared" ca="1" si="1154"/>
        <v>#NAME?</v>
      </c>
      <c r="BD150" s="23" t="e">
        <f ca="1">+'QTR Raw'!X72</f>
        <v>#NAME?</v>
      </c>
      <c r="BE150" s="23" t="e">
        <f t="shared" ca="1" si="1154"/>
        <v>#NAME?</v>
      </c>
      <c r="BF150" s="23" t="e">
        <f ca="1">+'QTR Raw'!Z72</f>
        <v>#NAME?</v>
      </c>
      <c r="BG150" s="23" t="e">
        <f t="shared" ca="1" si="1154"/>
        <v>#NAME?</v>
      </c>
      <c r="BH150" s="23" t="e">
        <f ca="1">+'QTR Raw'!AB72</f>
        <v>#NAME?</v>
      </c>
      <c r="BI150" s="23" t="e">
        <f t="shared" ca="1" si="1154"/>
        <v>#NAME?</v>
      </c>
      <c r="BJ150" s="23" t="e">
        <f ca="1">+'QTR Raw'!AD72</f>
        <v>#NAME?</v>
      </c>
      <c r="BK150" s="23" t="e">
        <f t="shared" ca="1" si="1154"/>
        <v>#NAME?</v>
      </c>
      <c r="BL150" s="23" t="e">
        <f ca="1">+'QTR Raw'!AF72</f>
        <v>#NAME?</v>
      </c>
      <c r="BM150" s="23" t="e">
        <f t="shared" ca="1" si="1154"/>
        <v>#NAME?</v>
      </c>
      <c r="BN150" s="23" t="e">
        <f ca="1">+'QTR Raw'!AH72</f>
        <v>#NAME?</v>
      </c>
      <c r="BO150" s="23" t="e">
        <f t="shared" ca="1" si="1154"/>
        <v>#NAME?</v>
      </c>
      <c r="BP150" s="23" t="e">
        <f ca="1">+'QTR Raw'!AJ72</f>
        <v>#NAME?</v>
      </c>
      <c r="BQ150" s="23" t="e">
        <f t="shared" ca="1" si="1154"/>
        <v>#NAME?</v>
      </c>
      <c r="BR150" s="23" t="e">
        <f ca="1">+'QTR Raw'!AL72</f>
        <v>#NAME?</v>
      </c>
      <c r="BS150" s="23" t="e">
        <f t="shared" ca="1" si="1154"/>
        <v>#NAME?</v>
      </c>
      <c r="BT150" s="23" t="e">
        <f ca="1">+'QTR Raw'!AN72</f>
        <v>#NAME?</v>
      </c>
      <c r="BU150" s="23" t="e">
        <f t="shared" ca="1" si="1154"/>
        <v>#NAME?</v>
      </c>
      <c r="BV150" s="23" t="e">
        <f ca="1">+'QTR Raw'!AP72</f>
        <v>#NAME?</v>
      </c>
      <c r="BW150" s="23" t="e">
        <f t="shared" ca="1" si="1154"/>
        <v>#NAME?</v>
      </c>
      <c r="BX150" s="23" t="e">
        <f ca="1">+'QTR Raw'!AR72</f>
        <v>#NAME?</v>
      </c>
      <c r="BY150" s="23" t="e">
        <f t="shared" ca="1" si="1154"/>
        <v>#NAME?</v>
      </c>
      <c r="BZ150" s="23" t="e">
        <f ca="1">+'QTR Raw'!AT72</f>
        <v>#NAME?</v>
      </c>
      <c r="CA150" s="23" t="e">
        <f t="shared" ca="1" si="1154"/>
        <v>#NAME?</v>
      </c>
      <c r="CB150" s="23" t="e">
        <f ca="1">+'QTR Raw'!AV72</f>
        <v>#NAME?</v>
      </c>
      <c r="CC150" s="23" t="e">
        <f t="shared" ca="1" si="1154"/>
        <v>#NAME?</v>
      </c>
      <c r="CD150" s="23" t="e">
        <f ca="1">+'QTR Raw'!AX72</f>
        <v>#NAME?</v>
      </c>
      <c r="CE150" s="23" t="e">
        <f t="shared" ca="1" si="1154"/>
        <v>#NAME?</v>
      </c>
      <c r="CF150" s="23" t="e">
        <f ca="1">+'QTR Raw'!AZ72</f>
        <v>#NAME?</v>
      </c>
      <c r="CG150" s="23" t="e">
        <f t="shared" ca="1" si="1152"/>
        <v>#NAME?</v>
      </c>
      <c r="CH150" s="23" t="e">
        <f t="shared" ca="1" si="1139"/>
        <v>#NAME?</v>
      </c>
      <c r="CI150" s="23" t="e">
        <f t="shared" ca="1" si="1152"/>
        <v>#NAME?</v>
      </c>
      <c r="CJ150" s="23" t="e">
        <f ca="1">+'QTR Raw'!BD72</f>
        <v>#NAME?</v>
      </c>
      <c r="CK150" s="24" t="e">
        <f t="shared" ref="CK150:CK152" ca="1" si="1155">+CJ150</f>
        <v>#NAME?</v>
      </c>
      <c r="CL150" s="23" t="e">
        <f ca="1">+'QTR Raw'!BF72</f>
        <v>#NAME?</v>
      </c>
      <c r="CM150" s="24" t="e">
        <f t="shared" ref="CM150:CM152" ca="1" si="1156">+CL150</f>
        <v>#NAME?</v>
      </c>
      <c r="CN150" s="24" t="e">
        <f t="shared" ref="CN150:CN152" ca="1" si="1157">+CM150</f>
        <v>#NAME?</v>
      </c>
      <c r="CO150" s="24" t="e">
        <f t="shared" ref="CO150:CO152" ca="1" si="1158">+CN150</f>
        <v>#NAME?</v>
      </c>
      <c r="CP150" s="24" t="e">
        <f t="shared" ref="CP150:CP152" ca="1" si="1159">+CO150</f>
        <v>#NAME?</v>
      </c>
      <c r="CQ150" s="24" t="e">
        <f t="shared" ref="CQ150:CQ152" ca="1" si="1160">+CP150</f>
        <v>#NAME?</v>
      </c>
      <c r="CR150" s="24" t="e">
        <f t="shared" ref="CR150:CR152" ca="1" si="1161">+CQ150</f>
        <v>#NAME?</v>
      </c>
      <c r="CS150" s="24" t="e">
        <f t="shared" ref="CS150:CS152" ca="1" si="1162">+CR150</f>
        <v>#NAME?</v>
      </c>
      <c r="CT150" s="24" t="e">
        <f t="shared" ref="CT150:CT152" ca="1" si="1163">+CS150</f>
        <v>#NAME?</v>
      </c>
      <c r="CU150" s="24" t="e">
        <f t="shared" ref="CU150:CU152" ca="1" si="1164">+CT150</f>
        <v>#NAME?</v>
      </c>
      <c r="CV150" s="24" t="e">
        <f t="shared" ref="CV150:CV152" ca="1" si="1165">+CU150</f>
        <v>#NAME?</v>
      </c>
      <c r="CW150" s="24" t="e">
        <f t="shared" ref="CW150:CW152" ca="1" si="1166">+CV150</f>
        <v>#NAME?</v>
      </c>
      <c r="CX150" s="24" t="e">
        <f t="shared" ref="CX150:CX152" ca="1" si="1167">+CW150</f>
        <v>#NAME?</v>
      </c>
      <c r="CY150" s="24" t="e">
        <f t="shared" ref="CY150:CY152" ca="1" si="1168">+CX150</f>
        <v>#NAME?</v>
      </c>
      <c r="CZ150" s="24" t="e">
        <f t="shared" ref="CZ150:CZ152" ca="1" si="1169">+CY150</f>
        <v>#NAME?</v>
      </c>
      <c r="DA150" s="24" t="e">
        <f t="shared" ref="DA150:DA152" ca="1" si="1170">+CZ150</f>
        <v>#NAME?</v>
      </c>
      <c r="DB150" s="24" t="e">
        <f t="shared" ref="DB150:DB152" ca="1" si="1171">+DA150</f>
        <v>#NAME?</v>
      </c>
      <c r="DE150" s="123"/>
      <c r="DF150" s="23">
        <v>0</v>
      </c>
    </row>
    <row r="151" spans="1:110" s="23" customFormat="1" outlineLevel="1" x14ac:dyDescent="0.2">
      <c r="A151" s="23" t="s">
        <v>55</v>
      </c>
      <c r="B151" s="23" t="e">
        <f ca="1">'Annual Raw'!C68</f>
        <v>#NAME?</v>
      </c>
      <c r="C151" s="23" t="e">
        <f ca="1">'Annual Raw'!D68</f>
        <v>#NAME?</v>
      </c>
      <c r="D151" s="23" t="e">
        <f ca="1">'Annual Raw'!E68</f>
        <v>#NAME?</v>
      </c>
      <c r="E151" s="23" t="e">
        <f ca="1">'Annual Raw'!F68</f>
        <v>#NAME?</v>
      </c>
      <c r="F151" s="23" t="e">
        <f ca="1">'Annual Raw'!G68</f>
        <v>#NAME?</v>
      </c>
      <c r="G151" s="23" t="e">
        <f ca="1">'Annual Raw'!H68</f>
        <v>#NAME?</v>
      </c>
      <c r="H151" s="23" t="e">
        <f ca="1">'Annual Raw'!I68</f>
        <v>#NAME?</v>
      </c>
      <c r="I151" s="23" t="e">
        <f ca="1">'Annual Raw'!J68</f>
        <v>#NAME?</v>
      </c>
      <c r="J151" s="23" t="e">
        <f ca="1">'Annual Raw'!K68</f>
        <v>#NAME?</v>
      </c>
      <c r="K151" s="23" t="e">
        <f ca="1">'Annual Raw'!L68</f>
        <v>#NAME?</v>
      </c>
      <c r="L151" s="23" t="e">
        <f ca="1">'Annual Raw'!M68</f>
        <v>#NAME?</v>
      </c>
      <c r="M151" s="23" t="e">
        <f ca="1">'Annual Raw'!N68</f>
        <v>#NAME?</v>
      </c>
      <c r="N151" s="23" t="e">
        <f ca="1">'Annual Raw'!O68</f>
        <v>#NAME?</v>
      </c>
      <c r="O151" s="23" t="e">
        <f ca="1">'Annual Raw'!P68</f>
        <v>#NAME?</v>
      </c>
      <c r="P151" s="23" t="e">
        <f ca="1">'Annual Raw'!Q68</f>
        <v>#NAME?</v>
      </c>
      <c r="Q151" s="23" t="e">
        <f ca="1">'Annual Raw'!R68</f>
        <v>#NAME?</v>
      </c>
      <c r="R151" s="23" t="e">
        <f ca="1">'Annual Raw'!S68</f>
        <v>#NAME?</v>
      </c>
      <c r="S151" s="23" t="e">
        <f ca="1">'Annual Raw'!T68</f>
        <v>#NAME?</v>
      </c>
      <c r="T151" s="23" t="e">
        <f ca="1">'Annual Raw'!U68</f>
        <v>#NAME?</v>
      </c>
      <c r="U151" s="23" t="e">
        <f ca="1">'Annual Raw'!V68</f>
        <v>#NAME?</v>
      </c>
      <c r="V151" s="23" t="e">
        <f ca="1">'Annual Raw'!W68</f>
        <v>#NAME?</v>
      </c>
      <c r="W151" s="23" t="e">
        <f ca="1">'Annual Raw'!X68</f>
        <v>#NAME?</v>
      </c>
      <c r="X151" s="23" t="e">
        <f ca="1">'Annual Raw'!Y68</f>
        <v>#NAME?</v>
      </c>
      <c r="Y151" s="23" t="e">
        <f ca="1">'Annual Raw'!Z68</f>
        <v>#NAME?</v>
      </c>
      <c r="Z151" s="23" t="e">
        <f ca="1">'Annual Raw'!AA68</f>
        <v>#NAME?</v>
      </c>
      <c r="AA151" s="23" t="e">
        <f ca="1">'Annual Raw'!AB68</f>
        <v>#NAME?</v>
      </c>
      <c r="AB151" s="24">
        <f t="shared" si="1135"/>
        <v>0</v>
      </c>
      <c r="AC151" s="24">
        <f t="shared" si="1136"/>
        <v>0</v>
      </c>
      <c r="AD151" s="24">
        <f t="shared" si="1137"/>
        <v>0</v>
      </c>
      <c r="AE151" s="24">
        <f t="shared" si="1138"/>
        <v>0</v>
      </c>
      <c r="AK151" s="23">
        <f t="shared" si="1154"/>
        <v>0</v>
      </c>
      <c r="AM151" s="23">
        <f t="shared" si="1154"/>
        <v>0</v>
      </c>
      <c r="AO151" s="23">
        <f t="shared" si="1154"/>
        <v>0</v>
      </c>
      <c r="AQ151" s="23">
        <f t="shared" si="1154"/>
        <v>0</v>
      </c>
      <c r="AS151" s="23">
        <f t="shared" si="1154"/>
        <v>0</v>
      </c>
      <c r="AU151" s="23">
        <f t="shared" si="1154"/>
        <v>0</v>
      </c>
      <c r="AW151" s="23">
        <f t="shared" si="1154"/>
        <v>0</v>
      </c>
      <c r="AY151" s="23">
        <f t="shared" si="1154"/>
        <v>0</v>
      </c>
      <c r="BA151" s="23">
        <f t="shared" si="1154"/>
        <v>0</v>
      </c>
      <c r="BC151" s="23">
        <f t="shared" si="1154"/>
        <v>0</v>
      </c>
      <c r="BE151" s="23">
        <f t="shared" si="1154"/>
        <v>0</v>
      </c>
      <c r="BG151" s="23">
        <f t="shared" si="1154"/>
        <v>0</v>
      </c>
      <c r="BI151" s="23">
        <f t="shared" si="1154"/>
        <v>0</v>
      </c>
      <c r="BK151" s="23">
        <f t="shared" si="1154"/>
        <v>0</v>
      </c>
      <c r="BM151" s="23">
        <f t="shared" si="1154"/>
        <v>0</v>
      </c>
      <c r="BO151" s="23">
        <f t="shared" si="1154"/>
        <v>0</v>
      </c>
      <c r="BQ151" s="23">
        <f t="shared" si="1154"/>
        <v>0</v>
      </c>
      <c r="BS151" s="23">
        <f t="shared" si="1154"/>
        <v>0</v>
      </c>
      <c r="BU151" s="23">
        <f t="shared" si="1154"/>
        <v>0</v>
      </c>
      <c r="BW151" s="23">
        <f t="shared" si="1154"/>
        <v>0</v>
      </c>
      <c r="BY151" s="23">
        <f t="shared" si="1154"/>
        <v>0</v>
      </c>
      <c r="CA151" s="23">
        <f t="shared" si="1154"/>
        <v>0</v>
      </c>
      <c r="CC151" s="23">
        <f t="shared" si="1154"/>
        <v>0</v>
      </c>
      <c r="CE151" s="23">
        <f t="shared" si="1154"/>
        <v>0</v>
      </c>
      <c r="CG151" s="23">
        <f t="shared" si="1152"/>
        <v>0</v>
      </c>
      <c r="CH151" s="23" t="e">
        <f t="shared" ca="1" si="1139"/>
        <v>#NAME?</v>
      </c>
      <c r="CI151" s="23" t="e">
        <f t="shared" ca="1" si="1152"/>
        <v>#NAME?</v>
      </c>
      <c r="CK151" s="24">
        <f t="shared" si="1155"/>
        <v>0</v>
      </c>
      <c r="CM151" s="24">
        <f t="shared" si="1156"/>
        <v>0</v>
      </c>
      <c r="CN151" s="24">
        <f t="shared" si="1157"/>
        <v>0</v>
      </c>
      <c r="CO151" s="24">
        <f t="shared" si="1158"/>
        <v>0</v>
      </c>
      <c r="CP151" s="24">
        <f t="shared" si="1159"/>
        <v>0</v>
      </c>
      <c r="CQ151" s="24">
        <f t="shared" si="1160"/>
        <v>0</v>
      </c>
      <c r="CR151" s="24">
        <f t="shared" si="1161"/>
        <v>0</v>
      </c>
      <c r="CS151" s="24">
        <f t="shared" si="1162"/>
        <v>0</v>
      </c>
      <c r="CT151" s="24">
        <f t="shared" si="1163"/>
        <v>0</v>
      </c>
      <c r="CU151" s="24">
        <f t="shared" si="1164"/>
        <v>0</v>
      </c>
      <c r="CV151" s="24">
        <f t="shared" si="1165"/>
        <v>0</v>
      </c>
      <c r="CW151" s="24">
        <f t="shared" si="1166"/>
        <v>0</v>
      </c>
      <c r="CX151" s="24">
        <f t="shared" si="1167"/>
        <v>0</v>
      </c>
      <c r="CY151" s="24">
        <f t="shared" si="1168"/>
        <v>0</v>
      </c>
      <c r="CZ151" s="24">
        <f t="shared" si="1169"/>
        <v>0</v>
      </c>
      <c r="DA151" s="24">
        <f t="shared" si="1170"/>
        <v>0</v>
      </c>
      <c r="DB151" s="24">
        <f t="shared" si="1171"/>
        <v>0</v>
      </c>
      <c r="DE151" s="123"/>
      <c r="DF151" s="23">
        <v>0</v>
      </c>
    </row>
    <row r="152" spans="1:110" s="23" customFormat="1" outlineLevel="1" x14ac:dyDescent="0.2">
      <c r="A152" s="23" t="s">
        <v>56</v>
      </c>
      <c r="B152" s="23" t="e">
        <f ca="1">'Annual Raw'!C67+'Annual Raw'!C66+'Annual Raw'!C69+'Annual Raw'!C70</f>
        <v>#NAME?</v>
      </c>
      <c r="C152" s="23" t="e">
        <f ca="1">'Annual Raw'!D67+'Annual Raw'!D66+'Annual Raw'!D69+'Annual Raw'!D70</f>
        <v>#NAME?</v>
      </c>
      <c r="D152" s="23" t="e">
        <f ca="1">'Annual Raw'!E67+'Annual Raw'!E66+'Annual Raw'!E69+'Annual Raw'!E70</f>
        <v>#NAME?</v>
      </c>
      <c r="E152" s="23" t="e">
        <f ca="1">'Annual Raw'!F67+'Annual Raw'!F66+'Annual Raw'!F69+'Annual Raw'!F70</f>
        <v>#NAME?</v>
      </c>
      <c r="F152" s="23" t="e">
        <f ca="1">'Annual Raw'!G67+'Annual Raw'!G66+'Annual Raw'!G69+'Annual Raw'!G70</f>
        <v>#NAME?</v>
      </c>
      <c r="G152" s="23" t="e">
        <f ca="1">'Annual Raw'!H67+'Annual Raw'!H66+'Annual Raw'!H69+'Annual Raw'!H70</f>
        <v>#NAME?</v>
      </c>
      <c r="H152" s="23" t="e">
        <f ca="1">'Annual Raw'!I67+'Annual Raw'!I66+'Annual Raw'!I69+'Annual Raw'!I70</f>
        <v>#NAME?</v>
      </c>
      <c r="I152" s="23" t="e">
        <f ca="1">'Annual Raw'!J67+'Annual Raw'!J66+'Annual Raw'!J69+'Annual Raw'!J70</f>
        <v>#NAME?</v>
      </c>
      <c r="J152" s="23" t="e">
        <f ca="1">'Annual Raw'!K67+'Annual Raw'!K66+'Annual Raw'!K69+'Annual Raw'!K70</f>
        <v>#NAME?</v>
      </c>
      <c r="K152" s="23" t="e">
        <f ca="1">'Annual Raw'!L67+'Annual Raw'!L66+'Annual Raw'!L69+'Annual Raw'!L70</f>
        <v>#NAME?</v>
      </c>
      <c r="L152" s="23" t="e">
        <f ca="1">'Annual Raw'!M67+'Annual Raw'!M66+'Annual Raw'!M69+'Annual Raw'!M70</f>
        <v>#NAME?</v>
      </c>
      <c r="M152" s="23" t="e">
        <f ca="1">'Annual Raw'!N67+'Annual Raw'!N66+'Annual Raw'!N69+'Annual Raw'!N70</f>
        <v>#NAME?</v>
      </c>
      <c r="N152" s="23" t="e">
        <f ca="1">'Annual Raw'!O67+'Annual Raw'!O66+'Annual Raw'!O69+'Annual Raw'!O70</f>
        <v>#NAME?</v>
      </c>
      <c r="O152" s="23" t="e">
        <f ca="1">'Annual Raw'!P67+'Annual Raw'!P66+'Annual Raw'!P69+'Annual Raw'!P70</f>
        <v>#NAME?</v>
      </c>
      <c r="P152" s="23" t="e">
        <f ca="1">'Annual Raw'!Q67+'Annual Raw'!Q66+'Annual Raw'!Q69+'Annual Raw'!Q70</f>
        <v>#NAME?</v>
      </c>
      <c r="Q152" s="23" t="e">
        <f ca="1">'Annual Raw'!R67+'Annual Raw'!R66+'Annual Raw'!R69+'Annual Raw'!R70</f>
        <v>#NAME?</v>
      </c>
      <c r="R152" s="23" t="e">
        <f ca="1">'Annual Raw'!S67+'Annual Raw'!S66+'Annual Raw'!S69+'Annual Raw'!S70</f>
        <v>#NAME?</v>
      </c>
      <c r="S152" s="23" t="e">
        <f ca="1">'Annual Raw'!T67+'Annual Raw'!T66+'Annual Raw'!T69+'Annual Raw'!T70</f>
        <v>#NAME?</v>
      </c>
      <c r="T152" s="23" t="e">
        <f ca="1">'Annual Raw'!U67+'Annual Raw'!U66+'Annual Raw'!U69+'Annual Raw'!U70</f>
        <v>#NAME?</v>
      </c>
      <c r="U152" s="23" t="e">
        <f ca="1">'Annual Raw'!V67+'Annual Raw'!V66+'Annual Raw'!V69+'Annual Raw'!V70</f>
        <v>#NAME?</v>
      </c>
      <c r="V152" s="23" t="e">
        <f ca="1">'Annual Raw'!W67+'Annual Raw'!W66+'Annual Raw'!W69+'Annual Raw'!W70</f>
        <v>#NAME?</v>
      </c>
      <c r="W152" s="23" t="e">
        <f ca="1">'Annual Raw'!X67+'Annual Raw'!X66+'Annual Raw'!X69+'Annual Raw'!X70</f>
        <v>#NAME?</v>
      </c>
      <c r="X152" s="23" t="e">
        <f ca="1">'Annual Raw'!Y67+'Annual Raw'!Y66+'Annual Raw'!Y69+'Annual Raw'!Y70</f>
        <v>#NAME?</v>
      </c>
      <c r="Y152" s="23" t="e">
        <f ca="1">'Annual Raw'!Z67+'Annual Raw'!Z66+'Annual Raw'!Z69+'Annual Raw'!Z70</f>
        <v>#NAME?</v>
      </c>
      <c r="Z152" s="23" t="e">
        <f ca="1">'Annual Raw'!AA67+'Annual Raw'!AA66+'Annual Raw'!AA69+'Annual Raw'!AA70</f>
        <v>#NAME?</v>
      </c>
      <c r="AA152" s="23" t="e">
        <f ca="1">'Annual Raw'!AB67+'Annual Raw'!AB66+'Annual Raw'!AB69+'Annual Raw'!AB70</f>
        <v>#NAME?</v>
      </c>
      <c r="AB152" s="24" t="e">
        <f t="shared" ca="1" si="1135"/>
        <v>#NAME?</v>
      </c>
      <c r="AC152" s="24" t="e">
        <f t="shared" ca="1" si="1136"/>
        <v>#NAME?</v>
      </c>
      <c r="AD152" s="24" t="e">
        <f t="shared" ca="1" si="1137"/>
        <v>#NAME?</v>
      </c>
      <c r="AE152" s="24" t="e">
        <f t="shared" ca="1" si="1138"/>
        <v>#NAME?</v>
      </c>
      <c r="AJ152" s="23" t="e">
        <f ca="1">+'QTR Raw'!D74+'QTR Raw'!D75</f>
        <v>#NAME?</v>
      </c>
      <c r="AK152" s="23" t="e">
        <f t="shared" ca="1" si="1154"/>
        <v>#NAME?</v>
      </c>
      <c r="AL152" s="23" t="e">
        <f ca="1">+'QTR Raw'!F74+'QTR Raw'!F75</f>
        <v>#NAME?</v>
      </c>
      <c r="AM152" s="23" t="e">
        <f t="shared" ca="1" si="1154"/>
        <v>#NAME?</v>
      </c>
      <c r="AN152" s="23" t="e">
        <f ca="1">+'QTR Raw'!H74+'QTR Raw'!H75</f>
        <v>#NAME?</v>
      </c>
      <c r="AO152" s="23" t="e">
        <f t="shared" ca="1" si="1154"/>
        <v>#NAME?</v>
      </c>
      <c r="AP152" s="23" t="e">
        <f ca="1">+'QTR Raw'!J74+'QTR Raw'!J75</f>
        <v>#NAME?</v>
      </c>
      <c r="AQ152" s="23" t="e">
        <f t="shared" ca="1" si="1154"/>
        <v>#NAME?</v>
      </c>
      <c r="AR152" s="23" t="e">
        <f ca="1">+'QTR Raw'!L74+'QTR Raw'!L75</f>
        <v>#NAME?</v>
      </c>
      <c r="AS152" s="23" t="e">
        <f t="shared" ca="1" si="1154"/>
        <v>#NAME?</v>
      </c>
      <c r="AT152" s="23" t="e">
        <f ca="1">+'QTR Raw'!N74+'QTR Raw'!N75</f>
        <v>#NAME?</v>
      </c>
      <c r="AU152" s="23" t="e">
        <f t="shared" ca="1" si="1154"/>
        <v>#NAME?</v>
      </c>
      <c r="AV152" s="23" t="e">
        <f ca="1">+'QTR Raw'!P74+'QTR Raw'!P75</f>
        <v>#NAME?</v>
      </c>
      <c r="AW152" s="23" t="e">
        <f t="shared" ca="1" si="1154"/>
        <v>#NAME?</v>
      </c>
      <c r="AX152" s="23" t="e">
        <f ca="1">+'QTR Raw'!R74+'QTR Raw'!R75</f>
        <v>#NAME?</v>
      </c>
      <c r="AY152" s="23" t="e">
        <f t="shared" ca="1" si="1154"/>
        <v>#NAME?</v>
      </c>
      <c r="AZ152" s="23" t="e">
        <f ca="1">+'QTR Raw'!T74+'QTR Raw'!T75</f>
        <v>#NAME?</v>
      </c>
      <c r="BA152" s="23" t="e">
        <f t="shared" ca="1" si="1154"/>
        <v>#NAME?</v>
      </c>
      <c r="BB152" s="23" t="e">
        <f ca="1">+'QTR Raw'!V74+'QTR Raw'!V75</f>
        <v>#NAME?</v>
      </c>
      <c r="BC152" s="23" t="e">
        <f t="shared" ca="1" si="1154"/>
        <v>#NAME?</v>
      </c>
      <c r="BD152" s="23" t="e">
        <f ca="1">+'QTR Raw'!X74+'QTR Raw'!X75</f>
        <v>#NAME?</v>
      </c>
      <c r="BE152" s="23" t="e">
        <f t="shared" ca="1" si="1154"/>
        <v>#NAME?</v>
      </c>
      <c r="BF152" s="23" t="e">
        <f ca="1">+'QTR Raw'!Z74+'QTR Raw'!Z75</f>
        <v>#NAME?</v>
      </c>
      <c r="BG152" s="23" t="e">
        <f t="shared" ca="1" si="1154"/>
        <v>#NAME?</v>
      </c>
      <c r="BH152" s="23" t="e">
        <f ca="1">+'QTR Raw'!AB74+'QTR Raw'!AB75</f>
        <v>#NAME?</v>
      </c>
      <c r="BI152" s="23" t="e">
        <f t="shared" ca="1" si="1154"/>
        <v>#NAME?</v>
      </c>
      <c r="BJ152" s="23" t="e">
        <f ca="1">+'QTR Raw'!AD74+'QTR Raw'!AD75</f>
        <v>#NAME?</v>
      </c>
      <c r="BK152" s="23" t="e">
        <f t="shared" ca="1" si="1154"/>
        <v>#NAME?</v>
      </c>
      <c r="BL152" s="23" t="e">
        <f ca="1">+'QTR Raw'!AF74+'QTR Raw'!AF75</f>
        <v>#NAME?</v>
      </c>
      <c r="BM152" s="23" t="e">
        <f t="shared" ca="1" si="1154"/>
        <v>#NAME?</v>
      </c>
      <c r="BN152" s="23" t="e">
        <f ca="1">+'QTR Raw'!AH74+'QTR Raw'!AH75</f>
        <v>#NAME?</v>
      </c>
      <c r="BO152" s="23" t="e">
        <f t="shared" ca="1" si="1154"/>
        <v>#NAME?</v>
      </c>
      <c r="BP152" s="23" t="e">
        <f ca="1">+'QTR Raw'!AJ74+'QTR Raw'!AJ75</f>
        <v>#NAME?</v>
      </c>
      <c r="BQ152" s="23" t="e">
        <f t="shared" ca="1" si="1154"/>
        <v>#NAME?</v>
      </c>
      <c r="BR152" s="23" t="e">
        <f ca="1">+'QTR Raw'!AL74+'QTR Raw'!AL75</f>
        <v>#NAME?</v>
      </c>
      <c r="BS152" s="23" t="e">
        <f t="shared" ca="1" si="1154"/>
        <v>#NAME?</v>
      </c>
      <c r="BT152" s="23" t="e">
        <f ca="1">+'QTR Raw'!AN74+'QTR Raw'!AN75</f>
        <v>#NAME?</v>
      </c>
      <c r="BU152" s="23" t="e">
        <f t="shared" ca="1" si="1154"/>
        <v>#NAME?</v>
      </c>
      <c r="BV152" s="23" t="e">
        <f ca="1">+'QTR Raw'!AP74+'QTR Raw'!AP75</f>
        <v>#NAME?</v>
      </c>
      <c r="BW152" s="23" t="e">
        <f t="shared" ca="1" si="1154"/>
        <v>#NAME?</v>
      </c>
      <c r="BX152" s="23" t="e">
        <f ca="1">+'QTR Raw'!AR74+'QTR Raw'!AR75</f>
        <v>#NAME?</v>
      </c>
      <c r="BY152" s="23" t="e">
        <f t="shared" ca="1" si="1154"/>
        <v>#NAME?</v>
      </c>
      <c r="BZ152" s="23" t="e">
        <f ca="1">+'QTR Raw'!AT74+'QTR Raw'!AT75</f>
        <v>#NAME?</v>
      </c>
      <c r="CA152" s="23" t="e">
        <f t="shared" ca="1" si="1154"/>
        <v>#NAME?</v>
      </c>
      <c r="CB152" s="23" t="e">
        <f ca="1">+'QTR Raw'!AV74+'QTR Raw'!AV75</f>
        <v>#NAME?</v>
      </c>
      <c r="CC152" s="23" t="e">
        <f t="shared" ca="1" si="1154"/>
        <v>#NAME?</v>
      </c>
      <c r="CD152" s="23" t="e">
        <f ca="1">+'QTR Raw'!AX74+'QTR Raw'!AX75</f>
        <v>#NAME?</v>
      </c>
      <c r="CE152" s="23" t="e">
        <f t="shared" ca="1" si="1154"/>
        <v>#NAME?</v>
      </c>
      <c r="CF152" s="23" t="e">
        <f ca="1">+'QTR Raw'!AZ74+'QTR Raw'!AZ75</f>
        <v>#NAME?</v>
      </c>
      <c r="CG152" s="23" t="e">
        <f t="shared" ca="1" si="1152"/>
        <v>#NAME?</v>
      </c>
      <c r="CH152" s="23" t="e">
        <f t="shared" ca="1" si="1139"/>
        <v>#NAME?</v>
      </c>
      <c r="CI152" s="23" t="e">
        <f t="shared" ca="1" si="1152"/>
        <v>#NAME?</v>
      </c>
      <c r="CJ152" s="23" t="e">
        <f ca="1">+'QTR Raw'!BD74+'QTR Raw'!BD75</f>
        <v>#NAME?</v>
      </c>
      <c r="CK152" s="24" t="e">
        <f t="shared" ca="1" si="1155"/>
        <v>#NAME?</v>
      </c>
      <c r="CL152" s="23" t="e">
        <f ca="1">+'QTR Raw'!BF74+'QTR Raw'!BF75</f>
        <v>#NAME?</v>
      </c>
      <c r="CM152" s="24" t="e">
        <f t="shared" ca="1" si="1156"/>
        <v>#NAME?</v>
      </c>
      <c r="CN152" s="24" t="e">
        <f t="shared" ca="1" si="1157"/>
        <v>#NAME?</v>
      </c>
      <c r="CO152" s="24" t="e">
        <f t="shared" ca="1" si="1158"/>
        <v>#NAME?</v>
      </c>
      <c r="CP152" s="24" t="e">
        <f t="shared" ca="1" si="1159"/>
        <v>#NAME?</v>
      </c>
      <c r="CQ152" s="24" t="e">
        <f t="shared" ca="1" si="1160"/>
        <v>#NAME?</v>
      </c>
      <c r="CR152" s="24" t="e">
        <f t="shared" ca="1" si="1161"/>
        <v>#NAME?</v>
      </c>
      <c r="CS152" s="24" t="e">
        <f t="shared" ca="1" si="1162"/>
        <v>#NAME?</v>
      </c>
      <c r="CT152" s="24" t="e">
        <f t="shared" ca="1" si="1163"/>
        <v>#NAME?</v>
      </c>
      <c r="CU152" s="24" t="e">
        <f t="shared" ca="1" si="1164"/>
        <v>#NAME?</v>
      </c>
      <c r="CV152" s="24" t="e">
        <f t="shared" ca="1" si="1165"/>
        <v>#NAME?</v>
      </c>
      <c r="CW152" s="24" t="e">
        <f t="shared" ca="1" si="1166"/>
        <v>#NAME?</v>
      </c>
      <c r="CX152" s="24" t="e">
        <f t="shared" ca="1" si="1167"/>
        <v>#NAME?</v>
      </c>
      <c r="CY152" s="24" t="e">
        <f t="shared" ca="1" si="1168"/>
        <v>#NAME?</v>
      </c>
      <c r="CZ152" s="24" t="e">
        <f t="shared" ca="1" si="1169"/>
        <v>#NAME?</v>
      </c>
      <c r="DA152" s="24" t="e">
        <f t="shared" ca="1" si="1170"/>
        <v>#NAME?</v>
      </c>
      <c r="DB152" s="24" t="e">
        <f t="shared" ca="1" si="1171"/>
        <v>#NAME?</v>
      </c>
      <c r="DE152" s="123"/>
      <c r="DF152" s="23">
        <v>5.9359999999999999</v>
      </c>
    </row>
    <row r="153" spans="1:110" s="22" customFormat="1" x14ac:dyDescent="0.2">
      <c r="A153" s="22" t="s">
        <v>57</v>
      </c>
      <c r="B153" s="22" t="e">
        <f ca="1">B149+B152+B151</f>
        <v>#NAME?</v>
      </c>
      <c r="C153" s="22" t="e">
        <f t="shared" ref="C153:D153" ca="1" si="1172">C149+C152+C151</f>
        <v>#NAME?</v>
      </c>
      <c r="D153" s="22" t="e">
        <f t="shared" ca="1" si="1172"/>
        <v>#NAME?</v>
      </c>
      <c r="E153" s="22" t="e">
        <f t="shared" ref="E153:Y153" ca="1" si="1173">E149+E152+E151+E150</f>
        <v>#NAME?</v>
      </c>
      <c r="F153" s="22" t="e">
        <f t="shared" ca="1" si="1173"/>
        <v>#NAME?</v>
      </c>
      <c r="G153" s="22" t="e">
        <f t="shared" ca="1" si="1173"/>
        <v>#NAME?</v>
      </c>
      <c r="H153" s="22" t="e">
        <f t="shared" ca="1" si="1173"/>
        <v>#NAME?</v>
      </c>
      <c r="I153" s="22" t="e">
        <f t="shared" ca="1" si="1173"/>
        <v>#NAME?</v>
      </c>
      <c r="J153" s="22" t="e">
        <f t="shared" ca="1" si="1173"/>
        <v>#NAME?</v>
      </c>
      <c r="K153" s="22" t="e">
        <f t="shared" ca="1" si="1173"/>
        <v>#NAME?</v>
      </c>
      <c r="L153" s="22" t="e">
        <f t="shared" ca="1" si="1173"/>
        <v>#NAME?</v>
      </c>
      <c r="M153" s="22" t="e">
        <f t="shared" ca="1" si="1173"/>
        <v>#NAME?</v>
      </c>
      <c r="N153" s="22" t="e">
        <f t="shared" ca="1" si="1173"/>
        <v>#NAME?</v>
      </c>
      <c r="O153" s="22" t="e">
        <f t="shared" ca="1" si="1173"/>
        <v>#NAME?</v>
      </c>
      <c r="P153" s="22" t="e">
        <f t="shared" ca="1" si="1173"/>
        <v>#NAME?</v>
      </c>
      <c r="Q153" s="22" t="e">
        <f t="shared" ca="1" si="1173"/>
        <v>#NAME?</v>
      </c>
      <c r="R153" s="22" t="e">
        <f t="shared" ca="1" si="1173"/>
        <v>#NAME?</v>
      </c>
      <c r="S153" s="22" t="e">
        <f t="shared" ca="1" si="1173"/>
        <v>#NAME?</v>
      </c>
      <c r="T153" s="22" t="e">
        <f t="shared" ca="1" si="1173"/>
        <v>#NAME?</v>
      </c>
      <c r="U153" s="22" t="e">
        <f t="shared" ca="1" si="1173"/>
        <v>#NAME?</v>
      </c>
      <c r="V153" s="22" t="e">
        <f t="shared" ca="1" si="1173"/>
        <v>#NAME?</v>
      </c>
      <c r="W153" s="22" t="e">
        <f t="shared" ca="1" si="1173"/>
        <v>#NAME?</v>
      </c>
      <c r="X153" s="22" t="e">
        <f t="shared" ca="1" si="1173"/>
        <v>#NAME?</v>
      </c>
      <c r="Y153" s="22" t="e">
        <f t="shared" ca="1" si="1173"/>
        <v>#NAME?</v>
      </c>
      <c r="Z153" s="22" t="e">
        <f ca="1">Z149+Z152+Z151+Z150</f>
        <v>#NAME?</v>
      </c>
      <c r="AA153" s="22" t="e">
        <f ca="1">AA149+AA152+AA151+AA150</f>
        <v>#NAME?</v>
      </c>
      <c r="AB153" s="161" t="e">
        <f t="shared" ref="AB153:AE153" ca="1" si="1174">AB149+AB152+AB151+AB150</f>
        <v>#NAME?</v>
      </c>
      <c r="AC153" s="161" t="e">
        <f t="shared" ca="1" si="1174"/>
        <v>#NAME?</v>
      </c>
      <c r="AD153" s="161" t="e">
        <f t="shared" ca="1" si="1174"/>
        <v>#NAME?</v>
      </c>
      <c r="AE153" s="161" t="e">
        <f t="shared" ca="1" si="1174"/>
        <v>#NAME?</v>
      </c>
      <c r="AJ153" s="22" t="e">
        <f t="shared" ref="AJ153" ca="1" si="1175">AJ149+AJ152+AJ150+AJ151</f>
        <v>#NAME?</v>
      </c>
      <c r="AK153" s="22" t="e">
        <f t="shared" ref="AK153" ca="1" si="1176">AK149+AK152+AK150+AK151</f>
        <v>#NAME?</v>
      </c>
      <c r="AL153" s="22" t="e">
        <f t="shared" ref="AL153:AM153" ca="1" si="1177">AL149+AL152+AL150+AL151</f>
        <v>#NAME?</v>
      </c>
      <c r="AM153" s="22" t="e">
        <f t="shared" ca="1" si="1177"/>
        <v>#NAME?</v>
      </c>
      <c r="AN153" s="22" t="e">
        <f t="shared" ref="AN153:AO153" ca="1" si="1178">AN149+AN152+AN150+AN151</f>
        <v>#NAME?</v>
      </c>
      <c r="AO153" s="22" t="e">
        <f t="shared" ca="1" si="1178"/>
        <v>#NAME?</v>
      </c>
      <c r="AP153" s="22" t="e">
        <f t="shared" ref="AP153:CE153" ca="1" si="1179">AP149+AP152+AP150+AP151</f>
        <v>#NAME?</v>
      </c>
      <c r="AQ153" s="22" t="e">
        <f t="shared" ca="1" si="1179"/>
        <v>#NAME?</v>
      </c>
      <c r="AR153" s="22" t="e">
        <f t="shared" ca="1" si="1179"/>
        <v>#NAME?</v>
      </c>
      <c r="AS153" s="22" t="e">
        <f t="shared" ca="1" si="1179"/>
        <v>#NAME?</v>
      </c>
      <c r="AT153" s="22" t="e">
        <f t="shared" ca="1" si="1179"/>
        <v>#NAME?</v>
      </c>
      <c r="AU153" s="22" t="e">
        <f t="shared" ca="1" si="1179"/>
        <v>#NAME?</v>
      </c>
      <c r="AV153" s="22" t="e">
        <f t="shared" ca="1" si="1179"/>
        <v>#NAME?</v>
      </c>
      <c r="AW153" s="22" t="e">
        <f t="shared" ca="1" si="1179"/>
        <v>#NAME?</v>
      </c>
      <c r="AX153" s="22" t="e">
        <f t="shared" ca="1" si="1179"/>
        <v>#NAME?</v>
      </c>
      <c r="AY153" s="22" t="e">
        <f t="shared" ca="1" si="1179"/>
        <v>#NAME?</v>
      </c>
      <c r="AZ153" s="22" t="e">
        <f t="shared" ca="1" si="1179"/>
        <v>#NAME?</v>
      </c>
      <c r="BA153" s="22" t="e">
        <f t="shared" ca="1" si="1179"/>
        <v>#NAME?</v>
      </c>
      <c r="BB153" s="22" t="e">
        <f t="shared" ca="1" si="1179"/>
        <v>#NAME?</v>
      </c>
      <c r="BC153" s="22" t="e">
        <f t="shared" ca="1" si="1179"/>
        <v>#NAME?</v>
      </c>
      <c r="BD153" s="22" t="e">
        <f t="shared" ca="1" si="1179"/>
        <v>#NAME?</v>
      </c>
      <c r="BE153" s="22" t="e">
        <f t="shared" ca="1" si="1179"/>
        <v>#NAME?</v>
      </c>
      <c r="BF153" s="22" t="e">
        <f t="shared" ca="1" si="1179"/>
        <v>#NAME?</v>
      </c>
      <c r="BG153" s="22" t="e">
        <f t="shared" ca="1" si="1179"/>
        <v>#NAME?</v>
      </c>
      <c r="BH153" s="22" t="e">
        <f t="shared" ca="1" si="1179"/>
        <v>#NAME?</v>
      </c>
      <c r="BI153" s="22" t="e">
        <f t="shared" ca="1" si="1179"/>
        <v>#NAME?</v>
      </c>
      <c r="BJ153" s="22" t="e">
        <f t="shared" ca="1" si="1179"/>
        <v>#NAME?</v>
      </c>
      <c r="BK153" s="22" t="e">
        <f t="shared" ca="1" si="1179"/>
        <v>#NAME?</v>
      </c>
      <c r="BL153" s="22" t="e">
        <f t="shared" ca="1" si="1179"/>
        <v>#NAME?</v>
      </c>
      <c r="BM153" s="22" t="e">
        <f t="shared" ca="1" si="1179"/>
        <v>#NAME?</v>
      </c>
      <c r="BN153" s="22" t="e">
        <f t="shared" ca="1" si="1179"/>
        <v>#NAME?</v>
      </c>
      <c r="BO153" s="22" t="e">
        <f t="shared" ca="1" si="1179"/>
        <v>#NAME?</v>
      </c>
      <c r="BP153" s="22" t="e">
        <f t="shared" ca="1" si="1179"/>
        <v>#NAME?</v>
      </c>
      <c r="BQ153" s="22" t="e">
        <f t="shared" ca="1" si="1179"/>
        <v>#NAME?</v>
      </c>
      <c r="BR153" s="22" t="e">
        <f t="shared" ca="1" si="1179"/>
        <v>#NAME?</v>
      </c>
      <c r="BS153" s="22" t="e">
        <f t="shared" ca="1" si="1179"/>
        <v>#NAME?</v>
      </c>
      <c r="BT153" s="22" t="e">
        <f t="shared" ca="1" si="1179"/>
        <v>#NAME?</v>
      </c>
      <c r="BU153" s="22" t="e">
        <f t="shared" ca="1" si="1179"/>
        <v>#NAME?</v>
      </c>
      <c r="BV153" s="22" t="e">
        <f t="shared" ca="1" si="1179"/>
        <v>#NAME?</v>
      </c>
      <c r="BW153" s="22" t="e">
        <f t="shared" ca="1" si="1179"/>
        <v>#NAME?</v>
      </c>
      <c r="BX153" s="22" t="e">
        <f t="shared" ca="1" si="1179"/>
        <v>#NAME?</v>
      </c>
      <c r="BY153" s="22" t="e">
        <f t="shared" ca="1" si="1179"/>
        <v>#NAME?</v>
      </c>
      <c r="BZ153" s="22" t="e">
        <f t="shared" ca="1" si="1179"/>
        <v>#NAME?</v>
      </c>
      <c r="CA153" s="22" t="e">
        <f t="shared" ca="1" si="1179"/>
        <v>#NAME?</v>
      </c>
      <c r="CB153" s="22" t="e">
        <f t="shared" ca="1" si="1179"/>
        <v>#NAME?</v>
      </c>
      <c r="CC153" s="22" t="e">
        <f t="shared" ca="1" si="1179"/>
        <v>#NAME?</v>
      </c>
      <c r="CD153" s="22" t="e">
        <f t="shared" ca="1" si="1179"/>
        <v>#NAME?</v>
      </c>
      <c r="CE153" s="22" t="e">
        <f t="shared" ca="1" si="1179"/>
        <v>#NAME?</v>
      </c>
      <c r="CF153" s="22" t="e">
        <f t="shared" ref="CF153:CG153" ca="1" si="1180">CF149+CF152+CF150+CF151</f>
        <v>#NAME?</v>
      </c>
      <c r="CG153" s="22" t="e">
        <f t="shared" ca="1" si="1180"/>
        <v>#NAME?</v>
      </c>
      <c r="CH153" s="22" t="e">
        <f t="shared" ref="CH153:CJ153" ca="1" si="1181">CH149+CH152+CH150+CH151</f>
        <v>#NAME?</v>
      </c>
      <c r="CI153" s="22" t="e">
        <f t="shared" ca="1" si="1181"/>
        <v>#NAME?</v>
      </c>
      <c r="CJ153" s="22" t="e">
        <f t="shared" ca="1" si="1181"/>
        <v>#NAME?</v>
      </c>
      <c r="CK153" s="21" t="e">
        <f t="shared" ref="CK153:DB153" ca="1" si="1182">CK149+CK152+CK150+CK151</f>
        <v>#NAME?</v>
      </c>
      <c r="CL153" s="22" t="e">
        <f t="shared" ca="1" si="1182"/>
        <v>#NAME?</v>
      </c>
      <c r="CM153" s="21" t="e">
        <f t="shared" ca="1" si="1182"/>
        <v>#NAME?</v>
      </c>
      <c r="CN153" s="21" t="e">
        <f t="shared" ca="1" si="1182"/>
        <v>#NAME?</v>
      </c>
      <c r="CO153" s="21" t="e">
        <f t="shared" ca="1" si="1182"/>
        <v>#NAME?</v>
      </c>
      <c r="CP153" s="21" t="e">
        <f t="shared" ca="1" si="1182"/>
        <v>#NAME?</v>
      </c>
      <c r="CQ153" s="21" t="e">
        <f t="shared" ca="1" si="1182"/>
        <v>#NAME?</v>
      </c>
      <c r="CR153" s="21" t="e">
        <f t="shared" ca="1" si="1182"/>
        <v>#NAME?</v>
      </c>
      <c r="CS153" s="21" t="e">
        <f t="shared" ca="1" si="1182"/>
        <v>#NAME?</v>
      </c>
      <c r="CT153" s="21" t="e">
        <f t="shared" ca="1" si="1182"/>
        <v>#NAME?</v>
      </c>
      <c r="CU153" s="21" t="e">
        <f t="shared" ca="1" si="1182"/>
        <v>#NAME?</v>
      </c>
      <c r="CV153" s="21" t="e">
        <f t="shared" ca="1" si="1182"/>
        <v>#NAME?</v>
      </c>
      <c r="CW153" s="21" t="e">
        <f t="shared" ca="1" si="1182"/>
        <v>#NAME?</v>
      </c>
      <c r="CX153" s="21" t="e">
        <f t="shared" ca="1" si="1182"/>
        <v>#NAME?</v>
      </c>
      <c r="CY153" s="21" t="e">
        <f t="shared" ca="1" si="1182"/>
        <v>#NAME?</v>
      </c>
      <c r="CZ153" s="21" t="e">
        <f t="shared" ca="1" si="1182"/>
        <v>#NAME?</v>
      </c>
      <c r="DA153" s="21" t="e">
        <f t="shared" ca="1" si="1182"/>
        <v>#NAME?</v>
      </c>
      <c r="DB153" s="21" t="e">
        <f t="shared" ca="1" si="1182"/>
        <v>#NAME?</v>
      </c>
      <c r="DE153" s="126"/>
      <c r="DF153" s="22">
        <v>187.114</v>
      </c>
    </row>
    <row r="154" spans="1:110" s="23" customFormat="1" x14ac:dyDescent="0.2">
      <c r="AB154" s="24"/>
      <c r="AC154" s="24"/>
      <c r="AD154" s="24"/>
      <c r="AE154" s="24"/>
      <c r="CK154" s="24"/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</row>
    <row r="155" spans="1:110" s="23" customFormat="1" x14ac:dyDescent="0.2">
      <c r="A155" s="23" t="s">
        <v>58</v>
      </c>
      <c r="B155" s="23" t="e">
        <f ca="1">'Annual Raw'!C71</f>
        <v>#NAME?</v>
      </c>
      <c r="C155" s="23" t="e">
        <f ca="1">'Annual Raw'!D71</f>
        <v>#NAME?</v>
      </c>
      <c r="D155" s="23" t="e">
        <f ca="1">'Annual Raw'!E71</f>
        <v>#NAME?</v>
      </c>
      <c r="E155" s="23" t="e">
        <f ca="1">'Annual Raw'!F71</f>
        <v>#NAME?</v>
      </c>
      <c r="F155" s="23" t="e">
        <f ca="1">'Annual Raw'!G71</f>
        <v>#NAME?</v>
      </c>
      <c r="G155" s="23" t="e">
        <f ca="1">'Annual Raw'!H71</f>
        <v>#NAME?</v>
      </c>
      <c r="H155" s="23" t="e">
        <f ca="1">'Annual Raw'!I71</f>
        <v>#NAME?</v>
      </c>
      <c r="I155" s="23" t="e">
        <f ca="1">'Annual Raw'!J71</f>
        <v>#NAME?</v>
      </c>
      <c r="J155" s="23" t="e">
        <f ca="1">'Annual Raw'!K71</f>
        <v>#NAME?</v>
      </c>
      <c r="K155" s="23" t="e">
        <f ca="1">'Annual Raw'!L71</f>
        <v>#NAME?</v>
      </c>
      <c r="L155" s="23" t="e">
        <f ca="1">'Annual Raw'!M71</f>
        <v>#NAME?</v>
      </c>
      <c r="M155" s="23" t="e">
        <f ca="1">'Annual Raw'!N71</f>
        <v>#NAME?</v>
      </c>
      <c r="N155" s="23" t="e">
        <f ca="1">'Annual Raw'!O71</f>
        <v>#NAME?</v>
      </c>
      <c r="O155" s="23" t="e">
        <f ca="1">'Annual Raw'!P71</f>
        <v>#NAME?</v>
      </c>
      <c r="P155" s="23" t="e">
        <f ca="1">'Annual Raw'!Q71</f>
        <v>#NAME?</v>
      </c>
      <c r="Q155" s="23" t="e">
        <f ca="1">'Annual Raw'!R71</f>
        <v>#NAME?</v>
      </c>
      <c r="R155" s="23" t="e">
        <f ca="1">'Annual Raw'!S71</f>
        <v>#NAME?</v>
      </c>
      <c r="S155" s="23" t="e">
        <f ca="1">'Annual Raw'!T71</f>
        <v>#NAME?</v>
      </c>
      <c r="T155" s="23" t="e">
        <f ca="1">'Annual Raw'!U71</f>
        <v>#NAME?</v>
      </c>
      <c r="U155" s="23" t="e">
        <f ca="1">'Annual Raw'!V71</f>
        <v>#NAME?</v>
      </c>
      <c r="V155" s="23" t="e">
        <f ca="1">'Annual Raw'!W71</f>
        <v>#NAME?</v>
      </c>
      <c r="W155" s="23" t="e">
        <f ca="1">'Annual Raw'!X71</f>
        <v>#NAME?</v>
      </c>
      <c r="X155" s="23" t="e">
        <f ca="1">'Annual Raw'!Y71</f>
        <v>#NAME?</v>
      </c>
      <c r="Y155" s="23" t="e">
        <f ca="1">'Annual Raw'!Z71</f>
        <v>#NAME?</v>
      </c>
      <c r="Z155" s="23" t="e">
        <f ca="1">'Annual Raw'!AA71</f>
        <v>#NAME?</v>
      </c>
      <c r="AA155" s="23" t="e">
        <f ca="1">'Annual Raw'!AB71</f>
        <v>#NAME?</v>
      </c>
      <c r="AB155" s="24" t="e">
        <f ca="1">+CP155</f>
        <v>#NAME?</v>
      </c>
      <c r="AC155" s="24" t="e">
        <f ca="1">+CT155</f>
        <v>#NAME?</v>
      </c>
      <c r="AD155" s="24" t="e">
        <f ca="1">+CX155</f>
        <v>#NAME?</v>
      </c>
      <c r="AE155" s="24" t="e">
        <f ca="1">+DB155</f>
        <v>#NAME?</v>
      </c>
      <c r="AJ155" s="23" t="e">
        <f ca="1">+'QTR Raw'!D77</f>
        <v>#NAME?</v>
      </c>
      <c r="AK155" s="23" t="e">
        <f t="shared" ref="AK155:CE155" ca="1" si="1183">+AJ155</f>
        <v>#NAME?</v>
      </c>
      <c r="AL155" s="23" t="e">
        <f ca="1">+'QTR Raw'!F77</f>
        <v>#NAME?</v>
      </c>
      <c r="AM155" s="23" t="e">
        <f t="shared" ca="1" si="1183"/>
        <v>#NAME?</v>
      </c>
      <c r="AN155" s="23" t="e">
        <f ca="1">+'QTR Raw'!H77</f>
        <v>#NAME?</v>
      </c>
      <c r="AO155" s="23" t="e">
        <f t="shared" ca="1" si="1183"/>
        <v>#NAME?</v>
      </c>
      <c r="AP155" s="23" t="e">
        <f ca="1">+'QTR Raw'!J77</f>
        <v>#NAME?</v>
      </c>
      <c r="AQ155" s="23" t="e">
        <f t="shared" ca="1" si="1183"/>
        <v>#NAME?</v>
      </c>
      <c r="AR155" s="23" t="e">
        <f ca="1">+'QTR Raw'!L77</f>
        <v>#NAME?</v>
      </c>
      <c r="AS155" s="23" t="e">
        <f t="shared" ca="1" si="1183"/>
        <v>#NAME?</v>
      </c>
      <c r="AT155" s="23" t="e">
        <f ca="1">+'QTR Raw'!N77</f>
        <v>#NAME?</v>
      </c>
      <c r="AU155" s="23" t="e">
        <f t="shared" ca="1" si="1183"/>
        <v>#NAME?</v>
      </c>
      <c r="AV155" s="23" t="e">
        <f ca="1">+'QTR Raw'!P77</f>
        <v>#NAME?</v>
      </c>
      <c r="AW155" s="23" t="e">
        <f t="shared" ca="1" si="1183"/>
        <v>#NAME?</v>
      </c>
      <c r="AX155" s="23" t="e">
        <f ca="1">+'QTR Raw'!R77</f>
        <v>#NAME?</v>
      </c>
      <c r="AY155" s="23" t="e">
        <f t="shared" ca="1" si="1183"/>
        <v>#NAME?</v>
      </c>
      <c r="AZ155" s="23" t="e">
        <f ca="1">+'QTR Raw'!T77</f>
        <v>#NAME?</v>
      </c>
      <c r="BA155" s="23" t="e">
        <f t="shared" ca="1" si="1183"/>
        <v>#NAME?</v>
      </c>
      <c r="BB155" s="23" t="e">
        <f ca="1">+'QTR Raw'!V77</f>
        <v>#NAME?</v>
      </c>
      <c r="BC155" s="23" t="e">
        <f t="shared" ca="1" si="1183"/>
        <v>#NAME?</v>
      </c>
      <c r="BD155" s="23" t="e">
        <f ca="1">+'QTR Raw'!X77</f>
        <v>#NAME?</v>
      </c>
      <c r="BE155" s="23" t="e">
        <f t="shared" ca="1" si="1183"/>
        <v>#NAME?</v>
      </c>
      <c r="BF155" s="23" t="e">
        <f ca="1">+'QTR Raw'!Z77</f>
        <v>#NAME?</v>
      </c>
      <c r="BG155" s="23" t="e">
        <f t="shared" ca="1" si="1183"/>
        <v>#NAME?</v>
      </c>
      <c r="BH155" s="23" t="e">
        <f ca="1">+'QTR Raw'!AB77</f>
        <v>#NAME?</v>
      </c>
      <c r="BI155" s="23" t="e">
        <f t="shared" ca="1" si="1183"/>
        <v>#NAME?</v>
      </c>
      <c r="BJ155" s="23" t="e">
        <f ca="1">+'QTR Raw'!AD77</f>
        <v>#NAME?</v>
      </c>
      <c r="BK155" s="23" t="e">
        <f t="shared" ca="1" si="1183"/>
        <v>#NAME?</v>
      </c>
      <c r="BL155" s="23" t="e">
        <f ca="1">+'QTR Raw'!AF77</f>
        <v>#NAME?</v>
      </c>
      <c r="BM155" s="23" t="e">
        <f t="shared" ca="1" si="1183"/>
        <v>#NAME?</v>
      </c>
      <c r="BN155" s="23" t="e">
        <f ca="1">+'QTR Raw'!AH77</f>
        <v>#NAME?</v>
      </c>
      <c r="BO155" s="23" t="e">
        <f t="shared" ca="1" si="1183"/>
        <v>#NAME?</v>
      </c>
      <c r="BP155" s="23" t="e">
        <f ca="1">+'QTR Raw'!AJ77</f>
        <v>#NAME?</v>
      </c>
      <c r="BQ155" s="23" t="e">
        <f t="shared" ca="1" si="1183"/>
        <v>#NAME?</v>
      </c>
      <c r="BR155" s="23" t="e">
        <f ca="1">+'QTR Raw'!AL77</f>
        <v>#NAME?</v>
      </c>
      <c r="BS155" s="23" t="e">
        <f t="shared" ca="1" si="1183"/>
        <v>#NAME?</v>
      </c>
      <c r="BT155" s="23" t="e">
        <f ca="1">+'QTR Raw'!AN77</f>
        <v>#NAME?</v>
      </c>
      <c r="BU155" s="23" t="e">
        <f t="shared" ca="1" si="1183"/>
        <v>#NAME?</v>
      </c>
      <c r="BV155" s="23" t="e">
        <f ca="1">+'QTR Raw'!AP77</f>
        <v>#NAME?</v>
      </c>
      <c r="BW155" s="23" t="e">
        <f t="shared" ca="1" si="1183"/>
        <v>#NAME?</v>
      </c>
      <c r="BX155" s="23" t="e">
        <f ca="1">+'QTR Raw'!AR77</f>
        <v>#NAME?</v>
      </c>
      <c r="BY155" s="23" t="e">
        <f t="shared" ca="1" si="1183"/>
        <v>#NAME?</v>
      </c>
      <c r="BZ155" s="23" t="e">
        <f ca="1">+'QTR Raw'!AT77</f>
        <v>#NAME?</v>
      </c>
      <c r="CA155" s="23" t="e">
        <f t="shared" ca="1" si="1183"/>
        <v>#NAME?</v>
      </c>
      <c r="CB155" s="23" t="e">
        <f ca="1">+'QTR Raw'!AV77</f>
        <v>#NAME?</v>
      </c>
      <c r="CC155" s="23" t="e">
        <f t="shared" ca="1" si="1183"/>
        <v>#NAME?</v>
      </c>
      <c r="CD155" s="23" t="e">
        <f ca="1">+'QTR Raw'!AX77</f>
        <v>#NAME?</v>
      </c>
      <c r="CE155" s="23" t="e">
        <f t="shared" ca="1" si="1183"/>
        <v>#NAME?</v>
      </c>
      <c r="CF155" s="23" t="e">
        <f ca="1">+'QTR Raw'!AZ77</f>
        <v>#NAME?</v>
      </c>
      <c r="CG155" s="23" t="e">
        <f t="shared" ref="CG155:CI158" ca="1" si="1184">+CF155</f>
        <v>#NAME?</v>
      </c>
      <c r="CH155" s="23" t="e">
        <f t="shared" ref="CH155:CH170" ca="1" si="1185">Z155</f>
        <v>#NAME?</v>
      </c>
      <c r="CI155" s="23" t="e">
        <f t="shared" ca="1" si="1184"/>
        <v>#NAME?</v>
      </c>
      <c r="CJ155" s="23" t="e">
        <f ca="1">+'QTR Raw'!BD77</f>
        <v>#NAME?</v>
      </c>
      <c r="CK155" s="24" t="e">
        <f t="shared" ref="CK155" ca="1" si="1186">+CJ155</f>
        <v>#NAME?</v>
      </c>
      <c r="CL155" s="23" t="e">
        <f ca="1">+'QTR Raw'!BF77</f>
        <v>#NAME?</v>
      </c>
      <c r="CM155" s="24" t="e">
        <f t="shared" ref="CM155" ca="1" si="1187">+CL155</f>
        <v>#NAME?</v>
      </c>
      <c r="CN155" s="24" t="e">
        <f t="shared" ref="CN155" ca="1" si="1188">+CM155</f>
        <v>#NAME?</v>
      </c>
      <c r="CO155" s="24" t="e">
        <f t="shared" ref="CO155" ca="1" si="1189">+CN155</f>
        <v>#NAME?</v>
      </c>
      <c r="CP155" s="24" t="e">
        <f t="shared" ref="CP155" ca="1" si="1190">+CO155</f>
        <v>#NAME?</v>
      </c>
      <c r="CQ155" s="24" t="e">
        <f t="shared" ref="CQ155" ca="1" si="1191">+CP155</f>
        <v>#NAME?</v>
      </c>
      <c r="CR155" s="24" t="e">
        <f t="shared" ref="CR155" ca="1" si="1192">+CQ155</f>
        <v>#NAME?</v>
      </c>
      <c r="CS155" s="24" t="e">
        <f t="shared" ref="CS155" ca="1" si="1193">+CR155</f>
        <v>#NAME?</v>
      </c>
      <c r="CT155" s="24" t="e">
        <f t="shared" ref="CT155" ca="1" si="1194">+CS155</f>
        <v>#NAME?</v>
      </c>
      <c r="CU155" s="24" t="e">
        <f t="shared" ref="CU155" ca="1" si="1195">+CT155</f>
        <v>#NAME?</v>
      </c>
      <c r="CV155" s="24" t="e">
        <f t="shared" ref="CV155" ca="1" si="1196">+CU155</f>
        <v>#NAME?</v>
      </c>
      <c r="CW155" s="24" t="e">
        <f t="shared" ref="CW155" ca="1" si="1197">+CV155</f>
        <v>#NAME?</v>
      </c>
      <c r="CX155" s="24" t="e">
        <f t="shared" ref="CX155" ca="1" si="1198">+CW155</f>
        <v>#NAME?</v>
      </c>
      <c r="CY155" s="24" t="e">
        <f t="shared" ref="CY155" ca="1" si="1199">+CX155</f>
        <v>#NAME?</v>
      </c>
      <c r="CZ155" s="24" t="e">
        <f t="shared" ref="CZ155" ca="1" si="1200">+CY155</f>
        <v>#NAME?</v>
      </c>
      <c r="DA155" s="24" t="e">
        <f t="shared" ref="DA155" ca="1" si="1201">+CZ155</f>
        <v>#NAME?</v>
      </c>
      <c r="DB155" s="24" t="e">
        <f t="shared" ref="DB155" ca="1" si="1202">+DA155</f>
        <v>#NAME?</v>
      </c>
      <c r="DE155" s="123"/>
      <c r="DF155" s="23">
        <v>0</v>
      </c>
    </row>
    <row r="156" spans="1:110" s="23" customFormat="1" x14ac:dyDescent="0.2">
      <c r="AB156" s="24"/>
      <c r="AC156" s="24"/>
      <c r="AD156" s="24"/>
      <c r="AE156" s="24"/>
      <c r="CK156" s="24"/>
      <c r="CM156" s="24"/>
      <c r="CN156" s="24"/>
      <c r="CO156" s="24"/>
      <c r="CP156" s="24"/>
      <c r="CQ156" s="24"/>
      <c r="CR156" s="24"/>
      <c r="CS156" s="24"/>
      <c r="CT156" s="24"/>
      <c r="CU156" s="24"/>
      <c r="CV156" s="24"/>
      <c r="CW156" s="24"/>
      <c r="CX156" s="24"/>
      <c r="CY156" s="24"/>
      <c r="CZ156" s="24"/>
      <c r="DA156" s="24"/>
      <c r="DB156" s="24"/>
      <c r="DE156" s="123"/>
    </row>
    <row r="157" spans="1:110" s="23" customFormat="1" outlineLevel="1" x14ac:dyDescent="0.2">
      <c r="A157" s="23" t="s">
        <v>59</v>
      </c>
      <c r="B157" s="23" t="e">
        <f ca="1">'Annual Raw'!C72</f>
        <v>#NAME?</v>
      </c>
      <c r="C157" s="23" t="e">
        <f ca="1">'Annual Raw'!D72</f>
        <v>#NAME?</v>
      </c>
      <c r="D157" s="23" t="e">
        <f ca="1">'Annual Raw'!E72</f>
        <v>#NAME?</v>
      </c>
      <c r="E157" s="23" t="e">
        <f ca="1">'Annual Raw'!F72+'Annual Raw'!F61</f>
        <v>#NAME?</v>
      </c>
      <c r="F157" s="23" t="e">
        <f ca="1">'Annual Raw'!G72+'Annual Raw'!G61</f>
        <v>#NAME?</v>
      </c>
      <c r="G157" s="23" t="e">
        <f ca="1">'Annual Raw'!H72+'Annual Raw'!H61</f>
        <v>#NAME?</v>
      </c>
      <c r="H157" s="23" t="e">
        <f ca="1">'Annual Raw'!I72+'Annual Raw'!I61</f>
        <v>#NAME?</v>
      </c>
      <c r="I157" s="23" t="e">
        <f ca="1">'Annual Raw'!J72+'Annual Raw'!J61</f>
        <v>#NAME?</v>
      </c>
      <c r="J157" s="23" t="e">
        <f ca="1">'Annual Raw'!K72+'Annual Raw'!K61</f>
        <v>#NAME?</v>
      </c>
      <c r="K157" s="23" t="e">
        <f ca="1">'Annual Raw'!L72+'Annual Raw'!L61</f>
        <v>#NAME?</v>
      </c>
      <c r="L157" s="23" t="e">
        <f ca="1">'Annual Raw'!M72+'Annual Raw'!M61</f>
        <v>#NAME?</v>
      </c>
      <c r="M157" s="23" t="e">
        <f ca="1">'Annual Raw'!N72+'Annual Raw'!N61</f>
        <v>#NAME?</v>
      </c>
      <c r="N157" s="23" t="e">
        <f ca="1">'Annual Raw'!O72+'Annual Raw'!O61</f>
        <v>#NAME?</v>
      </c>
      <c r="O157" s="23" t="e">
        <f ca="1">'Annual Raw'!P72+'Annual Raw'!P61</f>
        <v>#NAME?</v>
      </c>
      <c r="P157" s="23" t="e">
        <f ca="1">'Annual Raw'!Q72+'Annual Raw'!Q61</f>
        <v>#NAME?</v>
      </c>
      <c r="Q157" s="23" t="e">
        <f ca="1">'Annual Raw'!R72+'Annual Raw'!R61</f>
        <v>#NAME?</v>
      </c>
      <c r="R157" s="23" t="e">
        <f ca="1">'Annual Raw'!S72+'Annual Raw'!S61</f>
        <v>#NAME?</v>
      </c>
      <c r="S157" s="23" t="e">
        <f ca="1">'Annual Raw'!T72+'Annual Raw'!T61</f>
        <v>#NAME?</v>
      </c>
      <c r="T157" s="23" t="e">
        <f ca="1">'Annual Raw'!U72+'Annual Raw'!U61</f>
        <v>#NAME?</v>
      </c>
      <c r="U157" s="23" t="e">
        <f ca="1">'Annual Raw'!V72+'Annual Raw'!V61</f>
        <v>#NAME?</v>
      </c>
      <c r="V157" s="23" t="e">
        <f ca="1">'Annual Raw'!W72+'Annual Raw'!W61</f>
        <v>#NAME?</v>
      </c>
      <c r="W157" s="23" t="e">
        <f ca="1">'Annual Raw'!X72+'Annual Raw'!X61</f>
        <v>#NAME?</v>
      </c>
      <c r="X157" s="23" t="e">
        <f ca="1">'Annual Raw'!Y72+'Annual Raw'!Y61</f>
        <v>#NAME?</v>
      </c>
      <c r="Y157" s="23" t="e">
        <f ca="1">'Annual Raw'!Z72+'Annual Raw'!Z61</f>
        <v>#NAME?</v>
      </c>
      <c r="Z157" s="23" t="e">
        <f ca="1">'Annual Raw'!AA72+'Annual Raw'!AA61</f>
        <v>#NAME?</v>
      </c>
      <c r="AA157" s="23" t="e">
        <f ca="1">'Annual Raw'!AB72+'Annual Raw'!AB61</f>
        <v>#NAME?</v>
      </c>
      <c r="AB157" s="24">
        <f t="shared" ref="AB157:AB162" si="1203">+CP157</f>
        <v>0</v>
      </c>
      <c r="AC157" s="24">
        <f t="shared" ref="AC157:AC162" si="1204">+CT157</f>
        <v>0</v>
      </c>
      <c r="AD157" s="24">
        <f t="shared" ref="AD157:AD162" si="1205">+CX157</f>
        <v>0</v>
      </c>
      <c r="AE157" s="24">
        <f t="shared" ref="AE157:AE162" si="1206">+DB157</f>
        <v>0</v>
      </c>
      <c r="AJ157" s="23" t="e">
        <f ca="1">+'QTR Raw'!D78</f>
        <v>#NAME?</v>
      </c>
      <c r="AK157" s="23" t="e">
        <f t="shared" ref="AK157:CE162" ca="1" si="1207">+AJ157</f>
        <v>#NAME?</v>
      </c>
      <c r="AL157" s="23" t="e">
        <f ca="1">+'QTR Raw'!F78</f>
        <v>#NAME?</v>
      </c>
      <c r="AM157" s="23" t="e">
        <f t="shared" ca="1" si="1207"/>
        <v>#NAME?</v>
      </c>
      <c r="AN157" s="23" t="e">
        <f ca="1">+'QTR Raw'!H78</f>
        <v>#NAME?</v>
      </c>
      <c r="AO157" s="23" t="e">
        <f t="shared" ca="1" si="1207"/>
        <v>#NAME?</v>
      </c>
      <c r="AP157" s="23" t="e">
        <f ca="1">+'QTR Raw'!J78</f>
        <v>#NAME?</v>
      </c>
      <c r="AQ157" s="23" t="e">
        <f t="shared" ca="1" si="1207"/>
        <v>#NAME?</v>
      </c>
      <c r="AR157" s="23" t="e">
        <f ca="1">+'QTR Raw'!L78</f>
        <v>#NAME?</v>
      </c>
      <c r="AS157" s="23" t="e">
        <f t="shared" ca="1" si="1207"/>
        <v>#NAME?</v>
      </c>
      <c r="AT157" s="23" t="e">
        <f ca="1">+'QTR Raw'!N78</f>
        <v>#NAME?</v>
      </c>
      <c r="AU157" s="23" t="e">
        <f t="shared" ca="1" si="1207"/>
        <v>#NAME?</v>
      </c>
      <c r="AV157" s="23" t="e">
        <f ca="1">+'QTR Raw'!P78</f>
        <v>#NAME?</v>
      </c>
      <c r="AW157" s="23" t="e">
        <f t="shared" ca="1" si="1207"/>
        <v>#NAME?</v>
      </c>
      <c r="AX157" s="23" t="e">
        <f ca="1">+'QTR Raw'!R78</f>
        <v>#NAME?</v>
      </c>
      <c r="AY157" s="23" t="e">
        <f t="shared" ca="1" si="1207"/>
        <v>#NAME?</v>
      </c>
      <c r="AZ157" s="23" t="e">
        <f ca="1">+'QTR Raw'!T78</f>
        <v>#NAME?</v>
      </c>
      <c r="BA157" s="23" t="e">
        <f t="shared" ca="1" si="1207"/>
        <v>#NAME?</v>
      </c>
      <c r="BB157" s="23" t="e">
        <f ca="1">+'QTR Raw'!V78</f>
        <v>#NAME?</v>
      </c>
      <c r="BC157" s="23" t="e">
        <f t="shared" ca="1" si="1207"/>
        <v>#NAME?</v>
      </c>
      <c r="BD157" s="23" t="e">
        <f ca="1">+'QTR Raw'!X78</f>
        <v>#NAME?</v>
      </c>
      <c r="BE157" s="23" t="e">
        <f t="shared" ca="1" si="1207"/>
        <v>#NAME?</v>
      </c>
      <c r="BF157" s="23" t="e">
        <f ca="1">+'QTR Raw'!Z78</f>
        <v>#NAME?</v>
      </c>
      <c r="BG157" s="23" t="e">
        <f t="shared" ca="1" si="1207"/>
        <v>#NAME?</v>
      </c>
      <c r="BH157" s="23" t="e">
        <f ca="1">+'QTR Raw'!AB78</f>
        <v>#NAME?</v>
      </c>
      <c r="BI157" s="23" t="e">
        <f t="shared" ca="1" si="1207"/>
        <v>#NAME?</v>
      </c>
      <c r="BJ157" s="23" t="e">
        <f ca="1">+'QTR Raw'!AD78</f>
        <v>#NAME?</v>
      </c>
      <c r="BK157" s="23" t="e">
        <f t="shared" ca="1" si="1207"/>
        <v>#NAME?</v>
      </c>
      <c r="BL157" s="23" t="e">
        <f ca="1">+'QTR Raw'!AF78</f>
        <v>#NAME?</v>
      </c>
      <c r="BM157" s="23" t="e">
        <f t="shared" ca="1" si="1207"/>
        <v>#NAME?</v>
      </c>
      <c r="BN157" s="23" t="e">
        <f ca="1">+'QTR Raw'!AH78</f>
        <v>#NAME?</v>
      </c>
      <c r="BO157" s="23" t="e">
        <f t="shared" ca="1" si="1207"/>
        <v>#NAME?</v>
      </c>
      <c r="BP157" s="23" t="e">
        <f ca="1">+'QTR Raw'!AJ78</f>
        <v>#NAME?</v>
      </c>
      <c r="BQ157" s="23" t="e">
        <f t="shared" ca="1" si="1207"/>
        <v>#NAME?</v>
      </c>
      <c r="BR157" s="23" t="e">
        <f ca="1">+'QTR Raw'!AL78</f>
        <v>#NAME?</v>
      </c>
      <c r="BS157" s="23" t="e">
        <f t="shared" ca="1" si="1207"/>
        <v>#NAME?</v>
      </c>
      <c r="BT157" s="23" t="e">
        <f ca="1">+'QTR Raw'!AN78</f>
        <v>#NAME?</v>
      </c>
      <c r="BU157" s="23" t="e">
        <f t="shared" ca="1" si="1207"/>
        <v>#NAME?</v>
      </c>
      <c r="BV157" s="23" t="e">
        <f ca="1">+'QTR Raw'!AP78</f>
        <v>#NAME?</v>
      </c>
      <c r="BW157" s="23" t="e">
        <f t="shared" ca="1" si="1207"/>
        <v>#NAME?</v>
      </c>
      <c r="BX157" s="23" t="e">
        <f ca="1">+'QTR Raw'!AR78</f>
        <v>#NAME?</v>
      </c>
      <c r="BY157" s="23" t="e">
        <f t="shared" ca="1" si="1207"/>
        <v>#NAME?</v>
      </c>
      <c r="BZ157" s="23" t="e">
        <f ca="1">+'QTR Raw'!AT78</f>
        <v>#NAME?</v>
      </c>
      <c r="CA157" s="23" t="e">
        <f t="shared" ca="1" si="1207"/>
        <v>#NAME?</v>
      </c>
      <c r="CB157" s="23" t="e">
        <f ca="1">+'QTR Raw'!AV78</f>
        <v>#NAME?</v>
      </c>
      <c r="CC157" s="23" t="e">
        <f t="shared" ca="1" si="1207"/>
        <v>#NAME?</v>
      </c>
      <c r="CD157" s="23" t="e">
        <f ca="1">+'QTR Raw'!AX78</f>
        <v>#NAME?</v>
      </c>
      <c r="CE157" s="23" t="e">
        <f t="shared" ca="1" si="1207"/>
        <v>#NAME?</v>
      </c>
      <c r="CF157" s="23" t="e">
        <f ca="1">+'QTR Raw'!AZ78</f>
        <v>#NAME?</v>
      </c>
      <c r="CG157" s="23" t="e">
        <f t="shared" ca="1" si="1184"/>
        <v>#NAME?</v>
      </c>
      <c r="CH157" s="23" t="e">
        <f t="shared" ca="1" si="1185"/>
        <v>#NAME?</v>
      </c>
      <c r="CJ157" s="23" t="e">
        <f ca="1">+'QTR Raw'!BD78</f>
        <v>#NAME?</v>
      </c>
      <c r="CK157" s="24"/>
      <c r="CL157" s="23" t="e">
        <f ca="1">+'QTR Raw'!BF78</f>
        <v>#NAME?</v>
      </c>
      <c r="CM157" s="24"/>
      <c r="CN157" s="24"/>
      <c r="CO157" s="24"/>
      <c r="CP157" s="24"/>
      <c r="CQ157" s="24"/>
      <c r="CR157" s="24"/>
      <c r="CS157" s="24"/>
      <c r="CT157" s="24"/>
      <c r="CU157" s="24"/>
      <c r="CV157" s="24"/>
      <c r="CW157" s="24"/>
      <c r="CX157" s="24"/>
      <c r="CY157" s="24"/>
      <c r="CZ157" s="24"/>
      <c r="DA157" s="24"/>
      <c r="DB157" s="24"/>
      <c r="DE157" s="123"/>
      <c r="DF157" s="23">
        <v>0</v>
      </c>
    </row>
    <row r="158" spans="1:110" s="23" customFormat="1" outlineLevel="1" x14ac:dyDescent="0.2">
      <c r="A158" s="23" t="s">
        <v>60</v>
      </c>
      <c r="B158" s="23" t="e">
        <f ca="1">'Annual Raw'!C73+'Annual Raw'!C81</f>
        <v>#NAME?</v>
      </c>
      <c r="C158" s="23" t="e">
        <f ca="1">'Annual Raw'!D73+'Annual Raw'!D81</f>
        <v>#NAME?</v>
      </c>
      <c r="D158" s="23" t="e">
        <f ca="1">'Annual Raw'!E73+'Annual Raw'!E81</f>
        <v>#NAME?</v>
      </c>
      <c r="E158" s="23" t="e">
        <f ca="1">'Annual Raw'!F73+'Annual Raw'!F81</f>
        <v>#NAME?</v>
      </c>
      <c r="F158" s="23" t="e">
        <f ca="1">'Annual Raw'!G73+'Annual Raw'!G81</f>
        <v>#NAME?</v>
      </c>
      <c r="G158" s="23" t="e">
        <f ca="1">'Annual Raw'!H73+'Annual Raw'!H81</f>
        <v>#NAME?</v>
      </c>
      <c r="H158" s="23" t="e">
        <f ca="1">'Annual Raw'!I73+'Annual Raw'!I81</f>
        <v>#NAME?</v>
      </c>
      <c r="I158" s="23" t="e">
        <f ca="1">'Annual Raw'!J73+'Annual Raw'!J81</f>
        <v>#NAME?</v>
      </c>
      <c r="J158" s="23" t="e">
        <f ca="1">'Annual Raw'!K73+'Annual Raw'!K81</f>
        <v>#NAME?</v>
      </c>
      <c r="K158" s="23" t="e">
        <f ca="1">'Annual Raw'!L73+'Annual Raw'!L81</f>
        <v>#NAME?</v>
      </c>
      <c r="L158" s="23" t="e">
        <f ca="1">'Annual Raw'!M73+'Annual Raw'!M81</f>
        <v>#NAME?</v>
      </c>
      <c r="M158" s="23" t="e">
        <f ca="1">'Annual Raw'!N73+'Annual Raw'!N81</f>
        <v>#NAME?</v>
      </c>
      <c r="N158" s="23" t="e">
        <f ca="1">'Annual Raw'!O73+'Annual Raw'!O81</f>
        <v>#NAME?</v>
      </c>
      <c r="O158" s="23" t="e">
        <f ca="1">'Annual Raw'!P73+'Annual Raw'!P81</f>
        <v>#NAME?</v>
      </c>
      <c r="P158" s="23" t="e">
        <f ca="1">'Annual Raw'!Q73+'Annual Raw'!Q81</f>
        <v>#NAME?</v>
      </c>
      <c r="Q158" s="23" t="e">
        <f ca="1">'Annual Raw'!R73+'Annual Raw'!R81</f>
        <v>#NAME?</v>
      </c>
      <c r="R158" s="23" t="e">
        <f ca="1">'Annual Raw'!S73+'Annual Raw'!S81</f>
        <v>#NAME?</v>
      </c>
      <c r="S158" s="23" t="e">
        <f ca="1">'Annual Raw'!T73+'Annual Raw'!T81</f>
        <v>#NAME?</v>
      </c>
      <c r="T158" s="23" t="e">
        <f ca="1">'Annual Raw'!U73+'Annual Raw'!U81</f>
        <v>#NAME?</v>
      </c>
      <c r="U158" s="23" t="e">
        <f ca="1">'Annual Raw'!V73+'Annual Raw'!V81</f>
        <v>#NAME?</v>
      </c>
      <c r="V158" s="23" t="e">
        <f ca="1">'Annual Raw'!W73+'Annual Raw'!W81</f>
        <v>#NAME?</v>
      </c>
      <c r="W158" s="23" t="e">
        <f ca="1">'Annual Raw'!X73+'Annual Raw'!X81</f>
        <v>#NAME?</v>
      </c>
      <c r="X158" s="23" t="e">
        <f ca="1">'Annual Raw'!Y73+'Annual Raw'!Y81</f>
        <v>#NAME?</v>
      </c>
      <c r="Y158" s="23" t="e">
        <f ca="1">'Annual Raw'!Z73+'Annual Raw'!Z81</f>
        <v>#NAME?</v>
      </c>
      <c r="Z158" s="23" t="e">
        <f ca="1">'Annual Raw'!AA73+'Annual Raw'!AA81</f>
        <v>#NAME?</v>
      </c>
      <c r="AA158" s="23" t="e">
        <f ca="1">'Annual Raw'!AB73+'Annual Raw'!AB81</f>
        <v>#NAME?</v>
      </c>
      <c r="AB158" s="24">
        <f t="shared" si="1203"/>
        <v>0</v>
      </c>
      <c r="AC158" s="24">
        <f t="shared" si="1204"/>
        <v>0</v>
      </c>
      <c r="AD158" s="24">
        <f t="shared" si="1205"/>
        <v>0</v>
      </c>
      <c r="AE158" s="24">
        <f t="shared" si="1206"/>
        <v>0</v>
      </c>
      <c r="AJ158" s="23" t="e">
        <f ca="1">+'QTR Raw'!D79+'QTR Raw'!D76</f>
        <v>#NAME?</v>
      </c>
      <c r="AK158" s="23" t="e">
        <f t="shared" ca="1" si="1207"/>
        <v>#NAME?</v>
      </c>
      <c r="AL158" s="23" t="e">
        <f ca="1">+'QTR Raw'!F79+'QTR Raw'!F76</f>
        <v>#NAME?</v>
      </c>
      <c r="AM158" s="23" t="e">
        <f t="shared" ca="1" si="1207"/>
        <v>#NAME?</v>
      </c>
      <c r="AN158" s="23" t="e">
        <f ca="1">+'QTR Raw'!H79+'QTR Raw'!H76</f>
        <v>#NAME?</v>
      </c>
      <c r="AO158" s="23" t="e">
        <f t="shared" ca="1" si="1207"/>
        <v>#NAME?</v>
      </c>
      <c r="AP158" s="23" t="e">
        <f ca="1">+'QTR Raw'!J79+'QTR Raw'!J76</f>
        <v>#NAME?</v>
      </c>
      <c r="AQ158" s="23" t="e">
        <f t="shared" ca="1" si="1207"/>
        <v>#NAME?</v>
      </c>
      <c r="AR158" s="23" t="e">
        <f ca="1">+'QTR Raw'!L79+'QTR Raw'!L76</f>
        <v>#NAME?</v>
      </c>
      <c r="AS158" s="23" t="e">
        <f t="shared" ca="1" si="1207"/>
        <v>#NAME?</v>
      </c>
      <c r="AT158" s="23" t="e">
        <f ca="1">+'QTR Raw'!N79+'QTR Raw'!N76</f>
        <v>#NAME?</v>
      </c>
      <c r="AU158" s="23" t="e">
        <f t="shared" ca="1" si="1207"/>
        <v>#NAME?</v>
      </c>
      <c r="AV158" s="23" t="e">
        <f ca="1">+'QTR Raw'!P79+'QTR Raw'!P76</f>
        <v>#NAME?</v>
      </c>
      <c r="AW158" s="23" t="e">
        <f t="shared" ca="1" si="1207"/>
        <v>#NAME?</v>
      </c>
      <c r="AX158" s="23" t="e">
        <f ca="1">+'QTR Raw'!R79+'QTR Raw'!R76</f>
        <v>#NAME?</v>
      </c>
      <c r="AY158" s="23" t="e">
        <f t="shared" ca="1" si="1207"/>
        <v>#NAME?</v>
      </c>
      <c r="AZ158" s="23" t="e">
        <f ca="1">+'QTR Raw'!T79+'QTR Raw'!T76</f>
        <v>#NAME?</v>
      </c>
      <c r="BA158" s="23" t="e">
        <f t="shared" ca="1" si="1207"/>
        <v>#NAME?</v>
      </c>
      <c r="BB158" s="23" t="e">
        <f ca="1">+'QTR Raw'!V79+'QTR Raw'!V76</f>
        <v>#NAME?</v>
      </c>
      <c r="BC158" s="23" t="e">
        <f t="shared" ca="1" si="1207"/>
        <v>#NAME?</v>
      </c>
      <c r="BD158" s="23" t="e">
        <f ca="1">+'QTR Raw'!X79+'QTR Raw'!X76</f>
        <v>#NAME?</v>
      </c>
      <c r="BE158" s="23" t="e">
        <f t="shared" ca="1" si="1207"/>
        <v>#NAME?</v>
      </c>
      <c r="BF158" s="23" t="e">
        <f ca="1">+'QTR Raw'!Z79+'QTR Raw'!Z76</f>
        <v>#NAME?</v>
      </c>
      <c r="BG158" s="23" t="e">
        <f t="shared" ca="1" si="1207"/>
        <v>#NAME?</v>
      </c>
      <c r="BH158" s="23" t="e">
        <f ca="1">+'QTR Raw'!AB79+'QTR Raw'!AB76</f>
        <v>#NAME?</v>
      </c>
      <c r="BI158" s="23" t="e">
        <f t="shared" ca="1" si="1207"/>
        <v>#NAME?</v>
      </c>
      <c r="BJ158" s="23" t="e">
        <f ca="1">+'QTR Raw'!AD79+'QTR Raw'!AD76</f>
        <v>#NAME?</v>
      </c>
      <c r="BK158" s="23" t="e">
        <f t="shared" ca="1" si="1207"/>
        <v>#NAME?</v>
      </c>
      <c r="BL158" s="23" t="e">
        <f ca="1">+'QTR Raw'!AF79+'QTR Raw'!AF76</f>
        <v>#NAME?</v>
      </c>
      <c r="BM158" s="23" t="e">
        <f t="shared" ca="1" si="1207"/>
        <v>#NAME?</v>
      </c>
      <c r="BN158" s="23" t="e">
        <f ca="1">+'QTR Raw'!AH79+'QTR Raw'!AH76</f>
        <v>#NAME?</v>
      </c>
      <c r="BO158" s="23" t="e">
        <f t="shared" ca="1" si="1207"/>
        <v>#NAME?</v>
      </c>
      <c r="BP158" s="23" t="e">
        <f ca="1">+'QTR Raw'!AJ79+'QTR Raw'!AJ76</f>
        <v>#NAME?</v>
      </c>
      <c r="BQ158" s="23" t="e">
        <f t="shared" ca="1" si="1207"/>
        <v>#NAME?</v>
      </c>
      <c r="BR158" s="23" t="e">
        <f ca="1">+'QTR Raw'!AL79+'QTR Raw'!AL76</f>
        <v>#NAME?</v>
      </c>
      <c r="BS158" s="23" t="e">
        <f t="shared" ca="1" si="1207"/>
        <v>#NAME?</v>
      </c>
      <c r="BT158" s="23" t="e">
        <f ca="1">+'QTR Raw'!AN79+'QTR Raw'!AN76</f>
        <v>#NAME?</v>
      </c>
      <c r="BU158" s="23" t="e">
        <f t="shared" ca="1" si="1207"/>
        <v>#NAME?</v>
      </c>
      <c r="BV158" s="23" t="e">
        <f ca="1">+'QTR Raw'!AP79+'QTR Raw'!AP76</f>
        <v>#NAME?</v>
      </c>
      <c r="BW158" s="23" t="e">
        <f t="shared" ca="1" si="1207"/>
        <v>#NAME?</v>
      </c>
      <c r="BX158" s="23" t="e">
        <f ca="1">+'QTR Raw'!AR79+'QTR Raw'!AR76</f>
        <v>#NAME?</v>
      </c>
      <c r="BY158" s="23" t="e">
        <f t="shared" ca="1" si="1207"/>
        <v>#NAME?</v>
      </c>
      <c r="BZ158" s="23" t="e">
        <f ca="1">+'QTR Raw'!AT79+'QTR Raw'!AT76</f>
        <v>#NAME?</v>
      </c>
      <c r="CA158" s="23" t="e">
        <f t="shared" ca="1" si="1207"/>
        <v>#NAME?</v>
      </c>
      <c r="CB158" s="23" t="e">
        <f ca="1">+'QTR Raw'!AV79+'QTR Raw'!AV76</f>
        <v>#NAME?</v>
      </c>
      <c r="CC158" s="23" t="e">
        <f t="shared" ca="1" si="1207"/>
        <v>#NAME?</v>
      </c>
      <c r="CD158" s="23" t="e">
        <f ca="1">+'QTR Raw'!AX79+'QTR Raw'!AX76</f>
        <v>#NAME?</v>
      </c>
      <c r="CE158" s="23" t="e">
        <f t="shared" ca="1" si="1207"/>
        <v>#NAME?</v>
      </c>
      <c r="CF158" s="23" t="e">
        <f ca="1">+'QTR Raw'!AZ79+'QTR Raw'!AZ76</f>
        <v>#NAME?</v>
      </c>
      <c r="CG158" s="23" t="e">
        <f t="shared" ca="1" si="1184"/>
        <v>#NAME?</v>
      </c>
      <c r="CH158" s="23" t="e">
        <f t="shared" ca="1" si="1185"/>
        <v>#NAME?</v>
      </c>
      <c r="CJ158" s="23" t="e">
        <f ca="1">+'QTR Raw'!BD79+'QTR Raw'!BD76</f>
        <v>#NAME?</v>
      </c>
      <c r="CK158" s="24"/>
      <c r="CL158" s="23" t="e">
        <f ca="1">+'QTR Raw'!BF79+'QTR Raw'!BF76</f>
        <v>#NAME?</v>
      </c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  <c r="DF158" s="23">
        <v>4.6429999999999998</v>
      </c>
    </row>
    <row r="159" spans="1:110" s="23" customFormat="1" outlineLevel="1" x14ac:dyDescent="0.2">
      <c r="A159" s="23" t="s">
        <v>61</v>
      </c>
      <c r="B159" s="23" t="e">
        <f ca="1">'Annual Raw'!C76</f>
        <v>#NAME?</v>
      </c>
      <c r="C159" s="23" t="e">
        <f ca="1">'Annual Raw'!D76</f>
        <v>#NAME?</v>
      </c>
      <c r="D159" s="23" t="e">
        <f ca="1">'Annual Raw'!E76</f>
        <v>#NAME?</v>
      </c>
      <c r="E159" s="23" t="e">
        <f ca="1">'Annual Raw'!F76</f>
        <v>#NAME?</v>
      </c>
      <c r="F159" s="23" t="e">
        <f ca="1">'Annual Raw'!G76</f>
        <v>#NAME?</v>
      </c>
      <c r="G159" s="23" t="e">
        <f ca="1">'Annual Raw'!H76</f>
        <v>#NAME?</v>
      </c>
      <c r="H159" s="23" t="e">
        <f ca="1">'Annual Raw'!I76</f>
        <v>#NAME?</v>
      </c>
      <c r="I159" s="23" t="e">
        <f ca="1">'Annual Raw'!J76</f>
        <v>#NAME?</v>
      </c>
      <c r="J159" s="23" t="e">
        <f ca="1">'Annual Raw'!K76</f>
        <v>#NAME?</v>
      </c>
      <c r="K159" s="23" t="e">
        <f ca="1">'Annual Raw'!L76</f>
        <v>#NAME?</v>
      </c>
      <c r="L159" s="23" t="e">
        <f ca="1">'Annual Raw'!M76</f>
        <v>#NAME?</v>
      </c>
      <c r="M159" s="23" t="e">
        <f ca="1">'Annual Raw'!N76</f>
        <v>#NAME?</v>
      </c>
      <c r="N159" s="23" t="e">
        <f ca="1">'Annual Raw'!O76</f>
        <v>#NAME?</v>
      </c>
      <c r="O159" s="23" t="e">
        <f ca="1">'Annual Raw'!P76</f>
        <v>#NAME?</v>
      </c>
      <c r="P159" s="23" t="e">
        <f ca="1">'Annual Raw'!Q76</f>
        <v>#NAME?</v>
      </c>
      <c r="Q159" s="23" t="e">
        <f ca="1">'Annual Raw'!R76</f>
        <v>#NAME?</v>
      </c>
      <c r="R159" s="23" t="e">
        <f ca="1">'Annual Raw'!S76</f>
        <v>#NAME?</v>
      </c>
      <c r="S159" s="23" t="e">
        <f ca="1">'Annual Raw'!T76</f>
        <v>#NAME?</v>
      </c>
      <c r="T159" s="23" t="e">
        <f ca="1">'Annual Raw'!U76</f>
        <v>#NAME?</v>
      </c>
      <c r="U159" s="23" t="e">
        <f ca="1">'Annual Raw'!V76</f>
        <v>#NAME?</v>
      </c>
      <c r="V159" s="23" t="e">
        <f ca="1">'Annual Raw'!W76</f>
        <v>#NAME?</v>
      </c>
      <c r="W159" s="23" t="e">
        <f ca="1">'Annual Raw'!X76</f>
        <v>#NAME?</v>
      </c>
      <c r="X159" s="23" t="e">
        <f ca="1">'Annual Raw'!Y76</f>
        <v>#NAME?</v>
      </c>
      <c r="Y159" s="23" t="e">
        <f ca="1">'Annual Raw'!Z76</f>
        <v>#NAME?</v>
      </c>
      <c r="Z159" s="23" t="e">
        <f ca="1">'Annual Raw'!AA76</f>
        <v>#NAME?</v>
      </c>
      <c r="AA159" s="23" t="e">
        <f ca="1">'Annual Raw'!AB76</f>
        <v>#NAME?</v>
      </c>
      <c r="AB159" s="24" t="e">
        <f t="shared" ca="1" si="1203"/>
        <v>#NAME?</v>
      </c>
      <c r="AC159" s="24" t="e">
        <f t="shared" ca="1" si="1204"/>
        <v>#NAME?</v>
      </c>
      <c r="AD159" s="24" t="e">
        <f t="shared" ca="1" si="1205"/>
        <v>#NAME?</v>
      </c>
      <c r="AE159" s="24" t="e">
        <f t="shared" ca="1" si="1206"/>
        <v>#NAME?</v>
      </c>
      <c r="AJ159" s="23" t="e">
        <f ca="1">+'QTR Raw'!D81</f>
        <v>#NAME?</v>
      </c>
      <c r="AK159" s="23" t="e">
        <f ca="1">+AK194*AK25/90</f>
        <v>#NAME?</v>
      </c>
      <c r="AL159" s="23" t="e">
        <f ca="1">+'QTR Raw'!F81</f>
        <v>#NAME?</v>
      </c>
      <c r="AM159" s="23" t="e">
        <f ca="1">+AM194*AM25/90</f>
        <v>#NAME?</v>
      </c>
      <c r="AN159" s="23" t="e">
        <f ca="1">+'QTR Raw'!H81</f>
        <v>#NAME?</v>
      </c>
      <c r="AO159" s="23" t="e">
        <f ca="1">+AO194*AO25/90</f>
        <v>#NAME?</v>
      </c>
      <c r="AP159" s="23" t="e">
        <f ca="1">+'QTR Raw'!J81</f>
        <v>#NAME?</v>
      </c>
      <c r="AQ159" s="23" t="e">
        <f ca="1">+AQ194*AQ25/90</f>
        <v>#NAME?</v>
      </c>
      <c r="AR159" s="23" t="e">
        <f ca="1">+'QTR Raw'!L81</f>
        <v>#NAME?</v>
      </c>
      <c r="AS159" s="23" t="e">
        <f ca="1">+AS194*AS25/90</f>
        <v>#NAME?</v>
      </c>
      <c r="AT159" s="23" t="e">
        <f ca="1">+'QTR Raw'!N81</f>
        <v>#NAME?</v>
      </c>
      <c r="AU159" s="23" t="e">
        <f ca="1">+AU194*AU25/90</f>
        <v>#NAME?</v>
      </c>
      <c r="AV159" s="23" t="e">
        <f ca="1">+'QTR Raw'!P81</f>
        <v>#NAME?</v>
      </c>
      <c r="AW159" s="23" t="e">
        <f ca="1">+AW194*AW25/90</f>
        <v>#NAME?</v>
      </c>
      <c r="AX159" s="23" t="e">
        <f ca="1">+'QTR Raw'!R81</f>
        <v>#NAME?</v>
      </c>
      <c r="AY159" s="23" t="e">
        <f ca="1">+AY194*AY25/90</f>
        <v>#NAME?</v>
      </c>
      <c r="AZ159" s="23" t="e">
        <f ca="1">+'QTR Raw'!T81</f>
        <v>#NAME?</v>
      </c>
      <c r="BA159" s="23" t="e">
        <f ca="1">+BA194*BA25/90</f>
        <v>#NAME?</v>
      </c>
      <c r="BB159" s="23" t="e">
        <f ca="1">+'QTR Raw'!V81</f>
        <v>#NAME?</v>
      </c>
      <c r="BC159" s="23" t="e">
        <f ca="1">+BC194*BC25/90</f>
        <v>#NAME?</v>
      </c>
      <c r="BD159" s="23" t="e">
        <f ca="1">+'QTR Raw'!X81</f>
        <v>#NAME?</v>
      </c>
      <c r="BE159" s="23" t="e">
        <f ca="1">+BE194*BE25/90</f>
        <v>#NAME?</v>
      </c>
      <c r="BF159" s="23" t="e">
        <f ca="1">+'QTR Raw'!Z81</f>
        <v>#NAME?</v>
      </c>
      <c r="BG159" s="23" t="e">
        <f ca="1">+BG194*BG25/90</f>
        <v>#NAME?</v>
      </c>
      <c r="BH159" s="23" t="e">
        <f ca="1">+'QTR Raw'!AB81</f>
        <v>#NAME?</v>
      </c>
      <c r="BI159" s="23" t="e">
        <f ca="1">+BI194*BI25/90</f>
        <v>#NAME?</v>
      </c>
      <c r="BJ159" s="23" t="e">
        <f ca="1">+'QTR Raw'!AD81</f>
        <v>#NAME?</v>
      </c>
      <c r="BK159" s="23" t="e">
        <f ca="1">+BK194*BK25/90</f>
        <v>#NAME?</v>
      </c>
      <c r="BL159" s="23" t="e">
        <f ca="1">+'QTR Raw'!AF81</f>
        <v>#NAME?</v>
      </c>
      <c r="BM159" s="23" t="e">
        <f ca="1">+BM194*BM25/90</f>
        <v>#NAME?</v>
      </c>
      <c r="BN159" s="23" t="e">
        <f ca="1">+'QTR Raw'!AH81</f>
        <v>#NAME?</v>
      </c>
      <c r="BO159" s="23" t="e">
        <f ca="1">+BO194*BO25/90</f>
        <v>#NAME?</v>
      </c>
      <c r="BP159" s="23" t="e">
        <f ca="1">+'QTR Raw'!AJ81</f>
        <v>#NAME?</v>
      </c>
      <c r="BQ159" s="23" t="e">
        <f ca="1">+BQ194*BQ25/90</f>
        <v>#NAME?</v>
      </c>
      <c r="BR159" s="23" t="e">
        <f ca="1">+'QTR Raw'!AL81</f>
        <v>#NAME?</v>
      </c>
      <c r="BS159" s="23" t="e">
        <f ca="1">+BS194*BS25/90</f>
        <v>#NAME?</v>
      </c>
      <c r="BT159" s="23" t="e">
        <f ca="1">+'QTR Raw'!AN81</f>
        <v>#NAME?</v>
      </c>
      <c r="BU159" s="23" t="e">
        <f ca="1">+BU194*BU25/90</f>
        <v>#NAME?</v>
      </c>
      <c r="BV159" s="23" t="e">
        <f ca="1">+'QTR Raw'!AP81</f>
        <v>#NAME?</v>
      </c>
      <c r="BW159" s="23" t="e">
        <f ca="1">+BW194*BW25/90</f>
        <v>#NAME?</v>
      </c>
      <c r="BX159" s="23" t="e">
        <f ca="1">+'QTR Raw'!AR81</f>
        <v>#NAME?</v>
      </c>
      <c r="BY159" s="23" t="e">
        <f ca="1">+BY194*BY25/90</f>
        <v>#NAME?</v>
      </c>
      <c r="BZ159" s="23" t="e">
        <f ca="1">+'QTR Raw'!AT81</f>
        <v>#NAME?</v>
      </c>
      <c r="CA159" s="23" t="e">
        <f ca="1">+CA194*CA25/90</f>
        <v>#NAME?</v>
      </c>
      <c r="CB159" s="23" t="e">
        <f ca="1">+'QTR Raw'!AV81</f>
        <v>#NAME?</v>
      </c>
      <c r="CC159" s="23" t="e">
        <f ca="1">+CC194*CC25/90</f>
        <v>#NAME?</v>
      </c>
      <c r="CD159" s="23" t="e">
        <f ca="1">+'QTR Raw'!AX81</f>
        <v>#NAME?</v>
      </c>
      <c r="CE159" s="23" t="e">
        <f ca="1">+CE194*CE25/90</f>
        <v>#NAME?</v>
      </c>
      <c r="CF159" s="23" t="e">
        <f ca="1">+'QTR Raw'!AZ81</f>
        <v>#NAME?</v>
      </c>
      <c r="CG159" s="23" t="e">
        <f ca="1">+CG194*CG25/90</f>
        <v>#NAME?</v>
      </c>
      <c r="CH159" s="23" t="e">
        <f t="shared" ca="1" si="1185"/>
        <v>#NAME?</v>
      </c>
      <c r="CI159" s="23" t="e">
        <f ca="1">+CI194*CI25/90</f>
        <v>#NAME?</v>
      </c>
      <c r="CJ159" s="23" t="e">
        <f ca="1">+'QTR Raw'!BD81</f>
        <v>#NAME?</v>
      </c>
      <c r="CK159" s="24" t="e">
        <f t="shared" ref="CK159:DB159" ca="1" si="1208">+CK194*CK25/90</f>
        <v>#NAME?</v>
      </c>
      <c r="CL159" s="23" t="e">
        <f ca="1">+'QTR Raw'!BF81</f>
        <v>#NAME?</v>
      </c>
      <c r="CM159" s="24" t="e">
        <f t="shared" ca="1" si="1208"/>
        <v>#NAME?</v>
      </c>
      <c r="CN159" s="24" t="e">
        <f t="shared" ca="1" si="1208"/>
        <v>#NAME?</v>
      </c>
      <c r="CO159" s="24" t="e">
        <f t="shared" ca="1" si="1208"/>
        <v>#NAME?</v>
      </c>
      <c r="CP159" s="24" t="e">
        <f t="shared" ca="1" si="1208"/>
        <v>#NAME?</v>
      </c>
      <c r="CQ159" s="24" t="e">
        <f t="shared" ca="1" si="1208"/>
        <v>#NAME?</v>
      </c>
      <c r="CR159" s="24" t="e">
        <f t="shared" ca="1" si="1208"/>
        <v>#NAME?</v>
      </c>
      <c r="CS159" s="24" t="e">
        <f t="shared" ca="1" si="1208"/>
        <v>#NAME?</v>
      </c>
      <c r="CT159" s="24" t="e">
        <f t="shared" ca="1" si="1208"/>
        <v>#NAME?</v>
      </c>
      <c r="CU159" s="24" t="e">
        <f t="shared" ca="1" si="1208"/>
        <v>#NAME?</v>
      </c>
      <c r="CV159" s="24" t="e">
        <f t="shared" ca="1" si="1208"/>
        <v>#NAME?</v>
      </c>
      <c r="CW159" s="24" t="e">
        <f t="shared" ca="1" si="1208"/>
        <v>#NAME?</v>
      </c>
      <c r="CX159" s="24" t="e">
        <f t="shared" ca="1" si="1208"/>
        <v>#NAME?</v>
      </c>
      <c r="CY159" s="24" t="e">
        <f t="shared" ca="1" si="1208"/>
        <v>#NAME?</v>
      </c>
      <c r="CZ159" s="24" t="e">
        <f t="shared" ca="1" si="1208"/>
        <v>#NAME?</v>
      </c>
      <c r="DA159" s="24" t="e">
        <f t="shared" ca="1" si="1208"/>
        <v>#NAME?</v>
      </c>
      <c r="DB159" s="24" t="e">
        <f t="shared" ca="1" si="1208"/>
        <v>#NAME?</v>
      </c>
      <c r="DE159" s="123"/>
      <c r="DF159" s="23">
        <v>93.323999999999998</v>
      </c>
    </row>
    <row r="160" spans="1:110" s="23" customFormat="1" outlineLevel="1" x14ac:dyDescent="0.2">
      <c r="A160" s="23" t="s">
        <v>62</v>
      </c>
      <c r="B160" s="23" t="e">
        <f ca="1">'Annual Raw'!C77</f>
        <v>#NAME?</v>
      </c>
      <c r="C160" s="23" t="e">
        <f ca="1">'Annual Raw'!D77</f>
        <v>#NAME?</v>
      </c>
      <c r="D160" s="23" t="e">
        <f ca="1">'Annual Raw'!E77</f>
        <v>#NAME?</v>
      </c>
      <c r="E160" s="23" t="e">
        <f ca="1">'Annual Raw'!F77</f>
        <v>#NAME?</v>
      </c>
      <c r="F160" s="23" t="e">
        <f ca="1">'Annual Raw'!G77</f>
        <v>#NAME?</v>
      </c>
      <c r="G160" s="23" t="e">
        <f ca="1">'Annual Raw'!H77</f>
        <v>#NAME?</v>
      </c>
      <c r="H160" s="23" t="e">
        <f ca="1">'Annual Raw'!I77</f>
        <v>#NAME?</v>
      </c>
      <c r="I160" s="23" t="e">
        <f ca="1">'Annual Raw'!J77</f>
        <v>#NAME?</v>
      </c>
      <c r="J160" s="23" t="e">
        <f ca="1">'Annual Raw'!K77</f>
        <v>#NAME?</v>
      </c>
      <c r="K160" s="23" t="e">
        <f ca="1">'Annual Raw'!L77</f>
        <v>#NAME?</v>
      </c>
      <c r="L160" s="23" t="e">
        <f ca="1">'Annual Raw'!M77</f>
        <v>#NAME?</v>
      </c>
      <c r="M160" s="23" t="e">
        <f ca="1">'Annual Raw'!N77</f>
        <v>#NAME?</v>
      </c>
      <c r="N160" s="23" t="e">
        <f ca="1">'Annual Raw'!O77</f>
        <v>#NAME?</v>
      </c>
      <c r="O160" s="23" t="e">
        <f ca="1">'Annual Raw'!P77</f>
        <v>#NAME?</v>
      </c>
      <c r="P160" s="23" t="e">
        <f ca="1">'Annual Raw'!Q77</f>
        <v>#NAME?</v>
      </c>
      <c r="Q160" s="23" t="e">
        <f ca="1">'Annual Raw'!R77</f>
        <v>#NAME?</v>
      </c>
      <c r="R160" s="23" t="e">
        <f ca="1">'Annual Raw'!S77</f>
        <v>#NAME?</v>
      </c>
      <c r="S160" s="23" t="e">
        <f ca="1">'Annual Raw'!T77</f>
        <v>#NAME?</v>
      </c>
      <c r="T160" s="23" t="e">
        <f ca="1">'Annual Raw'!U77</f>
        <v>#NAME?</v>
      </c>
      <c r="U160" s="23" t="e">
        <f ca="1">'Annual Raw'!V77</f>
        <v>#NAME?</v>
      </c>
      <c r="V160" s="23" t="e">
        <f ca="1">'Annual Raw'!W77</f>
        <v>#NAME?</v>
      </c>
      <c r="W160" s="23" t="e">
        <f ca="1">'Annual Raw'!X77</f>
        <v>#NAME?</v>
      </c>
      <c r="X160" s="23" t="e">
        <f ca="1">'Annual Raw'!Y77</f>
        <v>#NAME?</v>
      </c>
      <c r="Y160" s="23" t="e">
        <f ca="1">'Annual Raw'!Z77</f>
        <v>#NAME?</v>
      </c>
      <c r="Z160" s="23" t="e">
        <f ca="1">'Annual Raw'!AA77</f>
        <v>#NAME?</v>
      </c>
      <c r="AA160" s="23" t="e">
        <f ca="1">'Annual Raw'!AB77</f>
        <v>#NAME?</v>
      </c>
      <c r="AB160" s="24" t="e">
        <f t="shared" ca="1" si="1203"/>
        <v>#NAME?</v>
      </c>
      <c r="AC160" s="24" t="e">
        <f t="shared" ca="1" si="1204"/>
        <v>#NAME?</v>
      </c>
      <c r="AD160" s="24" t="e">
        <f t="shared" ca="1" si="1205"/>
        <v>#NAME?</v>
      </c>
      <c r="AE160" s="24" t="e">
        <f t="shared" ca="1" si="1206"/>
        <v>#NAME?</v>
      </c>
      <c r="AJ160" s="23" t="e">
        <f ca="1">+'QTR Raw'!D82</f>
        <v>#NAME?</v>
      </c>
      <c r="AK160" s="23" t="e">
        <f ca="1">+AK195*AK25/90</f>
        <v>#NAME?</v>
      </c>
      <c r="AL160" s="23" t="e">
        <f ca="1">+'QTR Raw'!F82</f>
        <v>#NAME?</v>
      </c>
      <c r="AM160" s="23" t="e">
        <f ca="1">+AM195*AM25/90</f>
        <v>#NAME?</v>
      </c>
      <c r="AN160" s="23" t="e">
        <f ca="1">+'QTR Raw'!H82</f>
        <v>#NAME?</v>
      </c>
      <c r="AO160" s="23" t="e">
        <f ca="1">+AO195*AO25/90</f>
        <v>#NAME?</v>
      </c>
      <c r="AP160" s="23" t="e">
        <f ca="1">+'QTR Raw'!J82</f>
        <v>#NAME?</v>
      </c>
      <c r="AQ160" s="23" t="e">
        <f ca="1">+AQ195*AQ25/90</f>
        <v>#NAME?</v>
      </c>
      <c r="AR160" s="23" t="e">
        <f ca="1">+'QTR Raw'!L82</f>
        <v>#NAME?</v>
      </c>
      <c r="AS160" s="23" t="e">
        <f ca="1">+AS195*AS25/90</f>
        <v>#NAME?</v>
      </c>
      <c r="AT160" s="23" t="e">
        <f ca="1">+'QTR Raw'!N82</f>
        <v>#NAME?</v>
      </c>
      <c r="AU160" s="23" t="e">
        <f ca="1">+AU195*AU25/90</f>
        <v>#NAME?</v>
      </c>
      <c r="AV160" s="23" t="e">
        <f ca="1">+'QTR Raw'!P82</f>
        <v>#NAME?</v>
      </c>
      <c r="AW160" s="23" t="e">
        <f ca="1">+AW195*AW25/90</f>
        <v>#NAME?</v>
      </c>
      <c r="AX160" s="23" t="e">
        <f ca="1">+'QTR Raw'!R82</f>
        <v>#NAME?</v>
      </c>
      <c r="AY160" s="23" t="e">
        <f ca="1">+AY195*AY25/90</f>
        <v>#NAME?</v>
      </c>
      <c r="AZ160" s="23" t="e">
        <f ca="1">+'QTR Raw'!T82</f>
        <v>#NAME?</v>
      </c>
      <c r="BA160" s="23" t="e">
        <f ca="1">+BA195*BA25/90</f>
        <v>#NAME?</v>
      </c>
      <c r="BB160" s="23" t="e">
        <f ca="1">+'QTR Raw'!V82</f>
        <v>#NAME?</v>
      </c>
      <c r="BC160" s="23" t="e">
        <f ca="1">+BC195*BC25/90</f>
        <v>#NAME?</v>
      </c>
      <c r="BD160" s="23" t="e">
        <f ca="1">+'QTR Raw'!X82</f>
        <v>#NAME?</v>
      </c>
      <c r="BE160" s="23" t="e">
        <f ca="1">+BE195*BE25/90</f>
        <v>#NAME?</v>
      </c>
      <c r="BF160" s="23" t="e">
        <f ca="1">+'QTR Raw'!Z82</f>
        <v>#NAME?</v>
      </c>
      <c r="BG160" s="23" t="e">
        <f ca="1">+BG195*BG25/90</f>
        <v>#NAME?</v>
      </c>
      <c r="BH160" s="23" t="e">
        <f ca="1">+'QTR Raw'!AB82</f>
        <v>#NAME?</v>
      </c>
      <c r="BI160" s="23" t="e">
        <f ca="1">+BI195*BI25/90</f>
        <v>#NAME?</v>
      </c>
      <c r="BJ160" s="23" t="e">
        <f ca="1">+'QTR Raw'!AD82</f>
        <v>#NAME?</v>
      </c>
      <c r="BK160" s="23" t="e">
        <f ca="1">+BK195*BK25/90</f>
        <v>#NAME?</v>
      </c>
      <c r="BL160" s="23" t="e">
        <f ca="1">+'QTR Raw'!AF82</f>
        <v>#NAME?</v>
      </c>
      <c r="BM160" s="23" t="e">
        <f ca="1">+BM195*BM25/90</f>
        <v>#NAME?</v>
      </c>
      <c r="BN160" s="23" t="e">
        <f ca="1">+'QTR Raw'!AH82</f>
        <v>#NAME?</v>
      </c>
      <c r="BO160" s="23" t="e">
        <f ca="1">+BO195*BO25/90</f>
        <v>#NAME?</v>
      </c>
      <c r="BP160" s="23" t="e">
        <f ca="1">+'QTR Raw'!AJ82</f>
        <v>#NAME?</v>
      </c>
      <c r="BQ160" s="23" t="e">
        <f ca="1">+BQ195*BQ25/90</f>
        <v>#NAME?</v>
      </c>
      <c r="BR160" s="23" t="e">
        <f ca="1">+'QTR Raw'!AL82</f>
        <v>#NAME?</v>
      </c>
      <c r="BS160" s="23" t="e">
        <f ca="1">+BS195*BS25/90</f>
        <v>#NAME?</v>
      </c>
      <c r="BT160" s="23" t="e">
        <f ca="1">+'QTR Raw'!AN82</f>
        <v>#NAME?</v>
      </c>
      <c r="BU160" s="23" t="e">
        <f ca="1">+BU195*BU25/90</f>
        <v>#NAME?</v>
      </c>
      <c r="BV160" s="23" t="e">
        <f ca="1">+'QTR Raw'!AP82</f>
        <v>#NAME?</v>
      </c>
      <c r="BW160" s="23" t="e">
        <f ca="1">+BW195*BW25/90</f>
        <v>#NAME?</v>
      </c>
      <c r="BX160" s="23" t="e">
        <f ca="1">+'QTR Raw'!AR82</f>
        <v>#NAME?</v>
      </c>
      <c r="BY160" s="23" t="e">
        <f ca="1">+BY195*BY25/90</f>
        <v>#NAME?</v>
      </c>
      <c r="BZ160" s="23" t="e">
        <f ca="1">+'QTR Raw'!AT82</f>
        <v>#NAME?</v>
      </c>
      <c r="CA160" s="23" t="e">
        <f ca="1">+CA195*CA25/90</f>
        <v>#NAME?</v>
      </c>
      <c r="CB160" s="23" t="e">
        <f ca="1">+'QTR Raw'!AV82</f>
        <v>#NAME?</v>
      </c>
      <c r="CC160" s="23" t="e">
        <f ca="1">+CC195*CC25/90</f>
        <v>#NAME?</v>
      </c>
      <c r="CD160" s="23" t="e">
        <f ca="1">+'QTR Raw'!AX82</f>
        <v>#NAME?</v>
      </c>
      <c r="CE160" s="23" t="e">
        <f ca="1">+CE195*CE25/90</f>
        <v>#NAME?</v>
      </c>
      <c r="CF160" s="23" t="e">
        <f ca="1">+'QTR Raw'!AZ82</f>
        <v>#NAME?</v>
      </c>
      <c r="CG160" s="23" t="e">
        <f ca="1">+CG195*CG25/90</f>
        <v>#NAME?</v>
      </c>
      <c r="CH160" s="23" t="e">
        <f t="shared" ca="1" si="1185"/>
        <v>#NAME?</v>
      </c>
      <c r="CI160" s="23" t="e">
        <f ca="1">+CI195*CI25/90</f>
        <v>#NAME?</v>
      </c>
      <c r="CJ160" s="23" t="e">
        <f ca="1">+'QTR Raw'!BD82</f>
        <v>#NAME?</v>
      </c>
      <c r="CK160" s="24" t="e">
        <f t="shared" ref="CK160:DB160" ca="1" si="1209">+CK195*CK25/90</f>
        <v>#NAME?</v>
      </c>
      <c r="CL160" s="23" t="e">
        <f ca="1">+'QTR Raw'!BF82</f>
        <v>#NAME?</v>
      </c>
      <c r="CM160" s="24" t="e">
        <f t="shared" ca="1" si="1209"/>
        <v>#NAME?</v>
      </c>
      <c r="CN160" s="24" t="e">
        <f t="shared" ca="1" si="1209"/>
        <v>#NAME?</v>
      </c>
      <c r="CO160" s="24" t="e">
        <f t="shared" ca="1" si="1209"/>
        <v>#NAME?</v>
      </c>
      <c r="CP160" s="24" t="e">
        <f t="shared" ca="1" si="1209"/>
        <v>#NAME?</v>
      </c>
      <c r="CQ160" s="24" t="e">
        <f t="shared" ca="1" si="1209"/>
        <v>#NAME?</v>
      </c>
      <c r="CR160" s="24" t="e">
        <f t="shared" ca="1" si="1209"/>
        <v>#NAME?</v>
      </c>
      <c r="CS160" s="24" t="e">
        <f t="shared" ca="1" si="1209"/>
        <v>#NAME?</v>
      </c>
      <c r="CT160" s="24" t="e">
        <f t="shared" ca="1" si="1209"/>
        <v>#NAME?</v>
      </c>
      <c r="CU160" s="24" t="e">
        <f t="shared" ca="1" si="1209"/>
        <v>#NAME?</v>
      </c>
      <c r="CV160" s="24" t="e">
        <f t="shared" ca="1" si="1209"/>
        <v>#NAME?</v>
      </c>
      <c r="CW160" s="24" t="e">
        <f t="shared" ca="1" si="1209"/>
        <v>#NAME?</v>
      </c>
      <c r="CX160" s="24" t="e">
        <f t="shared" ca="1" si="1209"/>
        <v>#NAME?</v>
      </c>
      <c r="CY160" s="24" t="e">
        <f t="shared" ca="1" si="1209"/>
        <v>#NAME?</v>
      </c>
      <c r="CZ160" s="24" t="e">
        <f t="shared" ca="1" si="1209"/>
        <v>#NAME?</v>
      </c>
      <c r="DA160" s="24" t="e">
        <f t="shared" ca="1" si="1209"/>
        <v>#NAME?</v>
      </c>
      <c r="DB160" s="24" t="e">
        <f t="shared" ca="1" si="1209"/>
        <v>#NAME?</v>
      </c>
      <c r="DE160" s="123"/>
      <c r="DF160" s="23">
        <v>71.709000000000003</v>
      </c>
    </row>
    <row r="161" spans="1:110" s="23" customFormat="1" outlineLevel="1" x14ac:dyDescent="0.2">
      <c r="A161" s="23" t="s">
        <v>63</v>
      </c>
      <c r="B161" s="23" t="e">
        <f ca="1">'Annual Raw'!C79</f>
        <v>#NAME?</v>
      </c>
      <c r="C161" s="23" t="e">
        <f ca="1">'Annual Raw'!D79</f>
        <v>#NAME?</v>
      </c>
      <c r="D161" s="23" t="e">
        <f ca="1">'Annual Raw'!E79</f>
        <v>#NAME?</v>
      </c>
      <c r="E161" s="23" t="e">
        <f ca="1">'Annual Raw'!F79</f>
        <v>#NAME?</v>
      </c>
      <c r="F161" s="23" t="e">
        <f ca="1">'Annual Raw'!G79</f>
        <v>#NAME?</v>
      </c>
      <c r="G161" s="23" t="e">
        <f ca="1">'Annual Raw'!H79</f>
        <v>#NAME?</v>
      </c>
      <c r="H161" s="23" t="e">
        <f ca="1">'Annual Raw'!I79</f>
        <v>#NAME?</v>
      </c>
      <c r="I161" s="23" t="e">
        <f ca="1">'Annual Raw'!J79</f>
        <v>#NAME?</v>
      </c>
      <c r="J161" s="23" t="e">
        <f ca="1">'Annual Raw'!K79</f>
        <v>#NAME?</v>
      </c>
      <c r="K161" s="23" t="e">
        <f ca="1">'Annual Raw'!L79</f>
        <v>#NAME?</v>
      </c>
      <c r="L161" s="23" t="e">
        <f ca="1">'Annual Raw'!M79</f>
        <v>#NAME?</v>
      </c>
      <c r="M161" s="23" t="e">
        <f ca="1">'Annual Raw'!N79</f>
        <v>#NAME?</v>
      </c>
      <c r="N161" s="23" t="e">
        <f ca="1">'Annual Raw'!O79</f>
        <v>#NAME?</v>
      </c>
      <c r="O161" s="23" t="e">
        <f ca="1">'Annual Raw'!P79</f>
        <v>#NAME?</v>
      </c>
      <c r="P161" s="23" t="e">
        <f ca="1">'Annual Raw'!Q79</f>
        <v>#NAME?</v>
      </c>
      <c r="Q161" s="23" t="e">
        <f ca="1">'Annual Raw'!R79</f>
        <v>#NAME?</v>
      </c>
      <c r="R161" s="23" t="e">
        <f ca="1">'Annual Raw'!S79</f>
        <v>#NAME?</v>
      </c>
      <c r="S161" s="23" t="e">
        <f ca="1">'Annual Raw'!T79</f>
        <v>#NAME?</v>
      </c>
      <c r="T161" s="23" t="e">
        <f ca="1">'Annual Raw'!U79</f>
        <v>#NAME?</v>
      </c>
      <c r="U161" s="23" t="e">
        <f ca="1">'Annual Raw'!V79</f>
        <v>#NAME?</v>
      </c>
      <c r="V161" s="23" t="e">
        <f ca="1">'Annual Raw'!W79</f>
        <v>#NAME?</v>
      </c>
      <c r="W161" s="23" t="e">
        <f ca="1">'Annual Raw'!X79</f>
        <v>#NAME?</v>
      </c>
      <c r="X161" s="23" t="e">
        <f ca="1">'Annual Raw'!Y79</f>
        <v>#NAME?</v>
      </c>
      <c r="Y161" s="23" t="e">
        <f ca="1">'Annual Raw'!Z79</f>
        <v>#NAME?</v>
      </c>
      <c r="Z161" s="23" t="e">
        <f ca="1">'Annual Raw'!AA79</f>
        <v>#NAME?</v>
      </c>
      <c r="AA161" s="23" t="e">
        <f ca="1">'Annual Raw'!AB79</f>
        <v>#NAME?</v>
      </c>
      <c r="AB161" s="24" t="e">
        <f t="shared" ca="1" si="1203"/>
        <v>#NAME?</v>
      </c>
      <c r="AC161" s="24" t="e">
        <f t="shared" ca="1" si="1204"/>
        <v>#NAME?</v>
      </c>
      <c r="AD161" s="24" t="e">
        <f t="shared" ca="1" si="1205"/>
        <v>#NAME?</v>
      </c>
      <c r="AE161" s="24" t="e">
        <f t="shared" ca="1" si="1206"/>
        <v>#NAME?</v>
      </c>
      <c r="AJ161" s="23" t="e">
        <f ca="1">+'QTR Raw'!D84</f>
        <v>#NAME?</v>
      </c>
      <c r="AK161" s="23" t="e">
        <f t="shared" ca="1" si="1207"/>
        <v>#NAME?</v>
      </c>
      <c r="AL161" s="23" t="e">
        <f ca="1">+'QTR Raw'!F84</f>
        <v>#NAME?</v>
      </c>
      <c r="AM161" s="23" t="e">
        <f t="shared" ca="1" si="1207"/>
        <v>#NAME?</v>
      </c>
      <c r="AN161" s="23" t="e">
        <f ca="1">+'QTR Raw'!H84</f>
        <v>#NAME?</v>
      </c>
      <c r="AO161" s="23" t="e">
        <f t="shared" ca="1" si="1207"/>
        <v>#NAME?</v>
      </c>
      <c r="AP161" s="23" t="e">
        <f ca="1">+'QTR Raw'!J84</f>
        <v>#NAME?</v>
      </c>
      <c r="AQ161" s="23" t="e">
        <f t="shared" ca="1" si="1207"/>
        <v>#NAME?</v>
      </c>
      <c r="AR161" s="23" t="e">
        <f ca="1">+'QTR Raw'!L84</f>
        <v>#NAME?</v>
      </c>
      <c r="AS161" s="23" t="e">
        <f t="shared" ca="1" si="1207"/>
        <v>#NAME?</v>
      </c>
      <c r="AT161" s="23" t="e">
        <f ca="1">+'QTR Raw'!N84</f>
        <v>#NAME?</v>
      </c>
      <c r="AU161" s="23" t="e">
        <f t="shared" ca="1" si="1207"/>
        <v>#NAME?</v>
      </c>
      <c r="AV161" s="23" t="e">
        <f ca="1">+'QTR Raw'!P84</f>
        <v>#NAME?</v>
      </c>
      <c r="AW161" s="23" t="e">
        <f t="shared" ca="1" si="1207"/>
        <v>#NAME?</v>
      </c>
      <c r="AX161" s="23" t="e">
        <f ca="1">+'QTR Raw'!R84</f>
        <v>#NAME?</v>
      </c>
      <c r="AY161" s="23" t="e">
        <f t="shared" ca="1" si="1207"/>
        <v>#NAME?</v>
      </c>
      <c r="AZ161" s="23" t="e">
        <f ca="1">+'QTR Raw'!T84</f>
        <v>#NAME?</v>
      </c>
      <c r="BA161" s="23" t="e">
        <f t="shared" ca="1" si="1207"/>
        <v>#NAME?</v>
      </c>
      <c r="BB161" s="23" t="e">
        <f ca="1">+'QTR Raw'!V84</f>
        <v>#NAME?</v>
      </c>
      <c r="BC161" s="23" t="e">
        <f t="shared" ca="1" si="1207"/>
        <v>#NAME?</v>
      </c>
      <c r="BD161" s="23" t="e">
        <f ca="1">+'QTR Raw'!X84</f>
        <v>#NAME?</v>
      </c>
      <c r="BE161" s="23" t="e">
        <f t="shared" ca="1" si="1207"/>
        <v>#NAME?</v>
      </c>
      <c r="BF161" s="23" t="e">
        <f ca="1">+'QTR Raw'!Z84</f>
        <v>#NAME?</v>
      </c>
      <c r="BG161" s="23" t="e">
        <f t="shared" ca="1" si="1207"/>
        <v>#NAME?</v>
      </c>
      <c r="BH161" s="23" t="e">
        <f ca="1">+'QTR Raw'!AB84</f>
        <v>#NAME?</v>
      </c>
      <c r="BI161" s="23" t="e">
        <f t="shared" ca="1" si="1207"/>
        <v>#NAME?</v>
      </c>
      <c r="BJ161" s="23" t="e">
        <f ca="1">+'QTR Raw'!AD84</f>
        <v>#NAME?</v>
      </c>
      <c r="BK161" s="23" t="e">
        <f t="shared" ca="1" si="1207"/>
        <v>#NAME?</v>
      </c>
      <c r="BL161" s="23" t="e">
        <f ca="1">+'QTR Raw'!AF84</f>
        <v>#NAME?</v>
      </c>
      <c r="BM161" s="23" t="e">
        <f t="shared" ca="1" si="1207"/>
        <v>#NAME?</v>
      </c>
      <c r="BN161" s="23" t="e">
        <f ca="1">+'QTR Raw'!AH84</f>
        <v>#NAME?</v>
      </c>
      <c r="BO161" s="23" t="e">
        <f t="shared" ca="1" si="1207"/>
        <v>#NAME?</v>
      </c>
      <c r="BP161" s="23" t="e">
        <f ca="1">+'QTR Raw'!AJ84</f>
        <v>#NAME?</v>
      </c>
      <c r="BQ161" s="23" t="e">
        <f t="shared" ca="1" si="1207"/>
        <v>#NAME?</v>
      </c>
      <c r="BR161" s="23" t="e">
        <f ca="1">+'QTR Raw'!AL84</f>
        <v>#NAME?</v>
      </c>
      <c r="BS161" s="23" t="e">
        <f t="shared" ca="1" si="1207"/>
        <v>#NAME?</v>
      </c>
      <c r="BT161" s="23" t="e">
        <f ca="1">+'QTR Raw'!AN84</f>
        <v>#NAME?</v>
      </c>
      <c r="BU161" s="23" t="e">
        <f t="shared" ca="1" si="1207"/>
        <v>#NAME?</v>
      </c>
      <c r="BV161" s="23" t="e">
        <f ca="1">+'QTR Raw'!AP84</f>
        <v>#NAME?</v>
      </c>
      <c r="BW161" s="23" t="e">
        <f t="shared" ca="1" si="1207"/>
        <v>#NAME?</v>
      </c>
      <c r="BX161" s="23" t="e">
        <f ca="1">+'QTR Raw'!AR84</f>
        <v>#NAME?</v>
      </c>
      <c r="BY161" s="23" t="e">
        <f t="shared" ca="1" si="1207"/>
        <v>#NAME?</v>
      </c>
      <c r="BZ161" s="23" t="e">
        <f ca="1">+'QTR Raw'!AT84</f>
        <v>#NAME?</v>
      </c>
      <c r="CA161" s="23" t="e">
        <f t="shared" ca="1" si="1207"/>
        <v>#NAME?</v>
      </c>
      <c r="CB161" s="23" t="e">
        <f ca="1">+'QTR Raw'!AV84</f>
        <v>#NAME?</v>
      </c>
      <c r="CC161" s="23" t="e">
        <f t="shared" ca="1" si="1207"/>
        <v>#NAME?</v>
      </c>
      <c r="CD161" s="23" t="e">
        <f ca="1">+'QTR Raw'!AX84</f>
        <v>#NAME?</v>
      </c>
      <c r="CE161" s="23" t="e">
        <f t="shared" ca="1" si="1207"/>
        <v>#NAME?</v>
      </c>
      <c r="CF161" s="23" t="e">
        <f ca="1">+'QTR Raw'!AZ84</f>
        <v>#NAME?</v>
      </c>
      <c r="CG161" s="23" t="e">
        <f t="shared" ref="CG161:CG162" ca="1" si="1210">+CF161</f>
        <v>#NAME?</v>
      </c>
      <c r="CH161" s="23" t="e">
        <f t="shared" ca="1" si="1185"/>
        <v>#NAME?</v>
      </c>
      <c r="CI161" s="23" t="e">
        <f ca="1">CI25/90*CI196</f>
        <v>#NAME?</v>
      </c>
      <c r="CJ161" s="23" t="e">
        <f ca="1">+'QTR Raw'!BD84</f>
        <v>#NAME?</v>
      </c>
      <c r="CK161" s="24" t="e">
        <f t="shared" ref="CK161:DB161" ca="1" si="1211">CK25/90*CK196</f>
        <v>#NAME?</v>
      </c>
      <c r="CL161" s="23" t="e">
        <f ca="1">+'QTR Raw'!BF84</f>
        <v>#NAME?</v>
      </c>
      <c r="CM161" s="24" t="e">
        <f t="shared" ca="1" si="1211"/>
        <v>#NAME?</v>
      </c>
      <c r="CN161" s="24" t="e">
        <f t="shared" ca="1" si="1211"/>
        <v>#NAME?</v>
      </c>
      <c r="CO161" s="24" t="e">
        <f t="shared" ca="1" si="1211"/>
        <v>#NAME?</v>
      </c>
      <c r="CP161" s="24" t="e">
        <f t="shared" ca="1" si="1211"/>
        <v>#NAME?</v>
      </c>
      <c r="CQ161" s="24" t="e">
        <f t="shared" ca="1" si="1211"/>
        <v>#NAME?</v>
      </c>
      <c r="CR161" s="24" t="e">
        <f t="shared" ca="1" si="1211"/>
        <v>#NAME?</v>
      </c>
      <c r="CS161" s="24" t="e">
        <f t="shared" ca="1" si="1211"/>
        <v>#NAME?</v>
      </c>
      <c r="CT161" s="24" t="e">
        <f t="shared" ca="1" si="1211"/>
        <v>#NAME?</v>
      </c>
      <c r="CU161" s="24" t="e">
        <f t="shared" ca="1" si="1211"/>
        <v>#NAME?</v>
      </c>
      <c r="CV161" s="24" t="e">
        <f t="shared" ca="1" si="1211"/>
        <v>#NAME?</v>
      </c>
      <c r="CW161" s="24" t="e">
        <f t="shared" ca="1" si="1211"/>
        <v>#NAME?</v>
      </c>
      <c r="CX161" s="24" t="e">
        <f t="shared" ca="1" si="1211"/>
        <v>#NAME?</v>
      </c>
      <c r="CY161" s="24" t="e">
        <f t="shared" ca="1" si="1211"/>
        <v>#NAME?</v>
      </c>
      <c r="CZ161" s="24" t="e">
        <f t="shared" ca="1" si="1211"/>
        <v>#NAME?</v>
      </c>
      <c r="DA161" s="24" t="e">
        <f t="shared" ca="1" si="1211"/>
        <v>#NAME?</v>
      </c>
      <c r="DB161" s="24" t="e">
        <f t="shared" ca="1" si="1211"/>
        <v>#NAME?</v>
      </c>
      <c r="DE161" s="123"/>
      <c r="DF161" s="23">
        <v>42.003</v>
      </c>
    </row>
    <row r="162" spans="1:110" s="23" customFormat="1" outlineLevel="1" x14ac:dyDescent="0.2">
      <c r="A162" s="23" t="s">
        <v>64</v>
      </c>
      <c r="B162" s="23" t="e">
        <f ca="1">'Annual Raw'!C80</f>
        <v>#NAME?</v>
      </c>
      <c r="C162" s="23" t="e">
        <f ca="1">'Annual Raw'!D80</f>
        <v>#NAME?</v>
      </c>
      <c r="D162" s="23" t="e">
        <f ca="1">'Annual Raw'!E80</f>
        <v>#NAME?</v>
      </c>
      <c r="E162" s="23" t="e">
        <f ca="1">'Annual Raw'!F80</f>
        <v>#NAME?</v>
      </c>
      <c r="F162" s="23" t="e">
        <f ca="1">'Annual Raw'!G80</f>
        <v>#NAME?</v>
      </c>
      <c r="G162" s="23" t="e">
        <f ca="1">'Annual Raw'!H80</f>
        <v>#NAME?</v>
      </c>
      <c r="H162" s="23" t="e">
        <f ca="1">'Annual Raw'!I80</f>
        <v>#NAME?</v>
      </c>
      <c r="I162" s="23" t="e">
        <f ca="1">'Annual Raw'!J80</f>
        <v>#NAME?</v>
      </c>
      <c r="J162" s="23" t="e">
        <f ca="1">'Annual Raw'!K80</f>
        <v>#NAME?</v>
      </c>
      <c r="K162" s="23" t="e">
        <f ca="1">'Annual Raw'!L80</f>
        <v>#NAME?</v>
      </c>
      <c r="L162" s="23" t="e">
        <f ca="1">'Annual Raw'!M80</f>
        <v>#NAME?</v>
      </c>
      <c r="M162" s="23" t="e">
        <f ca="1">'Annual Raw'!N80</f>
        <v>#NAME?</v>
      </c>
      <c r="N162" s="23" t="e">
        <f ca="1">'Annual Raw'!O80</f>
        <v>#NAME?</v>
      </c>
      <c r="O162" s="23" t="e">
        <f ca="1">'Annual Raw'!P80</f>
        <v>#NAME?</v>
      </c>
      <c r="P162" s="23" t="e">
        <f ca="1">'Annual Raw'!Q80</f>
        <v>#NAME?</v>
      </c>
      <c r="Q162" s="23" t="e">
        <f ca="1">'Annual Raw'!R80</f>
        <v>#NAME?</v>
      </c>
      <c r="R162" s="23" t="e">
        <f ca="1">'Annual Raw'!S80</f>
        <v>#NAME?</v>
      </c>
      <c r="S162" s="23" t="e">
        <f ca="1">'Annual Raw'!T80</f>
        <v>#NAME?</v>
      </c>
      <c r="T162" s="23" t="e">
        <f ca="1">'Annual Raw'!U80</f>
        <v>#NAME?</v>
      </c>
      <c r="U162" s="23" t="e">
        <f ca="1">'Annual Raw'!V80</f>
        <v>#NAME?</v>
      </c>
      <c r="V162" s="23" t="e">
        <f ca="1">'Annual Raw'!W80</f>
        <v>#NAME?</v>
      </c>
      <c r="W162" s="23" t="e">
        <f ca="1">'Annual Raw'!X80</f>
        <v>#NAME?</v>
      </c>
      <c r="X162" s="23" t="e">
        <f ca="1">'Annual Raw'!Y80</f>
        <v>#NAME?</v>
      </c>
      <c r="Y162" s="23" t="e">
        <f ca="1">'Annual Raw'!Z80</f>
        <v>#NAME?</v>
      </c>
      <c r="Z162" s="23" t="e">
        <f ca="1">'Annual Raw'!AA80</f>
        <v>#NAME?</v>
      </c>
      <c r="AA162" s="23" t="e">
        <f ca="1">'Annual Raw'!AB80</f>
        <v>#NAME?</v>
      </c>
      <c r="AB162" s="24">
        <f t="shared" si="1203"/>
        <v>0</v>
      </c>
      <c r="AC162" s="24">
        <f t="shared" si="1204"/>
        <v>0</v>
      </c>
      <c r="AD162" s="24">
        <f t="shared" si="1205"/>
        <v>0</v>
      </c>
      <c r="AE162" s="24">
        <f t="shared" si="1206"/>
        <v>0</v>
      </c>
      <c r="AJ162" s="23" t="e">
        <f ca="1">+'QTR Raw'!D85</f>
        <v>#NAME?</v>
      </c>
      <c r="AK162" s="23" t="e">
        <f t="shared" ca="1" si="1207"/>
        <v>#NAME?</v>
      </c>
      <c r="AL162" s="23" t="e">
        <f ca="1">+'QTR Raw'!F85</f>
        <v>#NAME?</v>
      </c>
      <c r="AM162" s="23" t="e">
        <f t="shared" ca="1" si="1207"/>
        <v>#NAME?</v>
      </c>
      <c r="AN162" s="23" t="e">
        <f ca="1">+'QTR Raw'!H85</f>
        <v>#NAME?</v>
      </c>
      <c r="AO162" s="23" t="e">
        <f t="shared" ca="1" si="1207"/>
        <v>#NAME?</v>
      </c>
      <c r="AP162" s="23" t="e">
        <f ca="1">+'QTR Raw'!J85</f>
        <v>#NAME?</v>
      </c>
      <c r="AQ162" s="23" t="e">
        <f t="shared" ca="1" si="1207"/>
        <v>#NAME?</v>
      </c>
      <c r="AR162" s="23" t="e">
        <f ca="1">+'QTR Raw'!L85</f>
        <v>#NAME?</v>
      </c>
      <c r="AS162" s="23" t="e">
        <f t="shared" ca="1" si="1207"/>
        <v>#NAME?</v>
      </c>
      <c r="AT162" s="23" t="e">
        <f ca="1">+'QTR Raw'!N85</f>
        <v>#NAME?</v>
      </c>
      <c r="AU162" s="23" t="e">
        <f t="shared" ca="1" si="1207"/>
        <v>#NAME?</v>
      </c>
      <c r="AV162" s="23" t="e">
        <f ca="1">+'QTR Raw'!P85</f>
        <v>#NAME?</v>
      </c>
      <c r="AW162" s="23" t="e">
        <f t="shared" ca="1" si="1207"/>
        <v>#NAME?</v>
      </c>
      <c r="AX162" s="23" t="e">
        <f ca="1">+'QTR Raw'!R85</f>
        <v>#NAME?</v>
      </c>
      <c r="AY162" s="23" t="e">
        <f t="shared" ca="1" si="1207"/>
        <v>#NAME?</v>
      </c>
      <c r="AZ162" s="23" t="e">
        <f ca="1">+'QTR Raw'!T85</f>
        <v>#NAME?</v>
      </c>
      <c r="BA162" s="23" t="e">
        <f t="shared" ca="1" si="1207"/>
        <v>#NAME?</v>
      </c>
      <c r="BB162" s="23" t="e">
        <f ca="1">+'QTR Raw'!V85</f>
        <v>#NAME?</v>
      </c>
      <c r="BC162" s="23" t="e">
        <f t="shared" ca="1" si="1207"/>
        <v>#NAME?</v>
      </c>
      <c r="BD162" s="23" t="e">
        <f ca="1">+'QTR Raw'!X85</f>
        <v>#NAME?</v>
      </c>
      <c r="BE162" s="23" t="e">
        <f t="shared" ca="1" si="1207"/>
        <v>#NAME?</v>
      </c>
      <c r="BF162" s="23" t="e">
        <f ca="1">+'QTR Raw'!Z85</f>
        <v>#NAME?</v>
      </c>
      <c r="BG162" s="23" t="e">
        <f t="shared" ca="1" si="1207"/>
        <v>#NAME?</v>
      </c>
      <c r="BH162" s="23" t="e">
        <f ca="1">+'QTR Raw'!AB85</f>
        <v>#NAME?</v>
      </c>
      <c r="BI162" s="23" t="e">
        <f t="shared" ca="1" si="1207"/>
        <v>#NAME?</v>
      </c>
      <c r="BJ162" s="23" t="e">
        <f ca="1">+'QTR Raw'!AD85</f>
        <v>#NAME?</v>
      </c>
      <c r="BK162" s="23" t="e">
        <f t="shared" ca="1" si="1207"/>
        <v>#NAME?</v>
      </c>
      <c r="BL162" s="23" t="e">
        <f ca="1">+'QTR Raw'!AF85</f>
        <v>#NAME?</v>
      </c>
      <c r="BM162" s="23" t="e">
        <f t="shared" ca="1" si="1207"/>
        <v>#NAME?</v>
      </c>
      <c r="BN162" s="23" t="e">
        <f ca="1">+'QTR Raw'!AH85</f>
        <v>#NAME?</v>
      </c>
      <c r="BO162" s="23" t="e">
        <f t="shared" ca="1" si="1207"/>
        <v>#NAME?</v>
      </c>
      <c r="BP162" s="23" t="e">
        <f ca="1">+'QTR Raw'!AJ85</f>
        <v>#NAME?</v>
      </c>
      <c r="BQ162" s="23" t="e">
        <f t="shared" ca="1" si="1207"/>
        <v>#NAME?</v>
      </c>
      <c r="BR162" s="23" t="e">
        <f ca="1">+'QTR Raw'!AL85</f>
        <v>#NAME?</v>
      </c>
      <c r="BS162" s="23" t="e">
        <f t="shared" ca="1" si="1207"/>
        <v>#NAME?</v>
      </c>
      <c r="BT162" s="23" t="e">
        <f ca="1">+'QTR Raw'!AN85</f>
        <v>#NAME?</v>
      </c>
      <c r="BU162" s="23" t="e">
        <f t="shared" ca="1" si="1207"/>
        <v>#NAME?</v>
      </c>
      <c r="BV162" s="23" t="e">
        <f ca="1">+'QTR Raw'!AP85</f>
        <v>#NAME?</v>
      </c>
      <c r="BW162" s="23" t="e">
        <f t="shared" ca="1" si="1207"/>
        <v>#NAME?</v>
      </c>
      <c r="BX162" s="23" t="e">
        <f ca="1">+'QTR Raw'!AR85</f>
        <v>#NAME?</v>
      </c>
      <c r="BY162" s="23" t="e">
        <f t="shared" ca="1" si="1207"/>
        <v>#NAME?</v>
      </c>
      <c r="BZ162" s="23" t="e">
        <f ca="1">+'QTR Raw'!AT85</f>
        <v>#NAME?</v>
      </c>
      <c r="CA162" s="23" t="e">
        <f t="shared" ca="1" si="1207"/>
        <v>#NAME?</v>
      </c>
      <c r="CB162" s="23" t="e">
        <f ca="1">+'QTR Raw'!AV85</f>
        <v>#NAME?</v>
      </c>
      <c r="CC162" s="23" t="e">
        <f t="shared" ca="1" si="1207"/>
        <v>#NAME?</v>
      </c>
      <c r="CD162" s="23" t="e">
        <f ca="1">+'QTR Raw'!AX85</f>
        <v>#NAME?</v>
      </c>
      <c r="CE162" s="23" t="e">
        <f t="shared" ca="1" si="1207"/>
        <v>#NAME?</v>
      </c>
      <c r="CF162" s="23" t="e">
        <f ca="1">+'QTR Raw'!AZ85</f>
        <v>#NAME?</v>
      </c>
      <c r="CG162" s="23" t="e">
        <f t="shared" ca="1" si="1210"/>
        <v>#NAME?</v>
      </c>
      <c r="CH162" s="23" t="e">
        <f t="shared" ca="1" si="1185"/>
        <v>#NAME?</v>
      </c>
      <c r="CJ162" s="23" t="e">
        <f ca="1">+'QTR Raw'!BD85</f>
        <v>#NAME?</v>
      </c>
      <c r="CK162" s="24"/>
      <c r="CL162" s="23" t="e">
        <f ca="1">+'QTR Raw'!BF85</f>
        <v>#NAME?</v>
      </c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  <c r="DF162" s="23">
        <v>0</v>
      </c>
    </row>
    <row r="163" spans="1:110" s="22" customFormat="1" x14ac:dyDescent="0.2">
      <c r="A163" s="22" t="s">
        <v>65</v>
      </c>
      <c r="B163" s="22" t="e">
        <f ca="1">SUM(B157:B162)</f>
        <v>#NAME?</v>
      </c>
      <c r="C163" s="22" t="e">
        <f t="shared" ref="C163:V163" ca="1" si="1212">SUM(C157:C162)</f>
        <v>#NAME?</v>
      </c>
      <c r="D163" s="22" t="e">
        <f t="shared" ca="1" si="1212"/>
        <v>#NAME?</v>
      </c>
      <c r="E163" s="22" t="e">
        <f t="shared" ca="1" si="1212"/>
        <v>#NAME?</v>
      </c>
      <c r="F163" s="22" t="e">
        <f t="shared" ca="1" si="1212"/>
        <v>#NAME?</v>
      </c>
      <c r="G163" s="22" t="e">
        <f t="shared" ca="1" si="1212"/>
        <v>#NAME?</v>
      </c>
      <c r="H163" s="22" t="e">
        <f t="shared" ca="1" si="1212"/>
        <v>#NAME?</v>
      </c>
      <c r="I163" s="22" t="e">
        <f t="shared" ca="1" si="1212"/>
        <v>#NAME?</v>
      </c>
      <c r="J163" s="22" t="e">
        <f t="shared" ca="1" si="1212"/>
        <v>#NAME?</v>
      </c>
      <c r="K163" s="22" t="e">
        <f t="shared" ca="1" si="1212"/>
        <v>#NAME?</v>
      </c>
      <c r="L163" s="22" t="e">
        <f ca="1">SUM(L157:L162)</f>
        <v>#NAME?</v>
      </c>
      <c r="M163" s="22" t="e">
        <f ca="1">SUM(M157:M162)</f>
        <v>#NAME?</v>
      </c>
      <c r="N163" s="22" t="e">
        <f t="shared" ca="1" si="1212"/>
        <v>#NAME?</v>
      </c>
      <c r="O163" s="22" t="e">
        <f t="shared" ca="1" si="1212"/>
        <v>#NAME?</v>
      </c>
      <c r="P163" s="22" t="e">
        <f t="shared" ca="1" si="1212"/>
        <v>#NAME?</v>
      </c>
      <c r="Q163" s="22" t="e">
        <f t="shared" ca="1" si="1212"/>
        <v>#NAME?</v>
      </c>
      <c r="R163" s="22" t="e">
        <f t="shared" ca="1" si="1212"/>
        <v>#NAME?</v>
      </c>
      <c r="S163" s="22" t="e">
        <f t="shared" ca="1" si="1212"/>
        <v>#NAME?</v>
      </c>
      <c r="T163" s="22" t="e">
        <f t="shared" ca="1" si="1212"/>
        <v>#NAME?</v>
      </c>
      <c r="U163" s="22" t="e">
        <f t="shared" ca="1" si="1212"/>
        <v>#NAME?</v>
      </c>
      <c r="V163" s="22" t="e">
        <f t="shared" ca="1" si="1212"/>
        <v>#NAME?</v>
      </c>
      <c r="W163" s="22" t="e">
        <f t="shared" ref="W163" ca="1" si="1213">SUM(W157:W162)</f>
        <v>#NAME?</v>
      </c>
      <c r="X163" s="22" t="e">
        <f t="shared" ref="X163:Y163" ca="1" si="1214">SUM(X157:X162)</f>
        <v>#NAME?</v>
      </c>
      <c r="Y163" s="22" t="e">
        <f t="shared" ca="1" si="1214"/>
        <v>#NAME?</v>
      </c>
      <c r="Z163" s="22" t="e">
        <f t="shared" ref="Z163:AA163" ca="1" si="1215">SUM(Z157:Z162)</f>
        <v>#NAME?</v>
      </c>
      <c r="AA163" s="22" t="e">
        <f t="shared" ca="1" si="1215"/>
        <v>#NAME?</v>
      </c>
      <c r="AB163" s="21" t="e">
        <f t="shared" ref="AA163:AD163" ca="1" si="1216">SUM(AB157:AB162)</f>
        <v>#NAME?</v>
      </c>
      <c r="AC163" s="21" t="e">
        <f t="shared" ca="1" si="1216"/>
        <v>#NAME?</v>
      </c>
      <c r="AD163" s="21" t="e">
        <f t="shared" ca="1" si="1216"/>
        <v>#NAME?</v>
      </c>
      <c r="AE163" s="21" t="e">
        <f t="shared" ref="AE163" ca="1" si="1217">SUM(AE157:AE162)</f>
        <v>#NAME?</v>
      </c>
      <c r="AJ163" s="22" t="e">
        <f t="shared" ref="AJ163" ca="1" si="1218">SUM(AJ157:AJ162)</f>
        <v>#NAME?</v>
      </c>
      <c r="AK163" s="22" t="e">
        <f t="shared" ref="AK163" ca="1" si="1219">SUM(AK157:AK162)</f>
        <v>#NAME?</v>
      </c>
      <c r="AL163" s="22" t="e">
        <f t="shared" ref="AL163:AM163" ca="1" si="1220">SUM(AL157:AL162)</f>
        <v>#NAME?</v>
      </c>
      <c r="AM163" s="22" t="e">
        <f t="shared" ca="1" si="1220"/>
        <v>#NAME?</v>
      </c>
      <c r="AN163" s="22" t="e">
        <f t="shared" ref="AN163:AO163" ca="1" si="1221">SUM(AN157:AN162)</f>
        <v>#NAME?</v>
      </c>
      <c r="AO163" s="22" t="e">
        <f t="shared" ca="1" si="1221"/>
        <v>#NAME?</v>
      </c>
      <c r="AP163" s="22" t="e">
        <f t="shared" ref="AP163:CE163" ca="1" si="1222">SUM(AP157:AP162)</f>
        <v>#NAME?</v>
      </c>
      <c r="AQ163" s="22" t="e">
        <f t="shared" ca="1" si="1222"/>
        <v>#NAME?</v>
      </c>
      <c r="AR163" s="22" t="e">
        <f t="shared" ca="1" si="1222"/>
        <v>#NAME?</v>
      </c>
      <c r="AS163" s="22" t="e">
        <f t="shared" ca="1" si="1222"/>
        <v>#NAME?</v>
      </c>
      <c r="AT163" s="22" t="e">
        <f t="shared" ca="1" si="1222"/>
        <v>#NAME?</v>
      </c>
      <c r="AU163" s="22" t="e">
        <f t="shared" ca="1" si="1222"/>
        <v>#NAME?</v>
      </c>
      <c r="AV163" s="22" t="e">
        <f t="shared" ca="1" si="1222"/>
        <v>#NAME?</v>
      </c>
      <c r="AW163" s="22" t="e">
        <f t="shared" ca="1" si="1222"/>
        <v>#NAME?</v>
      </c>
      <c r="AX163" s="22" t="e">
        <f t="shared" ca="1" si="1222"/>
        <v>#NAME?</v>
      </c>
      <c r="AY163" s="22" t="e">
        <f t="shared" ca="1" si="1222"/>
        <v>#NAME?</v>
      </c>
      <c r="AZ163" s="22" t="e">
        <f t="shared" ca="1" si="1222"/>
        <v>#NAME?</v>
      </c>
      <c r="BA163" s="22" t="e">
        <f t="shared" ca="1" si="1222"/>
        <v>#NAME?</v>
      </c>
      <c r="BB163" s="22" t="e">
        <f t="shared" ca="1" si="1222"/>
        <v>#NAME?</v>
      </c>
      <c r="BC163" s="22" t="e">
        <f t="shared" ca="1" si="1222"/>
        <v>#NAME?</v>
      </c>
      <c r="BD163" s="22" t="e">
        <f t="shared" ca="1" si="1222"/>
        <v>#NAME?</v>
      </c>
      <c r="BE163" s="22" t="e">
        <f t="shared" ca="1" si="1222"/>
        <v>#NAME?</v>
      </c>
      <c r="BF163" s="22" t="e">
        <f t="shared" ca="1" si="1222"/>
        <v>#NAME?</v>
      </c>
      <c r="BG163" s="22" t="e">
        <f t="shared" ca="1" si="1222"/>
        <v>#NAME?</v>
      </c>
      <c r="BH163" s="22" t="e">
        <f t="shared" ca="1" si="1222"/>
        <v>#NAME?</v>
      </c>
      <c r="BI163" s="22" t="e">
        <f t="shared" ca="1" si="1222"/>
        <v>#NAME?</v>
      </c>
      <c r="BJ163" s="22" t="e">
        <f t="shared" ca="1" si="1222"/>
        <v>#NAME?</v>
      </c>
      <c r="BK163" s="22" t="e">
        <f t="shared" ca="1" si="1222"/>
        <v>#NAME?</v>
      </c>
      <c r="BL163" s="22" t="e">
        <f t="shared" ca="1" si="1222"/>
        <v>#NAME?</v>
      </c>
      <c r="BM163" s="22" t="e">
        <f t="shared" ca="1" si="1222"/>
        <v>#NAME?</v>
      </c>
      <c r="BN163" s="22" t="e">
        <f t="shared" ca="1" si="1222"/>
        <v>#NAME?</v>
      </c>
      <c r="BO163" s="22" t="e">
        <f t="shared" ca="1" si="1222"/>
        <v>#NAME?</v>
      </c>
      <c r="BP163" s="22" t="e">
        <f t="shared" ca="1" si="1222"/>
        <v>#NAME?</v>
      </c>
      <c r="BQ163" s="22" t="e">
        <f t="shared" ca="1" si="1222"/>
        <v>#NAME?</v>
      </c>
      <c r="BR163" s="22" t="e">
        <f t="shared" ca="1" si="1222"/>
        <v>#NAME?</v>
      </c>
      <c r="BS163" s="22" t="e">
        <f t="shared" ca="1" si="1222"/>
        <v>#NAME?</v>
      </c>
      <c r="BT163" s="22" t="e">
        <f t="shared" ca="1" si="1222"/>
        <v>#NAME?</v>
      </c>
      <c r="BU163" s="22" t="e">
        <f t="shared" ca="1" si="1222"/>
        <v>#NAME?</v>
      </c>
      <c r="BV163" s="22" t="e">
        <f t="shared" ca="1" si="1222"/>
        <v>#NAME?</v>
      </c>
      <c r="BW163" s="22" t="e">
        <f t="shared" ca="1" si="1222"/>
        <v>#NAME?</v>
      </c>
      <c r="BX163" s="22" t="e">
        <f t="shared" ca="1" si="1222"/>
        <v>#NAME?</v>
      </c>
      <c r="BY163" s="22" t="e">
        <f t="shared" ca="1" si="1222"/>
        <v>#NAME?</v>
      </c>
      <c r="BZ163" s="22" t="e">
        <f t="shared" ca="1" si="1222"/>
        <v>#NAME?</v>
      </c>
      <c r="CA163" s="22" t="e">
        <f t="shared" ca="1" si="1222"/>
        <v>#NAME?</v>
      </c>
      <c r="CB163" s="22" t="e">
        <f t="shared" ca="1" si="1222"/>
        <v>#NAME?</v>
      </c>
      <c r="CC163" s="22" t="e">
        <f t="shared" ca="1" si="1222"/>
        <v>#NAME?</v>
      </c>
      <c r="CD163" s="22" t="e">
        <f t="shared" ca="1" si="1222"/>
        <v>#NAME?</v>
      </c>
      <c r="CE163" s="22" t="e">
        <f t="shared" ca="1" si="1222"/>
        <v>#NAME?</v>
      </c>
      <c r="CF163" s="22" t="e">
        <f t="shared" ref="CF163:CG163" ca="1" si="1223">SUM(CF157:CF162)</f>
        <v>#NAME?</v>
      </c>
      <c r="CG163" s="22" t="e">
        <f t="shared" ca="1" si="1223"/>
        <v>#NAME?</v>
      </c>
      <c r="CH163" s="22" t="e">
        <f t="shared" ref="CH163:CI163" ca="1" si="1224">SUM(CH157:CH162)</f>
        <v>#NAME?</v>
      </c>
      <c r="CI163" s="22" t="e">
        <f t="shared" ca="1" si="1224"/>
        <v>#NAME?</v>
      </c>
      <c r="CJ163" s="22" t="e">
        <f t="shared" ref="CJ163:DB163" ca="1" si="1225">SUM(CJ157:CJ162)</f>
        <v>#NAME?</v>
      </c>
      <c r="CK163" s="21" t="e">
        <f t="shared" ca="1" si="1225"/>
        <v>#NAME?</v>
      </c>
      <c r="CL163" s="22" t="e">
        <f t="shared" ref="CL163" ca="1" si="1226">SUM(CL157:CL162)</f>
        <v>#NAME?</v>
      </c>
      <c r="CM163" s="21" t="e">
        <f t="shared" ca="1" si="1225"/>
        <v>#NAME?</v>
      </c>
      <c r="CN163" s="21" t="e">
        <f t="shared" ca="1" si="1225"/>
        <v>#NAME?</v>
      </c>
      <c r="CO163" s="21" t="e">
        <f t="shared" ca="1" si="1225"/>
        <v>#NAME?</v>
      </c>
      <c r="CP163" s="21" t="e">
        <f t="shared" ca="1" si="1225"/>
        <v>#NAME?</v>
      </c>
      <c r="CQ163" s="21" t="e">
        <f t="shared" ca="1" si="1225"/>
        <v>#NAME?</v>
      </c>
      <c r="CR163" s="21" t="e">
        <f t="shared" ca="1" si="1225"/>
        <v>#NAME?</v>
      </c>
      <c r="CS163" s="21" t="e">
        <f t="shared" ca="1" si="1225"/>
        <v>#NAME?</v>
      </c>
      <c r="CT163" s="21" t="e">
        <f t="shared" ca="1" si="1225"/>
        <v>#NAME?</v>
      </c>
      <c r="CU163" s="21" t="e">
        <f t="shared" ca="1" si="1225"/>
        <v>#NAME?</v>
      </c>
      <c r="CV163" s="21" t="e">
        <f t="shared" ca="1" si="1225"/>
        <v>#NAME?</v>
      </c>
      <c r="CW163" s="21" t="e">
        <f t="shared" ca="1" si="1225"/>
        <v>#NAME?</v>
      </c>
      <c r="CX163" s="21" t="e">
        <f t="shared" ca="1" si="1225"/>
        <v>#NAME?</v>
      </c>
      <c r="CY163" s="21" t="e">
        <f t="shared" ca="1" si="1225"/>
        <v>#NAME?</v>
      </c>
      <c r="CZ163" s="21" t="e">
        <f t="shared" ca="1" si="1225"/>
        <v>#NAME?</v>
      </c>
      <c r="DA163" s="21" t="e">
        <f t="shared" ca="1" si="1225"/>
        <v>#NAME?</v>
      </c>
      <c r="DB163" s="21" t="e">
        <f t="shared" ca="1" si="1225"/>
        <v>#NAME?</v>
      </c>
      <c r="DE163" s="126"/>
      <c r="DF163" s="22">
        <v>211.67899999999997</v>
      </c>
    </row>
    <row r="164" spans="1:110" s="23" customFormat="1" outlineLevel="1" x14ac:dyDescent="0.2">
      <c r="A164" s="23" t="s">
        <v>66</v>
      </c>
      <c r="B164" s="23" t="e">
        <f ca="1">'Annual Raw'!C50+'Annual Raw'!C58</f>
        <v>#NAME?</v>
      </c>
      <c r="C164" s="23" t="e">
        <f ca="1">'Annual Raw'!D50+'Annual Raw'!D58</f>
        <v>#NAME?</v>
      </c>
      <c r="D164" s="23" t="e">
        <f ca="1">'Annual Raw'!E50+'Annual Raw'!E58</f>
        <v>#NAME?</v>
      </c>
      <c r="E164" s="23" t="e">
        <f ca="1">'Annual Raw'!F50+'Annual Raw'!F58</f>
        <v>#NAME?</v>
      </c>
      <c r="F164" s="23" t="e">
        <f ca="1">'Annual Raw'!G50+'Annual Raw'!G58</f>
        <v>#NAME?</v>
      </c>
      <c r="G164" s="23" t="e">
        <f ca="1">'Annual Raw'!H50+'Annual Raw'!H58</f>
        <v>#NAME?</v>
      </c>
      <c r="H164" s="23" t="e">
        <f ca="1">'Annual Raw'!I50+'Annual Raw'!I58</f>
        <v>#NAME?</v>
      </c>
      <c r="I164" s="23" t="e">
        <f ca="1">'Annual Raw'!J50+'Annual Raw'!J58</f>
        <v>#NAME?</v>
      </c>
      <c r="J164" s="23" t="e">
        <f ca="1">'Annual Raw'!K50+'Annual Raw'!K58</f>
        <v>#NAME?</v>
      </c>
      <c r="K164" s="23" t="e">
        <f ca="1">'Annual Raw'!L50+'Annual Raw'!L58</f>
        <v>#NAME?</v>
      </c>
      <c r="L164" s="23" t="e">
        <f ca="1">'Annual Raw'!M50+'Annual Raw'!M58</f>
        <v>#NAME?</v>
      </c>
      <c r="M164" s="23" t="e">
        <f ca="1">'Annual Raw'!N50+'Annual Raw'!N58</f>
        <v>#NAME?</v>
      </c>
      <c r="N164" s="23" t="e">
        <f ca="1">'Annual Raw'!O50+'Annual Raw'!O58</f>
        <v>#NAME?</v>
      </c>
      <c r="O164" s="23" t="e">
        <f ca="1">'Annual Raw'!P50+'Annual Raw'!P58</f>
        <v>#NAME?</v>
      </c>
      <c r="P164" s="23" t="e">
        <f ca="1">'Annual Raw'!Q50+'Annual Raw'!Q58</f>
        <v>#NAME?</v>
      </c>
      <c r="Q164" s="23" t="e">
        <f ca="1">'Annual Raw'!R50+'Annual Raw'!R58</f>
        <v>#NAME?</v>
      </c>
      <c r="R164" s="23" t="e">
        <f ca="1">'Annual Raw'!S50+'Annual Raw'!S58</f>
        <v>#NAME?</v>
      </c>
      <c r="S164" s="23" t="e">
        <f ca="1">'Annual Raw'!T50+'Annual Raw'!T58</f>
        <v>#NAME?</v>
      </c>
      <c r="T164" s="23" t="e">
        <f ca="1">'Annual Raw'!U50+'Annual Raw'!U58</f>
        <v>#NAME?</v>
      </c>
      <c r="U164" s="23" t="e">
        <f ca="1">'Annual Raw'!V50+'Annual Raw'!V58</f>
        <v>#NAME?</v>
      </c>
      <c r="V164" s="23" t="e">
        <f ca="1">'Annual Raw'!W50+'Annual Raw'!W58</f>
        <v>#NAME?</v>
      </c>
      <c r="W164" s="23" t="e">
        <f ca="1">'Annual Raw'!X50+'Annual Raw'!X58</f>
        <v>#NAME?</v>
      </c>
      <c r="X164" s="23" t="e">
        <f ca="1">'Annual Raw'!Y50+'Annual Raw'!Y58</f>
        <v>#NAME?</v>
      </c>
      <c r="Y164" s="23" t="e">
        <f ca="1">'Annual Raw'!Z50+'Annual Raw'!Z58</f>
        <v>#NAME?</v>
      </c>
      <c r="Z164" s="23" t="e">
        <f ca="1">'Annual Raw'!AA50+'Annual Raw'!AA58</f>
        <v>#NAME?</v>
      </c>
      <c r="AA164" s="23" t="e">
        <f ca="1">'Annual Raw'!AB50+'Annual Raw'!AB58</f>
        <v>#NAME?</v>
      </c>
      <c r="AB164" s="24">
        <f t="shared" ref="AB164:AB170" si="1227">+CP164</f>
        <v>0</v>
      </c>
      <c r="AC164" s="24">
        <f t="shared" ref="AC164:AC170" si="1228">+CT164</f>
        <v>0</v>
      </c>
      <c r="AD164" s="24">
        <f t="shared" ref="AD164:AD170" si="1229">+CX164</f>
        <v>0</v>
      </c>
      <c r="AE164" s="24">
        <f t="shared" ref="AE164:AE170" si="1230">+DB164</f>
        <v>0</v>
      </c>
      <c r="AJ164" s="23" t="e">
        <f ca="1">+'QTR Raw'!D64</f>
        <v>#NAME?</v>
      </c>
      <c r="AK164" s="23" t="e">
        <f t="shared" ref="AK164:CE170" ca="1" si="1231">+AJ164</f>
        <v>#NAME?</v>
      </c>
      <c r="AL164" s="23" t="e">
        <f ca="1">+'QTR Raw'!F64</f>
        <v>#NAME?</v>
      </c>
      <c r="AM164" s="23" t="e">
        <f t="shared" ca="1" si="1231"/>
        <v>#NAME?</v>
      </c>
      <c r="AN164" s="23" t="e">
        <f ca="1">+'QTR Raw'!H64</f>
        <v>#NAME?</v>
      </c>
      <c r="AO164" s="23" t="e">
        <f t="shared" ca="1" si="1231"/>
        <v>#NAME?</v>
      </c>
      <c r="AP164" s="23" t="e">
        <f ca="1">+'QTR Raw'!J64</f>
        <v>#NAME?</v>
      </c>
      <c r="AQ164" s="23" t="e">
        <f t="shared" ca="1" si="1231"/>
        <v>#NAME?</v>
      </c>
      <c r="AR164" s="23" t="e">
        <f ca="1">+'QTR Raw'!L64</f>
        <v>#NAME?</v>
      </c>
      <c r="AS164" s="23" t="e">
        <f t="shared" ca="1" si="1231"/>
        <v>#NAME?</v>
      </c>
      <c r="AT164" s="23" t="e">
        <f ca="1">+'QTR Raw'!N64</f>
        <v>#NAME?</v>
      </c>
      <c r="AU164" s="23" t="e">
        <f t="shared" ca="1" si="1231"/>
        <v>#NAME?</v>
      </c>
      <c r="AV164" s="23" t="e">
        <f ca="1">+'QTR Raw'!P64</f>
        <v>#NAME?</v>
      </c>
      <c r="AW164" s="23" t="e">
        <f t="shared" ca="1" si="1231"/>
        <v>#NAME?</v>
      </c>
      <c r="AX164" s="23" t="e">
        <f ca="1">+'QTR Raw'!R64</f>
        <v>#NAME?</v>
      </c>
      <c r="AY164" s="23" t="e">
        <f t="shared" ca="1" si="1231"/>
        <v>#NAME?</v>
      </c>
      <c r="AZ164" s="23" t="e">
        <f ca="1">+'QTR Raw'!T64</f>
        <v>#NAME?</v>
      </c>
      <c r="BA164" s="23" t="e">
        <f t="shared" ca="1" si="1231"/>
        <v>#NAME?</v>
      </c>
      <c r="BB164" s="23" t="e">
        <f ca="1">+'QTR Raw'!V64</f>
        <v>#NAME?</v>
      </c>
      <c r="BC164" s="23" t="e">
        <f t="shared" ca="1" si="1231"/>
        <v>#NAME?</v>
      </c>
      <c r="BD164" s="23" t="e">
        <f ca="1">+'QTR Raw'!X64</f>
        <v>#NAME?</v>
      </c>
      <c r="BE164" s="23" t="e">
        <f t="shared" ca="1" si="1231"/>
        <v>#NAME?</v>
      </c>
      <c r="BF164" s="23" t="e">
        <f ca="1">+'QTR Raw'!Z64</f>
        <v>#NAME?</v>
      </c>
      <c r="BG164" s="23" t="e">
        <f t="shared" ca="1" si="1231"/>
        <v>#NAME?</v>
      </c>
      <c r="BH164" s="23" t="e">
        <f ca="1">+'QTR Raw'!AB64</f>
        <v>#NAME?</v>
      </c>
      <c r="BI164" s="23" t="e">
        <f t="shared" ca="1" si="1231"/>
        <v>#NAME?</v>
      </c>
      <c r="BJ164" s="23" t="e">
        <f ca="1">+'QTR Raw'!AD64</f>
        <v>#NAME?</v>
      </c>
      <c r="BK164" s="23" t="e">
        <f t="shared" ca="1" si="1231"/>
        <v>#NAME?</v>
      </c>
      <c r="BL164" s="23" t="e">
        <f ca="1">+'QTR Raw'!AF64</f>
        <v>#NAME?</v>
      </c>
      <c r="BM164" s="23" t="e">
        <f t="shared" ca="1" si="1231"/>
        <v>#NAME?</v>
      </c>
      <c r="BN164" s="23" t="e">
        <f ca="1">+'QTR Raw'!AH64</f>
        <v>#NAME?</v>
      </c>
      <c r="BO164" s="23" t="e">
        <f t="shared" ca="1" si="1231"/>
        <v>#NAME?</v>
      </c>
      <c r="BP164" s="23" t="e">
        <f ca="1">+'QTR Raw'!AJ64</f>
        <v>#NAME?</v>
      </c>
      <c r="BQ164" s="23" t="e">
        <f t="shared" ca="1" si="1231"/>
        <v>#NAME?</v>
      </c>
      <c r="BR164" s="23" t="e">
        <f ca="1">+'QTR Raw'!AL64</f>
        <v>#NAME?</v>
      </c>
      <c r="BS164" s="23" t="e">
        <f t="shared" ca="1" si="1231"/>
        <v>#NAME?</v>
      </c>
      <c r="BT164" s="23" t="e">
        <f ca="1">+'QTR Raw'!AN64</f>
        <v>#NAME?</v>
      </c>
      <c r="BU164" s="23" t="e">
        <f t="shared" ca="1" si="1231"/>
        <v>#NAME?</v>
      </c>
      <c r="BV164" s="23" t="e">
        <f ca="1">+'QTR Raw'!AP64</f>
        <v>#NAME?</v>
      </c>
      <c r="BW164" s="23" t="e">
        <f t="shared" ca="1" si="1231"/>
        <v>#NAME?</v>
      </c>
      <c r="BX164" s="23" t="e">
        <f ca="1">+'QTR Raw'!AR64</f>
        <v>#NAME?</v>
      </c>
      <c r="BY164" s="23" t="e">
        <f t="shared" ca="1" si="1231"/>
        <v>#NAME?</v>
      </c>
      <c r="BZ164" s="23" t="e">
        <f ca="1">+'QTR Raw'!AT64</f>
        <v>#NAME?</v>
      </c>
      <c r="CA164" s="23" t="e">
        <f t="shared" ca="1" si="1231"/>
        <v>#NAME?</v>
      </c>
      <c r="CB164" s="23" t="e">
        <f ca="1">+'QTR Raw'!AV64</f>
        <v>#NAME?</v>
      </c>
      <c r="CC164" s="23" t="e">
        <f t="shared" ca="1" si="1231"/>
        <v>#NAME?</v>
      </c>
      <c r="CD164" s="23" t="e">
        <f ca="1">+'QTR Raw'!AX64</f>
        <v>#NAME?</v>
      </c>
      <c r="CE164" s="23" t="e">
        <f t="shared" ca="1" si="1231"/>
        <v>#NAME?</v>
      </c>
      <c r="CF164" s="23" t="e">
        <f ca="1">+'QTR Raw'!AZ64</f>
        <v>#NAME?</v>
      </c>
      <c r="CG164" s="23" t="e">
        <f t="shared" ref="CG164:CG167" ca="1" si="1232">+CF164</f>
        <v>#NAME?</v>
      </c>
      <c r="CH164" s="23" t="e">
        <f t="shared" ca="1" si="1185"/>
        <v>#NAME?</v>
      </c>
      <c r="CJ164" s="23" t="e">
        <f ca="1">+'QTR Raw'!BD64</f>
        <v>#NAME?</v>
      </c>
      <c r="CK164" s="24"/>
      <c r="CL164" s="23" t="e">
        <f ca="1">+'QTR Raw'!BF64</f>
        <v>#NAME?</v>
      </c>
      <c r="CM164" s="24"/>
      <c r="CN164" s="24"/>
      <c r="CO164" s="24"/>
      <c r="CP164" s="24"/>
      <c r="CQ164" s="24"/>
      <c r="CR164" s="24"/>
      <c r="CS164" s="24"/>
      <c r="CT164" s="24"/>
      <c r="CU164" s="24"/>
      <c r="CV164" s="24"/>
      <c r="CW164" s="24"/>
      <c r="CX164" s="24"/>
      <c r="CY164" s="24"/>
      <c r="CZ164" s="24"/>
      <c r="DA164" s="24"/>
      <c r="DB164" s="24"/>
      <c r="DE164" s="123"/>
      <c r="DF164" s="23">
        <v>0</v>
      </c>
    </row>
    <row r="165" spans="1:110" s="23" customFormat="1" outlineLevel="1" x14ac:dyDescent="0.2">
      <c r="A165" s="23" t="s">
        <v>67</v>
      </c>
      <c r="B165" s="23" t="e">
        <f ca="1">'Annual Raw'!C51</f>
        <v>#NAME?</v>
      </c>
      <c r="C165" s="23" t="e">
        <f ca="1">'Annual Raw'!D51</f>
        <v>#NAME?</v>
      </c>
      <c r="D165" s="23" t="e">
        <f ca="1">'Annual Raw'!E51</f>
        <v>#NAME?</v>
      </c>
      <c r="E165" s="23" t="e">
        <f ca="1">'Annual Raw'!F51</f>
        <v>#NAME?</v>
      </c>
      <c r="F165" s="23" t="e">
        <f ca="1">'Annual Raw'!G51</f>
        <v>#NAME?</v>
      </c>
      <c r="G165" s="23" t="e">
        <f ca="1">'Annual Raw'!H51</f>
        <v>#NAME?</v>
      </c>
      <c r="H165" s="23" t="e">
        <f ca="1">'Annual Raw'!I51</f>
        <v>#NAME?</v>
      </c>
      <c r="I165" s="23" t="e">
        <f ca="1">'Annual Raw'!J51</f>
        <v>#NAME?</v>
      </c>
      <c r="J165" s="23" t="e">
        <f ca="1">'Annual Raw'!K51</f>
        <v>#NAME?</v>
      </c>
      <c r="K165" s="23" t="e">
        <f ca="1">'Annual Raw'!L51</f>
        <v>#NAME?</v>
      </c>
      <c r="L165" s="23" t="e">
        <f ca="1">'Annual Raw'!M51</f>
        <v>#NAME?</v>
      </c>
      <c r="M165" s="23" t="e">
        <f ca="1">'Annual Raw'!N51</f>
        <v>#NAME?</v>
      </c>
      <c r="N165" s="23" t="e">
        <f ca="1">'Annual Raw'!O51</f>
        <v>#NAME?</v>
      </c>
      <c r="O165" s="23" t="e">
        <f ca="1">'Annual Raw'!P51</f>
        <v>#NAME?</v>
      </c>
      <c r="P165" s="23" t="e">
        <f ca="1">'Annual Raw'!Q51</f>
        <v>#NAME?</v>
      </c>
      <c r="Q165" s="23" t="e">
        <f ca="1">'Annual Raw'!R51</f>
        <v>#NAME?</v>
      </c>
      <c r="R165" s="23" t="e">
        <f ca="1">'Annual Raw'!S51</f>
        <v>#NAME?</v>
      </c>
      <c r="S165" s="23" t="e">
        <f ca="1">'Annual Raw'!T51</f>
        <v>#NAME?</v>
      </c>
      <c r="T165" s="23" t="e">
        <f ca="1">'Annual Raw'!U51</f>
        <v>#NAME?</v>
      </c>
      <c r="U165" s="23" t="e">
        <f ca="1">'Annual Raw'!V51</f>
        <v>#NAME?</v>
      </c>
      <c r="V165" s="23" t="e">
        <f ca="1">'Annual Raw'!W51</f>
        <v>#NAME?</v>
      </c>
      <c r="W165" s="23" t="e">
        <f ca="1">'Annual Raw'!X51</f>
        <v>#NAME?</v>
      </c>
      <c r="X165" s="23" t="e">
        <f ca="1">'Annual Raw'!Y51</f>
        <v>#NAME?</v>
      </c>
      <c r="Y165" s="23" t="e">
        <f ca="1">'Annual Raw'!Z51</f>
        <v>#NAME?</v>
      </c>
      <c r="Z165" s="23" t="e">
        <f ca="1">'Annual Raw'!AA51</f>
        <v>#NAME?</v>
      </c>
      <c r="AA165" s="23" t="e">
        <f ca="1">'Annual Raw'!AB51</f>
        <v>#NAME?</v>
      </c>
      <c r="AB165" s="24">
        <f t="shared" si="1227"/>
        <v>0</v>
      </c>
      <c r="AC165" s="24">
        <f t="shared" si="1228"/>
        <v>0</v>
      </c>
      <c r="AD165" s="24">
        <f t="shared" si="1229"/>
        <v>0</v>
      </c>
      <c r="AE165" s="24">
        <f t="shared" si="1230"/>
        <v>0</v>
      </c>
      <c r="AJ165" s="23" t="e">
        <f ca="1">+'QTR Raw'!D65</f>
        <v>#NAME?</v>
      </c>
      <c r="AK165" s="23" t="e">
        <f t="shared" ca="1" si="1231"/>
        <v>#NAME?</v>
      </c>
      <c r="AL165" s="23" t="e">
        <f ca="1">+'QTR Raw'!F65</f>
        <v>#NAME?</v>
      </c>
      <c r="AM165" s="23" t="e">
        <f t="shared" ca="1" si="1231"/>
        <v>#NAME?</v>
      </c>
      <c r="AN165" s="23" t="e">
        <f ca="1">+'QTR Raw'!H65</f>
        <v>#NAME?</v>
      </c>
      <c r="AO165" s="23" t="e">
        <f t="shared" ca="1" si="1231"/>
        <v>#NAME?</v>
      </c>
      <c r="AP165" s="23" t="e">
        <f ca="1">+'QTR Raw'!J65</f>
        <v>#NAME?</v>
      </c>
      <c r="AQ165" s="23" t="e">
        <f t="shared" ca="1" si="1231"/>
        <v>#NAME?</v>
      </c>
      <c r="AR165" s="23" t="e">
        <f ca="1">+'QTR Raw'!L65</f>
        <v>#NAME?</v>
      </c>
      <c r="AS165" s="23" t="e">
        <f t="shared" ca="1" si="1231"/>
        <v>#NAME?</v>
      </c>
      <c r="AT165" s="23" t="e">
        <f ca="1">+'QTR Raw'!N65</f>
        <v>#NAME?</v>
      </c>
      <c r="AU165" s="23" t="e">
        <f t="shared" ca="1" si="1231"/>
        <v>#NAME?</v>
      </c>
      <c r="AV165" s="23" t="e">
        <f ca="1">+'QTR Raw'!P65</f>
        <v>#NAME?</v>
      </c>
      <c r="AW165" s="23" t="e">
        <f t="shared" ca="1" si="1231"/>
        <v>#NAME?</v>
      </c>
      <c r="AX165" s="23" t="e">
        <f ca="1">+'QTR Raw'!R65</f>
        <v>#NAME?</v>
      </c>
      <c r="AY165" s="23" t="e">
        <f t="shared" ca="1" si="1231"/>
        <v>#NAME?</v>
      </c>
      <c r="AZ165" s="23" t="e">
        <f ca="1">+'QTR Raw'!T65</f>
        <v>#NAME?</v>
      </c>
      <c r="BA165" s="23" t="e">
        <f t="shared" ca="1" si="1231"/>
        <v>#NAME?</v>
      </c>
      <c r="BB165" s="23" t="e">
        <f ca="1">+'QTR Raw'!V65</f>
        <v>#NAME?</v>
      </c>
      <c r="BC165" s="23" t="e">
        <f t="shared" ca="1" si="1231"/>
        <v>#NAME?</v>
      </c>
      <c r="BD165" s="23" t="e">
        <f ca="1">+'QTR Raw'!X65</f>
        <v>#NAME?</v>
      </c>
      <c r="BE165" s="23" t="e">
        <f t="shared" ca="1" si="1231"/>
        <v>#NAME?</v>
      </c>
      <c r="BF165" s="23" t="e">
        <f ca="1">+'QTR Raw'!Z65</f>
        <v>#NAME?</v>
      </c>
      <c r="BG165" s="23" t="e">
        <f t="shared" ca="1" si="1231"/>
        <v>#NAME?</v>
      </c>
      <c r="BH165" s="23" t="e">
        <f ca="1">+'QTR Raw'!AB65</f>
        <v>#NAME?</v>
      </c>
      <c r="BI165" s="23" t="e">
        <f t="shared" ca="1" si="1231"/>
        <v>#NAME?</v>
      </c>
      <c r="BJ165" s="23" t="e">
        <f ca="1">+'QTR Raw'!AD65</f>
        <v>#NAME?</v>
      </c>
      <c r="BK165" s="23" t="e">
        <f t="shared" ca="1" si="1231"/>
        <v>#NAME?</v>
      </c>
      <c r="BL165" s="23" t="e">
        <f ca="1">+'QTR Raw'!AF65</f>
        <v>#NAME?</v>
      </c>
      <c r="BM165" s="23" t="e">
        <f t="shared" ca="1" si="1231"/>
        <v>#NAME?</v>
      </c>
      <c r="BN165" s="23" t="e">
        <f ca="1">+'QTR Raw'!AH65</f>
        <v>#NAME?</v>
      </c>
      <c r="BO165" s="23" t="e">
        <f t="shared" ca="1" si="1231"/>
        <v>#NAME?</v>
      </c>
      <c r="BP165" s="23" t="e">
        <f ca="1">+'QTR Raw'!AJ65</f>
        <v>#NAME?</v>
      </c>
      <c r="BQ165" s="23" t="e">
        <f t="shared" ca="1" si="1231"/>
        <v>#NAME?</v>
      </c>
      <c r="BR165" s="23" t="e">
        <f ca="1">+'QTR Raw'!AL65</f>
        <v>#NAME?</v>
      </c>
      <c r="BS165" s="23" t="e">
        <f t="shared" ca="1" si="1231"/>
        <v>#NAME?</v>
      </c>
      <c r="BT165" s="23" t="e">
        <f ca="1">+'QTR Raw'!AN65</f>
        <v>#NAME?</v>
      </c>
      <c r="BU165" s="23" t="e">
        <f t="shared" ca="1" si="1231"/>
        <v>#NAME?</v>
      </c>
      <c r="BV165" s="23" t="e">
        <f ca="1">+'QTR Raw'!AP65</f>
        <v>#NAME?</v>
      </c>
      <c r="BW165" s="23" t="e">
        <f t="shared" ca="1" si="1231"/>
        <v>#NAME?</v>
      </c>
      <c r="BX165" s="23" t="e">
        <f ca="1">+'QTR Raw'!AR65</f>
        <v>#NAME?</v>
      </c>
      <c r="BY165" s="23" t="e">
        <f t="shared" ca="1" si="1231"/>
        <v>#NAME?</v>
      </c>
      <c r="BZ165" s="23" t="e">
        <f ca="1">+'QTR Raw'!AT65</f>
        <v>#NAME?</v>
      </c>
      <c r="CA165" s="23" t="e">
        <f t="shared" ca="1" si="1231"/>
        <v>#NAME?</v>
      </c>
      <c r="CB165" s="23" t="e">
        <f ca="1">+'QTR Raw'!AV65</f>
        <v>#NAME?</v>
      </c>
      <c r="CC165" s="23" t="e">
        <f t="shared" ca="1" si="1231"/>
        <v>#NAME?</v>
      </c>
      <c r="CD165" s="23" t="e">
        <f ca="1">+'QTR Raw'!AX65</f>
        <v>#NAME?</v>
      </c>
      <c r="CE165" s="23" t="e">
        <f t="shared" ca="1" si="1231"/>
        <v>#NAME?</v>
      </c>
      <c r="CF165" s="23" t="e">
        <f ca="1">+'QTR Raw'!AZ65</f>
        <v>#NAME?</v>
      </c>
      <c r="CG165" s="23" t="e">
        <f t="shared" ca="1" si="1232"/>
        <v>#NAME?</v>
      </c>
      <c r="CH165" s="23" t="e">
        <f t="shared" ca="1" si="1185"/>
        <v>#NAME?</v>
      </c>
      <c r="CJ165" s="23" t="e">
        <f ca="1">+'QTR Raw'!BD65</f>
        <v>#NAME?</v>
      </c>
      <c r="CK165" s="24"/>
      <c r="CL165" s="23" t="e">
        <f ca="1">+'QTR Raw'!BF65</f>
        <v>#NAME?</v>
      </c>
      <c r="CM165" s="24"/>
      <c r="CN165" s="24"/>
      <c r="CO165" s="24"/>
      <c r="CP165" s="24"/>
      <c r="CQ165" s="24"/>
      <c r="CR165" s="24"/>
      <c r="CS165" s="24"/>
      <c r="CT165" s="24"/>
      <c r="CU165" s="24"/>
      <c r="CV165" s="24"/>
      <c r="CW165" s="24"/>
      <c r="CX165" s="24"/>
      <c r="CY165" s="24"/>
      <c r="CZ165" s="24"/>
      <c r="DA165" s="24"/>
      <c r="DB165" s="24"/>
      <c r="DE165" s="123"/>
      <c r="DF165" s="23">
        <v>0</v>
      </c>
    </row>
    <row r="166" spans="1:110" s="23" customFormat="1" outlineLevel="1" x14ac:dyDescent="0.2">
      <c r="A166" s="23" t="s">
        <v>68</v>
      </c>
      <c r="B166" s="23" t="e">
        <f ca="1">'Annual Raw'!C52</f>
        <v>#NAME?</v>
      </c>
      <c r="C166" s="23" t="e">
        <f ca="1">'Annual Raw'!D52</f>
        <v>#NAME?</v>
      </c>
      <c r="D166" s="23" t="e">
        <f ca="1">'Annual Raw'!E52</f>
        <v>#NAME?</v>
      </c>
      <c r="E166" s="23" t="e">
        <f ca="1">'Annual Raw'!F52</f>
        <v>#NAME?</v>
      </c>
      <c r="F166" s="23" t="e">
        <f ca="1">'Annual Raw'!G52</f>
        <v>#NAME?</v>
      </c>
      <c r="G166" s="23" t="e">
        <f ca="1">'Annual Raw'!H52</f>
        <v>#NAME?</v>
      </c>
      <c r="H166" s="23" t="e">
        <f ca="1">'Annual Raw'!I52</f>
        <v>#NAME?</v>
      </c>
      <c r="I166" s="23" t="e">
        <f ca="1">'Annual Raw'!J52</f>
        <v>#NAME?</v>
      </c>
      <c r="J166" s="23" t="e">
        <f ca="1">'Annual Raw'!K52</f>
        <v>#NAME?</v>
      </c>
      <c r="K166" s="23" t="e">
        <f ca="1">'Annual Raw'!L52</f>
        <v>#NAME?</v>
      </c>
      <c r="L166" s="23" t="e">
        <f ca="1">'Annual Raw'!M52</f>
        <v>#NAME?</v>
      </c>
      <c r="M166" s="23" t="e">
        <f ca="1">'Annual Raw'!N52</f>
        <v>#NAME?</v>
      </c>
      <c r="N166" s="23" t="e">
        <f ca="1">'Annual Raw'!O52</f>
        <v>#NAME?</v>
      </c>
      <c r="O166" s="23" t="e">
        <f ca="1">'Annual Raw'!P52</f>
        <v>#NAME?</v>
      </c>
      <c r="P166" s="23" t="e">
        <f ca="1">'Annual Raw'!Q52</f>
        <v>#NAME?</v>
      </c>
      <c r="Q166" s="23" t="e">
        <f ca="1">'Annual Raw'!R52</f>
        <v>#NAME?</v>
      </c>
      <c r="R166" s="23" t="e">
        <f ca="1">'Annual Raw'!S52</f>
        <v>#NAME?</v>
      </c>
      <c r="S166" s="23" t="e">
        <f ca="1">'Annual Raw'!T52</f>
        <v>#NAME?</v>
      </c>
      <c r="T166" s="23" t="e">
        <f ca="1">'Annual Raw'!U52</f>
        <v>#NAME?</v>
      </c>
      <c r="U166" s="23" t="e">
        <f ca="1">'Annual Raw'!V52</f>
        <v>#NAME?</v>
      </c>
      <c r="V166" s="23" t="e">
        <f ca="1">'Annual Raw'!W52</f>
        <v>#NAME?</v>
      </c>
      <c r="W166" s="23" t="e">
        <f ca="1">'Annual Raw'!X52</f>
        <v>#NAME?</v>
      </c>
      <c r="X166" s="23" t="e">
        <f ca="1">'Annual Raw'!Y52</f>
        <v>#NAME?</v>
      </c>
      <c r="Y166" s="23" t="e">
        <f ca="1">'Annual Raw'!Z52</f>
        <v>#NAME?</v>
      </c>
      <c r="Z166" s="23" t="e">
        <f ca="1">'Annual Raw'!AA52</f>
        <v>#NAME?</v>
      </c>
      <c r="AA166" s="23" t="e">
        <f ca="1">'Annual Raw'!AB52</f>
        <v>#NAME?</v>
      </c>
      <c r="AB166" s="24">
        <f t="shared" si="1227"/>
        <v>0</v>
      </c>
      <c r="AC166" s="24">
        <f t="shared" si="1228"/>
        <v>0</v>
      </c>
      <c r="AD166" s="24">
        <f t="shared" si="1229"/>
        <v>0</v>
      </c>
      <c r="AE166" s="24">
        <f t="shared" si="1230"/>
        <v>0</v>
      </c>
      <c r="AJ166" s="23" t="e">
        <f ca="1">+'QTR Raw'!D66</f>
        <v>#NAME?</v>
      </c>
      <c r="AK166" s="23" t="e">
        <f t="shared" ca="1" si="1231"/>
        <v>#NAME?</v>
      </c>
      <c r="AL166" s="23" t="e">
        <f ca="1">+'QTR Raw'!F66</f>
        <v>#NAME?</v>
      </c>
      <c r="AM166" s="23" t="e">
        <f t="shared" ca="1" si="1231"/>
        <v>#NAME?</v>
      </c>
      <c r="AN166" s="23" t="e">
        <f ca="1">+'QTR Raw'!H66</f>
        <v>#NAME?</v>
      </c>
      <c r="AO166" s="23" t="e">
        <f t="shared" ca="1" si="1231"/>
        <v>#NAME?</v>
      </c>
      <c r="AP166" s="23" t="e">
        <f ca="1">+'QTR Raw'!J66</f>
        <v>#NAME?</v>
      </c>
      <c r="AQ166" s="23" t="e">
        <f t="shared" ca="1" si="1231"/>
        <v>#NAME?</v>
      </c>
      <c r="AR166" s="23" t="e">
        <f ca="1">+'QTR Raw'!L66</f>
        <v>#NAME?</v>
      </c>
      <c r="AS166" s="23" t="e">
        <f t="shared" ca="1" si="1231"/>
        <v>#NAME?</v>
      </c>
      <c r="AT166" s="23" t="e">
        <f ca="1">+'QTR Raw'!N66</f>
        <v>#NAME?</v>
      </c>
      <c r="AU166" s="23" t="e">
        <f t="shared" ca="1" si="1231"/>
        <v>#NAME?</v>
      </c>
      <c r="AV166" s="23" t="e">
        <f ca="1">+'QTR Raw'!P66</f>
        <v>#NAME?</v>
      </c>
      <c r="AW166" s="23" t="e">
        <f t="shared" ca="1" si="1231"/>
        <v>#NAME?</v>
      </c>
      <c r="AX166" s="23" t="e">
        <f ca="1">+'QTR Raw'!R66</f>
        <v>#NAME?</v>
      </c>
      <c r="AY166" s="23" t="e">
        <f t="shared" ca="1" si="1231"/>
        <v>#NAME?</v>
      </c>
      <c r="AZ166" s="23" t="e">
        <f ca="1">+'QTR Raw'!T66</f>
        <v>#NAME?</v>
      </c>
      <c r="BA166" s="23" t="e">
        <f t="shared" ca="1" si="1231"/>
        <v>#NAME?</v>
      </c>
      <c r="BB166" s="23" t="e">
        <f ca="1">+'QTR Raw'!V66</f>
        <v>#NAME?</v>
      </c>
      <c r="BC166" s="23" t="e">
        <f t="shared" ca="1" si="1231"/>
        <v>#NAME?</v>
      </c>
      <c r="BD166" s="23" t="e">
        <f ca="1">+'QTR Raw'!X66</f>
        <v>#NAME?</v>
      </c>
      <c r="BE166" s="23" t="e">
        <f t="shared" ca="1" si="1231"/>
        <v>#NAME?</v>
      </c>
      <c r="BF166" s="23" t="e">
        <f ca="1">+'QTR Raw'!Z66</f>
        <v>#NAME?</v>
      </c>
      <c r="BG166" s="23" t="e">
        <f t="shared" ca="1" si="1231"/>
        <v>#NAME?</v>
      </c>
      <c r="BH166" s="23" t="e">
        <f ca="1">+'QTR Raw'!AB66</f>
        <v>#NAME?</v>
      </c>
      <c r="BI166" s="23" t="e">
        <f t="shared" ca="1" si="1231"/>
        <v>#NAME?</v>
      </c>
      <c r="BJ166" s="23" t="e">
        <f ca="1">+'QTR Raw'!AD66</f>
        <v>#NAME?</v>
      </c>
      <c r="BK166" s="23" t="e">
        <f t="shared" ca="1" si="1231"/>
        <v>#NAME?</v>
      </c>
      <c r="BL166" s="23" t="e">
        <f ca="1">+'QTR Raw'!AF66</f>
        <v>#NAME?</v>
      </c>
      <c r="BM166" s="23" t="e">
        <f t="shared" ca="1" si="1231"/>
        <v>#NAME?</v>
      </c>
      <c r="BN166" s="23" t="e">
        <f ca="1">+'QTR Raw'!AH66</f>
        <v>#NAME?</v>
      </c>
      <c r="BO166" s="23" t="e">
        <f t="shared" ca="1" si="1231"/>
        <v>#NAME?</v>
      </c>
      <c r="BP166" s="23" t="e">
        <f ca="1">+'QTR Raw'!AJ66</f>
        <v>#NAME?</v>
      </c>
      <c r="BQ166" s="23" t="e">
        <f t="shared" ca="1" si="1231"/>
        <v>#NAME?</v>
      </c>
      <c r="BR166" s="23" t="e">
        <f ca="1">+'QTR Raw'!AL66</f>
        <v>#NAME?</v>
      </c>
      <c r="BS166" s="23" t="e">
        <f t="shared" ca="1" si="1231"/>
        <v>#NAME?</v>
      </c>
      <c r="BT166" s="23" t="e">
        <f ca="1">+'QTR Raw'!AN66</f>
        <v>#NAME?</v>
      </c>
      <c r="BU166" s="23" t="e">
        <f t="shared" ca="1" si="1231"/>
        <v>#NAME?</v>
      </c>
      <c r="BV166" s="23" t="e">
        <f ca="1">+'QTR Raw'!AP66</f>
        <v>#NAME?</v>
      </c>
      <c r="BW166" s="23" t="e">
        <f t="shared" ca="1" si="1231"/>
        <v>#NAME?</v>
      </c>
      <c r="BX166" s="23" t="e">
        <f ca="1">+'QTR Raw'!AR66</f>
        <v>#NAME?</v>
      </c>
      <c r="BY166" s="23" t="e">
        <f t="shared" ca="1" si="1231"/>
        <v>#NAME?</v>
      </c>
      <c r="BZ166" s="23" t="e">
        <f ca="1">+'QTR Raw'!AT66</f>
        <v>#NAME?</v>
      </c>
      <c r="CA166" s="23" t="e">
        <f t="shared" ca="1" si="1231"/>
        <v>#NAME?</v>
      </c>
      <c r="CB166" s="23" t="e">
        <f ca="1">+'QTR Raw'!AV66</f>
        <v>#NAME?</v>
      </c>
      <c r="CC166" s="23" t="e">
        <f t="shared" ca="1" si="1231"/>
        <v>#NAME?</v>
      </c>
      <c r="CD166" s="23" t="e">
        <f ca="1">+'QTR Raw'!AX66</f>
        <v>#NAME?</v>
      </c>
      <c r="CE166" s="23" t="e">
        <f t="shared" ca="1" si="1231"/>
        <v>#NAME?</v>
      </c>
      <c r="CF166" s="23" t="e">
        <f ca="1">+'QTR Raw'!AZ66</f>
        <v>#NAME?</v>
      </c>
      <c r="CG166" s="23" t="e">
        <f t="shared" ca="1" si="1232"/>
        <v>#NAME?</v>
      </c>
      <c r="CH166" s="23" t="e">
        <f t="shared" ca="1" si="1185"/>
        <v>#NAME?</v>
      </c>
      <c r="CJ166" s="23" t="e">
        <f ca="1">+'QTR Raw'!BD66</f>
        <v>#NAME?</v>
      </c>
      <c r="CK166" s="24"/>
      <c r="CL166" s="23" t="e">
        <f ca="1">+'QTR Raw'!BF66</f>
        <v>#NAME?</v>
      </c>
      <c r="CM166" s="24"/>
      <c r="CN166" s="24"/>
      <c r="CO166" s="24"/>
      <c r="CP166" s="24"/>
      <c r="CQ166" s="24"/>
      <c r="CR166" s="24"/>
      <c r="CS166" s="24"/>
      <c r="CT166" s="24"/>
      <c r="CU166" s="24"/>
      <c r="CV166" s="24"/>
      <c r="CW166" s="24"/>
      <c r="CX166" s="24"/>
      <c r="CY166" s="24"/>
      <c r="CZ166" s="24"/>
      <c r="DA166" s="24"/>
      <c r="DB166" s="24"/>
      <c r="DE166" s="123"/>
      <c r="DF166" s="23">
        <v>0.61299999999999999</v>
      </c>
    </row>
    <row r="167" spans="1:110" s="23" customFormat="1" outlineLevel="1" x14ac:dyDescent="0.2">
      <c r="A167" s="23" t="s">
        <v>69</v>
      </c>
      <c r="B167" s="23">
        <v>0</v>
      </c>
      <c r="C167" s="23">
        <v>0</v>
      </c>
      <c r="D167" s="23">
        <v>0</v>
      </c>
      <c r="E167" s="23">
        <v>0</v>
      </c>
      <c r="F167" s="23">
        <v>0</v>
      </c>
      <c r="G167" s="23">
        <v>0</v>
      </c>
      <c r="H167" s="23">
        <v>0</v>
      </c>
      <c r="I167" s="23">
        <v>0</v>
      </c>
      <c r="J167" s="23">
        <v>0</v>
      </c>
      <c r="K167" s="23">
        <v>0</v>
      </c>
      <c r="L167" s="23">
        <v>0</v>
      </c>
      <c r="M167" s="23">
        <v>0</v>
      </c>
      <c r="N167" s="23">
        <v>0</v>
      </c>
      <c r="O167" s="23">
        <v>0</v>
      </c>
      <c r="P167" s="23">
        <v>0</v>
      </c>
      <c r="Q167" s="23">
        <v>0</v>
      </c>
      <c r="R167" s="23">
        <v>0</v>
      </c>
      <c r="S167" s="23">
        <v>0</v>
      </c>
      <c r="T167" s="23">
        <v>0</v>
      </c>
      <c r="U167" s="23">
        <v>0</v>
      </c>
      <c r="V167" s="23">
        <v>0</v>
      </c>
      <c r="W167" s="23">
        <v>0</v>
      </c>
      <c r="X167" s="23">
        <v>0</v>
      </c>
      <c r="Y167" s="23">
        <v>0</v>
      </c>
      <c r="Z167" s="23">
        <v>0</v>
      </c>
      <c r="AA167" s="23">
        <v>0</v>
      </c>
      <c r="AB167" s="24" t="e">
        <f t="shared" ca="1" si="1227"/>
        <v>#NAME?</v>
      </c>
      <c r="AC167" s="24" t="e">
        <f t="shared" ca="1" si="1228"/>
        <v>#NAME?</v>
      </c>
      <c r="AD167" s="24" t="e">
        <f t="shared" ca="1" si="1229"/>
        <v>#NAME?</v>
      </c>
      <c r="AE167" s="24" t="e">
        <f t="shared" ca="1" si="1230"/>
        <v>#NAME?</v>
      </c>
      <c r="AJ167" s="23" t="e">
        <f ca="1">+'QTR Raw'!D87</f>
        <v>#NAME?</v>
      </c>
      <c r="AK167" s="23" t="e">
        <f t="shared" ca="1" si="1231"/>
        <v>#NAME?</v>
      </c>
      <c r="AL167" s="23" t="e">
        <f ca="1">+'QTR Raw'!F87</f>
        <v>#NAME?</v>
      </c>
      <c r="AM167" s="23" t="e">
        <f t="shared" ca="1" si="1231"/>
        <v>#NAME?</v>
      </c>
      <c r="AN167" s="23" t="e">
        <f ca="1">+'QTR Raw'!H87</f>
        <v>#NAME?</v>
      </c>
      <c r="AO167" s="23" t="e">
        <f t="shared" ca="1" si="1231"/>
        <v>#NAME?</v>
      </c>
      <c r="AP167" s="23" t="e">
        <f ca="1">+'QTR Raw'!J87</f>
        <v>#NAME?</v>
      </c>
      <c r="AQ167" s="23" t="e">
        <f t="shared" ca="1" si="1231"/>
        <v>#NAME?</v>
      </c>
      <c r="AR167" s="23" t="e">
        <f ca="1">+'QTR Raw'!L87</f>
        <v>#NAME?</v>
      </c>
      <c r="AS167" s="23" t="e">
        <f t="shared" ca="1" si="1231"/>
        <v>#NAME?</v>
      </c>
      <c r="AT167" s="23" t="e">
        <f ca="1">+'QTR Raw'!N87</f>
        <v>#NAME?</v>
      </c>
      <c r="AU167" s="23" t="e">
        <f t="shared" ca="1" si="1231"/>
        <v>#NAME?</v>
      </c>
      <c r="AV167" s="23" t="e">
        <f ca="1">+'QTR Raw'!P87</f>
        <v>#NAME?</v>
      </c>
      <c r="AW167" s="23" t="e">
        <f t="shared" ca="1" si="1231"/>
        <v>#NAME?</v>
      </c>
      <c r="AX167" s="23" t="e">
        <f ca="1">+'QTR Raw'!R87</f>
        <v>#NAME?</v>
      </c>
      <c r="AY167" s="23" t="e">
        <f t="shared" ca="1" si="1231"/>
        <v>#NAME?</v>
      </c>
      <c r="AZ167" s="23" t="e">
        <f ca="1">+'QTR Raw'!T87</f>
        <v>#NAME?</v>
      </c>
      <c r="BA167" s="23" t="e">
        <f t="shared" ca="1" si="1231"/>
        <v>#NAME?</v>
      </c>
      <c r="BB167" s="23" t="e">
        <f ca="1">+'QTR Raw'!V87</f>
        <v>#NAME?</v>
      </c>
      <c r="BC167" s="23" t="e">
        <f t="shared" ca="1" si="1231"/>
        <v>#NAME?</v>
      </c>
      <c r="BD167" s="23" t="e">
        <f ca="1">+'QTR Raw'!X87</f>
        <v>#NAME?</v>
      </c>
      <c r="BE167" s="23" t="e">
        <f t="shared" ca="1" si="1231"/>
        <v>#NAME?</v>
      </c>
      <c r="BF167" s="23" t="e">
        <f ca="1">+'QTR Raw'!Z87</f>
        <v>#NAME?</v>
      </c>
      <c r="BG167" s="23" t="e">
        <f t="shared" ca="1" si="1231"/>
        <v>#NAME?</v>
      </c>
      <c r="BH167" s="23" t="e">
        <f ca="1">+'QTR Raw'!AB87</f>
        <v>#NAME?</v>
      </c>
      <c r="BI167" s="23" t="e">
        <f t="shared" ca="1" si="1231"/>
        <v>#NAME?</v>
      </c>
      <c r="BJ167" s="23" t="e">
        <f ca="1">+'QTR Raw'!AD87</f>
        <v>#NAME?</v>
      </c>
      <c r="BK167" s="23" t="e">
        <f t="shared" ca="1" si="1231"/>
        <v>#NAME?</v>
      </c>
      <c r="BL167" s="23" t="e">
        <f ca="1">+'QTR Raw'!AF87</f>
        <v>#NAME?</v>
      </c>
      <c r="BM167" s="23" t="e">
        <f t="shared" ca="1" si="1231"/>
        <v>#NAME?</v>
      </c>
      <c r="BN167" s="23" t="e">
        <f ca="1">+'QTR Raw'!AH87</f>
        <v>#NAME?</v>
      </c>
      <c r="BO167" s="23" t="e">
        <f t="shared" ca="1" si="1231"/>
        <v>#NAME?</v>
      </c>
      <c r="BP167" s="23" t="e">
        <f ca="1">+'QTR Raw'!AJ87</f>
        <v>#NAME?</v>
      </c>
      <c r="BQ167" s="23" t="e">
        <f t="shared" ca="1" si="1231"/>
        <v>#NAME?</v>
      </c>
      <c r="BR167" s="23" t="e">
        <f ca="1">+'QTR Raw'!AL87</f>
        <v>#NAME?</v>
      </c>
      <c r="BS167" s="23" t="e">
        <f t="shared" ca="1" si="1231"/>
        <v>#NAME?</v>
      </c>
      <c r="BT167" s="23" t="e">
        <f ca="1">+'QTR Raw'!AN87</f>
        <v>#NAME?</v>
      </c>
      <c r="BU167" s="23" t="e">
        <f t="shared" ca="1" si="1231"/>
        <v>#NAME?</v>
      </c>
      <c r="BV167" s="23" t="e">
        <f ca="1">+'QTR Raw'!AP87</f>
        <v>#NAME?</v>
      </c>
      <c r="BW167" s="23" t="e">
        <f t="shared" ca="1" si="1231"/>
        <v>#NAME?</v>
      </c>
      <c r="BX167" s="23" t="e">
        <f ca="1">+'QTR Raw'!AR87</f>
        <v>#NAME?</v>
      </c>
      <c r="BY167" s="23" t="e">
        <f t="shared" ca="1" si="1231"/>
        <v>#NAME?</v>
      </c>
      <c r="BZ167" s="23" t="e">
        <f ca="1">+'QTR Raw'!AT87</f>
        <v>#NAME?</v>
      </c>
      <c r="CA167" s="23" t="e">
        <f t="shared" ca="1" si="1231"/>
        <v>#NAME?</v>
      </c>
      <c r="CB167" s="23" t="e">
        <f ca="1">+'QTR Raw'!AV87</f>
        <v>#NAME?</v>
      </c>
      <c r="CC167" s="23" t="e">
        <f t="shared" ca="1" si="1231"/>
        <v>#NAME?</v>
      </c>
      <c r="CD167" s="23" t="e">
        <f ca="1">+'QTR Raw'!AX87</f>
        <v>#NAME?</v>
      </c>
      <c r="CE167" s="23" t="e">
        <f t="shared" ca="1" si="1231"/>
        <v>#NAME?</v>
      </c>
      <c r="CF167" s="23" t="e">
        <f ca="1">+'QTR Raw'!AZ87</f>
        <v>#NAME?</v>
      </c>
      <c r="CG167" s="23" t="e">
        <f t="shared" ca="1" si="1232"/>
        <v>#NAME?</v>
      </c>
      <c r="CH167" s="23">
        <f t="shared" si="1185"/>
        <v>0</v>
      </c>
      <c r="CI167" s="23" t="e">
        <f ca="1">CI25/90*CI199</f>
        <v>#NAME?</v>
      </c>
      <c r="CJ167" s="23" t="e">
        <f ca="1">+'QTR Raw'!BD87</f>
        <v>#NAME?</v>
      </c>
      <c r="CK167" s="24" t="e">
        <f t="shared" ref="CK167:DB167" ca="1" si="1233">CK25/90*CK199</f>
        <v>#NAME?</v>
      </c>
      <c r="CL167" s="23" t="e">
        <f ca="1">+'QTR Raw'!BF87</f>
        <v>#NAME?</v>
      </c>
      <c r="CM167" s="24" t="e">
        <f t="shared" ca="1" si="1233"/>
        <v>#NAME?</v>
      </c>
      <c r="CN167" s="24" t="e">
        <f t="shared" ca="1" si="1233"/>
        <v>#NAME?</v>
      </c>
      <c r="CO167" s="24" t="e">
        <f t="shared" ca="1" si="1233"/>
        <v>#NAME?</v>
      </c>
      <c r="CP167" s="24" t="e">
        <f t="shared" ca="1" si="1233"/>
        <v>#NAME?</v>
      </c>
      <c r="CQ167" s="24" t="e">
        <f t="shared" ca="1" si="1233"/>
        <v>#NAME?</v>
      </c>
      <c r="CR167" s="24" t="e">
        <f t="shared" ca="1" si="1233"/>
        <v>#NAME?</v>
      </c>
      <c r="CS167" s="24" t="e">
        <f t="shared" ca="1" si="1233"/>
        <v>#NAME?</v>
      </c>
      <c r="CT167" s="24" t="e">
        <f t="shared" ca="1" si="1233"/>
        <v>#NAME?</v>
      </c>
      <c r="CU167" s="24" t="e">
        <f t="shared" ca="1" si="1233"/>
        <v>#NAME?</v>
      </c>
      <c r="CV167" s="24" t="e">
        <f t="shared" ca="1" si="1233"/>
        <v>#NAME?</v>
      </c>
      <c r="CW167" s="24" t="e">
        <f t="shared" ca="1" si="1233"/>
        <v>#NAME?</v>
      </c>
      <c r="CX167" s="24" t="e">
        <f t="shared" ca="1" si="1233"/>
        <v>#NAME?</v>
      </c>
      <c r="CY167" s="24" t="e">
        <f t="shared" ca="1" si="1233"/>
        <v>#NAME?</v>
      </c>
      <c r="CZ167" s="24" t="e">
        <f t="shared" ca="1" si="1233"/>
        <v>#NAME?</v>
      </c>
      <c r="DA167" s="24" t="e">
        <f t="shared" ca="1" si="1233"/>
        <v>#NAME?</v>
      </c>
      <c r="DB167" s="24" t="e">
        <f t="shared" ca="1" si="1233"/>
        <v>#NAME?</v>
      </c>
      <c r="DE167" s="123"/>
      <c r="DF167" s="23">
        <v>0</v>
      </c>
    </row>
    <row r="168" spans="1:110" s="23" customFormat="1" outlineLevel="1" x14ac:dyDescent="0.2">
      <c r="A168" s="23" t="s">
        <v>70</v>
      </c>
      <c r="B168" s="23" t="e">
        <f ca="1">'Annual Raw'!C54</f>
        <v>#NAME?</v>
      </c>
      <c r="C168" s="23" t="e">
        <f ca="1">'Annual Raw'!D54</f>
        <v>#NAME?</v>
      </c>
      <c r="D168" s="23" t="e">
        <f ca="1">'Annual Raw'!E54</f>
        <v>#NAME?</v>
      </c>
      <c r="E168" s="23" t="e">
        <f ca="1">'Annual Raw'!F54</f>
        <v>#NAME?</v>
      </c>
      <c r="F168" s="23" t="e">
        <f ca="1">'Annual Raw'!G54</f>
        <v>#NAME?</v>
      </c>
      <c r="G168" s="23" t="e">
        <f ca="1">'Annual Raw'!H54</f>
        <v>#NAME?</v>
      </c>
      <c r="H168" s="23" t="e">
        <f ca="1">'Annual Raw'!I54</f>
        <v>#NAME?</v>
      </c>
      <c r="I168" s="23" t="e">
        <f ca="1">'Annual Raw'!J54</f>
        <v>#NAME?</v>
      </c>
      <c r="J168" s="23" t="e">
        <f ca="1">'Annual Raw'!K54</f>
        <v>#NAME?</v>
      </c>
      <c r="K168" s="23" t="e">
        <f ca="1">'Annual Raw'!L54</f>
        <v>#NAME?</v>
      </c>
      <c r="L168" s="23" t="e">
        <f ca="1">'Annual Raw'!M54</f>
        <v>#NAME?</v>
      </c>
      <c r="M168" s="23" t="e">
        <f ca="1">'Annual Raw'!N54</f>
        <v>#NAME?</v>
      </c>
      <c r="N168" s="23" t="e">
        <f ca="1">'Annual Raw'!O54</f>
        <v>#NAME?</v>
      </c>
      <c r="O168" s="23" t="e">
        <f ca="1">'Annual Raw'!P54</f>
        <v>#NAME?</v>
      </c>
      <c r="P168" s="23" t="e">
        <f ca="1">'Annual Raw'!Q54</f>
        <v>#NAME?</v>
      </c>
      <c r="Q168" s="23" t="e">
        <f ca="1">'Annual Raw'!R54</f>
        <v>#NAME?</v>
      </c>
      <c r="R168" s="23" t="e">
        <f ca="1">'Annual Raw'!S54</f>
        <v>#NAME?</v>
      </c>
      <c r="S168" s="23" t="e">
        <f ca="1">'Annual Raw'!T54</f>
        <v>#NAME?</v>
      </c>
      <c r="T168" s="23" t="e">
        <f ca="1">'Annual Raw'!U54</f>
        <v>#NAME?</v>
      </c>
      <c r="U168" s="23" t="e">
        <f ca="1">'Annual Raw'!V54</f>
        <v>#NAME?</v>
      </c>
      <c r="V168" s="23" t="e">
        <f ca="1">'Annual Raw'!W54</f>
        <v>#NAME?</v>
      </c>
      <c r="W168" s="23" t="e">
        <f ca="1">'Annual Raw'!X54</f>
        <v>#NAME?</v>
      </c>
      <c r="X168" s="23" t="e">
        <f ca="1">'Annual Raw'!Y54</f>
        <v>#NAME?</v>
      </c>
      <c r="Y168" s="23" t="e">
        <f ca="1">'Annual Raw'!Z54</f>
        <v>#NAME?</v>
      </c>
      <c r="Z168" s="23" t="e">
        <f ca="1">'Annual Raw'!AA54</f>
        <v>#NAME?</v>
      </c>
      <c r="AA168" s="23" t="e">
        <f ca="1">'Annual Raw'!AB54</f>
        <v>#NAME?</v>
      </c>
      <c r="AB168" s="24" t="e">
        <f t="shared" ca="1" si="1227"/>
        <v>#NAME?</v>
      </c>
      <c r="AC168" s="24" t="e">
        <f t="shared" ca="1" si="1228"/>
        <v>#NAME?</v>
      </c>
      <c r="AD168" s="24" t="e">
        <f t="shared" ca="1" si="1229"/>
        <v>#NAME?</v>
      </c>
      <c r="AE168" s="24" t="e">
        <f t="shared" ca="1" si="1230"/>
        <v>#NAME?</v>
      </c>
      <c r="AJ168" s="23" t="e">
        <f ca="1">+'QTR Raw'!D89</f>
        <v>#NAME?</v>
      </c>
      <c r="AK168" s="23" t="e">
        <f ca="1">+AK198*AK25/90</f>
        <v>#NAME?</v>
      </c>
      <c r="AL168" s="23" t="e">
        <f ca="1">+'QTR Raw'!F89</f>
        <v>#NAME?</v>
      </c>
      <c r="AM168" s="23" t="e">
        <f ca="1">+AM198*AM25/90</f>
        <v>#NAME?</v>
      </c>
      <c r="AN168" s="23" t="e">
        <f ca="1">+'QTR Raw'!H89</f>
        <v>#NAME?</v>
      </c>
      <c r="AO168" s="23" t="e">
        <f ca="1">+AO198*AO25/90</f>
        <v>#NAME?</v>
      </c>
      <c r="AP168" s="23" t="e">
        <f ca="1">+'QTR Raw'!J89</f>
        <v>#NAME?</v>
      </c>
      <c r="AQ168" s="23" t="e">
        <f ca="1">+AQ198*AQ25/90</f>
        <v>#NAME?</v>
      </c>
      <c r="AR168" s="23" t="e">
        <f ca="1">+'QTR Raw'!L89</f>
        <v>#NAME?</v>
      </c>
      <c r="AS168" s="23" t="e">
        <f ca="1">+AS198*AS25/90</f>
        <v>#NAME?</v>
      </c>
      <c r="AT168" s="23" t="e">
        <f ca="1">+'QTR Raw'!N89</f>
        <v>#NAME?</v>
      </c>
      <c r="AU168" s="23" t="e">
        <f ca="1">+AU198*AU25/90</f>
        <v>#NAME?</v>
      </c>
      <c r="AV168" s="23" t="e">
        <f ca="1">+'QTR Raw'!P89</f>
        <v>#NAME?</v>
      </c>
      <c r="AW168" s="23" t="e">
        <f ca="1">+AW198*AW25/90</f>
        <v>#NAME?</v>
      </c>
      <c r="AX168" s="23" t="e">
        <f ca="1">+'QTR Raw'!R89</f>
        <v>#NAME?</v>
      </c>
      <c r="AY168" s="23" t="e">
        <f ca="1">+AY198*AY25/90</f>
        <v>#NAME?</v>
      </c>
      <c r="AZ168" s="23" t="e">
        <f ca="1">+'QTR Raw'!T89</f>
        <v>#NAME?</v>
      </c>
      <c r="BA168" s="23" t="e">
        <f ca="1">+BA198*BA25/90</f>
        <v>#NAME?</v>
      </c>
      <c r="BB168" s="23" t="e">
        <f ca="1">+'QTR Raw'!V89</f>
        <v>#NAME?</v>
      </c>
      <c r="BC168" s="23" t="e">
        <f ca="1">+BC198*BC25/90</f>
        <v>#NAME?</v>
      </c>
      <c r="BD168" s="23" t="e">
        <f ca="1">+'QTR Raw'!X89</f>
        <v>#NAME?</v>
      </c>
      <c r="BE168" s="23" t="e">
        <f ca="1">+BE198*BE25/90</f>
        <v>#NAME?</v>
      </c>
      <c r="BF168" s="23" t="e">
        <f ca="1">+'QTR Raw'!Z89</f>
        <v>#NAME?</v>
      </c>
      <c r="BG168" s="23" t="e">
        <f ca="1">+BG198*BG25/90</f>
        <v>#NAME?</v>
      </c>
      <c r="BH168" s="23" t="e">
        <f ca="1">+'QTR Raw'!AB89</f>
        <v>#NAME?</v>
      </c>
      <c r="BI168" s="23" t="e">
        <f ca="1">+BI198*BI25/90</f>
        <v>#NAME?</v>
      </c>
      <c r="BJ168" s="23" t="e">
        <f ca="1">+'QTR Raw'!AD89</f>
        <v>#NAME?</v>
      </c>
      <c r="BK168" s="23" t="e">
        <f ca="1">+BK198*BK25/90</f>
        <v>#NAME?</v>
      </c>
      <c r="BL168" s="23" t="e">
        <f ca="1">+'QTR Raw'!AF89</f>
        <v>#NAME?</v>
      </c>
      <c r="BM168" s="23" t="e">
        <f ca="1">+BM198*BM25/90</f>
        <v>#NAME?</v>
      </c>
      <c r="BN168" s="23" t="e">
        <f ca="1">+'QTR Raw'!AH89</f>
        <v>#NAME?</v>
      </c>
      <c r="BO168" s="23" t="e">
        <f ca="1">+BO198*BO25/90</f>
        <v>#NAME?</v>
      </c>
      <c r="BP168" s="23" t="e">
        <f ca="1">+'QTR Raw'!AJ89</f>
        <v>#NAME?</v>
      </c>
      <c r="BQ168" s="23" t="e">
        <f ca="1">+BQ198*BQ25/90</f>
        <v>#NAME?</v>
      </c>
      <c r="BR168" s="23" t="e">
        <f ca="1">+'QTR Raw'!AL89</f>
        <v>#NAME?</v>
      </c>
      <c r="BS168" s="23" t="e">
        <f ca="1">+BS198*BS25/90</f>
        <v>#NAME?</v>
      </c>
      <c r="BT168" s="23" t="e">
        <f ca="1">+'QTR Raw'!AN89</f>
        <v>#NAME?</v>
      </c>
      <c r="BU168" s="23" t="e">
        <f ca="1">+BU198*BU25/90</f>
        <v>#NAME?</v>
      </c>
      <c r="BV168" s="23" t="e">
        <f ca="1">+'QTR Raw'!AP89</f>
        <v>#NAME?</v>
      </c>
      <c r="BW168" s="23" t="e">
        <f ca="1">+BW198*BW25/90</f>
        <v>#NAME?</v>
      </c>
      <c r="BX168" s="23" t="e">
        <f ca="1">+'QTR Raw'!AR89</f>
        <v>#NAME?</v>
      </c>
      <c r="BY168" s="23" t="e">
        <f ca="1">+BY198*BY25/90</f>
        <v>#NAME?</v>
      </c>
      <c r="BZ168" s="23" t="e">
        <f ca="1">+'QTR Raw'!AT89</f>
        <v>#NAME?</v>
      </c>
      <c r="CA168" s="23" t="e">
        <f ca="1">+CA198*CA25/90</f>
        <v>#NAME?</v>
      </c>
      <c r="CB168" s="23" t="e">
        <f ca="1">+'QTR Raw'!AV89</f>
        <v>#NAME?</v>
      </c>
      <c r="CC168" s="23" t="e">
        <f ca="1">+CC198*CC25/90</f>
        <v>#NAME?</v>
      </c>
      <c r="CD168" s="23" t="e">
        <f ca="1">+'QTR Raw'!AX89</f>
        <v>#NAME?</v>
      </c>
      <c r="CE168" s="23" t="e">
        <f ca="1">+CE198*CE25/90</f>
        <v>#NAME?</v>
      </c>
      <c r="CF168" s="23" t="e">
        <f ca="1">+'QTR Raw'!AZ89</f>
        <v>#NAME?</v>
      </c>
      <c r="CG168" s="23" t="e">
        <f ca="1">+CG198*CG25/90</f>
        <v>#NAME?</v>
      </c>
      <c r="CH168" s="23" t="e">
        <f t="shared" ca="1" si="1185"/>
        <v>#NAME?</v>
      </c>
      <c r="CI168" s="23" t="e">
        <f ca="1">+CI198*CI25/90</f>
        <v>#NAME?</v>
      </c>
      <c r="CJ168" s="23" t="e">
        <f ca="1">+'QTR Raw'!BD89</f>
        <v>#NAME?</v>
      </c>
      <c r="CK168" s="24" t="e">
        <f t="shared" ref="CK168:DB168" ca="1" si="1234">+CK198*CK25/90</f>
        <v>#NAME?</v>
      </c>
      <c r="CL168" s="23" t="e">
        <f ca="1">+'QTR Raw'!BF89</f>
        <v>#NAME?</v>
      </c>
      <c r="CM168" s="24" t="e">
        <f t="shared" ca="1" si="1234"/>
        <v>#NAME?</v>
      </c>
      <c r="CN168" s="24" t="e">
        <f t="shared" ca="1" si="1234"/>
        <v>#NAME?</v>
      </c>
      <c r="CO168" s="24" t="e">
        <f t="shared" ca="1" si="1234"/>
        <v>#NAME?</v>
      </c>
      <c r="CP168" s="24" t="e">
        <f t="shared" ca="1" si="1234"/>
        <v>#NAME?</v>
      </c>
      <c r="CQ168" s="24" t="e">
        <f t="shared" ca="1" si="1234"/>
        <v>#NAME?</v>
      </c>
      <c r="CR168" s="24" t="e">
        <f t="shared" ca="1" si="1234"/>
        <v>#NAME?</v>
      </c>
      <c r="CS168" s="24" t="e">
        <f t="shared" ca="1" si="1234"/>
        <v>#NAME?</v>
      </c>
      <c r="CT168" s="24" t="e">
        <f t="shared" ca="1" si="1234"/>
        <v>#NAME?</v>
      </c>
      <c r="CU168" s="24" t="e">
        <f t="shared" ca="1" si="1234"/>
        <v>#NAME?</v>
      </c>
      <c r="CV168" s="24" t="e">
        <f t="shared" ca="1" si="1234"/>
        <v>#NAME?</v>
      </c>
      <c r="CW168" s="24" t="e">
        <f t="shared" ca="1" si="1234"/>
        <v>#NAME?</v>
      </c>
      <c r="CX168" s="24" t="e">
        <f t="shared" ca="1" si="1234"/>
        <v>#NAME?</v>
      </c>
      <c r="CY168" s="24" t="e">
        <f t="shared" ca="1" si="1234"/>
        <v>#NAME?</v>
      </c>
      <c r="CZ168" s="24" t="e">
        <f t="shared" ca="1" si="1234"/>
        <v>#NAME?</v>
      </c>
      <c r="DA168" s="24" t="e">
        <f t="shared" ca="1" si="1234"/>
        <v>#NAME?</v>
      </c>
      <c r="DB168" s="24" t="e">
        <f t="shared" ca="1" si="1234"/>
        <v>#NAME?</v>
      </c>
      <c r="DE168" s="123"/>
      <c r="DF168" s="23">
        <v>1.974</v>
      </c>
    </row>
    <row r="169" spans="1:110" s="23" customFormat="1" outlineLevel="1" x14ac:dyDescent="0.2">
      <c r="A169" s="23" t="s">
        <v>71</v>
      </c>
      <c r="B169" s="23" t="e">
        <f ca="1">'Annual Raw'!C55-Template!B141</f>
        <v>#NAME?</v>
      </c>
      <c r="C169" s="23" t="e">
        <f ca="1">'Annual Raw'!D55-Template!C141</f>
        <v>#NAME?</v>
      </c>
      <c r="D169" s="23" t="e">
        <f ca="1">'Annual Raw'!E55-Template!D141</f>
        <v>#NAME?</v>
      </c>
      <c r="E169" s="23" t="e">
        <f ca="1">'Annual Raw'!F55-Template!E141</f>
        <v>#NAME?</v>
      </c>
      <c r="F169" s="23" t="e">
        <f ca="1">'Annual Raw'!G55-Template!F141</f>
        <v>#NAME?</v>
      </c>
      <c r="G169" s="23" t="e">
        <f ca="1">'Annual Raw'!H55-Template!G141</f>
        <v>#NAME?</v>
      </c>
      <c r="H169" s="23" t="e">
        <f ca="1">'Annual Raw'!I55-Template!H141</f>
        <v>#NAME?</v>
      </c>
      <c r="I169" s="23" t="e">
        <f ca="1">'Annual Raw'!J55-Template!I141</f>
        <v>#NAME?</v>
      </c>
      <c r="J169" s="23" t="e">
        <f ca="1">'Annual Raw'!K55-Template!J141</f>
        <v>#NAME?</v>
      </c>
      <c r="K169" s="23" t="e">
        <f ca="1">'Annual Raw'!L55-Template!K141</f>
        <v>#NAME?</v>
      </c>
      <c r="L169" s="23" t="e">
        <f ca="1">'Annual Raw'!M55-Template!L141</f>
        <v>#NAME?</v>
      </c>
      <c r="M169" s="23" t="e">
        <f ca="1">'Annual Raw'!N55-Template!M141</f>
        <v>#NAME?</v>
      </c>
      <c r="N169" s="23" t="e">
        <f ca="1">'Annual Raw'!O55-Template!N141</f>
        <v>#NAME?</v>
      </c>
      <c r="O169" s="23" t="e">
        <f ca="1">'Annual Raw'!P55-Template!O141</f>
        <v>#NAME?</v>
      </c>
      <c r="P169" s="23" t="e">
        <f ca="1">'Annual Raw'!Q55-Template!P141</f>
        <v>#NAME?</v>
      </c>
      <c r="Q169" s="23" t="e">
        <f ca="1">'Annual Raw'!R55-Template!Q141</f>
        <v>#NAME?</v>
      </c>
      <c r="R169" s="23" t="e">
        <f ca="1">'Annual Raw'!S55-Template!R141</f>
        <v>#NAME?</v>
      </c>
      <c r="S169" s="23" t="e">
        <f ca="1">'Annual Raw'!T55-Template!S141</f>
        <v>#NAME?</v>
      </c>
      <c r="T169" s="23" t="e">
        <f ca="1">'Annual Raw'!U55-Template!T141</f>
        <v>#NAME?</v>
      </c>
      <c r="U169" s="23" t="e">
        <f ca="1">'Annual Raw'!V55-Template!U141</f>
        <v>#NAME?</v>
      </c>
      <c r="V169" s="23" t="e">
        <f ca="1">'Annual Raw'!W55-Template!V141</f>
        <v>#NAME?</v>
      </c>
      <c r="W169" s="23" t="e">
        <f ca="1">'Annual Raw'!X55-Template!W141</f>
        <v>#NAME?</v>
      </c>
      <c r="X169" s="23" t="e">
        <f ca="1">'Annual Raw'!Y55-Template!X141</f>
        <v>#NAME?</v>
      </c>
      <c r="Y169" s="23" t="e">
        <f ca="1">'Annual Raw'!Z55-Template!Y141</f>
        <v>#NAME?</v>
      </c>
      <c r="Z169" s="23" t="e">
        <f ca="1">'Annual Raw'!AA55-Template!Z141</f>
        <v>#NAME?</v>
      </c>
      <c r="AA169" s="23" t="e">
        <f ca="1">'Annual Raw'!AB55-Template!AA141</f>
        <v>#NAME?</v>
      </c>
      <c r="AB169" s="24">
        <f t="shared" si="1227"/>
        <v>0</v>
      </c>
      <c r="AC169" s="24">
        <f t="shared" si="1228"/>
        <v>0</v>
      </c>
      <c r="AD169" s="24">
        <f t="shared" si="1229"/>
        <v>0</v>
      </c>
      <c r="AE169" s="24">
        <f t="shared" si="1230"/>
        <v>0</v>
      </c>
      <c r="AJ169" s="23" t="e">
        <f ca="1">+'QTR Raw'!D91</f>
        <v>#NAME?</v>
      </c>
      <c r="AK169" s="23" t="e">
        <f t="shared" ca="1" si="1231"/>
        <v>#NAME?</v>
      </c>
      <c r="AL169" s="23" t="e">
        <f ca="1">+'QTR Raw'!F91</f>
        <v>#NAME?</v>
      </c>
      <c r="AM169" s="23" t="e">
        <f t="shared" ca="1" si="1231"/>
        <v>#NAME?</v>
      </c>
      <c r="AN169" s="23" t="e">
        <f ca="1">+'QTR Raw'!H91</f>
        <v>#NAME?</v>
      </c>
      <c r="AO169" s="23" t="e">
        <f t="shared" ca="1" si="1231"/>
        <v>#NAME?</v>
      </c>
      <c r="AP169" s="23" t="e">
        <f ca="1">+'QTR Raw'!J91</f>
        <v>#NAME?</v>
      </c>
      <c r="AQ169" s="23" t="e">
        <f t="shared" ca="1" si="1231"/>
        <v>#NAME?</v>
      </c>
      <c r="AR169" s="23" t="e">
        <f ca="1">+'QTR Raw'!L91</f>
        <v>#NAME?</v>
      </c>
      <c r="AS169" s="23" t="e">
        <f t="shared" ca="1" si="1231"/>
        <v>#NAME?</v>
      </c>
      <c r="AT169" s="23" t="e">
        <f ca="1">+'QTR Raw'!N91</f>
        <v>#NAME?</v>
      </c>
      <c r="AU169" s="23" t="e">
        <f t="shared" ca="1" si="1231"/>
        <v>#NAME?</v>
      </c>
      <c r="AV169" s="23" t="e">
        <f ca="1">+'QTR Raw'!P91</f>
        <v>#NAME?</v>
      </c>
      <c r="AW169" s="23" t="e">
        <f t="shared" ca="1" si="1231"/>
        <v>#NAME?</v>
      </c>
      <c r="AX169" s="23" t="e">
        <f ca="1">+'QTR Raw'!R91</f>
        <v>#NAME?</v>
      </c>
      <c r="AY169" s="23" t="e">
        <f t="shared" ca="1" si="1231"/>
        <v>#NAME?</v>
      </c>
      <c r="AZ169" s="23" t="e">
        <f ca="1">+'QTR Raw'!T91</f>
        <v>#NAME?</v>
      </c>
      <c r="BA169" s="23" t="e">
        <f t="shared" ca="1" si="1231"/>
        <v>#NAME?</v>
      </c>
      <c r="BB169" s="23" t="e">
        <f ca="1">+'QTR Raw'!V91</f>
        <v>#NAME?</v>
      </c>
      <c r="BC169" s="23" t="e">
        <f t="shared" ca="1" si="1231"/>
        <v>#NAME?</v>
      </c>
      <c r="BD169" s="23" t="e">
        <f ca="1">+'QTR Raw'!X91</f>
        <v>#NAME?</v>
      </c>
      <c r="BE169" s="23" t="e">
        <f t="shared" ca="1" si="1231"/>
        <v>#NAME?</v>
      </c>
      <c r="BF169" s="23" t="e">
        <f ca="1">+'QTR Raw'!Z91</f>
        <v>#NAME?</v>
      </c>
      <c r="BG169" s="23" t="e">
        <f t="shared" ca="1" si="1231"/>
        <v>#NAME?</v>
      </c>
      <c r="BH169" s="23" t="e">
        <f ca="1">+'QTR Raw'!AB91</f>
        <v>#NAME?</v>
      </c>
      <c r="BI169" s="23" t="e">
        <f t="shared" ca="1" si="1231"/>
        <v>#NAME?</v>
      </c>
      <c r="BJ169" s="23" t="e">
        <f ca="1">+'QTR Raw'!AD91</f>
        <v>#NAME?</v>
      </c>
      <c r="BK169" s="23" t="e">
        <f t="shared" ca="1" si="1231"/>
        <v>#NAME?</v>
      </c>
      <c r="BL169" s="23" t="e">
        <f ca="1">+'QTR Raw'!AF91</f>
        <v>#NAME?</v>
      </c>
      <c r="BM169" s="23" t="e">
        <f t="shared" ca="1" si="1231"/>
        <v>#NAME?</v>
      </c>
      <c r="BN169" s="23" t="e">
        <f ca="1">+'QTR Raw'!AH91</f>
        <v>#NAME?</v>
      </c>
      <c r="BO169" s="23" t="e">
        <f t="shared" ca="1" si="1231"/>
        <v>#NAME?</v>
      </c>
      <c r="BP169" s="23" t="e">
        <f ca="1">+'QTR Raw'!AJ91</f>
        <v>#NAME?</v>
      </c>
      <c r="BQ169" s="23" t="e">
        <f t="shared" ca="1" si="1231"/>
        <v>#NAME?</v>
      </c>
      <c r="BR169" s="23" t="e">
        <f ca="1">+'QTR Raw'!AL91</f>
        <v>#NAME?</v>
      </c>
      <c r="BS169" s="23" t="e">
        <f t="shared" ca="1" si="1231"/>
        <v>#NAME?</v>
      </c>
      <c r="BT169" s="23" t="e">
        <f ca="1">+'QTR Raw'!AN91</f>
        <v>#NAME?</v>
      </c>
      <c r="BU169" s="23" t="e">
        <f t="shared" ca="1" si="1231"/>
        <v>#NAME?</v>
      </c>
      <c r="BV169" s="23" t="e">
        <f ca="1">+'QTR Raw'!AP91</f>
        <v>#NAME?</v>
      </c>
      <c r="BW169" s="23" t="e">
        <f t="shared" ca="1" si="1231"/>
        <v>#NAME?</v>
      </c>
      <c r="BX169" s="23" t="e">
        <f ca="1">+'QTR Raw'!AR91</f>
        <v>#NAME?</v>
      </c>
      <c r="BY169" s="23" t="e">
        <f t="shared" ca="1" si="1231"/>
        <v>#NAME?</v>
      </c>
      <c r="BZ169" s="23" t="e">
        <f ca="1">+'QTR Raw'!AT91</f>
        <v>#NAME?</v>
      </c>
      <c r="CA169" s="23" t="e">
        <f t="shared" ca="1" si="1231"/>
        <v>#NAME?</v>
      </c>
      <c r="CB169" s="23" t="e">
        <f ca="1">+'QTR Raw'!AV91</f>
        <v>#NAME?</v>
      </c>
      <c r="CC169" s="23" t="e">
        <f t="shared" ca="1" si="1231"/>
        <v>#NAME?</v>
      </c>
      <c r="CD169" s="23" t="e">
        <f ca="1">+'QTR Raw'!AX91</f>
        <v>#NAME?</v>
      </c>
      <c r="CE169" s="23" t="e">
        <f t="shared" ca="1" si="1231"/>
        <v>#NAME?</v>
      </c>
      <c r="CF169" s="23" t="e">
        <f ca="1">+'QTR Raw'!AZ91</f>
        <v>#NAME?</v>
      </c>
      <c r="CG169" s="23" t="e">
        <f t="shared" ref="CG169:CG170" ca="1" si="1235">+CF169</f>
        <v>#NAME?</v>
      </c>
      <c r="CH169" s="23" t="e">
        <f t="shared" ca="1" si="1185"/>
        <v>#NAME?</v>
      </c>
      <c r="CJ169" s="23" t="e">
        <f ca="1">+'QTR Raw'!BD91</f>
        <v>#NAME?</v>
      </c>
      <c r="CK169" s="24"/>
      <c r="CL169" s="23" t="e">
        <f ca="1">+'QTR Raw'!BF91</f>
        <v>#NAME?</v>
      </c>
      <c r="CM169" s="24"/>
      <c r="CN169" s="24"/>
      <c r="CO169" s="24"/>
      <c r="CP169" s="24"/>
      <c r="CQ169" s="24"/>
      <c r="CR169" s="24"/>
      <c r="CS169" s="24"/>
      <c r="CT169" s="24"/>
      <c r="CU169" s="24"/>
      <c r="CV169" s="24"/>
      <c r="CW169" s="24"/>
      <c r="CX169" s="24"/>
      <c r="CY169" s="24"/>
      <c r="CZ169" s="24"/>
      <c r="DA169" s="24"/>
      <c r="DB169" s="24"/>
      <c r="DE169" s="123"/>
      <c r="DF169" s="23">
        <v>34.591999999999999</v>
      </c>
    </row>
    <row r="170" spans="1:110" s="23" customFormat="1" outlineLevel="1" x14ac:dyDescent="0.2">
      <c r="A170" s="23" t="s">
        <v>72</v>
      </c>
      <c r="B170" s="23" t="e">
        <f ca="1">'Annual Raw'!C57</f>
        <v>#NAME?</v>
      </c>
      <c r="C170" s="23" t="e">
        <f ca="1">'Annual Raw'!D57</f>
        <v>#NAME?</v>
      </c>
      <c r="D170" s="23" t="e">
        <f ca="1">'Annual Raw'!E57</f>
        <v>#NAME?</v>
      </c>
      <c r="E170" s="23" t="e">
        <f ca="1">'Annual Raw'!F57</f>
        <v>#NAME?</v>
      </c>
      <c r="F170" s="23" t="e">
        <f ca="1">'Annual Raw'!G57</f>
        <v>#NAME?</v>
      </c>
      <c r="G170" s="23" t="e">
        <f ca="1">'Annual Raw'!H57</f>
        <v>#NAME?</v>
      </c>
      <c r="H170" s="23" t="e">
        <f ca="1">'Annual Raw'!I57</f>
        <v>#NAME?</v>
      </c>
      <c r="I170" s="23" t="e">
        <f ca="1">'Annual Raw'!J57</f>
        <v>#NAME?</v>
      </c>
      <c r="J170" s="23" t="e">
        <f ca="1">'Annual Raw'!K57</f>
        <v>#NAME?</v>
      </c>
      <c r="K170" s="23" t="e">
        <f ca="1">'Annual Raw'!L57</f>
        <v>#NAME?</v>
      </c>
      <c r="L170" s="23" t="e">
        <f ca="1">'Annual Raw'!M57</f>
        <v>#NAME?</v>
      </c>
      <c r="M170" s="23" t="e">
        <f ca="1">'Annual Raw'!N57</f>
        <v>#NAME?</v>
      </c>
      <c r="N170" s="23" t="e">
        <f ca="1">'Annual Raw'!O57</f>
        <v>#NAME?</v>
      </c>
      <c r="O170" s="23" t="e">
        <f ca="1">'Annual Raw'!P57</f>
        <v>#NAME?</v>
      </c>
      <c r="P170" s="23" t="e">
        <f ca="1">'Annual Raw'!Q57</f>
        <v>#NAME?</v>
      </c>
      <c r="Q170" s="23" t="e">
        <f ca="1">'Annual Raw'!R57</f>
        <v>#NAME?</v>
      </c>
      <c r="R170" s="23" t="e">
        <f ca="1">'Annual Raw'!S57</f>
        <v>#NAME?</v>
      </c>
      <c r="S170" s="23" t="e">
        <f ca="1">'Annual Raw'!T57</f>
        <v>#NAME?</v>
      </c>
      <c r="T170" s="23" t="e">
        <f ca="1">'Annual Raw'!U57</f>
        <v>#NAME?</v>
      </c>
      <c r="U170" s="23" t="e">
        <f ca="1">'Annual Raw'!V57</f>
        <v>#NAME?</v>
      </c>
      <c r="V170" s="23" t="e">
        <f ca="1">'Annual Raw'!W57</f>
        <v>#NAME?</v>
      </c>
      <c r="W170" s="23" t="e">
        <f ca="1">'Annual Raw'!X57</f>
        <v>#NAME?</v>
      </c>
      <c r="X170" s="23" t="e">
        <f ca="1">'Annual Raw'!Y57</f>
        <v>#NAME?</v>
      </c>
      <c r="Y170" s="23" t="e">
        <f ca="1">'Annual Raw'!Z57</f>
        <v>#NAME?</v>
      </c>
      <c r="Z170" s="23" t="e">
        <f ca="1">'Annual Raw'!AA57</f>
        <v>#NAME?</v>
      </c>
      <c r="AA170" s="23" t="e">
        <f ca="1">'Annual Raw'!AB57</f>
        <v>#NAME?</v>
      </c>
      <c r="AB170" s="24">
        <f t="shared" si="1227"/>
        <v>0</v>
      </c>
      <c r="AC170" s="24">
        <f t="shared" si="1228"/>
        <v>0</v>
      </c>
      <c r="AD170" s="24">
        <f t="shared" si="1229"/>
        <v>0</v>
      </c>
      <c r="AE170" s="24">
        <f t="shared" si="1230"/>
        <v>0</v>
      </c>
      <c r="AJ170" s="23" t="e">
        <f ca="1">+'QTR Raw'!D92</f>
        <v>#NAME?</v>
      </c>
      <c r="AK170" s="23" t="e">
        <f t="shared" ca="1" si="1231"/>
        <v>#NAME?</v>
      </c>
      <c r="AL170" s="23" t="e">
        <f ca="1">+'QTR Raw'!F92</f>
        <v>#NAME?</v>
      </c>
      <c r="AM170" s="23" t="e">
        <f t="shared" ca="1" si="1231"/>
        <v>#NAME?</v>
      </c>
      <c r="AN170" s="23" t="e">
        <f ca="1">+'QTR Raw'!H92</f>
        <v>#NAME?</v>
      </c>
      <c r="AO170" s="23" t="e">
        <f t="shared" ca="1" si="1231"/>
        <v>#NAME?</v>
      </c>
      <c r="AP170" s="23" t="e">
        <f ca="1">+'QTR Raw'!J92</f>
        <v>#NAME?</v>
      </c>
      <c r="AQ170" s="23" t="e">
        <f t="shared" ca="1" si="1231"/>
        <v>#NAME?</v>
      </c>
      <c r="AR170" s="23" t="e">
        <f ca="1">+'QTR Raw'!L92</f>
        <v>#NAME?</v>
      </c>
      <c r="AS170" s="23" t="e">
        <f t="shared" ca="1" si="1231"/>
        <v>#NAME?</v>
      </c>
      <c r="AT170" s="23" t="e">
        <f ca="1">+'QTR Raw'!N92</f>
        <v>#NAME?</v>
      </c>
      <c r="AU170" s="23" t="e">
        <f t="shared" ca="1" si="1231"/>
        <v>#NAME?</v>
      </c>
      <c r="AV170" s="23" t="e">
        <f ca="1">+'QTR Raw'!P92</f>
        <v>#NAME?</v>
      </c>
      <c r="AW170" s="23" t="e">
        <f t="shared" ca="1" si="1231"/>
        <v>#NAME?</v>
      </c>
      <c r="AX170" s="23" t="e">
        <f ca="1">+'QTR Raw'!R92</f>
        <v>#NAME?</v>
      </c>
      <c r="AY170" s="23" t="e">
        <f t="shared" ca="1" si="1231"/>
        <v>#NAME?</v>
      </c>
      <c r="AZ170" s="23" t="e">
        <f ca="1">+'QTR Raw'!T92</f>
        <v>#NAME?</v>
      </c>
      <c r="BA170" s="23" t="e">
        <f t="shared" ca="1" si="1231"/>
        <v>#NAME?</v>
      </c>
      <c r="BB170" s="23" t="e">
        <f ca="1">+'QTR Raw'!V92</f>
        <v>#NAME?</v>
      </c>
      <c r="BC170" s="23" t="e">
        <f t="shared" ca="1" si="1231"/>
        <v>#NAME?</v>
      </c>
      <c r="BD170" s="23" t="e">
        <f ca="1">+'QTR Raw'!X92</f>
        <v>#NAME?</v>
      </c>
      <c r="BE170" s="23" t="e">
        <f t="shared" ca="1" si="1231"/>
        <v>#NAME?</v>
      </c>
      <c r="BF170" s="23" t="e">
        <f ca="1">+'QTR Raw'!Z92</f>
        <v>#NAME?</v>
      </c>
      <c r="BG170" s="23" t="e">
        <f t="shared" ca="1" si="1231"/>
        <v>#NAME?</v>
      </c>
      <c r="BH170" s="23" t="e">
        <f ca="1">+'QTR Raw'!AB92</f>
        <v>#NAME?</v>
      </c>
      <c r="BI170" s="23" t="e">
        <f t="shared" ca="1" si="1231"/>
        <v>#NAME?</v>
      </c>
      <c r="BJ170" s="23" t="e">
        <f ca="1">+'QTR Raw'!AD92</f>
        <v>#NAME?</v>
      </c>
      <c r="BK170" s="23" t="e">
        <f t="shared" ca="1" si="1231"/>
        <v>#NAME?</v>
      </c>
      <c r="BL170" s="23" t="e">
        <f ca="1">+'QTR Raw'!AF92</f>
        <v>#NAME?</v>
      </c>
      <c r="BM170" s="23" t="e">
        <f t="shared" ca="1" si="1231"/>
        <v>#NAME?</v>
      </c>
      <c r="BN170" s="23" t="e">
        <f ca="1">+'QTR Raw'!AH92</f>
        <v>#NAME?</v>
      </c>
      <c r="BO170" s="23" t="e">
        <f t="shared" ca="1" si="1231"/>
        <v>#NAME?</v>
      </c>
      <c r="BP170" s="23" t="e">
        <f ca="1">+'QTR Raw'!AJ92</f>
        <v>#NAME?</v>
      </c>
      <c r="BQ170" s="23" t="e">
        <f t="shared" ca="1" si="1231"/>
        <v>#NAME?</v>
      </c>
      <c r="BR170" s="23" t="e">
        <f ca="1">+'QTR Raw'!AL92</f>
        <v>#NAME?</v>
      </c>
      <c r="BS170" s="23" t="e">
        <f t="shared" ca="1" si="1231"/>
        <v>#NAME?</v>
      </c>
      <c r="BT170" s="23" t="e">
        <f ca="1">+'QTR Raw'!AN92</f>
        <v>#NAME?</v>
      </c>
      <c r="BU170" s="23" t="e">
        <f t="shared" ca="1" si="1231"/>
        <v>#NAME?</v>
      </c>
      <c r="BV170" s="23" t="e">
        <f ca="1">+'QTR Raw'!AP92</f>
        <v>#NAME?</v>
      </c>
      <c r="BW170" s="23" t="e">
        <f t="shared" ca="1" si="1231"/>
        <v>#NAME?</v>
      </c>
      <c r="BX170" s="23" t="e">
        <f ca="1">+'QTR Raw'!AR92</f>
        <v>#NAME?</v>
      </c>
      <c r="BY170" s="23" t="e">
        <f t="shared" ca="1" si="1231"/>
        <v>#NAME?</v>
      </c>
      <c r="BZ170" s="23" t="e">
        <f ca="1">+'QTR Raw'!AT92</f>
        <v>#NAME?</v>
      </c>
      <c r="CA170" s="23" t="e">
        <f t="shared" ca="1" si="1231"/>
        <v>#NAME?</v>
      </c>
      <c r="CB170" s="23" t="e">
        <f ca="1">+'QTR Raw'!AV92</f>
        <v>#NAME?</v>
      </c>
      <c r="CC170" s="23" t="e">
        <f t="shared" ca="1" si="1231"/>
        <v>#NAME?</v>
      </c>
      <c r="CD170" s="23" t="e">
        <f ca="1">+'QTR Raw'!AX92</f>
        <v>#NAME?</v>
      </c>
      <c r="CE170" s="23" t="e">
        <f t="shared" ca="1" si="1231"/>
        <v>#NAME?</v>
      </c>
      <c r="CF170" s="23" t="e">
        <f ca="1">+'QTR Raw'!AZ92</f>
        <v>#NAME?</v>
      </c>
      <c r="CG170" s="23" t="e">
        <f t="shared" ca="1" si="1235"/>
        <v>#NAME?</v>
      </c>
      <c r="CH170" s="23" t="e">
        <f t="shared" ca="1" si="1185"/>
        <v>#NAME?</v>
      </c>
      <c r="CJ170" s="23" t="e">
        <f ca="1">+'QTR Raw'!BD92</f>
        <v>#NAME?</v>
      </c>
      <c r="CK170" s="24"/>
      <c r="CL170" s="23" t="e">
        <f ca="1">+'QTR Raw'!BF92</f>
        <v>#NAME?</v>
      </c>
      <c r="CM170" s="24"/>
      <c r="CN170" s="24"/>
      <c r="CO170" s="24"/>
      <c r="CP170" s="24"/>
      <c r="CQ170" s="24"/>
      <c r="CR170" s="24"/>
      <c r="CS170" s="24"/>
      <c r="CT170" s="24"/>
      <c r="CU170" s="24"/>
      <c r="CV170" s="24"/>
      <c r="CW170" s="24"/>
      <c r="CX170" s="24"/>
      <c r="CY170" s="24"/>
      <c r="CZ170" s="24"/>
      <c r="DA170" s="24"/>
      <c r="DB170" s="24"/>
      <c r="DE170" s="123"/>
      <c r="DF170" s="23">
        <v>0</v>
      </c>
    </row>
    <row r="171" spans="1:110" s="22" customFormat="1" x14ac:dyDescent="0.2">
      <c r="A171" s="22" t="s">
        <v>73</v>
      </c>
      <c r="B171" s="22" t="e">
        <f ca="1">SUM(B164:B170)</f>
        <v>#NAME?</v>
      </c>
      <c r="C171" s="22" t="e">
        <f t="shared" ref="C171:V171" ca="1" si="1236">SUM(C164:C170)</f>
        <v>#NAME?</v>
      </c>
      <c r="D171" s="22" t="e">
        <f t="shared" ca="1" si="1236"/>
        <v>#NAME?</v>
      </c>
      <c r="E171" s="22" t="e">
        <f t="shared" ca="1" si="1236"/>
        <v>#NAME?</v>
      </c>
      <c r="F171" s="22" t="e">
        <f t="shared" ca="1" si="1236"/>
        <v>#NAME?</v>
      </c>
      <c r="G171" s="22" t="e">
        <f t="shared" ca="1" si="1236"/>
        <v>#NAME?</v>
      </c>
      <c r="H171" s="22" t="e">
        <f t="shared" ca="1" si="1236"/>
        <v>#NAME?</v>
      </c>
      <c r="I171" s="22" t="e">
        <f t="shared" ca="1" si="1236"/>
        <v>#NAME?</v>
      </c>
      <c r="J171" s="22" t="e">
        <f t="shared" ca="1" si="1236"/>
        <v>#NAME?</v>
      </c>
      <c r="K171" s="22" t="e">
        <f t="shared" ca="1" si="1236"/>
        <v>#NAME?</v>
      </c>
      <c r="L171" s="22" t="e">
        <f t="shared" ca="1" si="1236"/>
        <v>#NAME?</v>
      </c>
      <c r="M171" s="22" t="e">
        <f t="shared" ca="1" si="1236"/>
        <v>#NAME?</v>
      </c>
      <c r="N171" s="22" t="e">
        <f t="shared" ca="1" si="1236"/>
        <v>#NAME?</v>
      </c>
      <c r="O171" s="22" t="e">
        <f t="shared" ca="1" si="1236"/>
        <v>#NAME?</v>
      </c>
      <c r="P171" s="22" t="e">
        <f t="shared" ca="1" si="1236"/>
        <v>#NAME?</v>
      </c>
      <c r="Q171" s="22" t="e">
        <f t="shared" ca="1" si="1236"/>
        <v>#NAME?</v>
      </c>
      <c r="R171" s="22" t="e">
        <f t="shared" ca="1" si="1236"/>
        <v>#NAME?</v>
      </c>
      <c r="S171" s="22" t="e">
        <f t="shared" ca="1" si="1236"/>
        <v>#NAME?</v>
      </c>
      <c r="T171" s="22" t="e">
        <f t="shared" ca="1" si="1236"/>
        <v>#NAME?</v>
      </c>
      <c r="U171" s="22" t="e">
        <f t="shared" ca="1" si="1236"/>
        <v>#NAME?</v>
      </c>
      <c r="V171" s="22" t="e">
        <f t="shared" ca="1" si="1236"/>
        <v>#NAME?</v>
      </c>
      <c r="W171" s="22" t="e">
        <f t="shared" ref="W171" ca="1" si="1237">SUM(W164:W170)</f>
        <v>#NAME?</v>
      </c>
      <c r="X171" s="22" t="e">
        <f t="shared" ref="X171:Y171" ca="1" si="1238">SUM(X164:X170)</f>
        <v>#NAME?</v>
      </c>
      <c r="Y171" s="22" t="e">
        <f t="shared" ca="1" si="1238"/>
        <v>#NAME?</v>
      </c>
      <c r="Z171" s="22" t="e">
        <f t="shared" ref="Z171:AA171" ca="1" si="1239">SUM(Z164:Z170)</f>
        <v>#NAME?</v>
      </c>
      <c r="AA171" s="22" t="e">
        <f t="shared" ca="1" si="1239"/>
        <v>#NAME?</v>
      </c>
      <c r="AB171" s="21" t="e">
        <f t="shared" ref="AA171:AD171" ca="1" si="1240">SUM(AB164:AB170)</f>
        <v>#NAME?</v>
      </c>
      <c r="AC171" s="21" t="e">
        <f t="shared" ca="1" si="1240"/>
        <v>#NAME?</v>
      </c>
      <c r="AD171" s="21" t="e">
        <f t="shared" ca="1" si="1240"/>
        <v>#NAME?</v>
      </c>
      <c r="AE171" s="21" t="e">
        <f t="shared" ref="AE171" ca="1" si="1241">SUM(AE164:AE170)</f>
        <v>#NAME?</v>
      </c>
      <c r="AJ171" s="22" t="e">
        <f t="shared" ref="AJ171" ca="1" si="1242">SUM(AJ164:AJ170)</f>
        <v>#NAME?</v>
      </c>
      <c r="AK171" s="22" t="e">
        <f t="shared" ref="AK171" ca="1" si="1243">SUM(AK164:AK170)</f>
        <v>#NAME?</v>
      </c>
      <c r="AL171" s="22" t="e">
        <f t="shared" ref="AL171:AM171" ca="1" si="1244">SUM(AL164:AL170)</f>
        <v>#NAME?</v>
      </c>
      <c r="AM171" s="22" t="e">
        <f t="shared" ca="1" si="1244"/>
        <v>#NAME?</v>
      </c>
      <c r="AN171" s="22" t="e">
        <f t="shared" ref="AN171:AO171" ca="1" si="1245">SUM(AN164:AN170)</f>
        <v>#NAME?</v>
      </c>
      <c r="AO171" s="22" t="e">
        <f t="shared" ca="1" si="1245"/>
        <v>#NAME?</v>
      </c>
      <c r="AP171" s="22" t="e">
        <f t="shared" ref="AP171:CE171" ca="1" si="1246">SUM(AP164:AP170)</f>
        <v>#NAME?</v>
      </c>
      <c r="AQ171" s="22" t="e">
        <f t="shared" ca="1" si="1246"/>
        <v>#NAME?</v>
      </c>
      <c r="AR171" s="22" t="e">
        <f t="shared" ca="1" si="1246"/>
        <v>#NAME?</v>
      </c>
      <c r="AS171" s="22" t="e">
        <f t="shared" ca="1" si="1246"/>
        <v>#NAME?</v>
      </c>
      <c r="AT171" s="22" t="e">
        <f t="shared" ca="1" si="1246"/>
        <v>#NAME?</v>
      </c>
      <c r="AU171" s="22" t="e">
        <f t="shared" ca="1" si="1246"/>
        <v>#NAME?</v>
      </c>
      <c r="AV171" s="22" t="e">
        <f t="shared" ca="1" si="1246"/>
        <v>#NAME?</v>
      </c>
      <c r="AW171" s="22" t="e">
        <f t="shared" ca="1" si="1246"/>
        <v>#NAME?</v>
      </c>
      <c r="AX171" s="22" t="e">
        <f t="shared" ca="1" si="1246"/>
        <v>#NAME?</v>
      </c>
      <c r="AY171" s="22" t="e">
        <f t="shared" ca="1" si="1246"/>
        <v>#NAME?</v>
      </c>
      <c r="AZ171" s="22" t="e">
        <f t="shared" ca="1" si="1246"/>
        <v>#NAME?</v>
      </c>
      <c r="BA171" s="22" t="e">
        <f t="shared" ca="1" si="1246"/>
        <v>#NAME?</v>
      </c>
      <c r="BB171" s="22" t="e">
        <f t="shared" ca="1" si="1246"/>
        <v>#NAME?</v>
      </c>
      <c r="BC171" s="22" t="e">
        <f t="shared" ca="1" si="1246"/>
        <v>#NAME?</v>
      </c>
      <c r="BD171" s="22" t="e">
        <f t="shared" ca="1" si="1246"/>
        <v>#NAME?</v>
      </c>
      <c r="BE171" s="22" t="e">
        <f t="shared" ca="1" si="1246"/>
        <v>#NAME?</v>
      </c>
      <c r="BF171" s="22" t="e">
        <f t="shared" ca="1" si="1246"/>
        <v>#NAME?</v>
      </c>
      <c r="BG171" s="22" t="e">
        <f t="shared" ca="1" si="1246"/>
        <v>#NAME?</v>
      </c>
      <c r="BH171" s="22" t="e">
        <f t="shared" ref="BH171" ca="1" si="1247">SUM(BH164:BH170)</f>
        <v>#NAME?</v>
      </c>
      <c r="BI171" s="22" t="e">
        <f t="shared" ca="1" si="1246"/>
        <v>#NAME?</v>
      </c>
      <c r="BJ171" s="22" t="e">
        <f t="shared" ca="1" si="1246"/>
        <v>#NAME?</v>
      </c>
      <c r="BK171" s="22" t="e">
        <f t="shared" ca="1" si="1246"/>
        <v>#NAME?</v>
      </c>
      <c r="BL171" s="22" t="e">
        <f t="shared" ca="1" si="1246"/>
        <v>#NAME?</v>
      </c>
      <c r="BM171" s="22" t="e">
        <f t="shared" ca="1" si="1246"/>
        <v>#NAME?</v>
      </c>
      <c r="BN171" s="22" t="e">
        <f t="shared" ca="1" si="1246"/>
        <v>#NAME?</v>
      </c>
      <c r="BO171" s="22" t="e">
        <f t="shared" ca="1" si="1246"/>
        <v>#NAME?</v>
      </c>
      <c r="BP171" s="22" t="e">
        <f t="shared" ca="1" si="1246"/>
        <v>#NAME?</v>
      </c>
      <c r="BQ171" s="22" t="e">
        <f t="shared" ca="1" si="1246"/>
        <v>#NAME?</v>
      </c>
      <c r="BR171" s="22" t="e">
        <f t="shared" ca="1" si="1246"/>
        <v>#NAME?</v>
      </c>
      <c r="BS171" s="22" t="e">
        <f t="shared" ca="1" si="1246"/>
        <v>#NAME?</v>
      </c>
      <c r="BT171" s="22" t="e">
        <f t="shared" ca="1" si="1246"/>
        <v>#NAME?</v>
      </c>
      <c r="BU171" s="22" t="e">
        <f t="shared" ca="1" si="1246"/>
        <v>#NAME?</v>
      </c>
      <c r="BV171" s="22" t="e">
        <f t="shared" ca="1" si="1246"/>
        <v>#NAME?</v>
      </c>
      <c r="BW171" s="22" t="e">
        <f t="shared" ca="1" si="1246"/>
        <v>#NAME?</v>
      </c>
      <c r="BX171" s="22" t="e">
        <f t="shared" ca="1" si="1246"/>
        <v>#NAME?</v>
      </c>
      <c r="BY171" s="22" t="e">
        <f t="shared" ca="1" si="1246"/>
        <v>#NAME?</v>
      </c>
      <c r="BZ171" s="22" t="e">
        <f t="shared" ca="1" si="1246"/>
        <v>#NAME?</v>
      </c>
      <c r="CA171" s="22" t="e">
        <f t="shared" ca="1" si="1246"/>
        <v>#NAME?</v>
      </c>
      <c r="CB171" s="22" t="e">
        <f t="shared" ca="1" si="1246"/>
        <v>#NAME?</v>
      </c>
      <c r="CC171" s="22" t="e">
        <f t="shared" ca="1" si="1246"/>
        <v>#NAME?</v>
      </c>
      <c r="CD171" s="22" t="e">
        <f t="shared" ca="1" si="1246"/>
        <v>#NAME?</v>
      </c>
      <c r="CE171" s="22" t="e">
        <f t="shared" ca="1" si="1246"/>
        <v>#NAME?</v>
      </c>
      <c r="CF171" s="22" t="e">
        <f t="shared" ref="CF171:CG171" ca="1" si="1248">SUM(CF164:CF170)</f>
        <v>#NAME?</v>
      </c>
      <c r="CG171" s="22" t="e">
        <f t="shared" ca="1" si="1248"/>
        <v>#NAME?</v>
      </c>
      <c r="CH171" s="22" t="e">
        <f t="shared" ref="CH171:CI171" ca="1" si="1249">SUM(CH164:CH170)</f>
        <v>#NAME?</v>
      </c>
      <c r="CI171" s="22" t="e">
        <f t="shared" ca="1" si="1249"/>
        <v>#NAME?</v>
      </c>
      <c r="CJ171" s="22" t="e">
        <f t="shared" ref="CJ171:DB171" ca="1" si="1250">SUM(CJ164:CJ170)</f>
        <v>#NAME?</v>
      </c>
      <c r="CK171" s="21" t="e">
        <f t="shared" ca="1" si="1250"/>
        <v>#NAME?</v>
      </c>
      <c r="CL171" s="22" t="e">
        <f t="shared" ref="CL171" ca="1" si="1251">SUM(CL164:CL170)</f>
        <v>#NAME?</v>
      </c>
      <c r="CM171" s="21" t="e">
        <f t="shared" ca="1" si="1250"/>
        <v>#NAME?</v>
      </c>
      <c r="CN171" s="21" t="e">
        <f t="shared" ca="1" si="1250"/>
        <v>#NAME?</v>
      </c>
      <c r="CO171" s="21" t="e">
        <f t="shared" ca="1" si="1250"/>
        <v>#NAME?</v>
      </c>
      <c r="CP171" s="21" t="e">
        <f t="shared" ca="1" si="1250"/>
        <v>#NAME?</v>
      </c>
      <c r="CQ171" s="21" t="e">
        <f t="shared" ca="1" si="1250"/>
        <v>#NAME?</v>
      </c>
      <c r="CR171" s="21" t="e">
        <f t="shared" ca="1" si="1250"/>
        <v>#NAME?</v>
      </c>
      <c r="CS171" s="21" t="e">
        <f t="shared" ca="1" si="1250"/>
        <v>#NAME?</v>
      </c>
      <c r="CT171" s="21" t="e">
        <f t="shared" ca="1" si="1250"/>
        <v>#NAME?</v>
      </c>
      <c r="CU171" s="21" t="e">
        <f t="shared" ca="1" si="1250"/>
        <v>#NAME?</v>
      </c>
      <c r="CV171" s="21" t="e">
        <f t="shared" ca="1" si="1250"/>
        <v>#NAME?</v>
      </c>
      <c r="CW171" s="21" t="e">
        <f t="shared" ca="1" si="1250"/>
        <v>#NAME?</v>
      </c>
      <c r="CX171" s="21" t="e">
        <f t="shared" ca="1" si="1250"/>
        <v>#NAME?</v>
      </c>
      <c r="CY171" s="21" t="e">
        <f t="shared" ca="1" si="1250"/>
        <v>#NAME?</v>
      </c>
      <c r="CZ171" s="21" t="e">
        <f t="shared" ca="1" si="1250"/>
        <v>#NAME?</v>
      </c>
      <c r="DA171" s="21" t="e">
        <f t="shared" ca="1" si="1250"/>
        <v>#NAME?</v>
      </c>
      <c r="DB171" s="21" t="e">
        <f t="shared" ca="1" si="1250"/>
        <v>#NAME?</v>
      </c>
      <c r="DE171" s="126"/>
      <c r="DF171" s="22">
        <v>37.179000000000002</v>
      </c>
    </row>
    <row r="172" spans="1:110" s="22" customFormat="1" x14ac:dyDescent="0.2">
      <c r="A172" s="22" t="s">
        <v>74</v>
      </c>
      <c r="B172" s="22" t="e">
        <f ca="1">B163-B171</f>
        <v>#NAME?</v>
      </c>
      <c r="C172" s="22" t="e">
        <f t="shared" ref="C172:V172" ca="1" si="1252">C163-C171</f>
        <v>#NAME?</v>
      </c>
      <c r="D172" s="22" t="e">
        <f t="shared" ca="1" si="1252"/>
        <v>#NAME?</v>
      </c>
      <c r="E172" s="22" t="e">
        <f t="shared" ca="1" si="1252"/>
        <v>#NAME?</v>
      </c>
      <c r="F172" s="22" t="e">
        <f t="shared" ca="1" si="1252"/>
        <v>#NAME?</v>
      </c>
      <c r="G172" s="22" t="e">
        <f t="shared" ca="1" si="1252"/>
        <v>#NAME?</v>
      </c>
      <c r="H172" s="22" t="e">
        <f t="shared" ca="1" si="1252"/>
        <v>#NAME?</v>
      </c>
      <c r="I172" s="22" t="e">
        <f t="shared" ca="1" si="1252"/>
        <v>#NAME?</v>
      </c>
      <c r="J172" s="22" t="e">
        <f t="shared" ca="1" si="1252"/>
        <v>#NAME?</v>
      </c>
      <c r="K172" s="22" t="e">
        <f t="shared" ca="1" si="1252"/>
        <v>#NAME?</v>
      </c>
      <c r="L172" s="22" t="e">
        <f t="shared" ca="1" si="1252"/>
        <v>#NAME?</v>
      </c>
      <c r="M172" s="22" t="e">
        <f t="shared" ca="1" si="1252"/>
        <v>#NAME?</v>
      </c>
      <c r="N172" s="22" t="e">
        <f t="shared" ca="1" si="1252"/>
        <v>#NAME?</v>
      </c>
      <c r="O172" s="22" t="e">
        <f t="shared" ca="1" si="1252"/>
        <v>#NAME?</v>
      </c>
      <c r="P172" s="22" t="e">
        <f t="shared" ca="1" si="1252"/>
        <v>#NAME?</v>
      </c>
      <c r="Q172" s="22" t="e">
        <f t="shared" ca="1" si="1252"/>
        <v>#NAME?</v>
      </c>
      <c r="R172" s="22" t="e">
        <f t="shared" ca="1" si="1252"/>
        <v>#NAME?</v>
      </c>
      <c r="S172" s="22" t="e">
        <f t="shared" ca="1" si="1252"/>
        <v>#NAME?</v>
      </c>
      <c r="T172" s="22" t="e">
        <f t="shared" ca="1" si="1252"/>
        <v>#NAME?</v>
      </c>
      <c r="U172" s="22" t="e">
        <f t="shared" ca="1" si="1252"/>
        <v>#NAME?</v>
      </c>
      <c r="V172" s="22" t="e">
        <f t="shared" ca="1" si="1252"/>
        <v>#NAME?</v>
      </c>
      <c r="W172" s="22" t="e">
        <f t="shared" ref="W172" ca="1" si="1253">W163-W171</f>
        <v>#NAME?</v>
      </c>
      <c r="X172" s="22" t="e">
        <f t="shared" ref="X172:Y172" ca="1" si="1254">X163-X171</f>
        <v>#NAME?</v>
      </c>
      <c r="Y172" s="22" t="e">
        <f t="shared" ca="1" si="1254"/>
        <v>#NAME?</v>
      </c>
      <c r="Z172" s="22" t="e">
        <f t="shared" ref="Z172:AA172" ca="1" si="1255">Z163-Z171</f>
        <v>#NAME?</v>
      </c>
      <c r="AA172" s="22" t="e">
        <f t="shared" ca="1" si="1255"/>
        <v>#NAME?</v>
      </c>
      <c r="AB172" s="21" t="e">
        <f t="shared" ref="AA172:AD172" ca="1" si="1256">AB163-AB171</f>
        <v>#NAME?</v>
      </c>
      <c r="AC172" s="21" t="e">
        <f t="shared" ca="1" si="1256"/>
        <v>#NAME?</v>
      </c>
      <c r="AD172" s="21" t="e">
        <f t="shared" ca="1" si="1256"/>
        <v>#NAME?</v>
      </c>
      <c r="AE172" s="21" t="e">
        <f t="shared" ref="AE172" ca="1" si="1257">AE163-AE171</f>
        <v>#NAME?</v>
      </c>
      <c r="AJ172" s="22" t="e">
        <f t="shared" ref="AJ172" ca="1" si="1258">AJ163-AJ171</f>
        <v>#NAME?</v>
      </c>
      <c r="AK172" s="22" t="e">
        <f t="shared" ref="AK172" ca="1" si="1259">AK163-AK171</f>
        <v>#NAME?</v>
      </c>
      <c r="AL172" s="22" t="e">
        <f t="shared" ref="AL172:AM172" ca="1" si="1260">AL163-AL171</f>
        <v>#NAME?</v>
      </c>
      <c r="AM172" s="22" t="e">
        <f t="shared" ca="1" si="1260"/>
        <v>#NAME?</v>
      </c>
      <c r="AN172" s="22" t="e">
        <f t="shared" ref="AN172:AO172" ca="1" si="1261">AN163-AN171</f>
        <v>#NAME?</v>
      </c>
      <c r="AO172" s="22" t="e">
        <f t="shared" ca="1" si="1261"/>
        <v>#NAME?</v>
      </c>
      <c r="AP172" s="22" t="e">
        <f t="shared" ref="AP172:CE172" ca="1" si="1262">AP163-AP171</f>
        <v>#NAME?</v>
      </c>
      <c r="AQ172" s="22" t="e">
        <f t="shared" ca="1" si="1262"/>
        <v>#NAME?</v>
      </c>
      <c r="AR172" s="22" t="e">
        <f t="shared" ca="1" si="1262"/>
        <v>#NAME?</v>
      </c>
      <c r="AS172" s="22" t="e">
        <f t="shared" ca="1" si="1262"/>
        <v>#NAME?</v>
      </c>
      <c r="AT172" s="22" t="e">
        <f t="shared" ca="1" si="1262"/>
        <v>#NAME?</v>
      </c>
      <c r="AU172" s="22" t="e">
        <f t="shared" ca="1" si="1262"/>
        <v>#NAME?</v>
      </c>
      <c r="AV172" s="22" t="e">
        <f t="shared" ca="1" si="1262"/>
        <v>#NAME?</v>
      </c>
      <c r="AW172" s="22" t="e">
        <f t="shared" ca="1" si="1262"/>
        <v>#NAME?</v>
      </c>
      <c r="AX172" s="22" t="e">
        <f t="shared" ca="1" si="1262"/>
        <v>#NAME?</v>
      </c>
      <c r="AY172" s="22" t="e">
        <f t="shared" ca="1" si="1262"/>
        <v>#NAME?</v>
      </c>
      <c r="AZ172" s="22" t="e">
        <f t="shared" ca="1" si="1262"/>
        <v>#NAME?</v>
      </c>
      <c r="BA172" s="22" t="e">
        <f t="shared" ca="1" si="1262"/>
        <v>#NAME?</v>
      </c>
      <c r="BB172" s="22" t="e">
        <f t="shared" ca="1" si="1262"/>
        <v>#NAME?</v>
      </c>
      <c r="BC172" s="22" t="e">
        <f t="shared" ca="1" si="1262"/>
        <v>#NAME?</v>
      </c>
      <c r="BD172" s="22" t="e">
        <f t="shared" ca="1" si="1262"/>
        <v>#NAME?</v>
      </c>
      <c r="BE172" s="22" t="e">
        <f t="shared" ca="1" si="1262"/>
        <v>#NAME?</v>
      </c>
      <c r="BF172" s="22" t="e">
        <f t="shared" ca="1" si="1262"/>
        <v>#NAME?</v>
      </c>
      <c r="BG172" s="22" t="e">
        <f t="shared" ca="1" si="1262"/>
        <v>#NAME?</v>
      </c>
      <c r="BH172" s="22" t="e">
        <f t="shared" ref="BH172" ca="1" si="1263">BH163-BH171</f>
        <v>#NAME?</v>
      </c>
      <c r="BI172" s="22" t="e">
        <f t="shared" ca="1" si="1262"/>
        <v>#NAME?</v>
      </c>
      <c r="BJ172" s="22" t="e">
        <f t="shared" ca="1" si="1262"/>
        <v>#NAME?</v>
      </c>
      <c r="BK172" s="22" t="e">
        <f t="shared" ca="1" si="1262"/>
        <v>#NAME?</v>
      </c>
      <c r="BL172" s="22" t="e">
        <f t="shared" ca="1" si="1262"/>
        <v>#NAME?</v>
      </c>
      <c r="BM172" s="22" t="e">
        <f t="shared" ca="1" si="1262"/>
        <v>#NAME?</v>
      </c>
      <c r="BN172" s="22" t="e">
        <f t="shared" ca="1" si="1262"/>
        <v>#NAME?</v>
      </c>
      <c r="BO172" s="22" t="e">
        <f t="shared" ca="1" si="1262"/>
        <v>#NAME?</v>
      </c>
      <c r="BP172" s="22" t="e">
        <f t="shared" ca="1" si="1262"/>
        <v>#NAME?</v>
      </c>
      <c r="BQ172" s="22" t="e">
        <f t="shared" ca="1" si="1262"/>
        <v>#NAME?</v>
      </c>
      <c r="BR172" s="22" t="e">
        <f t="shared" ca="1" si="1262"/>
        <v>#NAME?</v>
      </c>
      <c r="BS172" s="22" t="e">
        <f t="shared" ca="1" si="1262"/>
        <v>#NAME?</v>
      </c>
      <c r="BT172" s="22" t="e">
        <f t="shared" ca="1" si="1262"/>
        <v>#NAME?</v>
      </c>
      <c r="BU172" s="22" t="e">
        <f t="shared" ca="1" si="1262"/>
        <v>#NAME?</v>
      </c>
      <c r="BV172" s="22" t="e">
        <f t="shared" ca="1" si="1262"/>
        <v>#NAME?</v>
      </c>
      <c r="BW172" s="22" t="e">
        <f t="shared" ca="1" si="1262"/>
        <v>#NAME?</v>
      </c>
      <c r="BX172" s="22" t="e">
        <f t="shared" ca="1" si="1262"/>
        <v>#NAME?</v>
      </c>
      <c r="BY172" s="22" t="e">
        <f t="shared" ca="1" si="1262"/>
        <v>#NAME?</v>
      </c>
      <c r="BZ172" s="22" t="e">
        <f t="shared" ca="1" si="1262"/>
        <v>#NAME?</v>
      </c>
      <c r="CA172" s="22" t="e">
        <f t="shared" ca="1" si="1262"/>
        <v>#NAME?</v>
      </c>
      <c r="CB172" s="22" t="e">
        <f t="shared" ca="1" si="1262"/>
        <v>#NAME?</v>
      </c>
      <c r="CC172" s="22" t="e">
        <f t="shared" ca="1" si="1262"/>
        <v>#NAME?</v>
      </c>
      <c r="CD172" s="22" t="e">
        <f t="shared" ca="1" si="1262"/>
        <v>#NAME?</v>
      </c>
      <c r="CE172" s="22" t="e">
        <f t="shared" ca="1" si="1262"/>
        <v>#NAME?</v>
      </c>
      <c r="CF172" s="22" t="e">
        <f t="shared" ref="CF172:CG172" ca="1" si="1264">CF163-CF171</f>
        <v>#NAME?</v>
      </c>
      <c r="CG172" s="22" t="e">
        <f t="shared" ca="1" si="1264"/>
        <v>#NAME?</v>
      </c>
      <c r="CH172" s="22" t="e">
        <f t="shared" ref="CH172:CI172" ca="1" si="1265">CH163-CH171</f>
        <v>#NAME?</v>
      </c>
      <c r="CI172" s="22" t="e">
        <f t="shared" ca="1" si="1265"/>
        <v>#NAME?</v>
      </c>
      <c r="CJ172" s="22" t="e">
        <f t="shared" ref="CJ172:DB172" ca="1" si="1266">CJ163-CJ171</f>
        <v>#NAME?</v>
      </c>
      <c r="CK172" s="21" t="e">
        <f t="shared" ca="1" si="1266"/>
        <v>#NAME?</v>
      </c>
      <c r="CL172" s="22" t="e">
        <f t="shared" ref="CL172" ca="1" si="1267">CL163-CL171</f>
        <v>#NAME?</v>
      </c>
      <c r="CM172" s="21" t="e">
        <f t="shared" ca="1" si="1266"/>
        <v>#NAME?</v>
      </c>
      <c r="CN172" s="21" t="e">
        <f t="shared" ca="1" si="1266"/>
        <v>#NAME?</v>
      </c>
      <c r="CO172" s="21" t="e">
        <f t="shared" ca="1" si="1266"/>
        <v>#NAME?</v>
      </c>
      <c r="CP172" s="21" t="e">
        <f t="shared" ca="1" si="1266"/>
        <v>#NAME?</v>
      </c>
      <c r="CQ172" s="21" t="e">
        <f t="shared" ca="1" si="1266"/>
        <v>#NAME?</v>
      </c>
      <c r="CR172" s="21" t="e">
        <f t="shared" ca="1" si="1266"/>
        <v>#NAME?</v>
      </c>
      <c r="CS172" s="21" t="e">
        <f t="shared" ca="1" si="1266"/>
        <v>#NAME?</v>
      </c>
      <c r="CT172" s="21" t="e">
        <f t="shared" ca="1" si="1266"/>
        <v>#NAME?</v>
      </c>
      <c r="CU172" s="21" t="e">
        <f t="shared" ca="1" si="1266"/>
        <v>#NAME?</v>
      </c>
      <c r="CV172" s="21" t="e">
        <f t="shared" ca="1" si="1266"/>
        <v>#NAME?</v>
      </c>
      <c r="CW172" s="21" t="e">
        <f t="shared" ca="1" si="1266"/>
        <v>#NAME?</v>
      </c>
      <c r="CX172" s="21" t="e">
        <f t="shared" ca="1" si="1266"/>
        <v>#NAME?</v>
      </c>
      <c r="CY172" s="21" t="e">
        <f t="shared" ca="1" si="1266"/>
        <v>#NAME?</v>
      </c>
      <c r="CZ172" s="21" t="e">
        <f t="shared" ca="1" si="1266"/>
        <v>#NAME?</v>
      </c>
      <c r="DA172" s="21" t="e">
        <f t="shared" ca="1" si="1266"/>
        <v>#NAME?</v>
      </c>
      <c r="DB172" s="21" t="e">
        <f t="shared" ca="1" si="1266"/>
        <v>#NAME?</v>
      </c>
      <c r="DE172" s="126"/>
      <c r="DF172" s="22">
        <v>174.49999999999997</v>
      </c>
    </row>
    <row r="173" spans="1:110" s="23" customFormat="1" x14ac:dyDescent="0.2">
      <c r="AB173" s="24"/>
      <c r="AC173" s="24"/>
      <c r="AD173" s="24"/>
      <c r="AE173" s="24"/>
      <c r="CK173" s="24"/>
      <c r="CM173" s="24"/>
      <c r="CN173" s="24"/>
      <c r="CO173" s="24"/>
      <c r="CP173" s="24"/>
      <c r="CQ173" s="24"/>
      <c r="CR173" s="24"/>
      <c r="CS173" s="24"/>
      <c r="CT173" s="24"/>
      <c r="CU173" s="24"/>
      <c r="CV173" s="24"/>
      <c r="CW173" s="24"/>
      <c r="CX173" s="24"/>
      <c r="CY173" s="24"/>
      <c r="CZ173" s="24"/>
      <c r="DA173" s="24"/>
      <c r="DB173" s="24"/>
      <c r="DE173" s="123"/>
    </row>
    <row r="174" spans="1:110" s="23" customFormat="1" outlineLevel="1" x14ac:dyDescent="0.2">
      <c r="A174" s="23" t="s">
        <v>75</v>
      </c>
      <c r="B174" s="23" t="e">
        <f ca="1">'Annual Raw'!C75</f>
        <v>#NAME?</v>
      </c>
      <c r="C174" s="23" t="e">
        <f ca="1">'Annual Raw'!D75</f>
        <v>#NAME?</v>
      </c>
      <c r="D174" s="23" t="e">
        <f ca="1">'Annual Raw'!E75</f>
        <v>#NAME?</v>
      </c>
      <c r="E174" s="23" t="e">
        <f ca="1">'Annual Raw'!F75</f>
        <v>#NAME?</v>
      </c>
      <c r="F174" s="23" t="e">
        <f ca="1">'Annual Raw'!G75</f>
        <v>#NAME?</v>
      </c>
      <c r="G174" s="23" t="e">
        <f ca="1">'Annual Raw'!H75</f>
        <v>#NAME?</v>
      </c>
      <c r="H174" s="23" t="e">
        <f ca="1">'Annual Raw'!I75</f>
        <v>#NAME?</v>
      </c>
      <c r="I174" s="23" t="e">
        <f ca="1">'Annual Raw'!J75</f>
        <v>#NAME?</v>
      </c>
      <c r="J174" s="23" t="e">
        <f ca="1">'Annual Raw'!K75</f>
        <v>#NAME?</v>
      </c>
      <c r="K174" s="23" t="e">
        <f ca="1">'Annual Raw'!L75</f>
        <v>#NAME?</v>
      </c>
      <c r="L174" s="23" t="e">
        <f ca="1">'Annual Raw'!M75</f>
        <v>#NAME?</v>
      </c>
      <c r="M174" s="23" t="e">
        <f ca="1">'Annual Raw'!N75</f>
        <v>#NAME?</v>
      </c>
      <c r="N174" s="23" t="e">
        <f ca="1">'Annual Raw'!O75</f>
        <v>#NAME?</v>
      </c>
      <c r="O174" s="23" t="e">
        <f ca="1">'Annual Raw'!P75</f>
        <v>#NAME?</v>
      </c>
      <c r="P174" s="23" t="e">
        <f ca="1">'Annual Raw'!Q75</f>
        <v>#NAME?</v>
      </c>
      <c r="Q174" s="23" t="e">
        <f ca="1">'Annual Raw'!R75</f>
        <v>#NAME?</v>
      </c>
      <c r="R174" s="23" t="e">
        <f ca="1">'Annual Raw'!S75</f>
        <v>#NAME?</v>
      </c>
      <c r="S174" s="23" t="e">
        <f ca="1">'Annual Raw'!T75</f>
        <v>#NAME?</v>
      </c>
      <c r="T174" s="23" t="e">
        <f ca="1">'Annual Raw'!U75</f>
        <v>#NAME?</v>
      </c>
      <c r="U174" s="23" t="e">
        <f ca="1">'Annual Raw'!V75</f>
        <v>#NAME?</v>
      </c>
      <c r="V174" s="23" t="e">
        <f ca="1">'Annual Raw'!W75</f>
        <v>#NAME?</v>
      </c>
      <c r="W174" s="23" t="e">
        <f ca="1">'Annual Raw'!X75</f>
        <v>#NAME?</v>
      </c>
      <c r="X174" s="23" t="e">
        <f ca="1">'Annual Raw'!Y75</f>
        <v>#NAME?</v>
      </c>
      <c r="Y174" s="23" t="e">
        <f ca="1">'Annual Raw'!Z75</f>
        <v>#NAME?</v>
      </c>
      <c r="Z174" s="23" t="e">
        <f ca="1">'Annual Raw'!AA75</f>
        <v>#NAME?</v>
      </c>
      <c r="AA174" s="23" t="e">
        <f ca="1">'Annual Raw'!AB75</f>
        <v>#NAME?</v>
      </c>
      <c r="AB174" s="24">
        <f t="shared" ref="AB174:AB175" si="1268">+CP174</f>
        <v>0</v>
      </c>
      <c r="AC174" s="24">
        <f t="shared" ref="AC174:AC175" si="1269">+CT174</f>
        <v>0</v>
      </c>
      <c r="AD174" s="24">
        <f t="shared" ref="AD174:AD175" si="1270">+CX174</f>
        <v>0</v>
      </c>
      <c r="AE174" s="24">
        <f t="shared" ref="AE174:AE175" si="1271">+DB174</f>
        <v>0</v>
      </c>
      <c r="AJ174" s="23" t="e">
        <f ca="1">+'QTR Raw'!D80</f>
        <v>#NAME?</v>
      </c>
      <c r="AL174" s="23" t="e">
        <f ca="1">+'QTR Raw'!F80</f>
        <v>#NAME?</v>
      </c>
      <c r="AN174" s="23" t="e">
        <f ca="1">+'QTR Raw'!H80</f>
        <v>#NAME?</v>
      </c>
      <c r="AP174" s="23" t="e">
        <f ca="1">+'QTR Raw'!J80</f>
        <v>#NAME?</v>
      </c>
      <c r="AR174" s="23" t="e">
        <f ca="1">+'QTR Raw'!L80</f>
        <v>#NAME?</v>
      </c>
      <c r="AT174" s="23" t="e">
        <f ca="1">+'QTR Raw'!N80</f>
        <v>#NAME?</v>
      </c>
      <c r="AV174" s="23" t="e">
        <f ca="1">+'QTR Raw'!P80</f>
        <v>#NAME?</v>
      </c>
      <c r="AX174" s="23" t="e">
        <f ca="1">+'QTR Raw'!R80</f>
        <v>#NAME?</v>
      </c>
      <c r="AZ174" s="23" t="e">
        <f ca="1">+'QTR Raw'!T80</f>
        <v>#NAME?</v>
      </c>
      <c r="BB174" s="23" t="e">
        <f ca="1">+'QTR Raw'!V80</f>
        <v>#NAME?</v>
      </c>
      <c r="BD174" s="23" t="e">
        <f ca="1">+'QTR Raw'!X80</f>
        <v>#NAME?</v>
      </c>
      <c r="BF174" s="23" t="e">
        <f ca="1">+'QTR Raw'!Z80</f>
        <v>#NAME?</v>
      </c>
      <c r="BH174" s="23" t="e">
        <f ca="1">+'QTR Raw'!AB80</f>
        <v>#NAME?</v>
      </c>
      <c r="BJ174" s="23" t="e">
        <f ca="1">+'QTR Raw'!AD80</f>
        <v>#NAME?</v>
      </c>
      <c r="BL174" s="23" t="e">
        <f ca="1">+'QTR Raw'!AF80</f>
        <v>#NAME?</v>
      </c>
      <c r="BN174" s="23" t="e">
        <f ca="1">+'QTR Raw'!AH80</f>
        <v>#NAME?</v>
      </c>
      <c r="BP174" s="23" t="e">
        <f ca="1">+'QTR Raw'!AJ80</f>
        <v>#NAME?</v>
      </c>
      <c r="BR174" s="23" t="e">
        <f ca="1">+'QTR Raw'!AL80</f>
        <v>#NAME?</v>
      </c>
      <c r="BT174" s="23" t="e">
        <f ca="1">+'QTR Raw'!AN80</f>
        <v>#NAME?</v>
      </c>
      <c r="BV174" s="23" t="e">
        <f ca="1">+'QTR Raw'!AP80</f>
        <v>#NAME?</v>
      </c>
      <c r="BX174" s="23" t="e">
        <f ca="1">+'QTR Raw'!AR80</f>
        <v>#NAME?</v>
      </c>
      <c r="BZ174" s="23" t="e">
        <f ca="1">+'QTR Raw'!AT80</f>
        <v>#NAME?</v>
      </c>
      <c r="CB174" s="23" t="e">
        <f ca="1">+'QTR Raw'!AV80</f>
        <v>#NAME?</v>
      </c>
      <c r="CD174" s="23" t="e">
        <f ca="1">+'QTR Raw'!AX80</f>
        <v>#NAME?</v>
      </c>
      <c r="CF174" s="23" t="e">
        <f ca="1">+'QTR Raw'!AZ80</f>
        <v>#NAME?</v>
      </c>
      <c r="CH174" s="23" t="e">
        <f t="shared" ref="CH174:CH175" ca="1" si="1272">Z174</f>
        <v>#NAME?</v>
      </c>
      <c r="CJ174" s="23" t="e">
        <f ca="1">+'QTR Raw'!BD80</f>
        <v>#NAME?</v>
      </c>
      <c r="CK174" s="24"/>
      <c r="CL174" s="23" t="e">
        <f ca="1">+'QTR Raw'!BF80</f>
        <v>#NAME?</v>
      </c>
      <c r="CM174" s="24"/>
      <c r="CN174" s="24"/>
      <c r="CO174" s="24"/>
      <c r="CP174" s="24"/>
      <c r="CQ174" s="24"/>
      <c r="CR174" s="24"/>
      <c r="CS174" s="24"/>
      <c r="CT174" s="24"/>
      <c r="CU174" s="24"/>
      <c r="CV174" s="24"/>
      <c r="CW174" s="24"/>
      <c r="CX174" s="24"/>
      <c r="CY174" s="24"/>
      <c r="CZ174" s="24"/>
      <c r="DA174" s="24"/>
      <c r="DB174" s="24"/>
      <c r="DE174" s="123"/>
      <c r="DF174" s="23">
        <v>0</v>
      </c>
    </row>
    <row r="175" spans="1:110" s="23" customFormat="1" outlineLevel="1" x14ac:dyDescent="0.2">
      <c r="A175" s="23" t="s">
        <v>76</v>
      </c>
      <c r="B175" s="23" t="e">
        <f ca="1">'Annual Raw'!C78</f>
        <v>#NAME?</v>
      </c>
      <c r="C175" s="23" t="e">
        <f ca="1">'Annual Raw'!D78</f>
        <v>#NAME?</v>
      </c>
      <c r="D175" s="23" t="e">
        <f ca="1">'Annual Raw'!E78</f>
        <v>#NAME?</v>
      </c>
      <c r="E175" s="23" t="e">
        <f ca="1">'Annual Raw'!F78</f>
        <v>#NAME?</v>
      </c>
      <c r="F175" s="23" t="e">
        <f ca="1">'Annual Raw'!G78</f>
        <v>#NAME?</v>
      </c>
      <c r="G175" s="23" t="e">
        <f ca="1">'Annual Raw'!H78</f>
        <v>#NAME?</v>
      </c>
      <c r="H175" s="23" t="e">
        <f ca="1">'Annual Raw'!I78</f>
        <v>#NAME?</v>
      </c>
      <c r="I175" s="23" t="e">
        <f ca="1">'Annual Raw'!J78</f>
        <v>#NAME?</v>
      </c>
      <c r="J175" s="23" t="e">
        <f ca="1">'Annual Raw'!K78</f>
        <v>#NAME?</v>
      </c>
      <c r="K175" s="23" t="e">
        <f ca="1">'Annual Raw'!L78</f>
        <v>#NAME?</v>
      </c>
      <c r="L175" s="23" t="e">
        <f ca="1">'Annual Raw'!M78</f>
        <v>#NAME?</v>
      </c>
      <c r="M175" s="23" t="e">
        <f ca="1">'Annual Raw'!N78</f>
        <v>#NAME?</v>
      </c>
      <c r="N175" s="23" t="e">
        <f ca="1">'Annual Raw'!O78</f>
        <v>#NAME?</v>
      </c>
      <c r="O175" s="23" t="e">
        <f ca="1">'Annual Raw'!P78</f>
        <v>#NAME?</v>
      </c>
      <c r="P175" s="23" t="e">
        <f ca="1">'Annual Raw'!Q78</f>
        <v>#NAME?</v>
      </c>
      <c r="Q175" s="23" t="e">
        <f ca="1">'Annual Raw'!R78</f>
        <v>#NAME?</v>
      </c>
      <c r="R175" s="23" t="e">
        <f ca="1">'Annual Raw'!S78</f>
        <v>#NAME?</v>
      </c>
      <c r="S175" s="23" t="e">
        <f ca="1">'Annual Raw'!T78</f>
        <v>#NAME?</v>
      </c>
      <c r="T175" s="23" t="e">
        <f ca="1">'Annual Raw'!U78</f>
        <v>#NAME?</v>
      </c>
      <c r="U175" s="23" t="e">
        <f ca="1">'Annual Raw'!V78</f>
        <v>#NAME?</v>
      </c>
      <c r="V175" s="23" t="e">
        <f ca="1">'Annual Raw'!W78</f>
        <v>#NAME?</v>
      </c>
      <c r="W175" s="23" t="e">
        <f ca="1">'Annual Raw'!X78</f>
        <v>#NAME?</v>
      </c>
      <c r="X175" s="23" t="e">
        <f ca="1">'Annual Raw'!Y78</f>
        <v>#NAME?</v>
      </c>
      <c r="Y175" s="23" t="e">
        <f ca="1">'Annual Raw'!Z78</f>
        <v>#NAME?</v>
      </c>
      <c r="Z175" s="23" t="e">
        <f ca="1">'Annual Raw'!AA78</f>
        <v>#NAME?</v>
      </c>
      <c r="AA175" s="23" t="e">
        <f ca="1">'Annual Raw'!AB78</f>
        <v>#NAME?</v>
      </c>
      <c r="AB175" s="24" t="e">
        <f t="shared" ca="1" si="1268"/>
        <v>#NAME?</v>
      </c>
      <c r="AC175" s="24" t="e">
        <f t="shared" ca="1" si="1269"/>
        <v>#NAME?</v>
      </c>
      <c r="AD175" s="24" t="e">
        <f t="shared" ca="1" si="1270"/>
        <v>#NAME?</v>
      </c>
      <c r="AE175" s="24" t="e">
        <f t="shared" ca="1" si="1271"/>
        <v>#NAME?</v>
      </c>
      <c r="AJ175" s="23" t="e">
        <f ca="1">+'QTR Raw'!D83</f>
        <v>#NAME?</v>
      </c>
      <c r="AK175" s="23" t="e">
        <f t="shared" ref="AK175:AM175" ca="1" si="1273">+AK225</f>
        <v>#NAME?</v>
      </c>
      <c r="AL175" s="23" t="e">
        <f ca="1">+'QTR Raw'!F83</f>
        <v>#NAME?</v>
      </c>
      <c r="AM175" s="23" t="e">
        <f t="shared" ca="1" si="1273"/>
        <v>#NAME?</v>
      </c>
      <c r="AN175" s="23" t="e">
        <f ca="1">+'QTR Raw'!H83</f>
        <v>#NAME?</v>
      </c>
      <c r="AO175" s="23" t="e">
        <f t="shared" ref="AO175" ca="1" si="1274">+AO225</f>
        <v>#NAME?</v>
      </c>
      <c r="AP175" s="23" t="e">
        <f ca="1">+'QTR Raw'!J83</f>
        <v>#NAME?</v>
      </c>
      <c r="AQ175" s="23" t="e">
        <f t="shared" ref="AQ175" ca="1" si="1275">+AQ225</f>
        <v>#NAME?</v>
      </c>
      <c r="AR175" s="23" t="e">
        <f ca="1">+'QTR Raw'!L83</f>
        <v>#NAME?</v>
      </c>
      <c r="AS175" s="23" t="e">
        <f t="shared" ref="AS175" ca="1" si="1276">+AS225</f>
        <v>#NAME?</v>
      </c>
      <c r="AT175" s="23" t="e">
        <f ca="1">+'QTR Raw'!N83</f>
        <v>#NAME?</v>
      </c>
      <c r="AU175" s="23" t="e">
        <f t="shared" ref="AU175" ca="1" si="1277">+AU225</f>
        <v>#NAME?</v>
      </c>
      <c r="AV175" s="23" t="e">
        <f ca="1">+'QTR Raw'!P83</f>
        <v>#NAME?</v>
      </c>
      <c r="AW175" s="23" t="e">
        <f t="shared" ref="AW175" ca="1" si="1278">+AW225</f>
        <v>#NAME?</v>
      </c>
      <c r="AX175" s="23" t="e">
        <f ca="1">+'QTR Raw'!R83</f>
        <v>#NAME?</v>
      </c>
      <c r="AY175" s="23" t="e">
        <f t="shared" ref="AY175" ca="1" si="1279">+AY225</f>
        <v>#NAME?</v>
      </c>
      <c r="AZ175" s="23" t="e">
        <f ca="1">+'QTR Raw'!T83</f>
        <v>#NAME?</v>
      </c>
      <c r="BA175" s="23" t="e">
        <f t="shared" ref="BA175" ca="1" si="1280">+BA225</f>
        <v>#NAME?</v>
      </c>
      <c r="BB175" s="23" t="e">
        <f ca="1">+'QTR Raw'!V83</f>
        <v>#NAME?</v>
      </c>
      <c r="BC175" s="23" t="e">
        <f t="shared" ref="BC175" ca="1" si="1281">+BC225</f>
        <v>#NAME?</v>
      </c>
      <c r="BD175" s="23" t="e">
        <f ca="1">+'QTR Raw'!X83</f>
        <v>#NAME?</v>
      </c>
      <c r="BE175" s="23" t="e">
        <f t="shared" ref="BE175" ca="1" si="1282">+BE225</f>
        <v>#NAME?</v>
      </c>
      <c r="BF175" s="23" t="e">
        <f ca="1">+'QTR Raw'!Z83</f>
        <v>#NAME?</v>
      </c>
      <c r="BG175" s="23" t="e">
        <f t="shared" ref="BG175" ca="1" si="1283">+BG225</f>
        <v>#NAME?</v>
      </c>
      <c r="BH175" s="23" t="e">
        <f ca="1">+'QTR Raw'!AB83</f>
        <v>#NAME?</v>
      </c>
      <c r="BI175" s="23" t="e">
        <f t="shared" ref="BI175" ca="1" si="1284">+BI225</f>
        <v>#NAME?</v>
      </c>
      <c r="BJ175" s="23" t="e">
        <f ca="1">+'QTR Raw'!AD83</f>
        <v>#NAME?</v>
      </c>
      <c r="BK175" s="23" t="e">
        <f t="shared" ref="BK175" ca="1" si="1285">+BK225</f>
        <v>#NAME?</v>
      </c>
      <c r="BL175" s="23" t="e">
        <f ca="1">+'QTR Raw'!AF83</f>
        <v>#NAME?</v>
      </c>
      <c r="BM175" s="23" t="e">
        <f t="shared" ref="BM175" ca="1" si="1286">+BM225</f>
        <v>#NAME?</v>
      </c>
      <c r="BN175" s="23" t="e">
        <f ca="1">+'QTR Raw'!AH83</f>
        <v>#NAME?</v>
      </c>
      <c r="BO175" s="23" t="e">
        <f t="shared" ref="BO175" ca="1" si="1287">+BO225</f>
        <v>#NAME?</v>
      </c>
      <c r="BP175" s="23" t="e">
        <f ca="1">+'QTR Raw'!AJ83</f>
        <v>#NAME?</v>
      </c>
      <c r="BQ175" s="23" t="e">
        <f t="shared" ref="BQ175" ca="1" si="1288">+BQ225</f>
        <v>#NAME?</v>
      </c>
      <c r="BR175" s="23" t="e">
        <f ca="1">+'QTR Raw'!AL83</f>
        <v>#NAME?</v>
      </c>
      <c r="BS175" s="23" t="e">
        <f t="shared" ref="BS175" ca="1" si="1289">+BS225</f>
        <v>#NAME?</v>
      </c>
      <c r="BT175" s="23" t="e">
        <f ca="1">+'QTR Raw'!AN83</f>
        <v>#NAME?</v>
      </c>
      <c r="BU175" s="23" t="e">
        <f t="shared" ref="BU175" ca="1" si="1290">+BU225</f>
        <v>#NAME?</v>
      </c>
      <c r="BV175" s="23" t="e">
        <f ca="1">+'QTR Raw'!AP83</f>
        <v>#NAME?</v>
      </c>
      <c r="BW175" s="23" t="e">
        <f t="shared" ref="BW175" ca="1" si="1291">+BW225</f>
        <v>#NAME?</v>
      </c>
      <c r="BX175" s="23" t="e">
        <f ca="1">+'QTR Raw'!AR83</f>
        <v>#NAME?</v>
      </c>
      <c r="BY175" s="23" t="e">
        <f t="shared" ref="BY175" ca="1" si="1292">+BY225</f>
        <v>#NAME?</v>
      </c>
      <c r="BZ175" s="23" t="e">
        <f ca="1">+'QTR Raw'!AT83</f>
        <v>#NAME?</v>
      </c>
      <c r="CA175" s="23" t="e">
        <f t="shared" ref="CA175" ca="1" si="1293">+CA225</f>
        <v>#NAME?</v>
      </c>
      <c r="CB175" s="23" t="e">
        <f ca="1">+'QTR Raw'!AV83</f>
        <v>#NAME?</v>
      </c>
      <c r="CC175" s="23" t="e">
        <f t="shared" ref="CC175" ca="1" si="1294">+CC225</f>
        <v>#NAME?</v>
      </c>
      <c r="CD175" s="23" t="e">
        <f ca="1">+'QTR Raw'!AX83</f>
        <v>#NAME?</v>
      </c>
      <c r="CE175" s="23" t="e">
        <f t="shared" ref="CE175" ca="1" si="1295">+CE225</f>
        <v>#NAME?</v>
      </c>
      <c r="CF175" s="23" t="e">
        <f ca="1">+'QTR Raw'!AZ83</f>
        <v>#NAME?</v>
      </c>
      <c r="CG175" s="23" t="e">
        <f t="shared" ref="CG175:CI175" ca="1" si="1296">+CG225</f>
        <v>#NAME?</v>
      </c>
      <c r="CH175" s="23" t="e">
        <f t="shared" ca="1" si="1272"/>
        <v>#NAME?</v>
      </c>
      <c r="CI175" s="23" t="e">
        <f t="shared" ca="1" si="1296"/>
        <v>#NAME?</v>
      </c>
      <c r="CJ175" s="23" t="e">
        <f ca="1">+'QTR Raw'!BD83</f>
        <v>#NAME?</v>
      </c>
      <c r="CK175" s="24" t="e">
        <f t="shared" ref="CK175:DB175" ca="1" si="1297">+CK225</f>
        <v>#NAME?</v>
      </c>
      <c r="CL175" s="23" t="e">
        <f ca="1">+'QTR Raw'!BF83</f>
        <v>#NAME?</v>
      </c>
      <c r="CM175" s="24" t="e">
        <f t="shared" ca="1" si="1297"/>
        <v>#NAME?</v>
      </c>
      <c r="CN175" s="24" t="e">
        <f t="shared" ca="1" si="1297"/>
        <v>#NAME?</v>
      </c>
      <c r="CO175" s="24" t="e">
        <f t="shared" ca="1" si="1297"/>
        <v>#NAME?</v>
      </c>
      <c r="CP175" s="24" t="e">
        <f t="shared" ca="1" si="1297"/>
        <v>#NAME?</v>
      </c>
      <c r="CQ175" s="24" t="e">
        <f t="shared" ca="1" si="1297"/>
        <v>#NAME?</v>
      </c>
      <c r="CR175" s="24" t="e">
        <f t="shared" ca="1" si="1297"/>
        <v>#NAME?</v>
      </c>
      <c r="CS175" s="24" t="e">
        <f t="shared" ca="1" si="1297"/>
        <v>#NAME?</v>
      </c>
      <c r="CT175" s="24" t="e">
        <f t="shared" ca="1" si="1297"/>
        <v>#NAME?</v>
      </c>
      <c r="CU175" s="24" t="e">
        <f t="shared" ca="1" si="1297"/>
        <v>#NAME?</v>
      </c>
      <c r="CV175" s="24" t="e">
        <f t="shared" ca="1" si="1297"/>
        <v>#NAME?</v>
      </c>
      <c r="CW175" s="24" t="e">
        <f t="shared" ca="1" si="1297"/>
        <v>#NAME?</v>
      </c>
      <c r="CX175" s="24" t="e">
        <f t="shared" ca="1" si="1297"/>
        <v>#NAME?</v>
      </c>
      <c r="CY175" s="24" t="e">
        <f t="shared" ca="1" si="1297"/>
        <v>#NAME?</v>
      </c>
      <c r="CZ175" s="24" t="e">
        <f t="shared" ca="1" si="1297"/>
        <v>#NAME?</v>
      </c>
      <c r="DA175" s="24" t="e">
        <f t="shared" ca="1" si="1297"/>
        <v>#NAME?</v>
      </c>
      <c r="DB175" s="24" t="e">
        <f t="shared" ca="1" si="1297"/>
        <v>#NAME?</v>
      </c>
      <c r="DE175" s="123"/>
      <c r="DF175" s="23">
        <v>11.048999999999999</v>
      </c>
    </row>
    <row r="176" spans="1:110" s="22" customFormat="1" x14ac:dyDescent="0.2">
      <c r="A176" s="22" t="s">
        <v>77</v>
      </c>
      <c r="B176" s="22" t="e">
        <f ca="1">B174+B175</f>
        <v>#NAME?</v>
      </c>
      <c r="C176" s="22" t="e">
        <f t="shared" ref="C176:V176" ca="1" si="1298">C174+C175</f>
        <v>#NAME?</v>
      </c>
      <c r="D176" s="22" t="e">
        <f t="shared" ca="1" si="1298"/>
        <v>#NAME?</v>
      </c>
      <c r="E176" s="22" t="e">
        <f t="shared" ca="1" si="1298"/>
        <v>#NAME?</v>
      </c>
      <c r="F176" s="22" t="e">
        <f t="shared" ca="1" si="1298"/>
        <v>#NAME?</v>
      </c>
      <c r="G176" s="22" t="e">
        <f t="shared" ca="1" si="1298"/>
        <v>#NAME?</v>
      </c>
      <c r="H176" s="22" t="e">
        <f t="shared" ca="1" si="1298"/>
        <v>#NAME?</v>
      </c>
      <c r="I176" s="22" t="e">
        <f t="shared" ca="1" si="1298"/>
        <v>#NAME?</v>
      </c>
      <c r="J176" s="22" t="e">
        <f t="shared" ca="1" si="1298"/>
        <v>#NAME?</v>
      </c>
      <c r="K176" s="22" t="e">
        <f t="shared" ca="1" si="1298"/>
        <v>#NAME?</v>
      </c>
      <c r="L176" s="22" t="e">
        <f t="shared" ca="1" si="1298"/>
        <v>#NAME?</v>
      </c>
      <c r="M176" s="22" t="e">
        <f t="shared" ca="1" si="1298"/>
        <v>#NAME?</v>
      </c>
      <c r="N176" s="22" t="e">
        <f t="shared" ca="1" si="1298"/>
        <v>#NAME?</v>
      </c>
      <c r="O176" s="22" t="e">
        <f t="shared" ca="1" si="1298"/>
        <v>#NAME?</v>
      </c>
      <c r="P176" s="22" t="e">
        <f t="shared" ca="1" si="1298"/>
        <v>#NAME?</v>
      </c>
      <c r="Q176" s="22" t="e">
        <f t="shared" ca="1" si="1298"/>
        <v>#NAME?</v>
      </c>
      <c r="R176" s="22" t="e">
        <f t="shared" ca="1" si="1298"/>
        <v>#NAME?</v>
      </c>
      <c r="S176" s="22" t="e">
        <f t="shared" ca="1" si="1298"/>
        <v>#NAME?</v>
      </c>
      <c r="T176" s="22" t="e">
        <f t="shared" ca="1" si="1298"/>
        <v>#NAME?</v>
      </c>
      <c r="U176" s="22" t="e">
        <f t="shared" ca="1" si="1298"/>
        <v>#NAME?</v>
      </c>
      <c r="V176" s="22" t="e">
        <f t="shared" ca="1" si="1298"/>
        <v>#NAME?</v>
      </c>
      <c r="W176" s="22" t="e">
        <f t="shared" ref="W176" ca="1" si="1299">W174+W175</f>
        <v>#NAME?</v>
      </c>
      <c r="X176" s="22" t="e">
        <f t="shared" ref="X176:Y176" ca="1" si="1300">X174+X175</f>
        <v>#NAME?</v>
      </c>
      <c r="Y176" s="22" t="e">
        <f t="shared" ca="1" si="1300"/>
        <v>#NAME?</v>
      </c>
      <c r="Z176" s="22" t="e">
        <f t="shared" ref="Z176:AA176" ca="1" si="1301">Z174+Z175</f>
        <v>#NAME?</v>
      </c>
      <c r="AA176" s="22" t="e">
        <f t="shared" ca="1" si="1301"/>
        <v>#NAME?</v>
      </c>
      <c r="AB176" s="21" t="e">
        <f t="shared" ref="AA176:AD176" ca="1" si="1302">AB174+AB175</f>
        <v>#NAME?</v>
      </c>
      <c r="AC176" s="21" t="e">
        <f t="shared" ca="1" si="1302"/>
        <v>#NAME?</v>
      </c>
      <c r="AD176" s="21" t="e">
        <f t="shared" ca="1" si="1302"/>
        <v>#NAME?</v>
      </c>
      <c r="AE176" s="21" t="e">
        <f t="shared" ref="AE176" ca="1" si="1303">AE174+AE175</f>
        <v>#NAME?</v>
      </c>
      <c r="AJ176" s="22" t="e">
        <f t="shared" ref="AJ176" ca="1" si="1304">AJ174+AJ175</f>
        <v>#NAME?</v>
      </c>
      <c r="AK176" s="22" t="e">
        <f t="shared" ref="AK176" ca="1" si="1305">AK174+AK175</f>
        <v>#NAME?</v>
      </c>
      <c r="AL176" s="22" t="e">
        <f t="shared" ref="AL176:AM176" ca="1" si="1306">AL174+AL175</f>
        <v>#NAME?</v>
      </c>
      <c r="AM176" s="22" t="e">
        <f t="shared" ca="1" si="1306"/>
        <v>#NAME?</v>
      </c>
      <c r="AN176" s="22" t="e">
        <f t="shared" ref="AN176:AO176" ca="1" si="1307">AN174+AN175</f>
        <v>#NAME?</v>
      </c>
      <c r="AO176" s="22" t="e">
        <f t="shared" ca="1" si="1307"/>
        <v>#NAME?</v>
      </c>
      <c r="AP176" s="22" t="e">
        <f t="shared" ref="AP176:CE176" ca="1" si="1308">AP174+AP175</f>
        <v>#NAME?</v>
      </c>
      <c r="AQ176" s="22" t="e">
        <f t="shared" ca="1" si="1308"/>
        <v>#NAME?</v>
      </c>
      <c r="AR176" s="22" t="e">
        <f t="shared" ca="1" si="1308"/>
        <v>#NAME?</v>
      </c>
      <c r="AS176" s="22" t="e">
        <f t="shared" ca="1" si="1308"/>
        <v>#NAME?</v>
      </c>
      <c r="AT176" s="22" t="e">
        <f t="shared" ca="1" si="1308"/>
        <v>#NAME?</v>
      </c>
      <c r="AU176" s="22" t="e">
        <f t="shared" ca="1" si="1308"/>
        <v>#NAME?</v>
      </c>
      <c r="AV176" s="22" t="e">
        <f t="shared" ca="1" si="1308"/>
        <v>#NAME?</v>
      </c>
      <c r="AW176" s="22" t="e">
        <f t="shared" ca="1" si="1308"/>
        <v>#NAME?</v>
      </c>
      <c r="AX176" s="22" t="e">
        <f t="shared" ca="1" si="1308"/>
        <v>#NAME?</v>
      </c>
      <c r="AY176" s="22" t="e">
        <f t="shared" ca="1" si="1308"/>
        <v>#NAME?</v>
      </c>
      <c r="AZ176" s="22" t="e">
        <f t="shared" ca="1" si="1308"/>
        <v>#NAME?</v>
      </c>
      <c r="BA176" s="22" t="e">
        <f t="shared" ca="1" si="1308"/>
        <v>#NAME?</v>
      </c>
      <c r="BB176" s="22" t="e">
        <f t="shared" ca="1" si="1308"/>
        <v>#NAME?</v>
      </c>
      <c r="BC176" s="22" t="e">
        <f t="shared" ca="1" si="1308"/>
        <v>#NAME?</v>
      </c>
      <c r="BD176" s="22" t="e">
        <f t="shared" ca="1" si="1308"/>
        <v>#NAME?</v>
      </c>
      <c r="BE176" s="22" t="e">
        <f t="shared" ca="1" si="1308"/>
        <v>#NAME?</v>
      </c>
      <c r="BF176" s="22" t="e">
        <f t="shared" ca="1" si="1308"/>
        <v>#NAME?</v>
      </c>
      <c r="BG176" s="22" t="e">
        <f t="shared" ca="1" si="1308"/>
        <v>#NAME?</v>
      </c>
      <c r="BH176" s="22" t="e">
        <f t="shared" ca="1" si="1308"/>
        <v>#NAME?</v>
      </c>
      <c r="BI176" s="22" t="e">
        <f t="shared" ca="1" si="1308"/>
        <v>#NAME?</v>
      </c>
      <c r="BJ176" s="22" t="e">
        <f t="shared" ca="1" si="1308"/>
        <v>#NAME?</v>
      </c>
      <c r="BK176" s="22" t="e">
        <f t="shared" ca="1" si="1308"/>
        <v>#NAME?</v>
      </c>
      <c r="BL176" s="22" t="e">
        <f t="shared" ca="1" si="1308"/>
        <v>#NAME?</v>
      </c>
      <c r="BM176" s="22" t="e">
        <f t="shared" ca="1" si="1308"/>
        <v>#NAME?</v>
      </c>
      <c r="BN176" s="22" t="e">
        <f t="shared" ca="1" si="1308"/>
        <v>#NAME?</v>
      </c>
      <c r="BO176" s="22" t="e">
        <f t="shared" ca="1" si="1308"/>
        <v>#NAME?</v>
      </c>
      <c r="BP176" s="22" t="e">
        <f t="shared" ca="1" si="1308"/>
        <v>#NAME?</v>
      </c>
      <c r="BQ176" s="22" t="e">
        <f t="shared" ca="1" si="1308"/>
        <v>#NAME?</v>
      </c>
      <c r="BR176" s="22" t="e">
        <f t="shared" ca="1" si="1308"/>
        <v>#NAME?</v>
      </c>
      <c r="BS176" s="22" t="e">
        <f t="shared" ca="1" si="1308"/>
        <v>#NAME?</v>
      </c>
      <c r="BT176" s="22" t="e">
        <f t="shared" ca="1" si="1308"/>
        <v>#NAME?</v>
      </c>
      <c r="BU176" s="22" t="e">
        <f t="shared" ca="1" si="1308"/>
        <v>#NAME?</v>
      </c>
      <c r="BV176" s="22" t="e">
        <f t="shared" ca="1" si="1308"/>
        <v>#NAME?</v>
      </c>
      <c r="BW176" s="22" t="e">
        <f t="shared" ca="1" si="1308"/>
        <v>#NAME?</v>
      </c>
      <c r="BX176" s="22" t="e">
        <f t="shared" ca="1" si="1308"/>
        <v>#NAME?</v>
      </c>
      <c r="BY176" s="22" t="e">
        <f t="shared" ca="1" si="1308"/>
        <v>#NAME?</v>
      </c>
      <c r="BZ176" s="22" t="e">
        <f t="shared" ca="1" si="1308"/>
        <v>#NAME?</v>
      </c>
      <c r="CA176" s="22" t="e">
        <f t="shared" ca="1" si="1308"/>
        <v>#NAME?</v>
      </c>
      <c r="CB176" s="22" t="e">
        <f t="shared" ca="1" si="1308"/>
        <v>#NAME?</v>
      </c>
      <c r="CC176" s="22" t="e">
        <f t="shared" ca="1" si="1308"/>
        <v>#NAME?</v>
      </c>
      <c r="CD176" s="22" t="e">
        <f t="shared" ca="1" si="1308"/>
        <v>#NAME?</v>
      </c>
      <c r="CE176" s="22" t="e">
        <f t="shared" ca="1" si="1308"/>
        <v>#NAME?</v>
      </c>
      <c r="CF176" s="22" t="e">
        <f t="shared" ref="CF176:CG176" ca="1" si="1309">CF174+CF175</f>
        <v>#NAME?</v>
      </c>
      <c r="CG176" s="22" t="e">
        <f t="shared" ca="1" si="1309"/>
        <v>#NAME?</v>
      </c>
      <c r="CH176" s="22" t="e">
        <f t="shared" ref="CH176:CI176" ca="1" si="1310">CH174+CH175</f>
        <v>#NAME?</v>
      </c>
      <c r="CI176" s="22" t="e">
        <f t="shared" ca="1" si="1310"/>
        <v>#NAME?</v>
      </c>
      <c r="CJ176" s="22" t="e">
        <f t="shared" ref="CJ176:DB176" ca="1" si="1311">CJ174+CJ175</f>
        <v>#NAME?</v>
      </c>
      <c r="CK176" s="21" t="e">
        <f t="shared" ca="1" si="1311"/>
        <v>#NAME?</v>
      </c>
      <c r="CL176" s="22" t="e">
        <f t="shared" ref="CL176" ca="1" si="1312">CL174+CL175</f>
        <v>#NAME?</v>
      </c>
      <c r="CM176" s="21" t="e">
        <f t="shared" ca="1" si="1311"/>
        <v>#NAME?</v>
      </c>
      <c r="CN176" s="21" t="e">
        <f t="shared" ca="1" si="1311"/>
        <v>#NAME?</v>
      </c>
      <c r="CO176" s="21" t="e">
        <f t="shared" ca="1" si="1311"/>
        <v>#NAME?</v>
      </c>
      <c r="CP176" s="21" t="e">
        <f t="shared" ca="1" si="1311"/>
        <v>#NAME?</v>
      </c>
      <c r="CQ176" s="21" t="e">
        <f t="shared" ca="1" si="1311"/>
        <v>#NAME?</v>
      </c>
      <c r="CR176" s="21" t="e">
        <f t="shared" ca="1" si="1311"/>
        <v>#NAME?</v>
      </c>
      <c r="CS176" s="21" t="e">
        <f t="shared" ca="1" si="1311"/>
        <v>#NAME?</v>
      </c>
      <c r="CT176" s="21" t="e">
        <f t="shared" ca="1" si="1311"/>
        <v>#NAME?</v>
      </c>
      <c r="CU176" s="21" t="e">
        <f t="shared" ca="1" si="1311"/>
        <v>#NAME?</v>
      </c>
      <c r="CV176" s="21" t="e">
        <f t="shared" ca="1" si="1311"/>
        <v>#NAME?</v>
      </c>
      <c r="CW176" s="21" t="e">
        <f t="shared" ca="1" si="1311"/>
        <v>#NAME?</v>
      </c>
      <c r="CX176" s="21" t="e">
        <f t="shared" ca="1" si="1311"/>
        <v>#NAME?</v>
      </c>
      <c r="CY176" s="21" t="e">
        <f t="shared" ca="1" si="1311"/>
        <v>#NAME?</v>
      </c>
      <c r="CZ176" s="21" t="e">
        <f t="shared" ca="1" si="1311"/>
        <v>#NAME?</v>
      </c>
      <c r="DA176" s="21" t="e">
        <f t="shared" ca="1" si="1311"/>
        <v>#NAME?</v>
      </c>
      <c r="DB176" s="21" t="e">
        <f t="shared" ca="1" si="1311"/>
        <v>#NAME?</v>
      </c>
      <c r="DE176" s="126"/>
      <c r="DF176" s="22">
        <v>11.048999999999999</v>
      </c>
    </row>
    <row r="177" spans="1:110" s="23" customFormat="1" x14ac:dyDescent="0.2">
      <c r="AB177" s="24"/>
      <c r="AC177" s="24"/>
      <c r="AD177" s="24"/>
      <c r="AE177" s="24"/>
      <c r="CK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23" customFormat="1" x14ac:dyDescent="0.2">
      <c r="A178" s="23" t="s">
        <v>78</v>
      </c>
      <c r="B178" s="23" t="e">
        <f ca="1">-'Annual Raw'!C49</f>
        <v>#NAME?</v>
      </c>
      <c r="C178" s="23" t="e">
        <f ca="1">-'Annual Raw'!D49</f>
        <v>#NAME?</v>
      </c>
      <c r="D178" s="23" t="e">
        <f ca="1">-'Annual Raw'!E49</f>
        <v>#NAME?</v>
      </c>
      <c r="E178" s="23" t="e">
        <f ca="1">-'Annual Raw'!F49</f>
        <v>#NAME?</v>
      </c>
      <c r="F178" s="23" t="e">
        <f ca="1">-'Annual Raw'!G49</f>
        <v>#NAME?</v>
      </c>
      <c r="G178" s="23" t="e">
        <f ca="1">-'Annual Raw'!H49</f>
        <v>#NAME?</v>
      </c>
      <c r="H178" s="23" t="e">
        <f ca="1">-'Annual Raw'!I49</f>
        <v>#NAME?</v>
      </c>
      <c r="I178" s="23" t="e">
        <f ca="1">-'Annual Raw'!J49</f>
        <v>#NAME?</v>
      </c>
      <c r="J178" s="23" t="e">
        <f ca="1">-'Annual Raw'!K49</f>
        <v>#NAME?</v>
      </c>
      <c r="K178" s="23" t="e">
        <f ca="1">-'Annual Raw'!L49</f>
        <v>#NAME?</v>
      </c>
      <c r="L178" s="23" t="e">
        <f ca="1">-'Annual Raw'!M49</f>
        <v>#NAME?</v>
      </c>
      <c r="M178" s="23" t="e">
        <f ca="1">-'Annual Raw'!N49</f>
        <v>#NAME?</v>
      </c>
      <c r="N178" s="23" t="e">
        <f ca="1">-'Annual Raw'!O49</f>
        <v>#NAME?</v>
      </c>
      <c r="O178" s="23" t="e">
        <f ca="1">-'Annual Raw'!P49</f>
        <v>#NAME?</v>
      </c>
      <c r="P178" s="23" t="e">
        <f ca="1">-'Annual Raw'!Q49</f>
        <v>#NAME?</v>
      </c>
      <c r="Q178" s="23" t="e">
        <f ca="1">-'Annual Raw'!R49</f>
        <v>#NAME?</v>
      </c>
      <c r="R178" s="23" t="e">
        <f ca="1">-'Annual Raw'!S49</f>
        <v>#NAME?</v>
      </c>
      <c r="S178" s="23" t="e">
        <f ca="1">-'Annual Raw'!T49</f>
        <v>#NAME?</v>
      </c>
      <c r="T178" s="23" t="e">
        <f ca="1">-'Annual Raw'!U49</f>
        <v>#NAME?</v>
      </c>
      <c r="U178" s="23" t="e">
        <f ca="1">-'Annual Raw'!V49</f>
        <v>#NAME?</v>
      </c>
      <c r="V178" s="23" t="e">
        <f ca="1">-'Annual Raw'!W49</f>
        <v>#NAME?</v>
      </c>
      <c r="W178" s="23" t="e">
        <f ca="1">-'Annual Raw'!X49</f>
        <v>#NAME?</v>
      </c>
      <c r="X178" s="23" t="e">
        <f ca="1">-'Annual Raw'!Y49</f>
        <v>#NAME?</v>
      </c>
      <c r="Y178" s="23" t="e">
        <f ca="1">-'Annual Raw'!Z49</f>
        <v>#NAME?</v>
      </c>
      <c r="Z178" s="23" t="e">
        <f ca="1">-'Annual Raw'!AA49</f>
        <v>#NAME?</v>
      </c>
      <c r="AA178" s="23" t="e">
        <f ca="1">-'Annual Raw'!AB49</f>
        <v>#NAME?</v>
      </c>
      <c r="AB178" s="24" t="e">
        <f t="shared" ref="AB178:AB179" ca="1" si="1313">+CP178</f>
        <v>#NAME?</v>
      </c>
      <c r="AC178" s="24" t="e">
        <f t="shared" ref="AC178:AC179" ca="1" si="1314">+CT178</f>
        <v>#NAME?</v>
      </c>
      <c r="AD178" s="24" t="e">
        <f t="shared" ref="AD178:AD179" ca="1" si="1315">+CX178</f>
        <v>#NAME?</v>
      </c>
      <c r="AE178" s="24" t="e">
        <f t="shared" ref="AE178:AE179" ca="1" si="1316">+DB178</f>
        <v>#NAME?</v>
      </c>
      <c r="AJ178" s="23" t="e">
        <f ca="1">+'QTR Raw'!D96</f>
        <v>#NAME?</v>
      </c>
      <c r="AK178" s="23" t="e">
        <f t="shared" ref="AK178:CE178" ca="1" si="1317">+AJ178</f>
        <v>#NAME?</v>
      </c>
      <c r="AL178" s="23" t="e">
        <f ca="1">+'QTR Raw'!F96</f>
        <v>#NAME?</v>
      </c>
      <c r="AM178" s="23" t="e">
        <f t="shared" ca="1" si="1317"/>
        <v>#NAME?</v>
      </c>
      <c r="AN178" s="23" t="e">
        <f ca="1">+'QTR Raw'!H96</f>
        <v>#NAME?</v>
      </c>
      <c r="AO178" s="23" t="e">
        <f t="shared" ca="1" si="1317"/>
        <v>#NAME?</v>
      </c>
      <c r="AP178" s="23" t="e">
        <f ca="1">+'QTR Raw'!J96</f>
        <v>#NAME?</v>
      </c>
      <c r="AQ178" s="23" t="e">
        <f t="shared" ca="1" si="1317"/>
        <v>#NAME?</v>
      </c>
      <c r="AR178" s="23" t="e">
        <f ca="1">+'QTR Raw'!L96</f>
        <v>#NAME?</v>
      </c>
      <c r="AS178" s="23" t="e">
        <f t="shared" ca="1" si="1317"/>
        <v>#NAME?</v>
      </c>
      <c r="AT178" s="23" t="e">
        <f ca="1">+'QTR Raw'!N96</f>
        <v>#NAME?</v>
      </c>
      <c r="AU178" s="23" t="e">
        <f t="shared" ca="1" si="1317"/>
        <v>#NAME?</v>
      </c>
      <c r="AV178" s="23" t="e">
        <f ca="1">+'QTR Raw'!P96</f>
        <v>#NAME?</v>
      </c>
      <c r="AW178" s="23" t="e">
        <f t="shared" ca="1" si="1317"/>
        <v>#NAME?</v>
      </c>
      <c r="AX178" s="23" t="e">
        <f ca="1">+'QTR Raw'!R96</f>
        <v>#NAME?</v>
      </c>
      <c r="AY178" s="23" t="e">
        <f t="shared" ca="1" si="1317"/>
        <v>#NAME?</v>
      </c>
      <c r="AZ178" s="23" t="e">
        <f ca="1">+'QTR Raw'!T96</f>
        <v>#NAME?</v>
      </c>
      <c r="BA178" s="23" t="e">
        <f t="shared" ca="1" si="1317"/>
        <v>#NAME?</v>
      </c>
      <c r="BB178" s="23" t="e">
        <f ca="1">+'QTR Raw'!V96</f>
        <v>#NAME?</v>
      </c>
      <c r="BC178" s="23" t="e">
        <f t="shared" ca="1" si="1317"/>
        <v>#NAME?</v>
      </c>
      <c r="BD178" s="23" t="e">
        <f ca="1">+'QTR Raw'!X96</f>
        <v>#NAME?</v>
      </c>
      <c r="BE178" s="23" t="e">
        <f t="shared" ca="1" si="1317"/>
        <v>#NAME?</v>
      </c>
      <c r="BF178" s="23" t="e">
        <f ca="1">+'QTR Raw'!Z96</f>
        <v>#NAME?</v>
      </c>
      <c r="BG178" s="23" t="e">
        <f t="shared" ca="1" si="1317"/>
        <v>#NAME?</v>
      </c>
      <c r="BH178" s="23" t="e">
        <f ca="1">+'QTR Raw'!AB96</f>
        <v>#NAME?</v>
      </c>
      <c r="BI178" s="23" t="e">
        <f t="shared" ca="1" si="1317"/>
        <v>#NAME?</v>
      </c>
      <c r="BJ178" s="23" t="e">
        <f ca="1">+'QTR Raw'!AD96</f>
        <v>#NAME?</v>
      </c>
      <c r="BK178" s="23" t="e">
        <f t="shared" ca="1" si="1317"/>
        <v>#NAME?</v>
      </c>
      <c r="BL178" s="23" t="e">
        <f ca="1">+'QTR Raw'!AF96</f>
        <v>#NAME?</v>
      </c>
      <c r="BM178" s="23" t="e">
        <f t="shared" ca="1" si="1317"/>
        <v>#NAME?</v>
      </c>
      <c r="BN178" s="23" t="e">
        <f ca="1">+'QTR Raw'!AH96</f>
        <v>#NAME?</v>
      </c>
      <c r="BO178" s="23" t="e">
        <f t="shared" ca="1" si="1317"/>
        <v>#NAME?</v>
      </c>
      <c r="BP178" s="23" t="e">
        <f ca="1">+'QTR Raw'!AJ96</f>
        <v>#NAME?</v>
      </c>
      <c r="BQ178" s="23" t="e">
        <f t="shared" ca="1" si="1317"/>
        <v>#NAME?</v>
      </c>
      <c r="BR178" s="23" t="e">
        <f ca="1">+'QTR Raw'!AL96</f>
        <v>#NAME?</v>
      </c>
      <c r="BS178" s="23" t="e">
        <f t="shared" ca="1" si="1317"/>
        <v>#NAME?</v>
      </c>
      <c r="BT178" s="23" t="e">
        <f ca="1">+'QTR Raw'!AN96</f>
        <v>#NAME?</v>
      </c>
      <c r="BU178" s="23" t="e">
        <f t="shared" ca="1" si="1317"/>
        <v>#NAME?</v>
      </c>
      <c r="BV178" s="23" t="e">
        <f ca="1">+'QTR Raw'!AP96</f>
        <v>#NAME?</v>
      </c>
      <c r="BW178" s="23" t="e">
        <f t="shared" ca="1" si="1317"/>
        <v>#NAME?</v>
      </c>
      <c r="BX178" s="23" t="e">
        <f ca="1">+'QTR Raw'!AR96</f>
        <v>#NAME?</v>
      </c>
      <c r="BY178" s="23" t="e">
        <f t="shared" ca="1" si="1317"/>
        <v>#NAME?</v>
      </c>
      <c r="BZ178" s="23" t="e">
        <f ca="1">+'QTR Raw'!AT96</f>
        <v>#NAME?</v>
      </c>
      <c r="CA178" s="23" t="e">
        <f t="shared" ca="1" si="1317"/>
        <v>#NAME?</v>
      </c>
      <c r="CB178" s="23" t="e">
        <f ca="1">+'QTR Raw'!AV96</f>
        <v>#NAME?</v>
      </c>
      <c r="CC178" s="23" t="e">
        <f t="shared" ca="1" si="1317"/>
        <v>#NAME?</v>
      </c>
      <c r="CD178" s="23" t="e">
        <f ca="1">+'QTR Raw'!AX96</f>
        <v>#NAME?</v>
      </c>
      <c r="CE178" s="23" t="e">
        <f t="shared" ca="1" si="1317"/>
        <v>#NAME?</v>
      </c>
      <c r="CF178" s="23" t="e">
        <f ca="1">+'QTR Raw'!AZ96</f>
        <v>#NAME?</v>
      </c>
      <c r="CG178" s="23" t="e">
        <f t="shared" ref="CG178:CI179" ca="1" si="1318">+CF178</f>
        <v>#NAME?</v>
      </c>
      <c r="CH178" s="23" t="e">
        <f t="shared" ref="CH178:CH179" ca="1" si="1319">Z178</f>
        <v>#NAME?</v>
      </c>
      <c r="CI178" s="23" t="e">
        <f t="shared" ca="1" si="1318"/>
        <v>#NAME?</v>
      </c>
      <c r="CJ178" s="23" t="e">
        <f ca="1">+'QTR Raw'!BD96</f>
        <v>#NAME?</v>
      </c>
      <c r="CK178" s="24" t="e">
        <f t="shared" ref="CK178:CK179" ca="1" si="1320">+CJ178</f>
        <v>#NAME?</v>
      </c>
      <c r="CL178" s="23" t="e">
        <f ca="1">+'QTR Raw'!BF96</f>
        <v>#NAME?</v>
      </c>
      <c r="CM178" s="24" t="e">
        <f t="shared" ref="CM178:CM179" ca="1" si="1321">+CL178</f>
        <v>#NAME?</v>
      </c>
      <c r="CN178" s="24" t="e">
        <f t="shared" ref="CN178:CN179" ca="1" si="1322">+CM178</f>
        <v>#NAME?</v>
      </c>
      <c r="CO178" s="24" t="e">
        <f t="shared" ref="CO178:CO179" ca="1" si="1323">+CN178</f>
        <v>#NAME?</v>
      </c>
      <c r="CP178" s="24" t="e">
        <f t="shared" ref="CP178:CP179" ca="1" si="1324">+CO178</f>
        <v>#NAME?</v>
      </c>
      <c r="CQ178" s="24" t="e">
        <f t="shared" ref="CQ178:CQ179" ca="1" si="1325">+CP178</f>
        <v>#NAME?</v>
      </c>
      <c r="CR178" s="24" t="e">
        <f t="shared" ref="CR178:CR179" ca="1" si="1326">+CQ178</f>
        <v>#NAME?</v>
      </c>
      <c r="CS178" s="24" t="e">
        <f t="shared" ref="CS178:CS179" ca="1" si="1327">+CR178</f>
        <v>#NAME?</v>
      </c>
      <c r="CT178" s="24" t="e">
        <f t="shared" ref="CT178:CT179" ca="1" si="1328">+CS178</f>
        <v>#NAME?</v>
      </c>
      <c r="CU178" s="24" t="e">
        <f t="shared" ref="CU178:CU179" ca="1" si="1329">+CT178</f>
        <v>#NAME?</v>
      </c>
      <c r="CV178" s="24" t="e">
        <f t="shared" ref="CV178:CV179" ca="1" si="1330">+CU178</f>
        <v>#NAME?</v>
      </c>
      <c r="CW178" s="24" t="e">
        <f t="shared" ref="CW178:CW179" ca="1" si="1331">+CV178</f>
        <v>#NAME?</v>
      </c>
      <c r="CX178" s="24" t="e">
        <f t="shared" ref="CX178:CX179" ca="1" si="1332">+CW178</f>
        <v>#NAME?</v>
      </c>
      <c r="CY178" s="24" t="e">
        <f t="shared" ref="CY178:CY179" ca="1" si="1333">+CX178</f>
        <v>#NAME?</v>
      </c>
      <c r="CZ178" s="24" t="e">
        <f t="shared" ref="CZ178:CZ179" ca="1" si="1334">+CY178</f>
        <v>#NAME?</v>
      </c>
      <c r="DA178" s="24" t="e">
        <f t="shared" ref="DA178:DA179" ca="1" si="1335">+CZ178</f>
        <v>#NAME?</v>
      </c>
      <c r="DB178" s="24" t="e">
        <f t="shared" ref="DB178:DB179" ca="1" si="1336">+DA178</f>
        <v>#NAME?</v>
      </c>
      <c r="DE178" s="123"/>
      <c r="DF178" s="23">
        <v>-5.1999999999999998E-2</v>
      </c>
    </row>
    <row r="179" spans="1:110" s="23" customFormat="1" x14ac:dyDescent="0.2">
      <c r="A179" s="23" t="s">
        <v>79</v>
      </c>
      <c r="B179" s="23" t="e">
        <f ca="1">'Annual Raw'!C83</f>
        <v>#NAME?</v>
      </c>
      <c r="C179" s="23" t="e">
        <f ca="1">'Annual Raw'!D83</f>
        <v>#NAME?</v>
      </c>
      <c r="D179" s="23" t="e">
        <f ca="1">'Annual Raw'!E83</f>
        <v>#NAME?</v>
      </c>
      <c r="E179" s="23" t="e">
        <f ca="1">'Annual Raw'!F83</f>
        <v>#NAME?</v>
      </c>
      <c r="F179" s="23" t="e">
        <f ca="1">'Annual Raw'!G83</f>
        <v>#NAME?</v>
      </c>
      <c r="G179" s="23" t="e">
        <f ca="1">'Annual Raw'!H83</f>
        <v>#NAME?</v>
      </c>
      <c r="H179" s="23" t="e">
        <f ca="1">'Annual Raw'!I83</f>
        <v>#NAME?</v>
      </c>
      <c r="I179" s="23" t="e">
        <f ca="1">'Annual Raw'!J83</f>
        <v>#NAME?</v>
      </c>
      <c r="J179" s="23" t="e">
        <f ca="1">'Annual Raw'!K83</f>
        <v>#NAME?</v>
      </c>
      <c r="K179" s="23" t="e">
        <f ca="1">'Annual Raw'!L83</f>
        <v>#NAME?</v>
      </c>
      <c r="L179" s="23" t="e">
        <f ca="1">'Annual Raw'!M83</f>
        <v>#NAME?</v>
      </c>
      <c r="M179" s="23" t="e">
        <f ca="1">'Annual Raw'!N83</f>
        <v>#NAME?</v>
      </c>
      <c r="N179" s="23" t="e">
        <f ca="1">'Annual Raw'!O83</f>
        <v>#NAME?</v>
      </c>
      <c r="O179" s="23" t="e">
        <f ca="1">'Annual Raw'!P83</f>
        <v>#NAME?</v>
      </c>
      <c r="P179" s="23" t="e">
        <f ca="1">'Annual Raw'!Q83</f>
        <v>#NAME?</v>
      </c>
      <c r="Q179" s="23" t="e">
        <f ca="1">'Annual Raw'!R83</f>
        <v>#NAME?</v>
      </c>
      <c r="R179" s="23" t="e">
        <f ca="1">'Annual Raw'!S83</f>
        <v>#NAME?</v>
      </c>
      <c r="S179" s="23" t="e">
        <f ca="1">'Annual Raw'!T83</f>
        <v>#NAME?</v>
      </c>
      <c r="T179" s="23" t="e">
        <f ca="1">'Annual Raw'!U83</f>
        <v>#NAME?</v>
      </c>
      <c r="U179" s="23" t="e">
        <f ca="1">'Annual Raw'!V83</f>
        <v>#NAME?</v>
      </c>
      <c r="V179" s="23" t="e">
        <f ca="1">'Annual Raw'!W83</f>
        <v>#NAME?</v>
      </c>
      <c r="W179" s="23" t="e">
        <f ca="1">'Annual Raw'!X83</f>
        <v>#NAME?</v>
      </c>
      <c r="X179" s="23" t="e">
        <f ca="1">'Annual Raw'!Y83</f>
        <v>#NAME?</v>
      </c>
      <c r="Y179" s="23" t="e">
        <f ca="1">'Annual Raw'!Z83</f>
        <v>#NAME?</v>
      </c>
      <c r="Z179" s="23" t="e">
        <f ca="1">'Annual Raw'!AA83</f>
        <v>#NAME?</v>
      </c>
      <c r="AA179" s="23" t="e">
        <f ca="1">'Annual Raw'!AB83</f>
        <v>#NAME?</v>
      </c>
      <c r="AB179" s="24" t="e">
        <f t="shared" ca="1" si="1313"/>
        <v>#NAME?</v>
      </c>
      <c r="AC179" s="24" t="e">
        <f t="shared" ca="1" si="1314"/>
        <v>#NAME?</v>
      </c>
      <c r="AD179" s="24" t="e">
        <f t="shared" ca="1" si="1315"/>
        <v>#NAME?</v>
      </c>
      <c r="AE179" s="24" t="e">
        <f t="shared" ca="1" si="1316"/>
        <v>#NAME?</v>
      </c>
      <c r="AJ179" s="23" t="e">
        <f ca="1">+'QTR Raw'!D95</f>
        <v>#NAME?</v>
      </c>
      <c r="AK179" s="23" t="e">
        <f t="shared" ref="AK179:CE179" ca="1" si="1337">+AJ179</f>
        <v>#NAME?</v>
      </c>
      <c r="AL179" s="23" t="e">
        <f ca="1">+'QTR Raw'!F95</f>
        <v>#NAME?</v>
      </c>
      <c r="AM179" s="23" t="e">
        <f t="shared" ca="1" si="1337"/>
        <v>#NAME?</v>
      </c>
      <c r="AN179" s="23" t="e">
        <f ca="1">+'QTR Raw'!H95</f>
        <v>#NAME?</v>
      </c>
      <c r="AO179" s="23" t="e">
        <f t="shared" ca="1" si="1337"/>
        <v>#NAME?</v>
      </c>
      <c r="AP179" s="23" t="e">
        <f ca="1">+'QTR Raw'!J95</f>
        <v>#NAME?</v>
      </c>
      <c r="AQ179" s="23" t="e">
        <f t="shared" ca="1" si="1337"/>
        <v>#NAME?</v>
      </c>
      <c r="AR179" s="23" t="e">
        <f ca="1">+'QTR Raw'!L95</f>
        <v>#NAME?</v>
      </c>
      <c r="AS179" s="23" t="e">
        <f t="shared" ca="1" si="1337"/>
        <v>#NAME?</v>
      </c>
      <c r="AT179" s="23" t="e">
        <f ca="1">+'QTR Raw'!N95</f>
        <v>#NAME?</v>
      </c>
      <c r="AU179" s="23" t="e">
        <f t="shared" ca="1" si="1337"/>
        <v>#NAME?</v>
      </c>
      <c r="AV179" s="23" t="e">
        <f ca="1">+'QTR Raw'!P95</f>
        <v>#NAME?</v>
      </c>
      <c r="AW179" s="23" t="e">
        <f t="shared" ca="1" si="1337"/>
        <v>#NAME?</v>
      </c>
      <c r="AX179" s="23" t="e">
        <f ca="1">+'QTR Raw'!R95</f>
        <v>#NAME?</v>
      </c>
      <c r="AY179" s="23" t="e">
        <f t="shared" ca="1" si="1337"/>
        <v>#NAME?</v>
      </c>
      <c r="AZ179" s="23" t="e">
        <f ca="1">+'QTR Raw'!T95</f>
        <v>#NAME?</v>
      </c>
      <c r="BA179" s="23" t="e">
        <f t="shared" ca="1" si="1337"/>
        <v>#NAME?</v>
      </c>
      <c r="BB179" s="23" t="e">
        <f ca="1">+'QTR Raw'!V95</f>
        <v>#NAME?</v>
      </c>
      <c r="BC179" s="23" t="e">
        <f t="shared" ca="1" si="1337"/>
        <v>#NAME?</v>
      </c>
      <c r="BD179" s="23" t="e">
        <f ca="1">+'QTR Raw'!X95</f>
        <v>#NAME?</v>
      </c>
      <c r="BE179" s="23" t="e">
        <f t="shared" ca="1" si="1337"/>
        <v>#NAME?</v>
      </c>
      <c r="BF179" s="23" t="e">
        <f ca="1">+'QTR Raw'!Z95</f>
        <v>#NAME?</v>
      </c>
      <c r="BG179" s="23" t="e">
        <f t="shared" ca="1" si="1337"/>
        <v>#NAME?</v>
      </c>
      <c r="BH179" s="23" t="e">
        <f ca="1">+'QTR Raw'!AB95</f>
        <v>#NAME?</v>
      </c>
      <c r="BI179" s="23" t="e">
        <f t="shared" ca="1" si="1337"/>
        <v>#NAME?</v>
      </c>
      <c r="BJ179" s="23" t="e">
        <f ca="1">+'QTR Raw'!AD95</f>
        <v>#NAME?</v>
      </c>
      <c r="BK179" s="23" t="e">
        <f t="shared" ca="1" si="1337"/>
        <v>#NAME?</v>
      </c>
      <c r="BL179" s="23" t="e">
        <f ca="1">+'QTR Raw'!AF95</f>
        <v>#NAME?</v>
      </c>
      <c r="BM179" s="23" t="e">
        <f t="shared" ca="1" si="1337"/>
        <v>#NAME?</v>
      </c>
      <c r="BN179" s="23" t="e">
        <f ca="1">+'QTR Raw'!AH95</f>
        <v>#NAME?</v>
      </c>
      <c r="BO179" s="23" t="e">
        <f t="shared" ca="1" si="1337"/>
        <v>#NAME?</v>
      </c>
      <c r="BP179" s="23" t="e">
        <f ca="1">+'QTR Raw'!AJ95</f>
        <v>#NAME?</v>
      </c>
      <c r="BQ179" s="23" t="e">
        <f t="shared" ca="1" si="1337"/>
        <v>#NAME?</v>
      </c>
      <c r="BR179" s="23" t="e">
        <f ca="1">+'QTR Raw'!AL95</f>
        <v>#NAME?</v>
      </c>
      <c r="BS179" s="23" t="e">
        <f t="shared" ca="1" si="1337"/>
        <v>#NAME?</v>
      </c>
      <c r="BT179" s="23" t="e">
        <f ca="1">+'QTR Raw'!AN95</f>
        <v>#NAME?</v>
      </c>
      <c r="BU179" s="23" t="e">
        <f t="shared" ca="1" si="1337"/>
        <v>#NAME?</v>
      </c>
      <c r="BV179" s="23" t="e">
        <f ca="1">+'QTR Raw'!AP95</f>
        <v>#NAME?</v>
      </c>
      <c r="BW179" s="23" t="e">
        <f t="shared" ca="1" si="1337"/>
        <v>#NAME?</v>
      </c>
      <c r="BX179" s="23" t="e">
        <f ca="1">+'QTR Raw'!AR95</f>
        <v>#NAME?</v>
      </c>
      <c r="BY179" s="23" t="e">
        <f t="shared" ca="1" si="1337"/>
        <v>#NAME?</v>
      </c>
      <c r="BZ179" s="23" t="e">
        <f ca="1">+'QTR Raw'!AT95</f>
        <v>#NAME?</v>
      </c>
      <c r="CA179" s="23" t="e">
        <f t="shared" ca="1" si="1337"/>
        <v>#NAME?</v>
      </c>
      <c r="CB179" s="23" t="e">
        <f ca="1">+'QTR Raw'!AV95</f>
        <v>#NAME?</v>
      </c>
      <c r="CC179" s="23" t="e">
        <f t="shared" ca="1" si="1337"/>
        <v>#NAME?</v>
      </c>
      <c r="CD179" s="23" t="e">
        <f ca="1">+'QTR Raw'!AX95</f>
        <v>#NAME?</v>
      </c>
      <c r="CE179" s="23" t="e">
        <f t="shared" ca="1" si="1337"/>
        <v>#NAME?</v>
      </c>
      <c r="CF179" s="23" t="e">
        <f ca="1">+'QTR Raw'!AZ95</f>
        <v>#NAME?</v>
      </c>
      <c r="CG179" s="23" t="e">
        <f t="shared" ca="1" si="1318"/>
        <v>#NAME?</v>
      </c>
      <c r="CH179" s="23" t="e">
        <f t="shared" ca="1" si="1319"/>
        <v>#NAME?</v>
      </c>
      <c r="CI179" s="23" t="e">
        <f t="shared" ca="1" si="1318"/>
        <v>#NAME?</v>
      </c>
      <c r="CJ179" s="23" t="e">
        <f ca="1">+'QTR Raw'!BD95</f>
        <v>#NAME?</v>
      </c>
      <c r="CK179" s="24" t="e">
        <f t="shared" ca="1" si="1320"/>
        <v>#NAME?</v>
      </c>
      <c r="CL179" s="23" t="e">
        <f ca="1">+'QTR Raw'!BF95</f>
        <v>#NAME?</v>
      </c>
      <c r="CM179" s="24" t="e">
        <f t="shared" ca="1" si="1321"/>
        <v>#NAME?</v>
      </c>
      <c r="CN179" s="24" t="e">
        <f t="shared" ca="1" si="1322"/>
        <v>#NAME?</v>
      </c>
      <c r="CO179" s="24" t="e">
        <f t="shared" ca="1" si="1323"/>
        <v>#NAME?</v>
      </c>
      <c r="CP179" s="24" t="e">
        <f t="shared" ca="1" si="1324"/>
        <v>#NAME?</v>
      </c>
      <c r="CQ179" s="24" t="e">
        <f t="shared" ca="1" si="1325"/>
        <v>#NAME?</v>
      </c>
      <c r="CR179" s="24" t="e">
        <f t="shared" ca="1" si="1326"/>
        <v>#NAME?</v>
      </c>
      <c r="CS179" s="24" t="e">
        <f t="shared" ca="1" si="1327"/>
        <v>#NAME?</v>
      </c>
      <c r="CT179" s="24" t="e">
        <f t="shared" ca="1" si="1328"/>
        <v>#NAME?</v>
      </c>
      <c r="CU179" s="24" t="e">
        <f t="shared" ca="1" si="1329"/>
        <v>#NAME?</v>
      </c>
      <c r="CV179" s="24" t="e">
        <f t="shared" ca="1" si="1330"/>
        <v>#NAME?</v>
      </c>
      <c r="CW179" s="24" t="e">
        <f t="shared" ca="1" si="1331"/>
        <v>#NAME?</v>
      </c>
      <c r="CX179" s="24" t="e">
        <f t="shared" ca="1" si="1332"/>
        <v>#NAME?</v>
      </c>
      <c r="CY179" s="24" t="e">
        <f t="shared" ca="1" si="1333"/>
        <v>#NAME?</v>
      </c>
      <c r="CZ179" s="24" t="e">
        <f t="shared" ca="1" si="1334"/>
        <v>#NAME?</v>
      </c>
      <c r="DA179" s="24" t="e">
        <f t="shared" ca="1" si="1335"/>
        <v>#NAME?</v>
      </c>
      <c r="DB179" s="24" t="e">
        <f t="shared" ca="1" si="1336"/>
        <v>#NAME?</v>
      </c>
      <c r="DE179" s="123"/>
      <c r="DF179" s="23">
        <v>0</v>
      </c>
    </row>
    <row r="180" spans="1:110" s="26" customFormat="1" x14ac:dyDescent="0.2">
      <c r="A180" s="26" t="s">
        <v>438</v>
      </c>
      <c r="B180" s="26" t="e">
        <f t="shared" ref="B180:W180" ca="1" si="1338">B178+B176+B172+B155+B153+B179</f>
        <v>#NAME?</v>
      </c>
      <c r="C180" s="26" t="e">
        <f t="shared" ca="1" si="1338"/>
        <v>#NAME?</v>
      </c>
      <c r="D180" s="26" t="e">
        <f t="shared" ca="1" si="1338"/>
        <v>#NAME?</v>
      </c>
      <c r="E180" s="26" t="e">
        <f t="shared" ca="1" si="1338"/>
        <v>#NAME?</v>
      </c>
      <c r="F180" s="26" t="e">
        <f t="shared" ca="1" si="1338"/>
        <v>#NAME?</v>
      </c>
      <c r="G180" s="26" t="e">
        <f t="shared" ca="1" si="1338"/>
        <v>#NAME?</v>
      </c>
      <c r="H180" s="26" t="e">
        <f t="shared" ca="1" si="1338"/>
        <v>#NAME?</v>
      </c>
      <c r="I180" s="26" t="e">
        <f t="shared" ca="1" si="1338"/>
        <v>#NAME?</v>
      </c>
      <c r="J180" s="26" t="e">
        <f t="shared" ca="1" si="1338"/>
        <v>#NAME?</v>
      </c>
      <c r="K180" s="26" t="e">
        <f t="shared" ca="1" si="1338"/>
        <v>#NAME?</v>
      </c>
      <c r="L180" s="26" t="e">
        <f t="shared" ca="1" si="1338"/>
        <v>#NAME?</v>
      </c>
      <c r="M180" s="26" t="e">
        <f t="shared" ca="1" si="1338"/>
        <v>#NAME?</v>
      </c>
      <c r="N180" s="26" t="e">
        <f t="shared" ca="1" si="1338"/>
        <v>#NAME?</v>
      </c>
      <c r="O180" s="26" t="e">
        <f t="shared" ca="1" si="1338"/>
        <v>#NAME?</v>
      </c>
      <c r="P180" s="26" t="e">
        <f t="shared" ca="1" si="1338"/>
        <v>#NAME?</v>
      </c>
      <c r="Q180" s="26" t="e">
        <f t="shared" ca="1" si="1338"/>
        <v>#NAME?</v>
      </c>
      <c r="R180" s="26" t="e">
        <f t="shared" ca="1" si="1338"/>
        <v>#NAME?</v>
      </c>
      <c r="S180" s="26" t="e">
        <f t="shared" ca="1" si="1338"/>
        <v>#NAME?</v>
      </c>
      <c r="T180" s="26" t="e">
        <f t="shared" ca="1" si="1338"/>
        <v>#NAME?</v>
      </c>
      <c r="U180" s="26" t="e">
        <f t="shared" ca="1" si="1338"/>
        <v>#NAME?</v>
      </c>
      <c r="V180" s="26" t="e">
        <f t="shared" ca="1" si="1338"/>
        <v>#NAME?</v>
      </c>
      <c r="W180" s="26" t="e">
        <f t="shared" ca="1" si="1338"/>
        <v>#NAME?</v>
      </c>
      <c r="X180" s="26" t="e">
        <f t="shared" ref="X180:Y180" ca="1" si="1339">X178+X176+X172+X155+X153+X179</f>
        <v>#NAME?</v>
      </c>
      <c r="Y180" s="26" t="e">
        <f t="shared" ca="1" si="1339"/>
        <v>#NAME?</v>
      </c>
      <c r="Z180" s="26" t="e">
        <f t="shared" ref="Z180:AA180" ca="1" si="1340">Z178+Z176+Z172+Z155+Z153+Z179</f>
        <v>#NAME?</v>
      </c>
      <c r="AA180" s="26" t="e">
        <f t="shared" ca="1" si="1340"/>
        <v>#NAME?</v>
      </c>
      <c r="AB180" s="27" t="e">
        <f t="shared" ref="AA180:AD180" ca="1" si="1341">AB178+AB176+AB172+AB155+AB153+AB179</f>
        <v>#NAME?</v>
      </c>
      <c r="AC180" s="27" t="e">
        <f t="shared" ca="1" si="1341"/>
        <v>#NAME?</v>
      </c>
      <c r="AD180" s="27" t="e">
        <f t="shared" ca="1" si="1341"/>
        <v>#NAME?</v>
      </c>
      <c r="AE180" s="27" t="e">
        <f t="shared" ref="AE180" ca="1" si="1342">AE178+AE176+AE172+AE155+AE153+AE179</f>
        <v>#NAME?</v>
      </c>
      <c r="AJ180" s="26" t="e">
        <f t="shared" ref="AJ180" ca="1" si="1343">AJ178+AJ176+AJ172+AJ155+AJ153+AJ179</f>
        <v>#NAME?</v>
      </c>
      <c r="AK180" s="26" t="e">
        <f t="shared" ref="AK180:AL180" ca="1" si="1344">AK178+AK176+AK172+AK155+AK153+AK179</f>
        <v>#NAME?</v>
      </c>
      <c r="AL180" s="26" t="e">
        <f t="shared" ca="1" si="1344"/>
        <v>#NAME?</v>
      </c>
      <c r="AM180" s="26" t="e">
        <f t="shared" ref="AM180:AO180" ca="1" si="1345">AM178+AM176+AM172+AM155+AM153+AM179</f>
        <v>#NAME?</v>
      </c>
      <c r="AN180" s="26" t="e">
        <f t="shared" ca="1" si="1345"/>
        <v>#NAME?</v>
      </c>
      <c r="AO180" s="26" t="e">
        <f t="shared" ca="1" si="1345"/>
        <v>#NAME?</v>
      </c>
      <c r="AP180" s="26" t="e">
        <f t="shared" ref="AP180:CE180" ca="1" si="1346">AP178+AP176+AP172+AP155+AP153+AP179</f>
        <v>#NAME?</v>
      </c>
      <c r="AQ180" s="26" t="e">
        <f t="shared" ca="1" si="1346"/>
        <v>#NAME?</v>
      </c>
      <c r="AR180" s="26" t="e">
        <f t="shared" ca="1" si="1346"/>
        <v>#NAME?</v>
      </c>
      <c r="AS180" s="26" t="e">
        <f t="shared" ca="1" si="1346"/>
        <v>#NAME?</v>
      </c>
      <c r="AT180" s="26" t="e">
        <f t="shared" ca="1" si="1346"/>
        <v>#NAME?</v>
      </c>
      <c r="AU180" s="26" t="e">
        <f t="shared" ca="1" si="1346"/>
        <v>#NAME?</v>
      </c>
      <c r="AV180" s="26" t="e">
        <f t="shared" ca="1" si="1346"/>
        <v>#NAME?</v>
      </c>
      <c r="AW180" s="26" t="e">
        <f t="shared" ca="1" si="1346"/>
        <v>#NAME?</v>
      </c>
      <c r="AX180" s="26" t="e">
        <f t="shared" ca="1" si="1346"/>
        <v>#NAME?</v>
      </c>
      <c r="AY180" s="26" t="e">
        <f t="shared" ca="1" si="1346"/>
        <v>#NAME?</v>
      </c>
      <c r="AZ180" s="26" t="e">
        <f t="shared" ca="1" si="1346"/>
        <v>#NAME?</v>
      </c>
      <c r="BA180" s="26" t="e">
        <f t="shared" ca="1" si="1346"/>
        <v>#NAME?</v>
      </c>
      <c r="BB180" s="26" t="e">
        <f t="shared" ca="1" si="1346"/>
        <v>#NAME?</v>
      </c>
      <c r="BC180" s="26" t="e">
        <f t="shared" ca="1" si="1346"/>
        <v>#NAME?</v>
      </c>
      <c r="BD180" s="26" t="e">
        <f t="shared" ca="1" si="1346"/>
        <v>#NAME?</v>
      </c>
      <c r="BE180" s="26" t="e">
        <f t="shared" ca="1" si="1346"/>
        <v>#NAME?</v>
      </c>
      <c r="BF180" s="26" t="e">
        <f t="shared" ca="1" si="1346"/>
        <v>#NAME?</v>
      </c>
      <c r="BG180" s="26" t="e">
        <f t="shared" ca="1" si="1346"/>
        <v>#NAME?</v>
      </c>
      <c r="BH180" s="26" t="e">
        <f t="shared" ref="BH180" ca="1" si="1347">BH178+BH176+BH172+BH155+BH153+BH179</f>
        <v>#NAME?</v>
      </c>
      <c r="BI180" s="26" t="e">
        <f t="shared" ca="1" si="1346"/>
        <v>#NAME?</v>
      </c>
      <c r="BJ180" s="26" t="e">
        <f t="shared" ca="1" si="1346"/>
        <v>#NAME?</v>
      </c>
      <c r="BK180" s="26" t="e">
        <f t="shared" ca="1" si="1346"/>
        <v>#NAME?</v>
      </c>
      <c r="BL180" s="26" t="e">
        <f t="shared" ca="1" si="1346"/>
        <v>#NAME?</v>
      </c>
      <c r="BM180" s="26" t="e">
        <f t="shared" ca="1" si="1346"/>
        <v>#NAME?</v>
      </c>
      <c r="BN180" s="26" t="e">
        <f t="shared" ca="1" si="1346"/>
        <v>#NAME?</v>
      </c>
      <c r="BO180" s="26" t="e">
        <f t="shared" ca="1" si="1346"/>
        <v>#NAME?</v>
      </c>
      <c r="BP180" s="26" t="e">
        <f t="shared" ca="1" si="1346"/>
        <v>#NAME?</v>
      </c>
      <c r="BQ180" s="26" t="e">
        <f t="shared" ca="1" si="1346"/>
        <v>#NAME?</v>
      </c>
      <c r="BR180" s="26" t="e">
        <f t="shared" ca="1" si="1346"/>
        <v>#NAME?</v>
      </c>
      <c r="BS180" s="26" t="e">
        <f t="shared" ca="1" si="1346"/>
        <v>#NAME?</v>
      </c>
      <c r="BT180" s="26" t="e">
        <f t="shared" ca="1" si="1346"/>
        <v>#NAME?</v>
      </c>
      <c r="BU180" s="26" t="e">
        <f t="shared" ca="1" si="1346"/>
        <v>#NAME?</v>
      </c>
      <c r="BV180" s="26" t="e">
        <f t="shared" ca="1" si="1346"/>
        <v>#NAME?</v>
      </c>
      <c r="BW180" s="26" t="e">
        <f t="shared" ca="1" si="1346"/>
        <v>#NAME?</v>
      </c>
      <c r="BX180" s="26" t="e">
        <f t="shared" ca="1" si="1346"/>
        <v>#NAME?</v>
      </c>
      <c r="BY180" s="26" t="e">
        <f t="shared" ca="1" si="1346"/>
        <v>#NAME?</v>
      </c>
      <c r="BZ180" s="26" t="e">
        <f t="shared" ca="1" si="1346"/>
        <v>#NAME?</v>
      </c>
      <c r="CA180" s="26" t="e">
        <f t="shared" ca="1" si="1346"/>
        <v>#NAME?</v>
      </c>
      <c r="CB180" s="26" t="e">
        <f t="shared" ca="1" si="1346"/>
        <v>#NAME?</v>
      </c>
      <c r="CC180" s="26" t="e">
        <f t="shared" ca="1" si="1346"/>
        <v>#NAME?</v>
      </c>
      <c r="CD180" s="26" t="e">
        <f t="shared" ca="1" si="1346"/>
        <v>#NAME?</v>
      </c>
      <c r="CE180" s="26" t="e">
        <f t="shared" ca="1" si="1346"/>
        <v>#NAME?</v>
      </c>
      <c r="CF180" s="26" t="e">
        <f t="shared" ref="CF180:CG180" ca="1" si="1348">CF178+CF176+CF172+CF155+CF153+CF179</f>
        <v>#NAME?</v>
      </c>
      <c r="CG180" s="26" t="e">
        <f t="shared" ca="1" si="1348"/>
        <v>#NAME?</v>
      </c>
      <c r="CH180" s="26" t="e">
        <f t="shared" ref="CH180:CI180" ca="1" si="1349">CH178+CH176+CH172+CH155+CH153+CH179</f>
        <v>#NAME?</v>
      </c>
      <c r="CI180" s="26" t="e">
        <f t="shared" ca="1" si="1349"/>
        <v>#NAME?</v>
      </c>
      <c r="CJ180" s="26" t="e">
        <f t="shared" ref="CJ180:DB180" ca="1" si="1350">CJ178+CJ176+CJ172+CJ155+CJ153+CJ179</f>
        <v>#NAME?</v>
      </c>
      <c r="CK180" s="27" t="e">
        <f t="shared" ca="1" si="1350"/>
        <v>#NAME?</v>
      </c>
      <c r="CL180" s="26" t="e">
        <f t="shared" ref="CL180" ca="1" si="1351">CL178+CL176+CL172+CL155+CL153+CL179</f>
        <v>#NAME?</v>
      </c>
      <c r="CM180" s="27" t="e">
        <f t="shared" ca="1" si="1350"/>
        <v>#NAME?</v>
      </c>
      <c r="CN180" s="27" t="e">
        <f t="shared" ca="1" si="1350"/>
        <v>#NAME?</v>
      </c>
      <c r="CO180" s="27" t="e">
        <f t="shared" ca="1" si="1350"/>
        <v>#NAME?</v>
      </c>
      <c r="CP180" s="27" t="e">
        <f t="shared" ca="1" si="1350"/>
        <v>#NAME?</v>
      </c>
      <c r="CQ180" s="27" t="e">
        <f t="shared" ca="1" si="1350"/>
        <v>#NAME?</v>
      </c>
      <c r="CR180" s="27" t="e">
        <f t="shared" ca="1" si="1350"/>
        <v>#NAME?</v>
      </c>
      <c r="CS180" s="27" t="e">
        <f t="shared" ca="1" si="1350"/>
        <v>#NAME?</v>
      </c>
      <c r="CT180" s="27" t="e">
        <f t="shared" ca="1" si="1350"/>
        <v>#NAME?</v>
      </c>
      <c r="CU180" s="27" t="e">
        <f t="shared" ca="1" si="1350"/>
        <v>#NAME?</v>
      </c>
      <c r="CV180" s="27" t="e">
        <f t="shared" ca="1" si="1350"/>
        <v>#NAME?</v>
      </c>
      <c r="CW180" s="27" t="e">
        <f t="shared" ca="1" si="1350"/>
        <v>#NAME?</v>
      </c>
      <c r="CX180" s="27" t="e">
        <f t="shared" ca="1" si="1350"/>
        <v>#NAME?</v>
      </c>
      <c r="CY180" s="27" t="e">
        <f t="shared" ca="1" si="1350"/>
        <v>#NAME?</v>
      </c>
      <c r="CZ180" s="27" t="e">
        <f t="shared" ca="1" si="1350"/>
        <v>#NAME?</v>
      </c>
      <c r="DA180" s="27" t="e">
        <f t="shared" ca="1" si="1350"/>
        <v>#NAME?</v>
      </c>
      <c r="DB180" s="27" t="e">
        <f t="shared" ca="1" si="1350"/>
        <v>#NAME?</v>
      </c>
      <c r="DE180" s="121"/>
      <c r="DF180" s="26">
        <v>372.61099999999999</v>
      </c>
    </row>
    <row r="181" spans="1:110" s="23" customFormat="1" x14ac:dyDescent="0.2">
      <c r="A181" s="28" t="s">
        <v>439</v>
      </c>
      <c r="B181" s="23" t="e">
        <f t="shared" ref="B181:W181" ca="1" si="1352">B180-B144</f>
        <v>#NAME?</v>
      </c>
      <c r="C181" s="23" t="e">
        <f t="shared" ca="1" si="1352"/>
        <v>#NAME?</v>
      </c>
      <c r="D181" s="23" t="e">
        <f t="shared" ca="1" si="1352"/>
        <v>#NAME?</v>
      </c>
      <c r="E181" s="23" t="e">
        <f t="shared" ca="1" si="1352"/>
        <v>#NAME?</v>
      </c>
      <c r="F181" s="23" t="e">
        <f t="shared" ca="1" si="1352"/>
        <v>#NAME?</v>
      </c>
      <c r="G181" s="23" t="e">
        <f t="shared" ca="1" si="1352"/>
        <v>#NAME?</v>
      </c>
      <c r="H181" s="23" t="e">
        <f t="shared" ca="1" si="1352"/>
        <v>#NAME?</v>
      </c>
      <c r="I181" s="23" t="e">
        <f t="shared" ca="1" si="1352"/>
        <v>#NAME?</v>
      </c>
      <c r="J181" s="23" t="e">
        <f t="shared" ca="1" si="1352"/>
        <v>#NAME?</v>
      </c>
      <c r="K181" s="23" t="e">
        <f t="shared" ca="1" si="1352"/>
        <v>#NAME?</v>
      </c>
      <c r="L181" s="23" t="e">
        <f t="shared" ca="1" si="1352"/>
        <v>#NAME?</v>
      </c>
      <c r="M181" s="23" t="e">
        <f t="shared" ca="1" si="1352"/>
        <v>#NAME?</v>
      </c>
      <c r="N181" s="23" t="e">
        <f t="shared" ca="1" si="1352"/>
        <v>#NAME?</v>
      </c>
      <c r="O181" s="23" t="e">
        <f t="shared" ca="1" si="1352"/>
        <v>#NAME?</v>
      </c>
      <c r="P181" s="23" t="e">
        <f t="shared" ca="1" si="1352"/>
        <v>#NAME?</v>
      </c>
      <c r="Q181" s="23" t="e">
        <f t="shared" ca="1" si="1352"/>
        <v>#NAME?</v>
      </c>
      <c r="R181" s="23" t="e">
        <f t="shared" ca="1" si="1352"/>
        <v>#NAME?</v>
      </c>
      <c r="S181" s="23" t="e">
        <f t="shared" ca="1" si="1352"/>
        <v>#NAME?</v>
      </c>
      <c r="T181" s="23" t="e">
        <f t="shared" ca="1" si="1352"/>
        <v>#NAME?</v>
      </c>
      <c r="U181" s="23" t="e">
        <f t="shared" ca="1" si="1352"/>
        <v>#NAME?</v>
      </c>
      <c r="V181" s="23" t="e">
        <f t="shared" ca="1" si="1352"/>
        <v>#NAME?</v>
      </c>
      <c r="W181" s="23" t="e">
        <f t="shared" ca="1" si="1352"/>
        <v>#NAME?</v>
      </c>
      <c r="X181" s="23" t="e">
        <f t="shared" ref="X181:Y181" ca="1" si="1353">X180-X144</f>
        <v>#NAME?</v>
      </c>
      <c r="Y181" s="23" t="e">
        <f t="shared" ca="1" si="1353"/>
        <v>#NAME?</v>
      </c>
      <c r="Z181" s="23" t="e">
        <f t="shared" ref="Z181:AA181" ca="1" si="1354">Z180-Z144</f>
        <v>#NAME?</v>
      </c>
      <c r="AA181" s="23" t="e">
        <f t="shared" ca="1" si="1354"/>
        <v>#NAME?</v>
      </c>
      <c r="AB181" s="24" t="e">
        <f t="shared" ref="AA181:AD181" ca="1" si="1355">AB180-AB144</f>
        <v>#NAME?</v>
      </c>
      <c r="AC181" s="24" t="e">
        <f t="shared" ca="1" si="1355"/>
        <v>#NAME?</v>
      </c>
      <c r="AD181" s="24" t="e">
        <f t="shared" ca="1" si="1355"/>
        <v>#NAME?</v>
      </c>
      <c r="AE181" s="24" t="e">
        <f t="shared" ref="AE181" ca="1" si="1356">AE180-AE144</f>
        <v>#NAME?</v>
      </c>
      <c r="AJ181" s="23" t="e">
        <f t="shared" ref="AJ181" ca="1" si="1357">AJ180-AJ144</f>
        <v>#NAME?</v>
      </c>
      <c r="AK181" s="23" t="e">
        <f t="shared" ref="AK181" ca="1" si="1358">AK180-AK144</f>
        <v>#NAME?</v>
      </c>
      <c r="AL181" s="23" t="e">
        <f t="shared" ref="AL181:AM181" ca="1" si="1359">AL180-AL144</f>
        <v>#NAME?</v>
      </c>
      <c r="AM181" s="23" t="e">
        <f t="shared" ca="1" si="1359"/>
        <v>#NAME?</v>
      </c>
      <c r="AN181" s="23" t="e">
        <f t="shared" ref="AN181:AO181" ca="1" si="1360">AN180-AN144</f>
        <v>#NAME?</v>
      </c>
      <c r="AO181" s="23" t="e">
        <f t="shared" ca="1" si="1360"/>
        <v>#NAME?</v>
      </c>
      <c r="AP181" s="23" t="e">
        <f t="shared" ref="AP181:CE181" ca="1" si="1361">AP180-AP144</f>
        <v>#NAME?</v>
      </c>
      <c r="AQ181" s="23" t="e">
        <f t="shared" ca="1" si="1361"/>
        <v>#NAME?</v>
      </c>
      <c r="AR181" s="23" t="e">
        <f t="shared" ca="1" si="1361"/>
        <v>#NAME?</v>
      </c>
      <c r="AS181" s="23" t="e">
        <f t="shared" ca="1" si="1361"/>
        <v>#NAME?</v>
      </c>
      <c r="AT181" s="23" t="e">
        <f t="shared" ca="1" si="1361"/>
        <v>#NAME?</v>
      </c>
      <c r="AU181" s="23" t="e">
        <f t="shared" ca="1" si="1361"/>
        <v>#NAME?</v>
      </c>
      <c r="AV181" s="23" t="e">
        <f t="shared" ca="1" si="1361"/>
        <v>#NAME?</v>
      </c>
      <c r="AW181" s="23" t="e">
        <f t="shared" ca="1" si="1361"/>
        <v>#NAME?</v>
      </c>
      <c r="AX181" s="23" t="e">
        <f t="shared" ca="1" si="1361"/>
        <v>#NAME?</v>
      </c>
      <c r="AY181" s="23" t="e">
        <f t="shared" ca="1" si="1361"/>
        <v>#NAME?</v>
      </c>
      <c r="AZ181" s="23" t="e">
        <f t="shared" ca="1" si="1361"/>
        <v>#NAME?</v>
      </c>
      <c r="BA181" s="23" t="e">
        <f t="shared" ca="1" si="1361"/>
        <v>#NAME?</v>
      </c>
      <c r="BB181" s="23" t="e">
        <f t="shared" ca="1" si="1361"/>
        <v>#NAME?</v>
      </c>
      <c r="BC181" s="23" t="e">
        <f t="shared" ca="1" si="1361"/>
        <v>#NAME?</v>
      </c>
      <c r="BD181" s="23" t="e">
        <f t="shared" ca="1" si="1361"/>
        <v>#NAME?</v>
      </c>
      <c r="BE181" s="23" t="e">
        <f t="shared" ca="1" si="1361"/>
        <v>#NAME?</v>
      </c>
      <c r="BF181" s="23" t="e">
        <f t="shared" ca="1" si="1361"/>
        <v>#NAME?</v>
      </c>
      <c r="BG181" s="23" t="e">
        <f t="shared" ca="1" si="1361"/>
        <v>#NAME?</v>
      </c>
      <c r="BH181" s="23" t="e">
        <f t="shared" ref="BH181" ca="1" si="1362">BH180-BH144</f>
        <v>#NAME?</v>
      </c>
      <c r="BI181" s="23" t="e">
        <f t="shared" ca="1" si="1361"/>
        <v>#NAME?</v>
      </c>
      <c r="BJ181" s="23" t="e">
        <f t="shared" ca="1" si="1361"/>
        <v>#NAME?</v>
      </c>
      <c r="BK181" s="23" t="e">
        <f t="shared" ca="1" si="1361"/>
        <v>#NAME?</v>
      </c>
      <c r="BL181" s="23" t="e">
        <f t="shared" ca="1" si="1361"/>
        <v>#NAME?</v>
      </c>
      <c r="BM181" s="23" t="e">
        <f t="shared" ca="1" si="1361"/>
        <v>#NAME?</v>
      </c>
      <c r="BN181" s="23" t="e">
        <f t="shared" ca="1" si="1361"/>
        <v>#NAME?</v>
      </c>
      <c r="BO181" s="23" t="e">
        <f t="shared" ca="1" si="1361"/>
        <v>#NAME?</v>
      </c>
      <c r="BP181" s="23" t="e">
        <f t="shared" ca="1" si="1361"/>
        <v>#NAME?</v>
      </c>
      <c r="BQ181" s="23" t="e">
        <f t="shared" ca="1" si="1361"/>
        <v>#NAME?</v>
      </c>
      <c r="BR181" s="23" t="e">
        <f t="shared" ca="1" si="1361"/>
        <v>#NAME?</v>
      </c>
      <c r="BS181" s="23" t="e">
        <f t="shared" ca="1" si="1361"/>
        <v>#NAME?</v>
      </c>
      <c r="BT181" s="23" t="e">
        <f t="shared" ca="1" si="1361"/>
        <v>#NAME?</v>
      </c>
      <c r="BU181" s="23" t="e">
        <f t="shared" ca="1" si="1361"/>
        <v>#NAME?</v>
      </c>
      <c r="BV181" s="23" t="e">
        <f t="shared" ca="1" si="1361"/>
        <v>#NAME?</v>
      </c>
      <c r="BW181" s="23" t="e">
        <f t="shared" ca="1" si="1361"/>
        <v>#NAME?</v>
      </c>
      <c r="BX181" s="23" t="e">
        <f t="shared" ca="1" si="1361"/>
        <v>#NAME?</v>
      </c>
      <c r="BY181" s="23" t="e">
        <f t="shared" ca="1" si="1361"/>
        <v>#NAME?</v>
      </c>
      <c r="BZ181" s="23" t="e">
        <f t="shared" ca="1" si="1361"/>
        <v>#NAME?</v>
      </c>
      <c r="CA181" s="23" t="e">
        <f t="shared" ca="1" si="1361"/>
        <v>#NAME?</v>
      </c>
      <c r="CB181" s="23" t="e">
        <f t="shared" ca="1" si="1361"/>
        <v>#NAME?</v>
      </c>
      <c r="CC181" s="23" t="e">
        <f t="shared" ca="1" si="1361"/>
        <v>#NAME?</v>
      </c>
      <c r="CD181" s="23" t="e">
        <f t="shared" ca="1" si="1361"/>
        <v>#NAME?</v>
      </c>
      <c r="CE181" s="23" t="e">
        <f t="shared" ca="1" si="1361"/>
        <v>#NAME?</v>
      </c>
      <c r="CF181" s="23" t="e">
        <f t="shared" ref="CF181:CG181" ca="1" si="1363">CF180-CF144</f>
        <v>#NAME?</v>
      </c>
      <c r="CG181" s="23" t="e">
        <f t="shared" ca="1" si="1363"/>
        <v>#NAME?</v>
      </c>
      <c r="CH181" s="23" t="e">
        <f t="shared" ref="CH181:CI181" ca="1" si="1364">CH180-CH144</f>
        <v>#NAME?</v>
      </c>
      <c r="CI181" s="23" t="e">
        <f t="shared" ca="1" si="1364"/>
        <v>#NAME?</v>
      </c>
      <c r="CJ181" s="23" t="e">
        <f t="shared" ref="CJ181:DB181" ca="1" si="1365">CJ180-CJ144</f>
        <v>#NAME?</v>
      </c>
      <c r="CK181" s="24" t="e">
        <f t="shared" ca="1" si="1365"/>
        <v>#NAME?</v>
      </c>
      <c r="CL181" s="23" t="e">
        <f t="shared" ref="CL181" ca="1" si="1366">CL180-CL144</f>
        <v>#NAME?</v>
      </c>
      <c r="CM181" s="24" t="e">
        <f t="shared" ca="1" si="1365"/>
        <v>#NAME?</v>
      </c>
      <c r="CN181" s="24" t="e">
        <f t="shared" ca="1" si="1365"/>
        <v>#NAME?</v>
      </c>
      <c r="CO181" s="24" t="e">
        <f t="shared" ca="1" si="1365"/>
        <v>#NAME?</v>
      </c>
      <c r="CP181" s="24" t="e">
        <f t="shared" ca="1" si="1365"/>
        <v>#NAME?</v>
      </c>
      <c r="CQ181" s="24" t="e">
        <f t="shared" ca="1" si="1365"/>
        <v>#NAME?</v>
      </c>
      <c r="CR181" s="24" t="e">
        <f t="shared" ca="1" si="1365"/>
        <v>#NAME?</v>
      </c>
      <c r="CS181" s="24" t="e">
        <f t="shared" ca="1" si="1365"/>
        <v>#NAME?</v>
      </c>
      <c r="CT181" s="24" t="e">
        <f t="shared" ca="1" si="1365"/>
        <v>#NAME?</v>
      </c>
      <c r="CU181" s="24" t="e">
        <f t="shared" ca="1" si="1365"/>
        <v>#NAME?</v>
      </c>
      <c r="CV181" s="24" t="e">
        <f t="shared" ca="1" si="1365"/>
        <v>#NAME?</v>
      </c>
      <c r="CW181" s="24" t="e">
        <f t="shared" ca="1" si="1365"/>
        <v>#NAME?</v>
      </c>
      <c r="CX181" s="24" t="e">
        <f t="shared" ca="1" si="1365"/>
        <v>#NAME?</v>
      </c>
      <c r="CY181" s="24" t="e">
        <f t="shared" ca="1" si="1365"/>
        <v>#NAME?</v>
      </c>
      <c r="CZ181" s="24" t="e">
        <f t="shared" ca="1" si="1365"/>
        <v>#NAME?</v>
      </c>
      <c r="DA181" s="24" t="e">
        <f t="shared" ca="1" si="1365"/>
        <v>#NAME?</v>
      </c>
      <c r="DB181" s="24" t="e">
        <f t="shared" ca="1" si="1365"/>
        <v>#NAME?</v>
      </c>
      <c r="DE181" s="123"/>
      <c r="DF181" s="23">
        <v>-9.9999999997635314E-4</v>
      </c>
    </row>
    <row r="182" spans="1:110" s="23" customFormat="1" x14ac:dyDescent="0.2">
      <c r="A182" s="28"/>
      <c r="AB182" s="24"/>
      <c r="AC182" s="24"/>
      <c r="AD182" s="24"/>
      <c r="AE182" s="24"/>
      <c r="CK182" s="24"/>
      <c r="CM182" s="24"/>
      <c r="CN182" s="24"/>
      <c r="CO182" s="24"/>
      <c r="CP182" s="24"/>
      <c r="CQ182" s="24"/>
      <c r="CR182" s="24"/>
      <c r="CS182" s="24"/>
      <c r="CT182" s="24"/>
      <c r="CU182" s="24"/>
      <c r="CV182" s="24"/>
      <c r="CW182" s="24"/>
      <c r="CX182" s="24"/>
      <c r="CY182" s="24"/>
      <c r="CZ182" s="24"/>
      <c r="DA182" s="24"/>
      <c r="DB182" s="24"/>
      <c r="DE182" s="123"/>
    </row>
    <row r="183" spans="1:110" s="22" customFormat="1" x14ac:dyDescent="0.2">
      <c r="A183" s="22" t="s">
        <v>80</v>
      </c>
      <c r="B183" s="22" t="e">
        <f t="shared" ref="B183:W183" ca="1" si="1367">B143-B176</f>
        <v>#NAME?</v>
      </c>
      <c r="C183" s="22" t="e">
        <f t="shared" ca="1" si="1367"/>
        <v>#NAME?</v>
      </c>
      <c r="D183" s="22" t="e">
        <f t="shared" ca="1" si="1367"/>
        <v>#NAME?</v>
      </c>
      <c r="E183" s="22" t="e">
        <f t="shared" ca="1" si="1367"/>
        <v>#NAME?</v>
      </c>
      <c r="F183" s="22" t="e">
        <f t="shared" ca="1" si="1367"/>
        <v>#NAME?</v>
      </c>
      <c r="G183" s="22" t="e">
        <f t="shared" ca="1" si="1367"/>
        <v>#NAME?</v>
      </c>
      <c r="H183" s="22" t="e">
        <f t="shared" ca="1" si="1367"/>
        <v>#NAME?</v>
      </c>
      <c r="I183" s="22" t="e">
        <f t="shared" ca="1" si="1367"/>
        <v>#NAME?</v>
      </c>
      <c r="J183" s="22" t="e">
        <f t="shared" ca="1" si="1367"/>
        <v>#NAME?</v>
      </c>
      <c r="K183" s="22" t="e">
        <f t="shared" ca="1" si="1367"/>
        <v>#NAME?</v>
      </c>
      <c r="L183" s="22" t="e">
        <f t="shared" ca="1" si="1367"/>
        <v>#NAME?</v>
      </c>
      <c r="M183" s="22" t="e">
        <f t="shared" ca="1" si="1367"/>
        <v>#NAME?</v>
      </c>
      <c r="N183" s="22" t="e">
        <f t="shared" ca="1" si="1367"/>
        <v>#NAME?</v>
      </c>
      <c r="O183" s="22" t="e">
        <f t="shared" ca="1" si="1367"/>
        <v>#NAME?</v>
      </c>
      <c r="P183" s="22" t="e">
        <f t="shared" ca="1" si="1367"/>
        <v>#NAME?</v>
      </c>
      <c r="Q183" s="22" t="e">
        <f t="shared" ca="1" si="1367"/>
        <v>#NAME?</v>
      </c>
      <c r="R183" s="22" t="e">
        <f t="shared" ca="1" si="1367"/>
        <v>#NAME?</v>
      </c>
      <c r="S183" s="22" t="e">
        <f t="shared" ca="1" si="1367"/>
        <v>#NAME?</v>
      </c>
      <c r="T183" s="22" t="e">
        <f t="shared" ca="1" si="1367"/>
        <v>#NAME?</v>
      </c>
      <c r="U183" s="22" t="e">
        <f t="shared" ca="1" si="1367"/>
        <v>#NAME?</v>
      </c>
      <c r="V183" s="22" t="e">
        <f t="shared" ca="1" si="1367"/>
        <v>#NAME?</v>
      </c>
      <c r="W183" s="22" t="e">
        <f t="shared" ca="1" si="1367"/>
        <v>#NAME?</v>
      </c>
      <c r="X183" s="22" t="e">
        <f t="shared" ref="X183:Y183" ca="1" si="1368">X143-X176</f>
        <v>#NAME?</v>
      </c>
      <c r="Y183" s="22" t="e">
        <f t="shared" ca="1" si="1368"/>
        <v>#NAME?</v>
      </c>
      <c r="Z183" s="22" t="e">
        <f t="shared" ref="Z183:AA183" ca="1" si="1369">Z143-Z176</f>
        <v>#NAME?</v>
      </c>
      <c r="AA183" s="22" t="e">
        <f t="shared" ca="1" si="1369"/>
        <v>#NAME?</v>
      </c>
      <c r="AB183" s="21" t="e">
        <f t="shared" ref="AA183:AD183" ca="1" si="1370">AB143-AB176</f>
        <v>#NAME?</v>
      </c>
      <c r="AC183" s="21" t="e">
        <f t="shared" ca="1" si="1370"/>
        <v>#NAME?</v>
      </c>
      <c r="AD183" s="21" t="e">
        <f t="shared" ca="1" si="1370"/>
        <v>#NAME?</v>
      </c>
      <c r="AE183" s="21" t="e">
        <f t="shared" ref="AE183" ca="1" si="1371">AE143-AE176</f>
        <v>#NAME?</v>
      </c>
      <c r="AJ183" s="22" t="e">
        <f t="shared" ref="AJ183:AM183" ca="1" si="1372">AJ143-AJ176</f>
        <v>#NAME?</v>
      </c>
      <c r="AK183" s="22" t="e">
        <f t="shared" ca="1" si="1372"/>
        <v>#NAME?</v>
      </c>
      <c r="AL183" s="22" t="e">
        <f t="shared" ca="1" si="1372"/>
        <v>#NAME?</v>
      </c>
      <c r="AM183" s="22" t="e">
        <f t="shared" ca="1" si="1372"/>
        <v>#NAME?</v>
      </c>
      <c r="AN183" s="22" t="e">
        <f t="shared" ref="AN183:AO183" ca="1" si="1373">AN143-AN176</f>
        <v>#NAME?</v>
      </c>
      <c r="AO183" s="22" t="e">
        <f t="shared" ca="1" si="1373"/>
        <v>#NAME?</v>
      </c>
      <c r="AP183" s="22" t="e">
        <f t="shared" ref="AP183:CE183" ca="1" si="1374">AP143-AP176</f>
        <v>#NAME?</v>
      </c>
      <c r="AQ183" s="22" t="e">
        <f t="shared" ca="1" si="1374"/>
        <v>#NAME?</v>
      </c>
      <c r="AR183" s="22" t="e">
        <f t="shared" ca="1" si="1374"/>
        <v>#NAME?</v>
      </c>
      <c r="AS183" s="22" t="e">
        <f t="shared" ca="1" si="1374"/>
        <v>#NAME?</v>
      </c>
      <c r="AT183" s="22" t="e">
        <f t="shared" ca="1" si="1374"/>
        <v>#NAME?</v>
      </c>
      <c r="AU183" s="22" t="e">
        <f t="shared" ca="1" si="1374"/>
        <v>#NAME?</v>
      </c>
      <c r="AV183" s="22" t="e">
        <f t="shared" ca="1" si="1374"/>
        <v>#NAME?</v>
      </c>
      <c r="AW183" s="22" t="e">
        <f t="shared" ca="1" si="1374"/>
        <v>#NAME?</v>
      </c>
      <c r="AX183" s="22" t="e">
        <f t="shared" ca="1" si="1374"/>
        <v>#NAME?</v>
      </c>
      <c r="AY183" s="22" t="e">
        <f t="shared" ca="1" si="1374"/>
        <v>#NAME?</v>
      </c>
      <c r="AZ183" s="22" t="e">
        <f t="shared" ca="1" si="1374"/>
        <v>#NAME?</v>
      </c>
      <c r="BA183" s="22" t="e">
        <f t="shared" ca="1" si="1374"/>
        <v>#NAME?</v>
      </c>
      <c r="BB183" s="22" t="e">
        <f t="shared" ca="1" si="1374"/>
        <v>#NAME?</v>
      </c>
      <c r="BC183" s="22" t="e">
        <f t="shared" ca="1" si="1374"/>
        <v>#NAME?</v>
      </c>
      <c r="BD183" s="22" t="e">
        <f t="shared" ca="1" si="1374"/>
        <v>#NAME?</v>
      </c>
      <c r="BE183" s="22" t="e">
        <f t="shared" ca="1" si="1374"/>
        <v>#NAME?</v>
      </c>
      <c r="BF183" s="22" t="e">
        <f t="shared" ca="1" si="1374"/>
        <v>#NAME?</v>
      </c>
      <c r="BG183" s="22" t="e">
        <f t="shared" ca="1" si="1374"/>
        <v>#NAME?</v>
      </c>
      <c r="BH183" s="22" t="e">
        <f t="shared" ca="1" si="1374"/>
        <v>#NAME?</v>
      </c>
      <c r="BI183" s="22" t="e">
        <f t="shared" ca="1" si="1374"/>
        <v>#NAME?</v>
      </c>
      <c r="BJ183" s="22" t="e">
        <f t="shared" ca="1" si="1374"/>
        <v>#NAME?</v>
      </c>
      <c r="BK183" s="22" t="e">
        <f t="shared" ca="1" si="1374"/>
        <v>#NAME?</v>
      </c>
      <c r="BL183" s="22" t="e">
        <f t="shared" ca="1" si="1374"/>
        <v>#NAME?</v>
      </c>
      <c r="BM183" s="22" t="e">
        <f t="shared" ca="1" si="1374"/>
        <v>#NAME?</v>
      </c>
      <c r="BN183" s="22" t="e">
        <f t="shared" ca="1" si="1374"/>
        <v>#NAME?</v>
      </c>
      <c r="BO183" s="22" t="e">
        <f t="shared" ca="1" si="1374"/>
        <v>#NAME?</v>
      </c>
      <c r="BP183" s="22" t="e">
        <f t="shared" ca="1" si="1374"/>
        <v>#NAME?</v>
      </c>
      <c r="BQ183" s="22" t="e">
        <f t="shared" ca="1" si="1374"/>
        <v>#NAME?</v>
      </c>
      <c r="BR183" s="22" t="e">
        <f t="shared" ca="1" si="1374"/>
        <v>#NAME?</v>
      </c>
      <c r="BS183" s="22" t="e">
        <f t="shared" ca="1" si="1374"/>
        <v>#NAME?</v>
      </c>
      <c r="BT183" s="22" t="e">
        <f t="shared" ca="1" si="1374"/>
        <v>#NAME?</v>
      </c>
      <c r="BU183" s="22" t="e">
        <f t="shared" ca="1" si="1374"/>
        <v>#NAME?</v>
      </c>
      <c r="BV183" s="22" t="e">
        <f t="shared" ca="1" si="1374"/>
        <v>#NAME?</v>
      </c>
      <c r="BW183" s="22" t="e">
        <f t="shared" ca="1" si="1374"/>
        <v>#NAME?</v>
      </c>
      <c r="BX183" s="22" t="e">
        <f t="shared" ca="1" si="1374"/>
        <v>#NAME?</v>
      </c>
      <c r="BY183" s="22" t="e">
        <f t="shared" ca="1" si="1374"/>
        <v>#NAME?</v>
      </c>
      <c r="BZ183" s="22" t="e">
        <f t="shared" ca="1" si="1374"/>
        <v>#NAME?</v>
      </c>
      <c r="CA183" s="22" t="e">
        <f t="shared" ca="1" si="1374"/>
        <v>#NAME?</v>
      </c>
      <c r="CB183" s="22" t="e">
        <f t="shared" ca="1" si="1374"/>
        <v>#NAME?</v>
      </c>
      <c r="CC183" s="22" t="e">
        <f t="shared" ca="1" si="1374"/>
        <v>#NAME?</v>
      </c>
      <c r="CD183" s="22" t="e">
        <f t="shared" ca="1" si="1374"/>
        <v>#NAME?</v>
      </c>
      <c r="CE183" s="22" t="e">
        <f t="shared" ca="1" si="1374"/>
        <v>#NAME?</v>
      </c>
      <c r="CF183" s="22" t="e">
        <f t="shared" ref="CF183:CG183" ca="1" si="1375">CF143-CF176</f>
        <v>#NAME?</v>
      </c>
      <c r="CG183" s="22" t="e">
        <f t="shared" ca="1" si="1375"/>
        <v>#NAME?</v>
      </c>
      <c r="CH183" s="22" t="e">
        <f t="shared" ref="CH183:CI183" ca="1" si="1376">CH143-CH176</f>
        <v>#NAME?</v>
      </c>
      <c r="CI183" s="22" t="e">
        <f t="shared" ca="1" si="1376"/>
        <v>#NAME?</v>
      </c>
      <c r="CJ183" s="22" t="e">
        <f t="shared" ref="CJ183:DB183" ca="1" si="1377">CJ143-CJ176</f>
        <v>#NAME?</v>
      </c>
      <c r="CK183" s="21" t="e">
        <f t="shared" ca="1" si="1377"/>
        <v>#NAME?</v>
      </c>
      <c r="CL183" s="22" t="e">
        <f t="shared" ref="CL183" ca="1" si="1378">CL143-CL176</f>
        <v>#NAME?</v>
      </c>
      <c r="CM183" s="21" t="e">
        <f t="shared" ca="1" si="1377"/>
        <v>#NAME?</v>
      </c>
      <c r="CN183" s="21" t="e">
        <f t="shared" ca="1" si="1377"/>
        <v>#NAME?</v>
      </c>
      <c r="CO183" s="21" t="e">
        <f t="shared" ca="1" si="1377"/>
        <v>#NAME?</v>
      </c>
      <c r="CP183" s="21" t="e">
        <f t="shared" ca="1" si="1377"/>
        <v>#NAME?</v>
      </c>
      <c r="CQ183" s="21" t="e">
        <f t="shared" ca="1" si="1377"/>
        <v>#NAME?</v>
      </c>
      <c r="CR183" s="21" t="e">
        <f t="shared" ca="1" si="1377"/>
        <v>#NAME?</v>
      </c>
      <c r="CS183" s="21" t="e">
        <f t="shared" ca="1" si="1377"/>
        <v>#NAME?</v>
      </c>
      <c r="CT183" s="21" t="e">
        <f t="shared" ca="1" si="1377"/>
        <v>#NAME?</v>
      </c>
      <c r="CU183" s="21" t="e">
        <f t="shared" ca="1" si="1377"/>
        <v>#NAME?</v>
      </c>
      <c r="CV183" s="21" t="e">
        <f t="shared" ca="1" si="1377"/>
        <v>#NAME?</v>
      </c>
      <c r="CW183" s="21" t="e">
        <f t="shared" ca="1" si="1377"/>
        <v>#NAME?</v>
      </c>
      <c r="CX183" s="21" t="e">
        <f t="shared" ca="1" si="1377"/>
        <v>#NAME?</v>
      </c>
      <c r="CY183" s="21" t="e">
        <f t="shared" ca="1" si="1377"/>
        <v>#NAME?</v>
      </c>
      <c r="CZ183" s="21" t="e">
        <f t="shared" ca="1" si="1377"/>
        <v>#NAME?</v>
      </c>
      <c r="DA183" s="21" t="e">
        <f t="shared" ca="1" si="1377"/>
        <v>#NAME?</v>
      </c>
      <c r="DB183" s="21" t="e">
        <f t="shared" ca="1" si="1377"/>
        <v>#NAME?</v>
      </c>
      <c r="DE183" s="126"/>
      <c r="DF183" s="22">
        <v>23.33</v>
      </c>
    </row>
    <row r="184" spans="1:110" x14ac:dyDescent="0.2">
      <c r="AA184" s="2"/>
      <c r="CE184" s="111"/>
      <c r="CG184" s="111"/>
      <c r="CL184" s="2"/>
    </row>
    <row r="185" spans="1:110" s="49" customFormat="1" x14ac:dyDescent="0.2">
      <c r="A185" s="49" t="s">
        <v>81</v>
      </c>
      <c r="B185" s="49" t="e">
        <f ca="1">'Annual Raw'!C85</f>
        <v>#NAME?</v>
      </c>
      <c r="C185" s="49" t="e">
        <f ca="1">'Annual Raw'!D85</f>
        <v>#NAME?</v>
      </c>
      <c r="D185" s="49" t="e">
        <f ca="1">'Annual Raw'!E85</f>
        <v>#NAME?</v>
      </c>
      <c r="E185" s="49" t="e">
        <f ca="1">'Annual Raw'!F85</f>
        <v>#NAME?</v>
      </c>
      <c r="F185" s="49" t="e">
        <f ca="1">'Annual Raw'!G85</f>
        <v>#NAME?</v>
      </c>
      <c r="G185" s="49" t="e">
        <f ca="1">'Annual Raw'!H85</f>
        <v>#NAME?</v>
      </c>
      <c r="H185" s="49" t="e">
        <f ca="1">'Annual Raw'!I85</f>
        <v>#NAME?</v>
      </c>
      <c r="I185" s="49" t="e">
        <f ca="1">'Annual Raw'!J85</f>
        <v>#NAME?</v>
      </c>
      <c r="J185" s="49" t="e">
        <f ca="1">'Annual Raw'!K85</f>
        <v>#NAME?</v>
      </c>
      <c r="K185" s="49" t="e">
        <f ca="1">'Annual Raw'!L85</f>
        <v>#NAME?</v>
      </c>
      <c r="L185" s="49" t="e">
        <f ca="1">'Annual Raw'!M85</f>
        <v>#NAME?</v>
      </c>
      <c r="M185" s="49" t="e">
        <f ca="1">'Annual Raw'!N85</f>
        <v>#NAME?</v>
      </c>
      <c r="N185" s="49" t="e">
        <f ca="1">'Annual Raw'!O85</f>
        <v>#NAME?</v>
      </c>
      <c r="O185" s="49" t="e">
        <f ca="1">'Annual Raw'!P85</f>
        <v>#NAME?</v>
      </c>
      <c r="P185" s="49" t="e">
        <f ca="1">'Annual Raw'!Q85</f>
        <v>#NAME?</v>
      </c>
      <c r="Q185" s="49" t="e">
        <f ca="1">'Annual Raw'!R85</f>
        <v>#NAME?</v>
      </c>
      <c r="R185" s="49" t="e">
        <f ca="1">'Annual Raw'!S85</f>
        <v>#NAME?</v>
      </c>
      <c r="S185" s="49" t="e">
        <f ca="1">'Annual Raw'!T85</f>
        <v>#NAME?</v>
      </c>
      <c r="T185" s="49" t="e">
        <f ca="1">'Annual Raw'!U85</f>
        <v>#NAME?</v>
      </c>
      <c r="U185" s="49" t="e">
        <f ca="1">'Annual Raw'!V85</f>
        <v>#NAME?</v>
      </c>
      <c r="V185" s="49" t="e">
        <f ca="1">'Annual Raw'!W85</f>
        <v>#NAME?</v>
      </c>
      <c r="W185" s="49" t="e">
        <f ca="1">'Annual Raw'!X85</f>
        <v>#NAME?</v>
      </c>
      <c r="X185" s="49" t="e">
        <f ca="1">'Annual Raw'!Y85</f>
        <v>#NAME?</v>
      </c>
      <c r="Y185" s="49" t="e">
        <f ca="1">'Annual Raw'!Z85</f>
        <v>#NAME?</v>
      </c>
      <c r="Z185" s="49" t="e">
        <f ca="1">'Annual Raw'!AA85</f>
        <v>#NAME?</v>
      </c>
      <c r="AA185" s="49" t="e">
        <f ca="1">'Annual Raw'!AB85</f>
        <v>#NAME?</v>
      </c>
      <c r="AB185" s="50"/>
      <c r="AC185" s="50"/>
      <c r="AD185" s="50"/>
      <c r="AE185" s="50"/>
      <c r="CK185" s="50"/>
      <c r="CM185" s="50"/>
      <c r="CN185" s="50"/>
      <c r="CO185" s="50"/>
      <c r="CP185" s="50"/>
      <c r="CQ185" s="50"/>
      <c r="CR185" s="50"/>
      <c r="CS185" s="50"/>
      <c r="CT185" s="50"/>
      <c r="CU185" s="50"/>
      <c r="CV185" s="50"/>
      <c r="CW185" s="50"/>
      <c r="CX185" s="50"/>
      <c r="CY185" s="50"/>
      <c r="CZ185" s="50"/>
      <c r="DA185" s="50"/>
      <c r="DB185" s="50"/>
      <c r="DE185" s="138"/>
    </row>
    <row r="186" spans="1:110" s="29" customFormat="1" x14ac:dyDescent="0.2">
      <c r="A186" s="29" t="s">
        <v>82</v>
      </c>
      <c r="B186" s="29" t="e">
        <f ca="1">'Annual Raw'!C95</f>
        <v>#NAME?</v>
      </c>
      <c r="C186" s="29" t="e">
        <f ca="1">'Annual Raw'!D95</f>
        <v>#NAME?</v>
      </c>
      <c r="D186" s="29" t="e">
        <f ca="1">'Annual Raw'!E95</f>
        <v>#NAME?</v>
      </c>
      <c r="E186" s="29" t="e">
        <f ca="1">'Annual Raw'!F95</f>
        <v>#NAME?</v>
      </c>
      <c r="F186" s="29" t="e">
        <f ca="1">'Annual Raw'!G95</f>
        <v>#NAME?</v>
      </c>
      <c r="G186" s="29" t="e">
        <f ca="1">'Annual Raw'!H95</f>
        <v>#NAME?</v>
      </c>
      <c r="H186" s="29" t="e">
        <f ca="1">'Annual Raw'!I95</f>
        <v>#NAME?</v>
      </c>
      <c r="I186" s="29" t="e">
        <f ca="1">'Annual Raw'!J95</f>
        <v>#NAME?</v>
      </c>
      <c r="J186" s="29" t="e">
        <f ca="1">'Annual Raw'!K95</f>
        <v>#NAME?</v>
      </c>
      <c r="K186" s="29" t="e">
        <f ca="1">'Annual Raw'!L95</f>
        <v>#NAME?</v>
      </c>
      <c r="L186" s="29" t="e">
        <f ca="1">'Annual Raw'!M95</f>
        <v>#NAME?</v>
      </c>
      <c r="M186" s="29" t="e">
        <f ca="1">'Annual Raw'!N95</f>
        <v>#NAME?</v>
      </c>
      <c r="N186" s="29" t="e">
        <f ca="1">'Annual Raw'!O95</f>
        <v>#NAME?</v>
      </c>
      <c r="O186" s="29" t="e">
        <f ca="1">'Annual Raw'!P95</f>
        <v>#NAME?</v>
      </c>
      <c r="P186" s="29" t="e">
        <f ca="1">'Annual Raw'!Q95</f>
        <v>#NAME?</v>
      </c>
      <c r="Q186" s="29" t="e">
        <f ca="1">'Annual Raw'!R95</f>
        <v>#NAME?</v>
      </c>
      <c r="R186" s="29" t="e">
        <f ca="1">'Annual Raw'!S95</f>
        <v>#NAME?</v>
      </c>
      <c r="S186" s="29" t="e">
        <f ca="1">'Annual Raw'!T95</f>
        <v>#NAME?</v>
      </c>
      <c r="T186" s="29" t="e">
        <f ca="1">'Annual Raw'!U95</f>
        <v>#NAME?</v>
      </c>
      <c r="U186" s="29" t="e">
        <f ca="1">'Annual Raw'!V95</f>
        <v>#NAME?</v>
      </c>
      <c r="V186" s="29" t="e">
        <f ca="1">'Annual Raw'!W95</f>
        <v>#NAME?</v>
      </c>
      <c r="W186" s="29" t="e">
        <f ca="1">'Annual Raw'!X95</f>
        <v>#NAME?</v>
      </c>
      <c r="X186" s="29" t="e">
        <f ca="1">'Annual Raw'!Y95</f>
        <v>#NAME?</v>
      </c>
      <c r="Y186" s="29" t="e">
        <f ca="1">'Annual Raw'!Z95</f>
        <v>#NAME?</v>
      </c>
      <c r="Z186" s="29" t="e">
        <f ca="1">'Annual Raw'!AA95</f>
        <v>#NAME?</v>
      </c>
      <c r="AA186" s="29" t="e">
        <f ca="1">'Annual Raw'!AB95</f>
        <v>#NAME?</v>
      </c>
      <c r="AB186" s="30"/>
      <c r="AC186" s="30"/>
      <c r="AD186" s="30"/>
      <c r="AE186" s="30"/>
      <c r="CK186" s="30"/>
      <c r="CM186" s="30"/>
      <c r="CN186" s="30"/>
      <c r="CO186" s="30"/>
      <c r="CP186" s="30"/>
      <c r="CQ186" s="30"/>
      <c r="CR186" s="30"/>
      <c r="CS186" s="30"/>
      <c r="CT186" s="30"/>
      <c r="CU186" s="30"/>
      <c r="CV186" s="30"/>
      <c r="CW186" s="30"/>
      <c r="CX186" s="30"/>
      <c r="CY186" s="30"/>
      <c r="CZ186" s="30"/>
      <c r="DA186" s="30"/>
      <c r="DB186" s="30"/>
      <c r="DE186" s="139"/>
    </row>
    <row r="187" spans="1:110" s="29" customFormat="1" x14ac:dyDescent="0.2">
      <c r="A187" s="29" t="s">
        <v>83</v>
      </c>
      <c r="B187" s="29" t="e">
        <f ca="1">'Annual Raw'!C93</f>
        <v>#NAME?</v>
      </c>
      <c r="C187" s="29" t="e">
        <f ca="1">'Annual Raw'!D93</f>
        <v>#NAME?</v>
      </c>
      <c r="D187" s="29" t="e">
        <f ca="1">'Annual Raw'!E93</f>
        <v>#NAME?</v>
      </c>
      <c r="E187" s="29" t="e">
        <f ca="1">'Annual Raw'!F93</f>
        <v>#NAME?</v>
      </c>
      <c r="F187" s="29" t="e">
        <f ca="1">'Annual Raw'!G93</f>
        <v>#NAME?</v>
      </c>
      <c r="G187" s="29" t="e">
        <f ca="1">'Annual Raw'!H93</f>
        <v>#NAME?</v>
      </c>
      <c r="H187" s="29" t="e">
        <f ca="1">'Annual Raw'!I93</f>
        <v>#NAME?</v>
      </c>
      <c r="I187" s="29" t="e">
        <f ca="1">'Annual Raw'!J93</f>
        <v>#NAME?</v>
      </c>
      <c r="J187" s="29" t="e">
        <f ca="1">'Annual Raw'!K93</f>
        <v>#NAME?</v>
      </c>
      <c r="K187" s="29" t="e">
        <f ca="1">'Annual Raw'!L93</f>
        <v>#NAME?</v>
      </c>
      <c r="L187" s="29" t="e">
        <f ca="1">'Annual Raw'!M93</f>
        <v>#NAME?</v>
      </c>
      <c r="M187" s="29" t="e">
        <f ca="1">'Annual Raw'!N93</f>
        <v>#NAME?</v>
      </c>
      <c r="N187" s="29" t="e">
        <f ca="1">'Annual Raw'!O93</f>
        <v>#NAME?</v>
      </c>
      <c r="O187" s="29" t="e">
        <f ca="1">'Annual Raw'!P93</f>
        <v>#NAME?</v>
      </c>
      <c r="P187" s="29" t="e">
        <f ca="1">'Annual Raw'!Q93</f>
        <v>#NAME?</v>
      </c>
      <c r="Q187" s="29" t="e">
        <f ca="1">'Annual Raw'!R93</f>
        <v>#NAME?</v>
      </c>
      <c r="R187" s="29" t="e">
        <f ca="1">'Annual Raw'!S93</f>
        <v>#NAME?</v>
      </c>
      <c r="S187" s="29" t="e">
        <f ca="1">'Annual Raw'!T93</f>
        <v>#NAME?</v>
      </c>
      <c r="T187" s="29" t="e">
        <f ca="1">'Annual Raw'!U93</f>
        <v>#NAME?</v>
      </c>
      <c r="U187" s="29" t="e">
        <f ca="1">'Annual Raw'!V93</f>
        <v>#NAME?</v>
      </c>
      <c r="V187" s="29" t="e">
        <f ca="1">'Annual Raw'!W93</f>
        <v>#NAME?</v>
      </c>
      <c r="W187" s="29" t="e">
        <f ca="1">'Annual Raw'!X93</f>
        <v>#NAME?</v>
      </c>
      <c r="X187" s="29" t="e">
        <f ca="1">'Annual Raw'!Y93</f>
        <v>#NAME?</v>
      </c>
      <c r="Y187" s="29" t="e">
        <f ca="1">'Annual Raw'!Z93</f>
        <v>#NAME?</v>
      </c>
      <c r="Z187" s="29" t="e">
        <f ca="1">'Annual Raw'!AA93</f>
        <v>#NAME?</v>
      </c>
      <c r="AA187" s="29" t="e">
        <f ca="1">'Annual Raw'!AB93</f>
        <v>#NAME?</v>
      </c>
      <c r="AB187" s="30"/>
      <c r="AC187" s="30"/>
      <c r="AD187" s="30"/>
      <c r="AE187" s="30"/>
      <c r="CK187" s="30"/>
      <c r="CM187" s="30"/>
      <c r="CN187" s="30"/>
      <c r="CO187" s="30"/>
      <c r="CP187" s="30"/>
      <c r="CQ187" s="30"/>
      <c r="CR187" s="30"/>
      <c r="CS187" s="30"/>
      <c r="CT187" s="30"/>
      <c r="CU187" s="30"/>
      <c r="CV187" s="30"/>
      <c r="CW187" s="30"/>
      <c r="CX187" s="30"/>
      <c r="CY187" s="30"/>
      <c r="CZ187" s="30"/>
      <c r="DA187" s="30"/>
      <c r="DB187" s="30"/>
      <c r="DE187" s="139"/>
    </row>
    <row r="188" spans="1:110" s="29" customFormat="1" x14ac:dyDescent="0.2">
      <c r="A188" s="29" t="s">
        <v>84</v>
      </c>
      <c r="B188" s="29" t="e">
        <f t="shared" ref="B188:V188" ca="1" si="1379">B185-B186-B187</f>
        <v>#NAME?</v>
      </c>
      <c r="C188" s="29" t="e">
        <f t="shared" ca="1" si="1379"/>
        <v>#NAME?</v>
      </c>
      <c r="D188" s="29" t="e">
        <f t="shared" ca="1" si="1379"/>
        <v>#NAME?</v>
      </c>
      <c r="E188" s="29" t="e">
        <f t="shared" ca="1" si="1379"/>
        <v>#NAME?</v>
      </c>
      <c r="F188" s="29" t="e">
        <f t="shared" ca="1" si="1379"/>
        <v>#NAME?</v>
      </c>
      <c r="G188" s="29" t="e">
        <f t="shared" ca="1" si="1379"/>
        <v>#NAME?</v>
      </c>
      <c r="H188" s="29" t="e">
        <f t="shared" ca="1" si="1379"/>
        <v>#NAME?</v>
      </c>
      <c r="I188" s="29" t="e">
        <f t="shared" ca="1" si="1379"/>
        <v>#NAME?</v>
      </c>
      <c r="J188" s="29" t="e">
        <f t="shared" ca="1" si="1379"/>
        <v>#NAME?</v>
      </c>
      <c r="K188" s="29" t="e">
        <f t="shared" ca="1" si="1379"/>
        <v>#NAME?</v>
      </c>
      <c r="L188" s="29" t="e">
        <f t="shared" ca="1" si="1379"/>
        <v>#NAME?</v>
      </c>
      <c r="M188" s="29" t="e">
        <f t="shared" ca="1" si="1379"/>
        <v>#NAME?</v>
      </c>
      <c r="N188" s="29" t="e">
        <f t="shared" ca="1" si="1379"/>
        <v>#NAME?</v>
      </c>
      <c r="O188" s="29" t="e">
        <f t="shared" ca="1" si="1379"/>
        <v>#NAME?</v>
      </c>
      <c r="P188" s="29" t="e">
        <f t="shared" ca="1" si="1379"/>
        <v>#NAME?</v>
      </c>
      <c r="Q188" s="29" t="e">
        <f t="shared" ca="1" si="1379"/>
        <v>#NAME?</v>
      </c>
      <c r="R188" s="29" t="e">
        <f t="shared" ca="1" si="1379"/>
        <v>#NAME?</v>
      </c>
      <c r="S188" s="29" t="e">
        <f t="shared" ca="1" si="1379"/>
        <v>#NAME?</v>
      </c>
      <c r="T188" s="29" t="e">
        <f t="shared" ca="1" si="1379"/>
        <v>#NAME?</v>
      </c>
      <c r="U188" s="29" t="e">
        <f t="shared" ca="1" si="1379"/>
        <v>#NAME?</v>
      </c>
      <c r="V188" s="29" t="e">
        <f t="shared" ca="1" si="1379"/>
        <v>#NAME?</v>
      </c>
      <c r="W188" s="29" t="e">
        <f t="shared" ref="W188" ca="1" si="1380">W185-W186-W187</f>
        <v>#NAME?</v>
      </c>
      <c r="X188" s="29" t="e">
        <f t="shared" ref="X188:Y188" ca="1" si="1381">X185-X186-X187</f>
        <v>#NAME?</v>
      </c>
      <c r="Y188" s="29" t="e">
        <f t="shared" ca="1" si="1381"/>
        <v>#NAME?</v>
      </c>
      <c r="Z188" s="29" t="e">
        <f t="shared" ref="Z188:AA188" ca="1" si="1382">Z185-Z186-Z187</f>
        <v>#NAME?</v>
      </c>
      <c r="AA188" s="29" t="e">
        <f t="shared" ca="1" si="1382"/>
        <v>#NAME?</v>
      </c>
      <c r="AB188" s="30">
        <f t="shared" ref="AA188:AD188" si="1383">AB185-AB186-AB187</f>
        <v>0</v>
      </c>
      <c r="AC188" s="30">
        <f t="shared" si="1383"/>
        <v>0</v>
      </c>
      <c r="AD188" s="30">
        <f t="shared" si="1383"/>
        <v>0</v>
      </c>
      <c r="AE188" s="30">
        <f t="shared" ref="AE188" si="1384">AE185-AE186-AE187</f>
        <v>0</v>
      </c>
      <c r="CK188" s="30"/>
      <c r="CM188" s="30"/>
      <c r="CN188" s="30"/>
      <c r="CO188" s="30"/>
      <c r="CP188" s="30"/>
      <c r="CQ188" s="30"/>
      <c r="CR188" s="30"/>
      <c r="CS188" s="30"/>
      <c r="CT188" s="30"/>
      <c r="CU188" s="30"/>
      <c r="CV188" s="30"/>
      <c r="CW188" s="30"/>
      <c r="CX188" s="30"/>
      <c r="CY188" s="30"/>
      <c r="CZ188" s="30"/>
      <c r="DA188" s="30"/>
      <c r="DB188" s="30"/>
      <c r="DE188" s="139"/>
      <c r="DF188" s="29">
        <v>0</v>
      </c>
    </row>
    <row r="189" spans="1:110" s="5" customFormat="1" x14ac:dyDescent="0.2">
      <c r="AB189" s="63"/>
      <c r="AC189" s="63"/>
      <c r="AD189" s="63"/>
      <c r="AE189" s="63"/>
      <c r="CE189" s="112"/>
      <c r="CG189" s="112"/>
      <c r="CK189" s="30"/>
      <c r="CM189" s="30"/>
      <c r="CN189" s="30"/>
      <c r="CO189" s="30"/>
      <c r="CP189" s="30"/>
      <c r="CQ189" s="30"/>
      <c r="CR189" s="30"/>
      <c r="CS189" s="30"/>
      <c r="CT189" s="30"/>
      <c r="CU189" s="30"/>
      <c r="CV189" s="30"/>
      <c r="CW189" s="30"/>
      <c r="CX189" s="30"/>
      <c r="CY189" s="30"/>
      <c r="CZ189" s="30"/>
      <c r="DA189" s="30"/>
      <c r="DB189" s="30"/>
      <c r="DE189" s="139"/>
    </row>
    <row r="190" spans="1:110" s="95" customFormat="1" x14ac:dyDescent="0.2">
      <c r="A190" s="95" t="s">
        <v>85</v>
      </c>
      <c r="B190" s="95" t="e">
        <f t="shared" ref="B190:W190" ca="1" si="1385">B185/B135</f>
        <v>#NAME?</v>
      </c>
      <c r="C190" s="95" t="e">
        <f t="shared" ca="1" si="1385"/>
        <v>#NAME?</v>
      </c>
      <c r="D190" s="95" t="e">
        <f t="shared" ca="1" si="1385"/>
        <v>#NAME?</v>
      </c>
      <c r="E190" s="95" t="e">
        <f t="shared" ca="1" si="1385"/>
        <v>#NAME?</v>
      </c>
      <c r="F190" s="95" t="e">
        <f t="shared" ca="1" si="1385"/>
        <v>#NAME?</v>
      </c>
      <c r="G190" s="95" t="e">
        <f t="shared" ca="1" si="1385"/>
        <v>#NAME?</v>
      </c>
      <c r="H190" s="95" t="e">
        <f t="shared" ca="1" si="1385"/>
        <v>#NAME?</v>
      </c>
      <c r="I190" s="95" t="e">
        <f t="shared" ca="1" si="1385"/>
        <v>#NAME?</v>
      </c>
      <c r="J190" s="95" t="e">
        <f t="shared" ca="1" si="1385"/>
        <v>#NAME?</v>
      </c>
      <c r="K190" s="95" t="e">
        <f t="shared" ca="1" si="1385"/>
        <v>#NAME?</v>
      </c>
      <c r="L190" s="95" t="e">
        <f t="shared" ca="1" si="1385"/>
        <v>#NAME?</v>
      </c>
      <c r="M190" s="95" t="e">
        <f t="shared" ca="1" si="1385"/>
        <v>#NAME?</v>
      </c>
      <c r="N190" s="95" t="e">
        <f t="shared" ca="1" si="1385"/>
        <v>#NAME?</v>
      </c>
      <c r="O190" s="95" t="e">
        <f t="shared" ca="1" si="1385"/>
        <v>#NAME?</v>
      </c>
      <c r="P190" s="95" t="e">
        <f t="shared" ca="1" si="1385"/>
        <v>#NAME?</v>
      </c>
      <c r="Q190" s="95" t="e">
        <f t="shared" ca="1" si="1385"/>
        <v>#NAME?</v>
      </c>
      <c r="R190" s="95" t="e">
        <f t="shared" ca="1" si="1385"/>
        <v>#NAME?</v>
      </c>
      <c r="S190" s="95" t="e">
        <f t="shared" ca="1" si="1385"/>
        <v>#NAME?</v>
      </c>
      <c r="T190" s="95" t="e">
        <f t="shared" ca="1" si="1385"/>
        <v>#NAME?</v>
      </c>
      <c r="U190" s="95" t="e">
        <f t="shared" ca="1" si="1385"/>
        <v>#NAME?</v>
      </c>
      <c r="V190" s="95" t="e">
        <f t="shared" ca="1" si="1385"/>
        <v>#NAME?</v>
      </c>
      <c r="W190" s="95" t="e">
        <f t="shared" ca="1" si="1385"/>
        <v>#NAME?</v>
      </c>
      <c r="X190" s="95" t="e">
        <f t="shared" ref="X190:Y190" ca="1" si="1386">X185/X135</f>
        <v>#NAME?</v>
      </c>
      <c r="Y190" s="95" t="e">
        <f t="shared" ca="1" si="1386"/>
        <v>#NAME?</v>
      </c>
      <c r="Z190" s="95" t="e">
        <f t="shared" ref="Z190:AA190" ca="1" si="1387">Z185/Z135</f>
        <v>#NAME?</v>
      </c>
      <c r="AA190" s="95" t="e">
        <f t="shared" ca="1" si="1387"/>
        <v>#NAME?</v>
      </c>
      <c r="AB190" s="87" t="e">
        <f t="shared" ref="AA190:AD190" ca="1" si="1388">AB185/AB135</f>
        <v>#NAME?</v>
      </c>
      <c r="AC190" s="87" t="e">
        <f t="shared" ca="1" si="1388"/>
        <v>#NAME?</v>
      </c>
      <c r="AD190" s="87" t="e">
        <f t="shared" ca="1" si="1388"/>
        <v>#NAME?</v>
      </c>
      <c r="AE190" s="87" t="e">
        <f t="shared" ref="AE190" ca="1" si="1389">AE185/AE135</f>
        <v>#NAME?</v>
      </c>
      <c r="CK190" s="96"/>
      <c r="CM190" s="96"/>
      <c r="CN190" s="96"/>
      <c r="CO190" s="96"/>
      <c r="CP190" s="96"/>
      <c r="CQ190" s="96"/>
      <c r="CR190" s="96"/>
      <c r="CS190" s="96"/>
      <c r="CT190" s="96"/>
      <c r="CU190" s="96"/>
      <c r="CV190" s="96"/>
      <c r="CW190" s="96"/>
      <c r="CX190" s="96"/>
      <c r="CY190" s="96"/>
      <c r="CZ190" s="96"/>
      <c r="DA190" s="96"/>
      <c r="DB190" s="96"/>
      <c r="DE190" s="140"/>
      <c r="DF190" s="95">
        <v>0</v>
      </c>
    </row>
    <row r="191" spans="1:110" x14ac:dyDescent="0.2">
      <c r="A191" s="152" t="s">
        <v>492</v>
      </c>
      <c r="AA191" s="2"/>
      <c r="CE191" s="111"/>
      <c r="CG191" s="111"/>
      <c r="CL191" s="2"/>
    </row>
    <row r="192" spans="1:110" s="6" customFormat="1" x14ac:dyDescent="0.2">
      <c r="AB192" s="19"/>
      <c r="AC192" s="19"/>
      <c r="AD192" s="19"/>
      <c r="AE192" s="19"/>
      <c r="CE192" s="113"/>
      <c r="CG192" s="113"/>
      <c r="CK192" s="24"/>
      <c r="CM192" s="24"/>
      <c r="CN192" s="24"/>
      <c r="CO192" s="24"/>
      <c r="CP192" s="24"/>
      <c r="CQ192" s="24"/>
      <c r="CR192" s="24"/>
      <c r="CS192" s="24"/>
      <c r="CT192" s="24"/>
      <c r="CU192" s="24"/>
      <c r="CV192" s="24"/>
      <c r="CW192" s="24"/>
      <c r="CX192" s="24"/>
      <c r="CY192" s="24"/>
      <c r="CZ192" s="24"/>
      <c r="DA192" s="24"/>
      <c r="DB192" s="24"/>
      <c r="DE192" s="123"/>
    </row>
    <row r="193" spans="1:110" s="62" customFormat="1" x14ac:dyDescent="0.2">
      <c r="A193" s="153" t="s">
        <v>493</v>
      </c>
      <c r="AB193" s="63"/>
      <c r="AC193" s="63"/>
      <c r="AD193" s="63"/>
      <c r="AE193" s="63"/>
      <c r="CE193" s="114"/>
      <c r="CG193" s="114"/>
      <c r="CK193" s="30"/>
      <c r="CM193" s="30"/>
      <c r="CN193" s="30"/>
      <c r="CO193" s="30"/>
      <c r="CP193" s="30"/>
      <c r="CQ193" s="30"/>
      <c r="CR193" s="30"/>
      <c r="CS193" s="30"/>
      <c r="CT193" s="30"/>
      <c r="CU193" s="30"/>
      <c r="CV193" s="30"/>
      <c r="CW193" s="30"/>
      <c r="CX193" s="30"/>
      <c r="CY193" s="30"/>
      <c r="CZ193" s="30"/>
      <c r="DA193" s="30"/>
      <c r="DB193" s="30"/>
      <c r="DE193" s="139"/>
    </row>
    <row r="194" spans="1:110" s="62" customFormat="1" outlineLevel="1" x14ac:dyDescent="0.2">
      <c r="A194" s="68" t="s">
        <v>464</v>
      </c>
      <c r="B194" s="67" t="e">
        <f t="shared" ref="B194:AE194" ca="1" si="1390">B159/B23*365</f>
        <v>#NAME?</v>
      </c>
      <c r="C194" s="67" t="e">
        <f t="shared" ca="1" si="1390"/>
        <v>#NAME?</v>
      </c>
      <c r="D194" s="67" t="e">
        <f t="shared" ca="1" si="1390"/>
        <v>#NAME?</v>
      </c>
      <c r="E194" s="67" t="e">
        <f t="shared" ca="1" si="1390"/>
        <v>#NAME?</v>
      </c>
      <c r="F194" s="67" t="e">
        <f t="shared" ca="1" si="1390"/>
        <v>#NAME?</v>
      </c>
      <c r="G194" s="67" t="e">
        <f t="shared" ca="1" si="1390"/>
        <v>#NAME?</v>
      </c>
      <c r="H194" s="67" t="e">
        <f t="shared" ca="1" si="1390"/>
        <v>#NAME?</v>
      </c>
      <c r="I194" s="67" t="e">
        <f t="shared" ca="1" si="1390"/>
        <v>#NAME?</v>
      </c>
      <c r="J194" s="67" t="e">
        <f t="shared" ca="1" si="1390"/>
        <v>#NAME?</v>
      </c>
      <c r="K194" s="67" t="e">
        <f t="shared" ca="1" si="1390"/>
        <v>#NAME?</v>
      </c>
      <c r="L194" s="67" t="e">
        <f t="shared" ca="1" si="1390"/>
        <v>#NAME?</v>
      </c>
      <c r="M194" s="67" t="e">
        <f t="shared" ca="1" si="1390"/>
        <v>#NAME?</v>
      </c>
      <c r="N194" s="67" t="e">
        <f t="shared" ca="1" si="1390"/>
        <v>#NAME?</v>
      </c>
      <c r="O194" s="67" t="e">
        <f t="shared" ca="1" si="1390"/>
        <v>#NAME?</v>
      </c>
      <c r="P194" s="67" t="e">
        <f t="shared" ca="1" si="1390"/>
        <v>#NAME?</v>
      </c>
      <c r="Q194" s="67" t="e">
        <f t="shared" ca="1" si="1390"/>
        <v>#NAME?</v>
      </c>
      <c r="R194" s="67" t="e">
        <f t="shared" ca="1" si="1390"/>
        <v>#NAME?</v>
      </c>
      <c r="S194" s="67" t="e">
        <f t="shared" ca="1" si="1390"/>
        <v>#NAME?</v>
      </c>
      <c r="T194" s="67" t="e">
        <f t="shared" ca="1" si="1390"/>
        <v>#NAME?</v>
      </c>
      <c r="U194" s="67" t="e">
        <f t="shared" ca="1" si="1390"/>
        <v>#NAME?</v>
      </c>
      <c r="V194" s="67" t="e">
        <f t="shared" ca="1" si="1390"/>
        <v>#NAME?</v>
      </c>
      <c r="W194" s="67" t="e">
        <f t="shared" ca="1" si="1390"/>
        <v>#NAME?</v>
      </c>
      <c r="X194" s="67" t="e">
        <f t="shared" ca="1" si="1390"/>
        <v>#NAME?</v>
      </c>
      <c r="Y194" s="67" t="e">
        <f t="shared" ca="1" si="1390"/>
        <v>#NAME?</v>
      </c>
      <c r="Z194" s="67" t="e">
        <f t="shared" ca="1" si="1390"/>
        <v>#NAME?</v>
      </c>
      <c r="AA194" s="67" t="e">
        <f t="shared" ref="AA194" ca="1" si="1391">AA159/AA23*365</f>
        <v>#NAME?</v>
      </c>
      <c r="AB194" s="18" t="e">
        <f t="shared" ca="1" si="1390"/>
        <v>#NAME?</v>
      </c>
      <c r="AC194" s="18" t="e">
        <f t="shared" ca="1" si="1390"/>
        <v>#NAME?</v>
      </c>
      <c r="AD194" s="18" t="e">
        <f t="shared" ca="1" si="1390"/>
        <v>#NAME?</v>
      </c>
      <c r="AE194" s="18" t="e">
        <f t="shared" ca="1" si="1390"/>
        <v>#NAME?</v>
      </c>
      <c r="AI194" s="67" t="e">
        <f ca="1">AJ159/AI23*90</f>
        <v>#NAME?</v>
      </c>
      <c r="AJ194" s="67" t="e">
        <f ca="1">AJ159/AJ23*90</f>
        <v>#NAME?</v>
      </c>
      <c r="AK194" s="67" t="e">
        <f t="shared" ref="AK194:CE194" ca="1" si="1392">+AJ194</f>
        <v>#NAME?</v>
      </c>
      <c r="AL194" s="67" t="e">
        <f ca="1">AL159/AL23*90</f>
        <v>#NAME?</v>
      </c>
      <c r="AM194" s="67" t="e">
        <f t="shared" ref="AM194:AM195" ca="1" si="1393">+AL194</f>
        <v>#NAME?</v>
      </c>
      <c r="AN194" s="67" t="e">
        <f ca="1">AN159/AN23*90</f>
        <v>#NAME?</v>
      </c>
      <c r="AO194" s="67" t="e">
        <f t="shared" ref="AO194:AO195" ca="1" si="1394">+AN194</f>
        <v>#NAME?</v>
      </c>
      <c r="AP194" s="67" t="e">
        <f ca="1">AP159/AP23*90</f>
        <v>#NAME?</v>
      </c>
      <c r="AQ194" s="67" t="e">
        <f t="shared" ref="AQ194:AQ195" ca="1" si="1395">+AP194</f>
        <v>#NAME?</v>
      </c>
      <c r="AR194" s="67" t="e">
        <f ca="1">AR159/AR23*90</f>
        <v>#NAME?</v>
      </c>
      <c r="AS194" s="67" t="e">
        <f t="shared" ref="AS194:AS195" ca="1" si="1396">+AR194</f>
        <v>#NAME?</v>
      </c>
      <c r="AT194" s="67" t="e">
        <f ca="1">AT159/AT23*90</f>
        <v>#NAME?</v>
      </c>
      <c r="AU194" s="67" t="e">
        <f t="shared" ref="AU194:AU195" ca="1" si="1397">+AT194</f>
        <v>#NAME?</v>
      </c>
      <c r="AV194" s="67" t="e">
        <f ca="1">AV159/AV23*90</f>
        <v>#NAME?</v>
      </c>
      <c r="AW194" s="67" t="e">
        <f t="shared" ref="AW194:AW195" ca="1" si="1398">+AV194</f>
        <v>#NAME?</v>
      </c>
      <c r="AX194" s="67" t="e">
        <f ca="1">AX159/AX23*90</f>
        <v>#NAME?</v>
      </c>
      <c r="AY194" s="67" t="e">
        <f t="shared" ref="AY194:AY195" ca="1" si="1399">+AX194</f>
        <v>#NAME?</v>
      </c>
      <c r="AZ194" s="67" t="e">
        <f ca="1">AZ159/AZ23*90</f>
        <v>#NAME?</v>
      </c>
      <c r="BA194" s="67" t="e">
        <f t="shared" ref="BA194:BA195" ca="1" si="1400">+AZ194</f>
        <v>#NAME?</v>
      </c>
      <c r="BB194" s="67" t="e">
        <f ca="1">BB159/BB23*90</f>
        <v>#NAME?</v>
      </c>
      <c r="BC194" s="67" t="e">
        <f t="shared" ref="BC194:BC195" ca="1" si="1401">+BB194</f>
        <v>#NAME?</v>
      </c>
      <c r="BD194" s="67" t="e">
        <f ca="1">BD159/BD23*90</f>
        <v>#NAME?</v>
      </c>
      <c r="BE194" s="67" t="e">
        <f t="shared" ref="BE194:BE195" ca="1" si="1402">+BD194</f>
        <v>#NAME?</v>
      </c>
      <c r="BF194" s="67" t="e">
        <f ca="1">BF159/BF23*90</f>
        <v>#NAME?</v>
      </c>
      <c r="BG194" s="67" t="e">
        <f t="shared" ref="BG194:BG195" ca="1" si="1403">+BF194</f>
        <v>#NAME?</v>
      </c>
      <c r="BH194" s="67" t="e">
        <f ca="1">BH159/BH23*90</f>
        <v>#NAME?</v>
      </c>
      <c r="BI194" s="67" t="e">
        <f t="shared" ref="BI194:BI195" ca="1" si="1404">+BH194</f>
        <v>#NAME?</v>
      </c>
      <c r="BJ194" s="67" t="e">
        <f ca="1">BJ159/BJ23*90</f>
        <v>#NAME?</v>
      </c>
      <c r="BK194" s="67" t="e">
        <f t="shared" ref="BK194:BK195" ca="1" si="1405">+BJ194</f>
        <v>#NAME?</v>
      </c>
      <c r="BL194" s="67" t="e">
        <f ca="1">BL159/BL23*90</f>
        <v>#NAME?</v>
      </c>
      <c r="BM194" s="67" t="e">
        <f t="shared" ref="BM194:BM195" ca="1" si="1406">+BL194</f>
        <v>#NAME?</v>
      </c>
      <c r="BN194" s="67" t="e">
        <f ca="1">BN159/BN23*90</f>
        <v>#NAME?</v>
      </c>
      <c r="BO194" s="67" t="e">
        <f t="shared" ref="BO194:BO195" ca="1" si="1407">+BN194</f>
        <v>#NAME?</v>
      </c>
      <c r="BP194" s="67" t="e">
        <f ca="1">BP159/BP23*90</f>
        <v>#NAME?</v>
      </c>
      <c r="BQ194" s="67" t="e">
        <f t="shared" ref="BQ194:BQ195" ca="1" si="1408">+BP194</f>
        <v>#NAME?</v>
      </c>
      <c r="BR194" s="67" t="e">
        <f ca="1">BR159/BR23*90</f>
        <v>#NAME?</v>
      </c>
      <c r="BS194" s="67" t="e">
        <f t="shared" ref="BS194:BS195" ca="1" si="1409">+BR194</f>
        <v>#NAME?</v>
      </c>
      <c r="BT194" s="67" t="e">
        <f ca="1">BT159/BT23*90</f>
        <v>#NAME?</v>
      </c>
      <c r="BU194" s="67" t="e">
        <f t="shared" ref="BU194:BU195" ca="1" si="1410">+BT194</f>
        <v>#NAME?</v>
      </c>
      <c r="BV194" s="67" t="e">
        <f ca="1">BV159/BV23*90</f>
        <v>#NAME?</v>
      </c>
      <c r="BW194" s="67" t="e">
        <f t="shared" ref="BW194:BW195" ca="1" si="1411">+BV194</f>
        <v>#NAME?</v>
      </c>
      <c r="BX194" s="67" t="e">
        <f ca="1">BX159/BX23*90</f>
        <v>#NAME?</v>
      </c>
      <c r="BY194" s="67" t="e">
        <f t="shared" ref="BY194:BY195" ca="1" si="1412">+BX194</f>
        <v>#NAME?</v>
      </c>
      <c r="BZ194" s="67" t="e">
        <f ca="1">BZ159/BZ23*90</f>
        <v>#NAME?</v>
      </c>
      <c r="CA194" s="67" t="e">
        <f t="shared" ref="CA194:CA195" ca="1" si="1413">+BZ194</f>
        <v>#NAME?</v>
      </c>
      <c r="CB194" s="67" t="e">
        <f ca="1">CB159/CB23*90</f>
        <v>#NAME?</v>
      </c>
      <c r="CC194" s="67" t="e">
        <f t="shared" ref="CC194:CC195" ca="1" si="1414">+CB194</f>
        <v>#NAME?</v>
      </c>
      <c r="CD194" s="67" t="e">
        <f ca="1">CD159/CD23*90</f>
        <v>#NAME?</v>
      </c>
      <c r="CE194" s="67" t="e">
        <f t="shared" ca="1" si="1392"/>
        <v>#NAME?</v>
      </c>
      <c r="CF194" s="67" t="e">
        <f ca="1">CF159/CF23*90</f>
        <v>#NAME?</v>
      </c>
      <c r="CG194" s="67" t="e">
        <f t="shared" ref="CG194:CI195" ca="1" si="1415">+CF194</f>
        <v>#NAME?</v>
      </c>
      <c r="CH194" s="67" t="e">
        <f ca="1">CH159/CH23*90</f>
        <v>#NAME?</v>
      </c>
      <c r="CI194" s="67" t="e">
        <f t="shared" ca="1" si="1415"/>
        <v>#NAME?</v>
      </c>
      <c r="CJ194" s="67" t="e">
        <f ca="1">CJ159/CJ23*90</f>
        <v>#NAME?</v>
      </c>
      <c r="CK194" s="30" t="e">
        <f t="shared" ref="CK194:CK195" ca="1" si="1416">+CJ194</f>
        <v>#NAME?</v>
      </c>
      <c r="CL194" s="67" t="e">
        <f ca="1">CL159/CL23*90</f>
        <v>#NAME?</v>
      </c>
      <c r="CM194" s="30" t="e">
        <f t="shared" ref="CM194:CM195" ca="1" si="1417">+CL194</f>
        <v>#NAME?</v>
      </c>
      <c r="CN194" s="30" t="e">
        <f t="shared" ref="CN194:CN195" ca="1" si="1418">+CM194</f>
        <v>#NAME?</v>
      </c>
      <c r="CO194" s="30" t="e">
        <f t="shared" ref="CO194:CO195" ca="1" si="1419">+CN194</f>
        <v>#NAME?</v>
      </c>
      <c r="CP194" s="30" t="e">
        <f t="shared" ref="CP194:CP195" ca="1" si="1420">+CO194</f>
        <v>#NAME?</v>
      </c>
      <c r="CQ194" s="30" t="e">
        <f t="shared" ref="CQ194:CQ195" ca="1" si="1421">+CP194</f>
        <v>#NAME?</v>
      </c>
      <c r="CR194" s="30" t="e">
        <f t="shared" ref="CR194:CR195" ca="1" si="1422">+CQ194</f>
        <v>#NAME?</v>
      </c>
      <c r="CS194" s="30" t="e">
        <f t="shared" ref="CS194:CS195" ca="1" si="1423">+CR194</f>
        <v>#NAME?</v>
      </c>
      <c r="CT194" s="30" t="e">
        <f t="shared" ref="CT194:CT195" ca="1" si="1424">+CS194</f>
        <v>#NAME?</v>
      </c>
      <c r="CU194" s="30" t="e">
        <f t="shared" ref="CU194:CU195" ca="1" si="1425">+CT194</f>
        <v>#NAME?</v>
      </c>
      <c r="CV194" s="30" t="e">
        <f t="shared" ref="CV194:CV195" ca="1" si="1426">+CU194</f>
        <v>#NAME?</v>
      </c>
      <c r="CW194" s="30" t="e">
        <f t="shared" ref="CW194:CW195" ca="1" si="1427">+CV194</f>
        <v>#NAME?</v>
      </c>
      <c r="CX194" s="30" t="e">
        <f t="shared" ref="CX194:CX195" ca="1" si="1428">+CW194</f>
        <v>#NAME?</v>
      </c>
      <c r="CY194" s="30" t="e">
        <f t="shared" ref="CY194:CY195" ca="1" si="1429">+CX194</f>
        <v>#NAME?</v>
      </c>
      <c r="CZ194" s="30" t="e">
        <f t="shared" ref="CZ194:CZ195" ca="1" si="1430">+CY194</f>
        <v>#NAME?</v>
      </c>
      <c r="DA194" s="30" t="e">
        <f t="shared" ref="DA194:DA195" ca="1" si="1431">+CZ194</f>
        <v>#NAME?</v>
      </c>
      <c r="DB194" s="30" t="e">
        <f t="shared" ref="DB194:DB195" ca="1" si="1432">+DA194</f>
        <v>#NAME?</v>
      </c>
      <c r="DE194" s="139"/>
      <c r="DF194" s="62">
        <v>152.83708659191558</v>
      </c>
    </row>
    <row r="195" spans="1:110" s="62" customFormat="1" outlineLevel="1" x14ac:dyDescent="0.2">
      <c r="A195" s="68" t="s">
        <v>465</v>
      </c>
      <c r="B195" s="67" t="e">
        <f t="shared" ref="B195:AE195" ca="1" si="1433">B160/B23*365</f>
        <v>#NAME?</v>
      </c>
      <c r="C195" s="67" t="e">
        <f t="shared" ca="1" si="1433"/>
        <v>#NAME?</v>
      </c>
      <c r="D195" s="67" t="e">
        <f t="shared" ca="1" si="1433"/>
        <v>#NAME?</v>
      </c>
      <c r="E195" s="67" t="e">
        <f t="shared" ca="1" si="1433"/>
        <v>#NAME?</v>
      </c>
      <c r="F195" s="67" t="e">
        <f t="shared" ca="1" si="1433"/>
        <v>#NAME?</v>
      </c>
      <c r="G195" s="67" t="e">
        <f t="shared" ca="1" si="1433"/>
        <v>#NAME?</v>
      </c>
      <c r="H195" s="67" t="e">
        <f t="shared" ca="1" si="1433"/>
        <v>#NAME?</v>
      </c>
      <c r="I195" s="67" t="e">
        <f t="shared" ca="1" si="1433"/>
        <v>#NAME?</v>
      </c>
      <c r="J195" s="67" t="e">
        <f t="shared" ca="1" si="1433"/>
        <v>#NAME?</v>
      </c>
      <c r="K195" s="67" t="e">
        <f t="shared" ca="1" si="1433"/>
        <v>#NAME?</v>
      </c>
      <c r="L195" s="67" t="e">
        <f t="shared" ca="1" si="1433"/>
        <v>#NAME?</v>
      </c>
      <c r="M195" s="67" t="e">
        <f t="shared" ca="1" si="1433"/>
        <v>#NAME?</v>
      </c>
      <c r="N195" s="67" t="e">
        <f t="shared" ca="1" si="1433"/>
        <v>#NAME?</v>
      </c>
      <c r="O195" s="67" t="e">
        <f t="shared" ca="1" si="1433"/>
        <v>#NAME?</v>
      </c>
      <c r="P195" s="67" t="e">
        <f t="shared" ca="1" si="1433"/>
        <v>#NAME?</v>
      </c>
      <c r="Q195" s="67" t="e">
        <f t="shared" ca="1" si="1433"/>
        <v>#NAME?</v>
      </c>
      <c r="R195" s="67" t="e">
        <f t="shared" ca="1" si="1433"/>
        <v>#NAME?</v>
      </c>
      <c r="S195" s="67" t="e">
        <f t="shared" ca="1" si="1433"/>
        <v>#NAME?</v>
      </c>
      <c r="T195" s="67" t="e">
        <f t="shared" ca="1" si="1433"/>
        <v>#NAME?</v>
      </c>
      <c r="U195" s="67" t="e">
        <f t="shared" ca="1" si="1433"/>
        <v>#NAME?</v>
      </c>
      <c r="V195" s="67" t="e">
        <f t="shared" ca="1" si="1433"/>
        <v>#NAME?</v>
      </c>
      <c r="W195" s="67" t="e">
        <f t="shared" ca="1" si="1433"/>
        <v>#NAME?</v>
      </c>
      <c r="X195" s="67" t="e">
        <f t="shared" ca="1" si="1433"/>
        <v>#NAME?</v>
      </c>
      <c r="Y195" s="67" t="e">
        <f t="shared" ca="1" si="1433"/>
        <v>#NAME?</v>
      </c>
      <c r="Z195" s="67" t="e">
        <f t="shared" ca="1" si="1433"/>
        <v>#NAME?</v>
      </c>
      <c r="AA195" s="67" t="e">
        <f t="shared" ref="AA195" ca="1" si="1434">AA160/AA23*365</f>
        <v>#NAME?</v>
      </c>
      <c r="AB195" s="18" t="e">
        <f t="shared" ca="1" si="1433"/>
        <v>#NAME?</v>
      </c>
      <c r="AC195" s="18" t="e">
        <f t="shared" ca="1" si="1433"/>
        <v>#NAME?</v>
      </c>
      <c r="AD195" s="18" t="e">
        <f t="shared" ca="1" si="1433"/>
        <v>#NAME?</v>
      </c>
      <c r="AE195" s="18" t="e">
        <f t="shared" ca="1" si="1433"/>
        <v>#NAME?</v>
      </c>
      <c r="AI195" s="67" t="e">
        <f ca="1">AJ160/AI23*90</f>
        <v>#NAME?</v>
      </c>
      <c r="AJ195" s="67" t="e">
        <f ca="1">AJ160/AJ23*90</f>
        <v>#NAME?</v>
      </c>
      <c r="AK195" s="67" t="e">
        <f ca="1">+AJ195</f>
        <v>#NAME?</v>
      </c>
      <c r="AL195" s="67" t="e">
        <f ca="1">AL160/AL23*90</f>
        <v>#NAME?</v>
      </c>
      <c r="AM195" s="67" t="e">
        <f t="shared" ca="1" si="1393"/>
        <v>#NAME?</v>
      </c>
      <c r="AN195" s="67" t="e">
        <f ca="1">AN160/AN23*90</f>
        <v>#NAME?</v>
      </c>
      <c r="AO195" s="67" t="e">
        <f t="shared" ca="1" si="1394"/>
        <v>#NAME?</v>
      </c>
      <c r="AP195" s="67" t="e">
        <f ca="1">AP160/AP23*90</f>
        <v>#NAME?</v>
      </c>
      <c r="AQ195" s="67" t="e">
        <f t="shared" ca="1" si="1395"/>
        <v>#NAME?</v>
      </c>
      <c r="AR195" s="67" t="e">
        <f ca="1">AR160/AR23*90</f>
        <v>#NAME?</v>
      </c>
      <c r="AS195" s="67" t="e">
        <f t="shared" ca="1" si="1396"/>
        <v>#NAME?</v>
      </c>
      <c r="AT195" s="67" t="e">
        <f ca="1">AT160/AT23*90</f>
        <v>#NAME?</v>
      </c>
      <c r="AU195" s="67" t="e">
        <f t="shared" ca="1" si="1397"/>
        <v>#NAME?</v>
      </c>
      <c r="AV195" s="67" t="e">
        <f ca="1">AV160/AV23*90</f>
        <v>#NAME?</v>
      </c>
      <c r="AW195" s="67" t="e">
        <f t="shared" ca="1" si="1398"/>
        <v>#NAME?</v>
      </c>
      <c r="AX195" s="67" t="e">
        <f ca="1">AX160/AX23*90</f>
        <v>#NAME?</v>
      </c>
      <c r="AY195" s="67" t="e">
        <f t="shared" ca="1" si="1399"/>
        <v>#NAME?</v>
      </c>
      <c r="AZ195" s="67" t="e">
        <f ca="1">AZ160/AZ23*90</f>
        <v>#NAME?</v>
      </c>
      <c r="BA195" s="67" t="e">
        <f t="shared" ca="1" si="1400"/>
        <v>#NAME?</v>
      </c>
      <c r="BB195" s="67" t="e">
        <f ca="1">BB160/BB23*90</f>
        <v>#NAME?</v>
      </c>
      <c r="BC195" s="67" t="e">
        <f t="shared" ca="1" si="1401"/>
        <v>#NAME?</v>
      </c>
      <c r="BD195" s="67" t="e">
        <f ca="1">BD160/BD23*90</f>
        <v>#NAME?</v>
      </c>
      <c r="BE195" s="67" t="e">
        <f t="shared" ca="1" si="1402"/>
        <v>#NAME?</v>
      </c>
      <c r="BF195" s="67" t="e">
        <f ca="1">BF160/BF23*90</f>
        <v>#NAME?</v>
      </c>
      <c r="BG195" s="67" t="e">
        <f t="shared" ca="1" si="1403"/>
        <v>#NAME?</v>
      </c>
      <c r="BH195" s="67" t="e">
        <f ca="1">BH160/BH23*90</f>
        <v>#NAME?</v>
      </c>
      <c r="BI195" s="67" t="e">
        <f t="shared" ca="1" si="1404"/>
        <v>#NAME?</v>
      </c>
      <c r="BJ195" s="67" t="e">
        <f ca="1">BJ160/BJ23*90</f>
        <v>#NAME?</v>
      </c>
      <c r="BK195" s="67" t="e">
        <f t="shared" ca="1" si="1405"/>
        <v>#NAME?</v>
      </c>
      <c r="BL195" s="67" t="e">
        <f ca="1">BL160/BL23*90</f>
        <v>#NAME?</v>
      </c>
      <c r="BM195" s="67" t="e">
        <f t="shared" ca="1" si="1406"/>
        <v>#NAME?</v>
      </c>
      <c r="BN195" s="67" t="e">
        <f ca="1">BN160/BN23*90</f>
        <v>#NAME?</v>
      </c>
      <c r="BO195" s="67" t="e">
        <f t="shared" ca="1" si="1407"/>
        <v>#NAME?</v>
      </c>
      <c r="BP195" s="67" t="e">
        <f ca="1">BP160/BP23*90</f>
        <v>#NAME?</v>
      </c>
      <c r="BQ195" s="67" t="e">
        <f t="shared" ca="1" si="1408"/>
        <v>#NAME?</v>
      </c>
      <c r="BR195" s="67" t="e">
        <f ca="1">BR160/BR23*90</f>
        <v>#NAME?</v>
      </c>
      <c r="BS195" s="67" t="e">
        <f t="shared" ca="1" si="1409"/>
        <v>#NAME?</v>
      </c>
      <c r="BT195" s="67" t="e">
        <f ca="1">BT160/BT23*90</f>
        <v>#NAME?</v>
      </c>
      <c r="BU195" s="67" t="e">
        <f t="shared" ca="1" si="1410"/>
        <v>#NAME?</v>
      </c>
      <c r="BV195" s="67" t="e">
        <f ca="1">BV160/BV23*90</f>
        <v>#NAME?</v>
      </c>
      <c r="BW195" s="67" t="e">
        <f t="shared" ca="1" si="1411"/>
        <v>#NAME?</v>
      </c>
      <c r="BX195" s="67" t="e">
        <f ca="1">BX160/BX23*90</f>
        <v>#NAME?</v>
      </c>
      <c r="BY195" s="67" t="e">
        <f t="shared" ca="1" si="1412"/>
        <v>#NAME?</v>
      </c>
      <c r="BZ195" s="67" t="e">
        <f ca="1">BZ160/BZ23*90</f>
        <v>#NAME?</v>
      </c>
      <c r="CA195" s="67" t="e">
        <f t="shared" ca="1" si="1413"/>
        <v>#NAME?</v>
      </c>
      <c r="CB195" s="67" t="e">
        <f ca="1">CB160/CB23*90</f>
        <v>#NAME?</v>
      </c>
      <c r="CC195" s="67" t="e">
        <f t="shared" ca="1" si="1414"/>
        <v>#NAME?</v>
      </c>
      <c r="CD195" s="67" t="e">
        <f ca="1">CD160/CD23*90</f>
        <v>#NAME?</v>
      </c>
      <c r="CE195" s="114" t="e">
        <f t="shared" ref="CE195" ca="1" si="1435">+CD195</f>
        <v>#NAME?</v>
      </c>
      <c r="CF195" s="67" t="e">
        <f ca="1">CF160/CF23*90</f>
        <v>#NAME?</v>
      </c>
      <c r="CG195" s="67" t="e">
        <f t="shared" ca="1" si="1415"/>
        <v>#NAME?</v>
      </c>
      <c r="CH195" s="67" t="e">
        <f ca="1">CH160/CH23*90</f>
        <v>#NAME?</v>
      </c>
      <c r="CI195" s="67" t="e">
        <f t="shared" ca="1" si="1415"/>
        <v>#NAME?</v>
      </c>
      <c r="CJ195" s="67" t="e">
        <f ca="1">CJ160/CJ23*90</f>
        <v>#NAME?</v>
      </c>
      <c r="CK195" s="30" t="e">
        <f t="shared" ca="1" si="1416"/>
        <v>#NAME?</v>
      </c>
      <c r="CL195" s="67" t="e">
        <f ca="1">CL160/CL23*90</f>
        <v>#NAME?</v>
      </c>
      <c r="CM195" s="30" t="e">
        <f t="shared" ca="1" si="1417"/>
        <v>#NAME?</v>
      </c>
      <c r="CN195" s="30" t="e">
        <f t="shared" ca="1" si="1418"/>
        <v>#NAME?</v>
      </c>
      <c r="CO195" s="30" t="e">
        <f t="shared" ca="1" si="1419"/>
        <v>#NAME?</v>
      </c>
      <c r="CP195" s="30" t="e">
        <f t="shared" ca="1" si="1420"/>
        <v>#NAME?</v>
      </c>
      <c r="CQ195" s="30" t="e">
        <f t="shared" ca="1" si="1421"/>
        <v>#NAME?</v>
      </c>
      <c r="CR195" s="30" t="e">
        <f t="shared" ca="1" si="1422"/>
        <v>#NAME?</v>
      </c>
      <c r="CS195" s="30" t="e">
        <f t="shared" ca="1" si="1423"/>
        <v>#NAME?</v>
      </c>
      <c r="CT195" s="30" t="e">
        <f t="shared" ca="1" si="1424"/>
        <v>#NAME?</v>
      </c>
      <c r="CU195" s="30" t="e">
        <f t="shared" ca="1" si="1425"/>
        <v>#NAME?</v>
      </c>
      <c r="CV195" s="30" t="e">
        <f t="shared" ca="1" si="1426"/>
        <v>#NAME?</v>
      </c>
      <c r="CW195" s="30" t="e">
        <f t="shared" ca="1" si="1427"/>
        <v>#NAME?</v>
      </c>
      <c r="CX195" s="30" t="e">
        <f t="shared" ca="1" si="1428"/>
        <v>#NAME?</v>
      </c>
      <c r="CY195" s="30" t="e">
        <f t="shared" ca="1" si="1429"/>
        <v>#NAME?</v>
      </c>
      <c r="CZ195" s="30" t="e">
        <f t="shared" ca="1" si="1430"/>
        <v>#NAME?</v>
      </c>
      <c r="DA195" s="30" t="e">
        <f t="shared" ca="1" si="1431"/>
        <v>#NAME?</v>
      </c>
      <c r="DB195" s="30" t="e">
        <f t="shared" ca="1" si="1432"/>
        <v>#NAME?</v>
      </c>
      <c r="DE195" s="139"/>
      <c r="DF195" s="62">
        <v>117.43811498028026</v>
      </c>
    </row>
    <row r="196" spans="1:110" s="62" customFormat="1" outlineLevel="1" x14ac:dyDescent="0.2">
      <c r="A196" s="68" t="s">
        <v>466</v>
      </c>
      <c r="B196" s="67" t="e">
        <f ca="1">B197-B195-B194</f>
        <v>#NAME?</v>
      </c>
      <c r="C196" s="67" t="e">
        <f t="shared" ref="C196:U196" ca="1" si="1436">C197-C195-C194</f>
        <v>#NAME?</v>
      </c>
      <c r="D196" s="67" t="e">
        <f t="shared" ca="1" si="1436"/>
        <v>#NAME?</v>
      </c>
      <c r="E196" s="67" t="e">
        <f t="shared" ca="1" si="1436"/>
        <v>#NAME?</v>
      </c>
      <c r="F196" s="67" t="e">
        <f t="shared" ca="1" si="1436"/>
        <v>#NAME?</v>
      </c>
      <c r="G196" s="67" t="e">
        <f t="shared" ca="1" si="1436"/>
        <v>#NAME?</v>
      </c>
      <c r="H196" s="67" t="e">
        <f t="shared" ca="1" si="1436"/>
        <v>#NAME?</v>
      </c>
      <c r="I196" s="67" t="e">
        <f t="shared" ca="1" si="1436"/>
        <v>#NAME?</v>
      </c>
      <c r="J196" s="67" t="e">
        <f t="shared" ca="1" si="1436"/>
        <v>#NAME?</v>
      </c>
      <c r="K196" s="67" t="e">
        <f t="shared" ca="1" si="1436"/>
        <v>#NAME?</v>
      </c>
      <c r="L196" s="67" t="e">
        <f t="shared" ca="1" si="1436"/>
        <v>#NAME?</v>
      </c>
      <c r="M196" s="67" t="e">
        <f t="shared" ca="1" si="1436"/>
        <v>#NAME?</v>
      </c>
      <c r="N196" s="67" t="e">
        <f t="shared" ca="1" si="1436"/>
        <v>#NAME?</v>
      </c>
      <c r="O196" s="67" t="e">
        <f t="shared" ca="1" si="1436"/>
        <v>#NAME?</v>
      </c>
      <c r="P196" s="67" t="e">
        <f t="shared" ca="1" si="1436"/>
        <v>#NAME?</v>
      </c>
      <c r="Q196" s="67" t="e">
        <f t="shared" ca="1" si="1436"/>
        <v>#NAME?</v>
      </c>
      <c r="R196" s="67" t="e">
        <f t="shared" ca="1" si="1436"/>
        <v>#NAME?</v>
      </c>
      <c r="S196" s="67" t="e">
        <f t="shared" ca="1" si="1436"/>
        <v>#NAME?</v>
      </c>
      <c r="T196" s="67" t="e">
        <f t="shared" ca="1" si="1436"/>
        <v>#NAME?</v>
      </c>
      <c r="U196" s="67" t="e">
        <f t="shared" ca="1" si="1436"/>
        <v>#NAME?</v>
      </c>
      <c r="V196" s="67" t="e">
        <f ca="1">V197-V195-V194</f>
        <v>#NAME?</v>
      </c>
      <c r="W196" s="67" t="e">
        <f t="shared" ref="W196" ca="1" si="1437">W197-W195-W194</f>
        <v>#NAME?</v>
      </c>
      <c r="X196" s="67" t="e">
        <f t="shared" ref="X196:Y196" ca="1" si="1438">X197-X195-X194</f>
        <v>#NAME?</v>
      </c>
      <c r="Y196" s="67" t="e">
        <f t="shared" ca="1" si="1438"/>
        <v>#NAME?</v>
      </c>
      <c r="Z196" s="67" t="e">
        <f t="shared" ref="Z196:AA196" ca="1" si="1439">Z197-Z195-Z194</f>
        <v>#NAME?</v>
      </c>
      <c r="AA196" s="67" t="e">
        <f t="shared" ca="1" si="1439"/>
        <v>#NAME?</v>
      </c>
      <c r="AB196" s="18" t="e">
        <f t="shared" ref="AA196:AD196" ca="1" si="1440">AB197-AB195-AB194</f>
        <v>#NAME?</v>
      </c>
      <c r="AC196" s="18" t="e">
        <f t="shared" ca="1" si="1440"/>
        <v>#NAME?</v>
      </c>
      <c r="AD196" s="18" t="e">
        <f t="shared" ca="1" si="1440"/>
        <v>#NAME?</v>
      </c>
      <c r="AE196" s="18" t="e">
        <f t="shared" ref="AE196" ca="1" si="1441">AE197-AE195-AE194</f>
        <v>#NAME?</v>
      </c>
      <c r="AI196" s="67" t="e">
        <f t="shared" ref="AI196:AK196" ca="1" si="1442">AI197-AI195-AI194</f>
        <v>#NAME?</v>
      </c>
      <c r="AJ196" s="67" t="e">
        <f t="shared" ref="AJ196:AM196" ca="1" si="1443">AJ197-AJ195-AJ194</f>
        <v>#NAME?</v>
      </c>
      <c r="AK196" s="67" t="e">
        <f t="shared" ca="1" si="1442"/>
        <v>#NAME?</v>
      </c>
      <c r="AL196" s="67" t="e">
        <f t="shared" ca="1" si="1443"/>
        <v>#NAME?</v>
      </c>
      <c r="AM196" s="67" t="e">
        <f t="shared" ca="1" si="1443"/>
        <v>#NAME?</v>
      </c>
      <c r="AN196" s="67" t="e">
        <f t="shared" ref="AN196:AY196" ca="1" si="1444">AN197-AN195-AN194</f>
        <v>#NAME?</v>
      </c>
      <c r="AO196" s="67" t="e">
        <f t="shared" ca="1" si="1444"/>
        <v>#NAME?</v>
      </c>
      <c r="AP196" s="67" t="e">
        <f t="shared" ca="1" si="1444"/>
        <v>#NAME?</v>
      </c>
      <c r="AQ196" s="67" t="e">
        <f t="shared" ca="1" si="1444"/>
        <v>#NAME?</v>
      </c>
      <c r="AR196" s="67" t="e">
        <f t="shared" ca="1" si="1444"/>
        <v>#NAME?</v>
      </c>
      <c r="AS196" s="67" t="e">
        <f t="shared" ca="1" si="1444"/>
        <v>#NAME?</v>
      </c>
      <c r="AT196" s="67" t="e">
        <f t="shared" ca="1" si="1444"/>
        <v>#NAME?</v>
      </c>
      <c r="AU196" s="67" t="e">
        <f t="shared" ca="1" si="1444"/>
        <v>#NAME?</v>
      </c>
      <c r="AV196" s="67" t="e">
        <f t="shared" ca="1" si="1444"/>
        <v>#NAME?</v>
      </c>
      <c r="AW196" s="67" t="e">
        <f t="shared" ca="1" si="1444"/>
        <v>#NAME?</v>
      </c>
      <c r="AX196" s="67" t="e">
        <f t="shared" ca="1" si="1444"/>
        <v>#NAME?</v>
      </c>
      <c r="AY196" s="67" t="e">
        <f t="shared" ca="1" si="1444"/>
        <v>#NAME?</v>
      </c>
      <c r="AZ196" s="67" t="e">
        <f t="shared" ref="AZ196:BC196" ca="1" si="1445">AZ197-AZ195-AZ194</f>
        <v>#NAME?</v>
      </c>
      <c r="BA196" s="67" t="e">
        <f t="shared" ca="1" si="1445"/>
        <v>#NAME?</v>
      </c>
      <c r="BB196" s="67" t="e">
        <f t="shared" ca="1" si="1445"/>
        <v>#NAME?</v>
      </c>
      <c r="BC196" s="67" t="e">
        <f t="shared" ca="1" si="1445"/>
        <v>#NAME?</v>
      </c>
      <c r="BD196" s="67" t="e">
        <f t="shared" ref="BD196:CE196" ca="1" si="1446">BD197-BD195-BD194</f>
        <v>#NAME?</v>
      </c>
      <c r="BE196" s="67" t="e">
        <f t="shared" ca="1" si="1446"/>
        <v>#NAME?</v>
      </c>
      <c r="BF196" s="67" t="e">
        <f t="shared" ca="1" si="1446"/>
        <v>#NAME?</v>
      </c>
      <c r="BG196" s="67" t="e">
        <f t="shared" ca="1" si="1446"/>
        <v>#NAME?</v>
      </c>
      <c r="BH196" s="67" t="e">
        <f t="shared" ca="1" si="1446"/>
        <v>#NAME?</v>
      </c>
      <c r="BI196" s="67" t="e">
        <f t="shared" ca="1" si="1446"/>
        <v>#NAME?</v>
      </c>
      <c r="BJ196" s="67" t="e">
        <f t="shared" ca="1" si="1446"/>
        <v>#NAME?</v>
      </c>
      <c r="BK196" s="67" t="e">
        <f t="shared" ca="1" si="1446"/>
        <v>#NAME?</v>
      </c>
      <c r="BL196" s="67" t="e">
        <f t="shared" ca="1" si="1446"/>
        <v>#NAME?</v>
      </c>
      <c r="BM196" s="67" t="e">
        <f t="shared" ca="1" si="1446"/>
        <v>#NAME?</v>
      </c>
      <c r="BN196" s="67" t="e">
        <f t="shared" ca="1" si="1446"/>
        <v>#NAME?</v>
      </c>
      <c r="BO196" s="67" t="e">
        <f t="shared" ca="1" si="1446"/>
        <v>#NAME?</v>
      </c>
      <c r="BP196" s="67" t="e">
        <f t="shared" ca="1" si="1446"/>
        <v>#NAME?</v>
      </c>
      <c r="BQ196" s="67" t="e">
        <f t="shared" ca="1" si="1446"/>
        <v>#NAME?</v>
      </c>
      <c r="BR196" s="67" t="e">
        <f t="shared" ca="1" si="1446"/>
        <v>#NAME?</v>
      </c>
      <c r="BS196" s="67" t="e">
        <f t="shared" ca="1" si="1446"/>
        <v>#NAME?</v>
      </c>
      <c r="BT196" s="67" t="e">
        <f t="shared" ca="1" si="1446"/>
        <v>#NAME?</v>
      </c>
      <c r="BU196" s="67" t="e">
        <f t="shared" ca="1" si="1446"/>
        <v>#NAME?</v>
      </c>
      <c r="BV196" s="67" t="e">
        <f t="shared" ca="1" si="1446"/>
        <v>#NAME?</v>
      </c>
      <c r="BW196" s="67" t="e">
        <f t="shared" ca="1" si="1446"/>
        <v>#NAME?</v>
      </c>
      <c r="BX196" s="67" t="e">
        <f t="shared" ca="1" si="1446"/>
        <v>#NAME?</v>
      </c>
      <c r="BY196" s="67" t="e">
        <f t="shared" ca="1" si="1446"/>
        <v>#NAME?</v>
      </c>
      <c r="BZ196" s="67" t="e">
        <f t="shared" ca="1" si="1446"/>
        <v>#NAME?</v>
      </c>
      <c r="CA196" s="67" t="e">
        <f t="shared" ca="1" si="1446"/>
        <v>#NAME?</v>
      </c>
      <c r="CB196" s="67" t="e">
        <f t="shared" ca="1" si="1446"/>
        <v>#NAME?</v>
      </c>
      <c r="CC196" s="67" t="e">
        <f t="shared" ca="1" si="1446"/>
        <v>#NAME?</v>
      </c>
      <c r="CD196" s="67" t="e">
        <f t="shared" ca="1" si="1446"/>
        <v>#NAME?</v>
      </c>
      <c r="CE196" s="114" t="e">
        <f t="shared" ca="1" si="1446"/>
        <v>#NAME?</v>
      </c>
      <c r="CF196" s="67" t="e">
        <f t="shared" ref="CF196:CG196" ca="1" si="1447">CF197-CF195-CF194</f>
        <v>#NAME?</v>
      </c>
      <c r="CG196" s="67" t="e">
        <f t="shared" ca="1" si="1447"/>
        <v>#NAME?</v>
      </c>
      <c r="CH196" s="67" t="e">
        <f t="shared" ref="CH196" ca="1" si="1448">CH197-CH195-CH194</f>
        <v>#NAME?</v>
      </c>
      <c r="CI196" s="67" t="e">
        <f ca="1">CH196</f>
        <v>#NAME?</v>
      </c>
      <c r="CJ196" s="67" t="e">
        <f t="shared" ref="CJ196:CL196" ca="1" si="1449">CJ197-CJ195-CJ194</f>
        <v>#NAME?</v>
      </c>
      <c r="CK196" s="30" t="e">
        <f t="shared" ref="CK196:DB196" ca="1" si="1450">CJ196</f>
        <v>#NAME?</v>
      </c>
      <c r="CL196" s="67" t="e">
        <f t="shared" ca="1" si="1449"/>
        <v>#NAME?</v>
      </c>
      <c r="CM196" s="30" t="e">
        <f t="shared" ca="1" si="1450"/>
        <v>#NAME?</v>
      </c>
      <c r="CN196" s="30" t="e">
        <f t="shared" ca="1" si="1450"/>
        <v>#NAME?</v>
      </c>
      <c r="CO196" s="30" t="e">
        <f t="shared" ca="1" si="1450"/>
        <v>#NAME?</v>
      </c>
      <c r="CP196" s="30" t="e">
        <f t="shared" ca="1" si="1450"/>
        <v>#NAME?</v>
      </c>
      <c r="CQ196" s="30" t="e">
        <f t="shared" ca="1" si="1450"/>
        <v>#NAME?</v>
      </c>
      <c r="CR196" s="30" t="e">
        <f t="shared" ca="1" si="1450"/>
        <v>#NAME?</v>
      </c>
      <c r="CS196" s="30" t="e">
        <f t="shared" ca="1" si="1450"/>
        <v>#NAME?</v>
      </c>
      <c r="CT196" s="30" t="e">
        <f t="shared" ca="1" si="1450"/>
        <v>#NAME?</v>
      </c>
      <c r="CU196" s="30" t="e">
        <f t="shared" ca="1" si="1450"/>
        <v>#NAME?</v>
      </c>
      <c r="CV196" s="30" t="e">
        <f t="shared" ca="1" si="1450"/>
        <v>#NAME?</v>
      </c>
      <c r="CW196" s="30" t="e">
        <f t="shared" ca="1" si="1450"/>
        <v>#NAME?</v>
      </c>
      <c r="CX196" s="30" t="e">
        <f t="shared" ca="1" si="1450"/>
        <v>#NAME?</v>
      </c>
      <c r="CY196" s="30" t="e">
        <f t="shared" ca="1" si="1450"/>
        <v>#NAME?</v>
      </c>
      <c r="CZ196" s="30" t="e">
        <f t="shared" ca="1" si="1450"/>
        <v>#NAME?</v>
      </c>
      <c r="DA196" s="30" t="e">
        <f t="shared" ca="1" si="1450"/>
        <v>#NAME?</v>
      </c>
      <c r="DB196" s="30" t="e">
        <f t="shared" ca="1" si="1450"/>
        <v>#NAME?</v>
      </c>
      <c r="DE196" s="139"/>
      <c r="DF196" s="62">
        <v>76.3923400322156</v>
      </c>
    </row>
    <row r="197" spans="1:110" s="7" customFormat="1" outlineLevel="1" x14ac:dyDescent="0.2">
      <c r="A197" s="69" t="s">
        <v>467</v>
      </c>
      <c r="B197" s="70" t="e">
        <f t="shared" ref="B197:AE197" ca="1" si="1451">B163/B23*365</f>
        <v>#NAME?</v>
      </c>
      <c r="C197" s="70" t="e">
        <f t="shared" ca="1" si="1451"/>
        <v>#NAME?</v>
      </c>
      <c r="D197" s="70" t="e">
        <f t="shared" ca="1" si="1451"/>
        <v>#NAME?</v>
      </c>
      <c r="E197" s="70" t="e">
        <f t="shared" ca="1" si="1451"/>
        <v>#NAME?</v>
      </c>
      <c r="F197" s="70" t="e">
        <f t="shared" ca="1" si="1451"/>
        <v>#NAME?</v>
      </c>
      <c r="G197" s="70" t="e">
        <f t="shared" ca="1" si="1451"/>
        <v>#NAME?</v>
      </c>
      <c r="H197" s="70" t="e">
        <f t="shared" ca="1" si="1451"/>
        <v>#NAME?</v>
      </c>
      <c r="I197" s="70" t="e">
        <f t="shared" ca="1" si="1451"/>
        <v>#NAME?</v>
      </c>
      <c r="J197" s="70" t="e">
        <f t="shared" ca="1" si="1451"/>
        <v>#NAME?</v>
      </c>
      <c r="K197" s="70" t="e">
        <f t="shared" ca="1" si="1451"/>
        <v>#NAME?</v>
      </c>
      <c r="L197" s="70" t="e">
        <f t="shared" ca="1" si="1451"/>
        <v>#NAME?</v>
      </c>
      <c r="M197" s="70" t="e">
        <f t="shared" ca="1" si="1451"/>
        <v>#NAME?</v>
      </c>
      <c r="N197" s="70" t="e">
        <f t="shared" ca="1" si="1451"/>
        <v>#NAME?</v>
      </c>
      <c r="O197" s="70" t="e">
        <f t="shared" ca="1" si="1451"/>
        <v>#NAME?</v>
      </c>
      <c r="P197" s="70" t="e">
        <f t="shared" ca="1" si="1451"/>
        <v>#NAME?</v>
      </c>
      <c r="Q197" s="70" t="e">
        <f t="shared" ca="1" si="1451"/>
        <v>#NAME?</v>
      </c>
      <c r="R197" s="70" t="e">
        <f t="shared" ca="1" si="1451"/>
        <v>#NAME?</v>
      </c>
      <c r="S197" s="70" t="e">
        <f t="shared" ca="1" si="1451"/>
        <v>#NAME?</v>
      </c>
      <c r="T197" s="70" t="e">
        <f t="shared" ca="1" si="1451"/>
        <v>#NAME?</v>
      </c>
      <c r="U197" s="70" t="e">
        <f t="shared" ca="1" si="1451"/>
        <v>#NAME?</v>
      </c>
      <c r="V197" s="70" t="e">
        <f t="shared" ca="1" si="1451"/>
        <v>#NAME?</v>
      </c>
      <c r="W197" s="70" t="e">
        <f t="shared" ca="1" si="1451"/>
        <v>#NAME?</v>
      </c>
      <c r="X197" s="70" t="e">
        <f t="shared" ca="1" si="1451"/>
        <v>#NAME?</v>
      </c>
      <c r="Y197" s="70" t="e">
        <f t="shared" ca="1" si="1451"/>
        <v>#NAME?</v>
      </c>
      <c r="Z197" s="70" t="e">
        <f t="shared" ca="1" si="1451"/>
        <v>#NAME?</v>
      </c>
      <c r="AA197" s="70" t="e">
        <f t="shared" ref="AA197" ca="1" si="1452">AA163/AA23*365</f>
        <v>#NAME?</v>
      </c>
      <c r="AB197" s="71" t="e">
        <f t="shared" ca="1" si="1451"/>
        <v>#NAME?</v>
      </c>
      <c r="AC197" s="71" t="e">
        <f t="shared" ca="1" si="1451"/>
        <v>#NAME?</v>
      </c>
      <c r="AD197" s="71" t="e">
        <f t="shared" ca="1" si="1451"/>
        <v>#NAME?</v>
      </c>
      <c r="AE197" s="71" t="e">
        <f t="shared" ca="1" si="1451"/>
        <v>#NAME?</v>
      </c>
      <c r="AI197" s="70" t="e">
        <f t="shared" ref="AI197:CD197" ca="1" si="1453">AI163/AI23*90</f>
        <v>#NAME?</v>
      </c>
      <c r="AJ197" s="70" t="e">
        <f t="shared" ca="1" si="1453"/>
        <v>#NAME?</v>
      </c>
      <c r="AK197" s="70" t="e">
        <f t="shared" ca="1" si="1453"/>
        <v>#NAME?</v>
      </c>
      <c r="AL197" s="70" t="e">
        <f t="shared" ca="1" si="1453"/>
        <v>#NAME?</v>
      </c>
      <c r="AM197" s="70" t="e">
        <f t="shared" ca="1" si="1453"/>
        <v>#NAME?</v>
      </c>
      <c r="AN197" s="70" t="e">
        <f t="shared" ca="1" si="1453"/>
        <v>#NAME?</v>
      </c>
      <c r="AO197" s="70" t="e">
        <f t="shared" ca="1" si="1453"/>
        <v>#NAME?</v>
      </c>
      <c r="AP197" s="70" t="e">
        <f t="shared" ca="1" si="1453"/>
        <v>#NAME?</v>
      </c>
      <c r="AQ197" s="70" t="e">
        <f t="shared" ca="1" si="1453"/>
        <v>#NAME?</v>
      </c>
      <c r="AR197" s="70" t="e">
        <f t="shared" ca="1" si="1453"/>
        <v>#NAME?</v>
      </c>
      <c r="AS197" s="70" t="e">
        <f t="shared" ca="1" si="1453"/>
        <v>#NAME?</v>
      </c>
      <c r="AT197" s="70" t="e">
        <f t="shared" ca="1" si="1453"/>
        <v>#NAME?</v>
      </c>
      <c r="AU197" s="70" t="e">
        <f t="shared" ca="1" si="1453"/>
        <v>#NAME?</v>
      </c>
      <c r="AV197" s="70" t="e">
        <f t="shared" ca="1" si="1453"/>
        <v>#NAME?</v>
      </c>
      <c r="AW197" s="70" t="e">
        <f t="shared" ca="1" si="1453"/>
        <v>#NAME?</v>
      </c>
      <c r="AX197" s="70" t="e">
        <f t="shared" ca="1" si="1453"/>
        <v>#NAME?</v>
      </c>
      <c r="AY197" s="70" t="e">
        <f t="shared" ca="1" si="1453"/>
        <v>#NAME?</v>
      </c>
      <c r="AZ197" s="70" t="e">
        <f t="shared" ca="1" si="1453"/>
        <v>#NAME?</v>
      </c>
      <c r="BA197" s="70" t="e">
        <f t="shared" ca="1" si="1453"/>
        <v>#NAME?</v>
      </c>
      <c r="BB197" s="70" t="e">
        <f t="shared" ca="1" si="1453"/>
        <v>#NAME?</v>
      </c>
      <c r="BC197" s="70" t="e">
        <f t="shared" ca="1" si="1453"/>
        <v>#NAME?</v>
      </c>
      <c r="BD197" s="70" t="e">
        <f t="shared" ca="1" si="1453"/>
        <v>#NAME?</v>
      </c>
      <c r="BE197" s="70" t="e">
        <f t="shared" ca="1" si="1453"/>
        <v>#NAME?</v>
      </c>
      <c r="BF197" s="70" t="e">
        <f t="shared" ca="1" si="1453"/>
        <v>#NAME?</v>
      </c>
      <c r="BG197" s="70" t="e">
        <f t="shared" ca="1" si="1453"/>
        <v>#NAME?</v>
      </c>
      <c r="BH197" s="70" t="e">
        <f t="shared" ca="1" si="1453"/>
        <v>#NAME?</v>
      </c>
      <c r="BI197" s="70" t="e">
        <f t="shared" ca="1" si="1453"/>
        <v>#NAME?</v>
      </c>
      <c r="BJ197" s="70" t="e">
        <f t="shared" ca="1" si="1453"/>
        <v>#NAME?</v>
      </c>
      <c r="BK197" s="70" t="e">
        <f t="shared" ca="1" si="1453"/>
        <v>#NAME?</v>
      </c>
      <c r="BL197" s="70" t="e">
        <f t="shared" ca="1" si="1453"/>
        <v>#NAME?</v>
      </c>
      <c r="BM197" s="70" t="e">
        <f t="shared" ca="1" si="1453"/>
        <v>#NAME?</v>
      </c>
      <c r="BN197" s="70" t="e">
        <f t="shared" ca="1" si="1453"/>
        <v>#NAME?</v>
      </c>
      <c r="BO197" s="70" t="e">
        <f t="shared" ca="1" si="1453"/>
        <v>#NAME?</v>
      </c>
      <c r="BP197" s="70" t="e">
        <f t="shared" ca="1" si="1453"/>
        <v>#NAME?</v>
      </c>
      <c r="BQ197" s="70" t="e">
        <f t="shared" ca="1" si="1453"/>
        <v>#NAME?</v>
      </c>
      <c r="BR197" s="70" t="e">
        <f t="shared" ca="1" si="1453"/>
        <v>#NAME?</v>
      </c>
      <c r="BS197" s="70" t="e">
        <f t="shared" ca="1" si="1453"/>
        <v>#NAME?</v>
      </c>
      <c r="BT197" s="70" t="e">
        <f t="shared" ca="1" si="1453"/>
        <v>#NAME?</v>
      </c>
      <c r="BU197" s="70" t="e">
        <f t="shared" ca="1" si="1453"/>
        <v>#NAME?</v>
      </c>
      <c r="BV197" s="70" t="e">
        <f t="shared" ca="1" si="1453"/>
        <v>#NAME?</v>
      </c>
      <c r="BW197" s="70" t="e">
        <f t="shared" ca="1" si="1453"/>
        <v>#NAME?</v>
      </c>
      <c r="BX197" s="70" t="e">
        <f t="shared" ca="1" si="1453"/>
        <v>#NAME?</v>
      </c>
      <c r="BY197" s="70" t="e">
        <f t="shared" ca="1" si="1453"/>
        <v>#NAME?</v>
      </c>
      <c r="BZ197" s="70" t="e">
        <f t="shared" ca="1" si="1453"/>
        <v>#NAME?</v>
      </c>
      <c r="CA197" s="70" t="e">
        <f t="shared" ca="1" si="1453"/>
        <v>#NAME?</v>
      </c>
      <c r="CB197" s="70" t="e">
        <f t="shared" ca="1" si="1453"/>
        <v>#NAME?</v>
      </c>
      <c r="CC197" s="70" t="e">
        <f t="shared" ca="1" si="1453"/>
        <v>#NAME?</v>
      </c>
      <c r="CD197" s="70" t="e">
        <f t="shared" ca="1" si="1453"/>
        <v>#NAME?</v>
      </c>
      <c r="CE197" s="115" t="e">
        <f ca="1">CE163/CE25*90</f>
        <v>#NAME?</v>
      </c>
      <c r="CF197" s="70" t="e">
        <f ca="1">CF163/CF23*90</f>
        <v>#NAME?</v>
      </c>
      <c r="CG197" s="70" t="e">
        <f ca="1">CG163/CG25*90</f>
        <v>#NAME?</v>
      </c>
      <c r="CH197" s="70" t="e">
        <f ca="1">CH163/CH23*90</f>
        <v>#NAME?</v>
      </c>
      <c r="CI197" s="70" t="e">
        <f ca="1">CI194+CI195+CI196</f>
        <v>#NAME?</v>
      </c>
      <c r="CJ197" s="70" t="e">
        <f ca="1">CJ163/CJ23*90</f>
        <v>#NAME?</v>
      </c>
      <c r="CK197" s="50" t="e">
        <f t="shared" ref="CK197:DB197" ca="1" si="1454">CK194+CK195+CK196</f>
        <v>#NAME?</v>
      </c>
      <c r="CL197" s="70" t="e">
        <f ca="1">CL163/CL23*90</f>
        <v>#NAME?</v>
      </c>
      <c r="CM197" s="50" t="e">
        <f t="shared" ca="1" si="1454"/>
        <v>#NAME?</v>
      </c>
      <c r="CN197" s="50" t="e">
        <f t="shared" ca="1" si="1454"/>
        <v>#NAME?</v>
      </c>
      <c r="CO197" s="50" t="e">
        <f t="shared" ca="1" si="1454"/>
        <v>#NAME?</v>
      </c>
      <c r="CP197" s="50" t="e">
        <f t="shared" ca="1" si="1454"/>
        <v>#NAME?</v>
      </c>
      <c r="CQ197" s="50" t="e">
        <f t="shared" ca="1" si="1454"/>
        <v>#NAME?</v>
      </c>
      <c r="CR197" s="50" t="e">
        <f t="shared" ca="1" si="1454"/>
        <v>#NAME?</v>
      </c>
      <c r="CS197" s="50" t="e">
        <f t="shared" ca="1" si="1454"/>
        <v>#NAME?</v>
      </c>
      <c r="CT197" s="50" t="e">
        <f t="shared" ca="1" si="1454"/>
        <v>#NAME?</v>
      </c>
      <c r="CU197" s="50" t="e">
        <f t="shared" ca="1" si="1454"/>
        <v>#NAME?</v>
      </c>
      <c r="CV197" s="50" t="e">
        <f t="shared" ca="1" si="1454"/>
        <v>#NAME?</v>
      </c>
      <c r="CW197" s="50" t="e">
        <f t="shared" ca="1" si="1454"/>
        <v>#NAME?</v>
      </c>
      <c r="CX197" s="50" t="e">
        <f t="shared" ca="1" si="1454"/>
        <v>#NAME?</v>
      </c>
      <c r="CY197" s="50" t="e">
        <f t="shared" ca="1" si="1454"/>
        <v>#NAME?</v>
      </c>
      <c r="CZ197" s="50" t="e">
        <f t="shared" ca="1" si="1454"/>
        <v>#NAME?</v>
      </c>
      <c r="DA197" s="50" t="e">
        <f t="shared" ca="1" si="1454"/>
        <v>#NAME?</v>
      </c>
      <c r="DB197" s="50" t="e">
        <f t="shared" ca="1" si="1454"/>
        <v>#NAME?</v>
      </c>
      <c r="DE197" s="138"/>
      <c r="DF197" s="7">
        <v>346.66754160441144</v>
      </c>
    </row>
    <row r="198" spans="1:110" s="62" customFormat="1" outlineLevel="1" x14ac:dyDescent="0.2">
      <c r="A198" s="68" t="s">
        <v>468</v>
      </c>
      <c r="B198" s="67" t="e">
        <f t="shared" ref="B198:AE198" ca="1" si="1455">B168/B23*365</f>
        <v>#NAME?</v>
      </c>
      <c r="C198" s="67" t="e">
        <f t="shared" ca="1" si="1455"/>
        <v>#NAME?</v>
      </c>
      <c r="D198" s="67" t="e">
        <f t="shared" ca="1" si="1455"/>
        <v>#NAME?</v>
      </c>
      <c r="E198" s="67" t="e">
        <f t="shared" ca="1" si="1455"/>
        <v>#NAME?</v>
      </c>
      <c r="F198" s="67" t="e">
        <f t="shared" ca="1" si="1455"/>
        <v>#NAME?</v>
      </c>
      <c r="G198" s="67" t="e">
        <f t="shared" ca="1" si="1455"/>
        <v>#NAME?</v>
      </c>
      <c r="H198" s="67" t="e">
        <f t="shared" ca="1" si="1455"/>
        <v>#NAME?</v>
      </c>
      <c r="I198" s="67" t="e">
        <f t="shared" ca="1" si="1455"/>
        <v>#NAME?</v>
      </c>
      <c r="J198" s="67" t="e">
        <f t="shared" ca="1" si="1455"/>
        <v>#NAME?</v>
      </c>
      <c r="K198" s="67" t="e">
        <f t="shared" ca="1" si="1455"/>
        <v>#NAME?</v>
      </c>
      <c r="L198" s="67" t="e">
        <f t="shared" ca="1" si="1455"/>
        <v>#NAME?</v>
      </c>
      <c r="M198" s="67" t="e">
        <f t="shared" ca="1" si="1455"/>
        <v>#NAME?</v>
      </c>
      <c r="N198" s="67" t="e">
        <f t="shared" ca="1" si="1455"/>
        <v>#NAME?</v>
      </c>
      <c r="O198" s="67" t="e">
        <f t="shared" ca="1" si="1455"/>
        <v>#NAME?</v>
      </c>
      <c r="P198" s="67" t="e">
        <f t="shared" ca="1" si="1455"/>
        <v>#NAME?</v>
      </c>
      <c r="Q198" s="67" t="e">
        <f t="shared" ca="1" si="1455"/>
        <v>#NAME?</v>
      </c>
      <c r="R198" s="67" t="e">
        <f t="shared" ca="1" si="1455"/>
        <v>#NAME?</v>
      </c>
      <c r="S198" s="67" t="e">
        <f t="shared" ca="1" si="1455"/>
        <v>#NAME?</v>
      </c>
      <c r="T198" s="67" t="e">
        <f t="shared" ca="1" si="1455"/>
        <v>#NAME?</v>
      </c>
      <c r="U198" s="67" t="e">
        <f t="shared" ca="1" si="1455"/>
        <v>#NAME?</v>
      </c>
      <c r="V198" s="67" t="e">
        <f t="shared" ca="1" si="1455"/>
        <v>#NAME?</v>
      </c>
      <c r="W198" s="67" t="e">
        <f t="shared" ca="1" si="1455"/>
        <v>#NAME?</v>
      </c>
      <c r="X198" s="67" t="e">
        <f t="shared" ca="1" si="1455"/>
        <v>#NAME?</v>
      </c>
      <c r="Y198" s="67" t="e">
        <f t="shared" ca="1" si="1455"/>
        <v>#NAME?</v>
      </c>
      <c r="Z198" s="67" t="e">
        <f t="shared" ca="1" si="1455"/>
        <v>#NAME?</v>
      </c>
      <c r="AA198" s="67" t="e">
        <f t="shared" ref="AA198" ca="1" si="1456">AA168/AA23*365</f>
        <v>#NAME?</v>
      </c>
      <c r="AB198" s="18" t="e">
        <f t="shared" ca="1" si="1455"/>
        <v>#NAME?</v>
      </c>
      <c r="AC198" s="18" t="e">
        <f t="shared" ca="1" si="1455"/>
        <v>#NAME?</v>
      </c>
      <c r="AD198" s="18" t="e">
        <f t="shared" ca="1" si="1455"/>
        <v>#NAME?</v>
      </c>
      <c r="AE198" s="18" t="e">
        <f t="shared" ca="1" si="1455"/>
        <v>#NAME?</v>
      </c>
      <c r="AI198" s="67" t="e">
        <f ca="1">AJ168/AI23*90</f>
        <v>#NAME?</v>
      </c>
      <c r="AJ198" s="67" t="e">
        <f ca="1">AJ168/AJ23*90</f>
        <v>#NAME?</v>
      </c>
      <c r="AK198" s="67" t="e">
        <f t="shared" ref="AK198:CE198" ca="1" si="1457">+AJ198</f>
        <v>#NAME?</v>
      </c>
      <c r="AL198" s="67" t="e">
        <f ca="1">AL168/AL23*90</f>
        <v>#NAME?</v>
      </c>
      <c r="AM198" s="67" t="e">
        <f t="shared" ref="AM198" ca="1" si="1458">+AL198</f>
        <v>#NAME?</v>
      </c>
      <c r="AN198" s="67" t="e">
        <f ca="1">AN168/AN23*90</f>
        <v>#NAME?</v>
      </c>
      <c r="AO198" s="67" t="e">
        <f t="shared" ref="AO198" ca="1" si="1459">+AN198</f>
        <v>#NAME?</v>
      </c>
      <c r="AP198" s="67" t="e">
        <f ca="1">AP168/AP23*90</f>
        <v>#NAME?</v>
      </c>
      <c r="AQ198" s="67" t="e">
        <f t="shared" ref="AQ198" ca="1" si="1460">+AP198</f>
        <v>#NAME?</v>
      </c>
      <c r="AR198" s="67" t="e">
        <f ca="1">AR168/AR23*90</f>
        <v>#NAME?</v>
      </c>
      <c r="AS198" s="67" t="e">
        <f t="shared" ref="AS198" ca="1" si="1461">+AR198</f>
        <v>#NAME?</v>
      </c>
      <c r="AT198" s="67" t="e">
        <f ca="1">AT168/AT23*90</f>
        <v>#NAME?</v>
      </c>
      <c r="AU198" s="67" t="e">
        <f t="shared" ref="AU198" ca="1" si="1462">+AT198</f>
        <v>#NAME?</v>
      </c>
      <c r="AV198" s="67" t="e">
        <f ca="1">AV168/AV23*90</f>
        <v>#NAME?</v>
      </c>
      <c r="AW198" s="67" t="e">
        <f t="shared" ref="AW198" ca="1" si="1463">+AV198</f>
        <v>#NAME?</v>
      </c>
      <c r="AX198" s="67" t="e">
        <f ca="1">AX168/AX23*90</f>
        <v>#NAME?</v>
      </c>
      <c r="AY198" s="67" t="e">
        <f t="shared" ref="AY198" ca="1" si="1464">+AX198</f>
        <v>#NAME?</v>
      </c>
      <c r="AZ198" s="67" t="e">
        <f ca="1">AZ168/AZ23*90</f>
        <v>#NAME?</v>
      </c>
      <c r="BA198" s="67" t="e">
        <f t="shared" ref="BA198" ca="1" si="1465">+AZ198</f>
        <v>#NAME?</v>
      </c>
      <c r="BB198" s="67" t="e">
        <f ca="1">BB168/BB23*90</f>
        <v>#NAME?</v>
      </c>
      <c r="BC198" s="67" t="e">
        <f t="shared" ref="BC198" ca="1" si="1466">+BB198</f>
        <v>#NAME?</v>
      </c>
      <c r="BD198" s="67" t="e">
        <f ca="1">BD168/BD23*90</f>
        <v>#NAME?</v>
      </c>
      <c r="BE198" s="67" t="e">
        <f t="shared" ref="BE198" ca="1" si="1467">+BD198</f>
        <v>#NAME?</v>
      </c>
      <c r="BF198" s="67" t="e">
        <f ca="1">BF168/BF23*90</f>
        <v>#NAME?</v>
      </c>
      <c r="BG198" s="67" t="e">
        <f t="shared" ref="BG198" ca="1" si="1468">+BF198</f>
        <v>#NAME?</v>
      </c>
      <c r="BH198" s="67" t="e">
        <f ca="1">BH168/BH23*90</f>
        <v>#NAME?</v>
      </c>
      <c r="BI198" s="67" t="e">
        <f t="shared" ref="BI198" ca="1" si="1469">+BH198</f>
        <v>#NAME?</v>
      </c>
      <c r="BJ198" s="67" t="e">
        <f ca="1">BJ168/BJ23*90</f>
        <v>#NAME?</v>
      </c>
      <c r="BK198" s="67" t="e">
        <f t="shared" ref="BK198" ca="1" si="1470">+BJ198</f>
        <v>#NAME?</v>
      </c>
      <c r="BL198" s="67" t="e">
        <f ca="1">BL168/BL23*90</f>
        <v>#NAME?</v>
      </c>
      <c r="BM198" s="67" t="e">
        <f t="shared" ref="BM198" ca="1" si="1471">+BL198</f>
        <v>#NAME?</v>
      </c>
      <c r="BN198" s="67" t="e">
        <f ca="1">BN168/BN23*90</f>
        <v>#NAME?</v>
      </c>
      <c r="BO198" s="67" t="e">
        <f t="shared" ref="BO198" ca="1" si="1472">+BN198</f>
        <v>#NAME?</v>
      </c>
      <c r="BP198" s="67" t="e">
        <f ca="1">BP168/BP23*90</f>
        <v>#NAME?</v>
      </c>
      <c r="BQ198" s="67" t="e">
        <f t="shared" ref="BQ198" ca="1" si="1473">+BP198</f>
        <v>#NAME?</v>
      </c>
      <c r="BR198" s="67" t="e">
        <f ca="1">BR168/BR23*90</f>
        <v>#NAME?</v>
      </c>
      <c r="BS198" s="67" t="e">
        <f t="shared" ref="BS198" ca="1" si="1474">+BR198</f>
        <v>#NAME?</v>
      </c>
      <c r="BT198" s="67" t="e">
        <f ca="1">BT168/BT23*90</f>
        <v>#NAME?</v>
      </c>
      <c r="BU198" s="67" t="e">
        <f t="shared" ref="BU198" ca="1" si="1475">+BT198</f>
        <v>#NAME?</v>
      </c>
      <c r="BV198" s="67" t="e">
        <f ca="1">BV168/BV23*90</f>
        <v>#NAME?</v>
      </c>
      <c r="BW198" s="67" t="e">
        <f t="shared" ref="BW198" ca="1" si="1476">+BV198</f>
        <v>#NAME?</v>
      </c>
      <c r="BX198" s="67" t="e">
        <f ca="1">BX168/BX23*90</f>
        <v>#NAME?</v>
      </c>
      <c r="BY198" s="67" t="e">
        <f t="shared" ref="BY198" ca="1" si="1477">+BX198</f>
        <v>#NAME?</v>
      </c>
      <c r="BZ198" s="67" t="e">
        <f ca="1">BZ168/BZ23*90</f>
        <v>#NAME?</v>
      </c>
      <c r="CA198" s="67" t="e">
        <f t="shared" ref="CA198" ca="1" si="1478">+BZ198</f>
        <v>#NAME?</v>
      </c>
      <c r="CB198" s="67" t="e">
        <f ca="1">CB168/CB23*90</f>
        <v>#NAME?</v>
      </c>
      <c r="CC198" s="67" t="e">
        <f t="shared" ref="CC198" ca="1" si="1479">+CB198</f>
        <v>#NAME?</v>
      </c>
      <c r="CD198" s="67" t="e">
        <f ca="1">CD168/CD23*90</f>
        <v>#NAME?</v>
      </c>
      <c r="CE198" s="114" t="e">
        <f t="shared" ca="1" si="1457"/>
        <v>#NAME?</v>
      </c>
      <c r="CF198" s="67" t="e">
        <f ca="1">CF168/CF23*90</f>
        <v>#NAME?</v>
      </c>
      <c r="CG198" s="67" t="e">
        <f t="shared" ref="CG198:CI198" ca="1" si="1480">+CF198</f>
        <v>#NAME?</v>
      </c>
      <c r="CH198" s="67" t="e">
        <f ca="1">CH168/CH23*90</f>
        <v>#NAME?</v>
      </c>
      <c r="CI198" s="67" t="e">
        <f t="shared" ca="1" si="1480"/>
        <v>#NAME?</v>
      </c>
      <c r="CJ198" s="67" t="e">
        <f ca="1">CJ168/CJ23*90</f>
        <v>#NAME?</v>
      </c>
      <c r="CK198" s="30" t="e">
        <f t="shared" ref="CK198" ca="1" si="1481">+CJ198</f>
        <v>#NAME?</v>
      </c>
      <c r="CL198" s="67" t="e">
        <f ca="1">CL168/CL23*90</f>
        <v>#NAME?</v>
      </c>
      <c r="CM198" s="30" t="e">
        <f t="shared" ref="CM198" ca="1" si="1482">+CL198</f>
        <v>#NAME?</v>
      </c>
      <c r="CN198" s="30" t="e">
        <f t="shared" ref="CN198" ca="1" si="1483">+CM198</f>
        <v>#NAME?</v>
      </c>
      <c r="CO198" s="30" t="e">
        <f t="shared" ref="CO198" ca="1" si="1484">+CN198</f>
        <v>#NAME?</v>
      </c>
      <c r="CP198" s="30" t="e">
        <f t="shared" ref="CP198" ca="1" si="1485">+CO198</f>
        <v>#NAME?</v>
      </c>
      <c r="CQ198" s="30" t="e">
        <f t="shared" ref="CQ198" ca="1" si="1486">+CP198</f>
        <v>#NAME?</v>
      </c>
      <c r="CR198" s="30" t="e">
        <f t="shared" ref="CR198" ca="1" si="1487">+CQ198</f>
        <v>#NAME?</v>
      </c>
      <c r="CS198" s="30" t="e">
        <f t="shared" ref="CS198" ca="1" si="1488">+CR198</f>
        <v>#NAME?</v>
      </c>
      <c r="CT198" s="30" t="e">
        <f t="shared" ref="CT198" ca="1" si="1489">+CS198</f>
        <v>#NAME?</v>
      </c>
      <c r="CU198" s="30" t="e">
        <f t="shared" ref="CU198" ca="1" si="1490">+CT198</f>
        <v>#NAME?</v>
      </c>
      <c r="CV198" s="30" t="e">
        <f t="shared" ref="CV198" ca="1" si="1491">+CU198</f>
        <v>#NAME?</v>
      </c>
      <c r="CW198" s="30" t="e">
        <f t="shared" ref="CW198" ca="1" si="1492">+CV198</f>
        <v>#NAME?</v>
      </c>
      <c r="CX198" s="30" t="e">
        <f t="shared" ref="CX198" ca="1" si="1493">+CW198</f>
        <v>#NAME?</v>
      </c>
      <c r="CY198" s="30" t="e">
        <f t="shared" ref="CY198" ca="1" si="1494">+CX198</f>
        <v>#NAME?</v>
      </c>
      <c r="CZ198" s="30" t="e">
        <f t="shared" ref="CZ198" ca="1" si="1495">+CY198</f>
        <v>#NAME?</v>
      </c>
      <c r="DA198" s="30" t="e">
        <f t="shared" ref="DA198" ca="1" si="1496">+CZ198</f>
        <v>#NAME?</v>
      </c>
      <c r="DB198" s="30" t="e">
        <f t="shared" ref="DB198" ca="1" si="1497">+DA198</f>
        <v>#NAME?</v>
      </c>
      <c r="DE198" s="139"/>
      <c r="DF198" s="62">
        <v>3.2328276641854328</v>
      </c>
    </row>
    <row r="199" spans="1:110" s="62" customFormat="1" outlineLevel="1" x14ac:dyDescent="0.2">
      <c r="A199" s="68" t="s">
        <v>466</v>
      </c>
      <c r="B199" s="67" t="e">
        <f ca="1">B200-B198</f>
        <v>#NAME?</v>
      </c>
      <c r="C199" s="67" t="e">
        <f t="shared" ref="C199:V199" ca="1" si="1498">C200-C198</f>
        <v>#NAME?</v>
      </c>
      <c r="D199" s="67" t="e">
        <f t="shared" ca="1" si="1498"/>
        <v>#NAME?</v>
      </c>
      <c r="E199" s="67" t="e">
        <f t="shared" ca="1" si="1498"/>
        <v>#NAME?</v>
      </c>
      <c r="F199" s="67" t="e">
        <f t="shared" ca="1" si="1498"/>
        <v>#NAME?</v>
      </c>
      <c r="G199" s="67" t="e">
        <f t="shared" ca="1" si="1498"/>
        <v>#NAME?</v>
      </c>
      <c r="H199" s="67" t="e">
        <f t="shared" ca="1" si="1498"/>
        <v>#NAME?</v>
      </c>
      <c r="I199" s="67" t="e">
        <f t="shared" ca="1" si="1498"/>
        <v>#NAME?</v>
      </c>
      <c r="J199" s="67" t="e">
        <f t="shared" ca="1" si="1498"/>
        <v>#NAME?</v>
      </c>
      <c r="K199" s="67" t="e">
        <f t="shared" ca="1" si="1498"/>
        <v>#NAME?</v>
      </c>
      <c r="L199" s="67" t="e">
        <f t="shared" ca="1" si="1498"/>
        <v>#NAME?</v>
      </c>
      <c r="M199" s="67" t="e">
        <f t="shared" ca="1" si="1498"/>
        <v>#NAME?</v>
      </c>
      <c r="N199" s="67" t="e">
        <f t="shared" ca="1" si="1498"/>
        <v>#NAME?</v>
      </c>
      <c r="O199" s="67" t="e">
        <f t="shared" ca="1" si="1498"/>
        <v>#NAME?</v>
      </c>
      <c r="P199" s="67" t="e">
        <f t="shared" ca="1" si="1498"/>
        <v>#NAME?</v>
      </c>
      <c r="Q199" s="67" t="e">
        <f t="shared" ca="1" si="1498"/>
        <v>#NAME?</v>
      </c>
      <c r="R199" s="67" t="e">
        <f t="shared" ca="1" si="1498"/>
        <v>#NAME?</v>
      </c>
      <c r="S199" s="67" t="e">
        <f t="shared" ca="1" si="1498"/>
        <v>#NAME?</v>
      </c>
      <c r="T199" s="67" t="e">
        <f t="shared" ca="1" si="1498"/>
        <v>#NAME?</v>
      </c>
      <c r="U199" s="67" t="e">
        <f t="shared" ca="1" si="1498"/>
        <v>#NAME?</v>
      </c>
      <c r="V199" s="67" t="e">
        <f t="shared" ca="1" si="1498"/>
        <v>#NAME?</v>
      </c>
      <c r="W199" s="67" t="e">
        <f t="shared" ref="W199" ca="1" si="1499">W200-W198</f>
        <v>#NAME?</v>
      </c>
      <c r="X199" s="67" t="e">
        <f t="shared" ref="X199:Y199" ca="1" si="1500">X200-X198</f>
        <v>#NAME?</v>
      </c>
      <c r="Y199" s="67" t="e">
        <f t="shared" ca="1" si="1500"/>
        <v>#NAME?</v>
      </c>
      <c r="Z199" s="67" t="e">
        <f t="shared" ref="Z199:AA199" ca="1" si="1501">Z200-Z198</f>
        <v>#NAME?</v>
      </c>
      <c r="AA199" s="67" t="e">
        <f t="shared" ca="1" si="1501"/>
        <v>#NAME?</v>
      </c>
      <c r="AB199" s="18" t="e">
        <f t="shared" ref="AA199:AD199" ca="1" si="1502">AB200-AB198</f>
        <v>#NAME?</v>
      </c>
      <c r="AC199" s="18" t="e">
        <f t="shared" ca="1" si="1502"/>
        <v>#NAME?</v>
      </c>
      <c r="AD199" s="18" t="e">
        <f t="shared" ca="1" si="1502"/>
        <v>#NAME?</v>
      </c>
      <c r="AE199" s="18" t="e">
        <f t="shared" ref="AE199" ca="1" si="1503">AE200-AE198</f>
        <v>#NAME?</v>
      </c>
      <c r="AI199" s="67" t="e">
        <f t="shared" ref="AI199:AK199" ca="1" si="1504">AI200-AI198</f>
        <v>#NAME?</v>
      </c>
      <c r="AJ199" s="67" t="e">
        <f t="shared" ref="AJ199:AM199" ca="1" si="1505">AJ200-AJ198</f>
        <v>#NAME?</v>
      </c>
      <c r="AK199" s="67" t="e">
        <f t="shared" ca="1" si="1504"/>
        <v>#NAME?</v>
      </c>
      <c r="AL199" s="67" t="e">
        <f t="shared" ca="1" si="1505"/>
        <v>#NAME?</v>
      </c>
      <c r="AM199" s="67" t="e">
        <f t="shared" ca="1" si="1505"/>
        <v>#NAME?</v>
      </c>
      <c r="AN199" s="67" t="e">
        <f t="shared" ref="AN199:AY199" ca="1" si="1506">AN200-AN198</f>
        <v>#NAME?</v>
      </c>
      <c r="AO199" s="67" t="e">
        <f t="shared" ca="1" si="1506"/>
        <v>#NAME?</v>
      </c>
      <c r="AP199" s="67" t="e">
        <f t="shared" ca="1" si="1506"/>
        <v>#NAME?</v>
      </c>
      <c r="AQ199" s="67" t="e">
        <f t="shared" ca="1" si="1506"/>
        <v>#NAME?</v>
      </c>
      <c r="AR199" s="67" t="e">
        <f t="shared" ca="1" si="1506"/>
        <v>#NAME?</v>
      </c>
      <c r="AS199" s="67" t="e">
        <f t="shared" ca="1" si="1506"/>
        <v>#NAME?</v>
      </c>
      <c r="AT199" s="67" t="e">
        <f t="shared" ca="1" si="1506"/>
        <v>#NAME?</v>
      </c>
      <c r="AU199" s="67" t="e">
        <f t="shared" ca="1" si="1506"/>
        <v>#NAME?</v>
      </c>
      <c r="AV199" s="67" t="e">
        <f t="shared" ca="1" si="1506"/>
        <v>#NAME?</v>
      </c>
      <c r="AW199" s="67" t="e">
        <f t="shared" ca="1" si="1506"/>
        <v>#NAME?</v>
      </c>
      <c r="AX199" s="67" t="e">
        <f t="shared" ca="1" si="1506"/>
        <v>#NAME?</v>
      </c>
      <c r="AY199" s="67" t="e">
        <f t="shared" ca="1" si="1506"/>
        <v>#NAME?</v>
      </c>
      <c r="AZ199" s="67" t="e">
        <f t="shared" ref="AZ199:BC199" ca="1" si="1507">AZ200-AZ198</f>
        <v>#NAME?</v>
      </c>
      <c r="BA199" s="67" t="e">
        <f t="shared" ca="1" si="1507"/>
        <v>#NAME?</v>
      </c>
      <c r="BB199" s="67" t="e">
        <f t="shared" ca="1" si="1507"/>
        <v>#NAME?</v>
      </c>
      <c r="BC199" s="67" t="e">
        <f t="shared" ca="1" si="1507"/>
        <v>#NAME?</v>
      </c>
      <c r="BD199" s="67" t="e">
        <f t="shared" ref="BD199:CE199" ca="1" si="1508">BD200-BD198</f>
        <v>#NAME?</v>
      </c>
      <c r="BE199" s="67" t="e">
        <f t="shared" ca="1" si="1508"/>
        <v>#NAME?</v>
      </c>
      <c r="BF199" s="67" t="e">
        <f t="shared" ca="1" si="1508"/>
        <v>#NAME?</v>
      </c>
      <c r="BG199" s="67" t="e">
        <f t="shared" ca="1" si="1508"/>
        <v>#NAME?</v>
      </c>
      <c r="BH199" s="67" t="e">
        <f t="shared" ca="1" si="1508"/>
        <v>#NAME?</v>
      </c>
      <c r="BI199" s="67" t="e">
        <f t="shared" ca="1" si="1508"/>
        <v>#NAME?</v>
      </c>
      <c r="BJ199" s="67" t="e">
        <f t="shared" ca="1" si="1508"/>
        <v>#NAME?</v>
      </c>
      <c r="BK199" s="67" t="e">
        <f t="shared" ca="1" si="1508"/>
        <v>#NAME?</v>
      </c>
      <c r="BL199" s="67" t="e">
        <f t="shared" ca="1" si="1508"/>
        <v>#NAME?</v>
      </c>
      <c r="BM199" s="67" t="e">
        <f t="shared" ca="1" si="1508"/>
        <v>#NAME?</v>
      </c>
      <c r="BN199" s="67" t="e">
        <f t="shared" ca="1" si="1508"/>
        <v>#NAME?</v>
      </c>
      <c r="BO199" s="67" t="e">
        <f t="shared" ca="1" si="1508"/>
        <v>#NAME?</v>
      </c>
      <c r="BP199" s="67" t="e">
        <f t="shared" ca="1" si="1508"/>
        <v>#NAME?</v>
      </c>
      <c r="BQ199" s="67" t="e">
        <f t="shared" ca="1" si="1508"/>
        <v>#NAME?</v>
      </c>
      <c r="BR199" s="67" t="e">
        <f t="shared" ca="1" si="1508"/>
        <v>#NAME?</v>
      </c>
      <c r="BS199" s="67" t="e">
        <f t="shared" ca="1" si="1508"/>
        <v>#NAME?</v>
      </c>
      <c r="BT199" s="67" t="e">
        <f t="shared" ca="1" si="1508"/>
        <v>#NAME?</v>
      </c>
      <c r="BU199" s="67" t="e">
        <f t="shared" ca="1" si="1508"/>
        <v>#NAME?</v>
      </c>
      <c r="BV199" s="67" t="e">
        <f t="shared" ca="1" si="1508"/>
        <v>#NAME?</v>
      </c>
      <c r="BW199" s="67" t="e">
        <f t="shared" ca="1" si="1508"/>
        <v>#NAME?</v>
      </c>
      <c r="BX199" s="67" t="e">
        <f t="shared" ca="1" si="1508"/>
        <v>#NAME?</v>
      </c>
      <c r="BY199" s="67" t="e">
        <f t="shared" ca="1" si="1508"/>
        <v>#NAME?</v>
      </c>
      <c r="BZ199" s="67" t="e">
        <f t="shared" ca="1" si="1508"/>
        <v>#NAME?</v>
      </c>
      <c r="CA199" s="67" t="e">
        <f t="shared" ca="1" si="1508"/>
        <v>#NAME?</v>
      </c>
      <c r="CB199" s="67" t="e">
        <f t="shared" ca="1" si="1508"/>
        <v>#NAME?</v>
      </c>
      <c r="CC199" s="67" t="e">
        <f t="shared" ca="1" si="1508"/>
        <v>#NAME?</v>
      </c>
      <c r="CD199" s="67" t="e">
        <f t="shared" ca="1" si="1508"/>
        <v>#NAME?</v>
      </c>
      <c r="CE199" s="114" t="e">
        <f t="shared" ca="1" si="1508"/>
        <v>#NAME?</v>
      </c>
      <c r="CF199" s="67" t="e">
        <f t="shared" ref="CF199:CG199" ca="1" si="1509">CF200-CF198</f>
        <v>#NAME?</v>
      </c>
      <c r="CG199" s="67" t="e">
        <f t="shared" ca="1" si="1509"/>
        <v>#NAME?</v>
      </c>
      <c r="CH199" s="67" t="e">
        <f t="shared" ref="CH199" ca="1" si="1510">CH200-CH198</f>
        <v>#NAME?</v>
      </c>
      <c r="CI199" s="67" t="e">
        <f ca="1">CH199</f>
        <v>#NAME?</v>
      </c>
      <c r="CJ199" s="67" t="e">
        <f t="shared" ref="CJ199:CL199" ca="1" si="1511">CJ200-CJ198</f>
        <v>#NAME?</v>
      </c>
      <c r="CK199" s="30" t="e">
        <f t="shared" ref="CK199:DB199" ca="1" si="1512">CJ199</f>
        <v>#NAME?</v>
      </c>
      <c r="CL199" s="67" t="e">
        <f t="shared" ca="1" si="1511"/>
        <v>#NAME?</v>
      </c>
      <c r="CM199" s="30" t="e">
        <f t="shared" ca="1" si="1512"/>
        <v>#NAME?</v>
      </c>
      <c r="CN199" s="30" t="e">
        <f t="shared" ca="1" si="1512"/>
        <v>#NAME?</v>
      </c>
      <c r="CO199" s="30" t="e">
        <f t="shared" ca="1" si="1512"/>
        <v>#NAME?</v>
      </c>
      <c r="CP199" s="30" t="e">
        <f t="shared" ca="1" si="1512"/>
        <v>#NAME?</v>
      </c>
      <c r="CQ199" s="30" t="e">
        <f t="shared" ca="1" si="1512"/>
        <v>#NAME?</v>
      </c>
      <c r="CR199" s="30" t="e">
        <f t="shared" ca="1" si="1512"/>
        <v>#NAME?</v>
      </c>
      <c r="CS199" s="30" t="e">
        <f t="shared" ca="1" si="1512"/>
        <v>#NAME?</v>
      </c>
      <c r="CT199" s="30" t="e">
        <f t="shared" ca="1" si="1512"/>
        <v>#NAME?</v>
      </c>
      <c r="CU199" s="30" t="e">
        <f t="shared" ca="1" si="1512"/>
        <v>#NAME?</v>
      </c>
      <c r="CV199" s="30" t="e">
        <f t="shared" ca="1" si="1512"/>
        <v>#NAME?</v>
      </c>
      <c r="CW199" s="30" t="e">
        <f t="shared" ca="1" si="1512"/>
        <v>#NAME?</v>
      </c>
      <c r="CX199" s="30" t="e">
        <f t="shared" ca="1" si="1512"/>
        <v>#NAME?</v>
      </c>
      <c r="CY199" s="30" t="e">
        <f t="shared" ca="1" si="1512"/>
        <v>#NAME?</v>
      </c>
      <c r="CZ199" s="30" t="e">
        <f t="shared" ca="1" si="1512"/>
        <v>#NAME?</v>
      </c>
      <c r="DA199" s="30" t="e">
        <f t="shared" ca="1" si="1512"/>
        <v>#NAME?</v>
      </c>
      <c r="DB199" s="30" t="e">
        <f t="shared" ca="1" si="1512"/>
        <v>#NAME?</v>
      </c>
      <c r="DE199" s="139"/>
      <c r="DF199" s="62">
        <v>57.655368752607991</v>
      </c>
    </row>
    <row r="200" spans="1:110" s="7" customFormat="1" outlineLevel="1" x14ac:dyDescent="0.2">
      <c r="A200" s="69" t="s">
        <v>469</v>
      </c>
      <c r="B200" s="70" t="e">
        <f t="shared" ref="B200:AE200" ca="1" si="1513">B171/B23*365</f>
        <v>#NAME?</v>
      </c>
      <c r="C200" s="70" t="e">
        <f t="shared" ca="1" si="1513"/>
        <v>#NAME?</v>
      </c>
      <c r="D200" s="70" t="e">
        <f t="shared" ca="1" si="1513"/>
        <v>#NAME?</v>
      </c>
      <c r="E200" s="70" t="e">
        <f t="shared" ca="1" si="1513"/>
        <v>#NAME?</v>
      </c>
      <c r="F200" s="70" t="e">
        <f t="shared" ca="1" si="1513"/>
        <v>#NAME?</v>
      </c>
      <c r="G200" s="70" t="e">
        <f t="shared" ca="1" si="1513"/>
        <v>#NAME?</v>
      </c>
      <c r="H200" s="70" t="e">
        <f t="shared" ca="1" si="1513"/>
        <v>#NAME?</v>
      </c>
      <c r="I200" s="70" t="e">
        <f t="shared" ca="1" si="1513"/>
        <v>#NAME?</v>
      </c>
      <c r="J200" s="70" t="e">
        <f t="shared" ca="1" si="1513"/>
        <v>#NAME?</v>
      </c>
      <c r="K200" s="70" t="e">
        <f t="shared" ca="1" si="1513"/>
        <v>#NAME?</v>
      </c>
      <c r="L200" s="70" t="e">
        <f t="shared" ca="1" si="1513"/>
        <v>#NAME?</v>
      </c>
      <c r="M200" s="70" t="e">
        <f t="shared" ca="1" si="1513"/>
        <v>#NAME?</v>
      </c>
      <c r="N200" s="70" t="e">
        <f t="shared" ca="1" si="1513"/>
        <v>#NAME?</v>
      </c>
      <c r="O200" s="70" t="e">
        <f t="shared" ca="1" si="1513"/>
        <v>#NAME?</v>
      </c>
      <c r="P200" s="70" t="e">
        <f t="shared" ca="1" si="1513"/>
        <v>#NAME?</v>
      </c>
      <c r="Q200" s="70" t="e">
        <f t="shared" ca="1" si="1513"/>
        <v>#NAME?</v>
      </c>
      <c r="R200" s="70" t="e">
        <f t="shared" ca="1" si="1513"/>
        <v>#NAME?</v>
      </c>
      <c r="S200" s="70" t="e">
        <f t="shared" ca="1" si="1513"/>
        <v>#NAME?</v>
      </c>
      <c r="T200" s="70" t="e">
        <f t="shared" ca="1" si="1513"/>
        <v>#NAME?</v>
      </c>
      <c r="U200" s="70" t="e">
        <f t="shared" ca="1" si="1513"/>
        <v>#NAME?</v>
      </c>
      <c r="V200" s="70" t="e">
        <f t="shared" ca="1" si="1513"/>
        <v>#NAME?</v>
      </c>
      <c r="W200" s="70" t="e">
        <f t="shared" ca="1" si="1513"/>
        <v>#NAME?</v>
      </c>
      <c r="X200" s="70" t="e">
        <f t="shared" ca="1" si="1513"/>
        <v>#NAME?</v>
      </c>
      <c r="Y200" s="70" t="e">
        <f t="shared" ca="1" si="1513"/>
        <v>#NAME?</v>
      </c>
      <c r="Z200" s="70" t="e">
        <f t="shared" ca="1" si="1513"/>
        <v>#NAME?</v>
      </c>
      <c r="AA200" s="70" t="e">
        <f t="shared" ref="AA200" ca="1" si="1514">AA171/AA23*365</f>
        <v>#NAME?</v>
      </c>
      <c r="AB200" s="71" t="e">
        <f t="shared" ca="1" si="1513"/>
        <v>#NAME?</v>
      </c>
      <c r="AC200" s="71" t="e">
        <f t="shared" ca="1" si="1513"/>
        <v>#NAME?</v>
      </c>
      <c r="AD200" s="71" t="e">
        <f t="shared" ca="1" si="1513"/>
        <v>#NAME?</v>
      </c>
      <c r="AE200" s="71" t="e">
        <f t="shared" ca="1" si="1513"/>
        <v>#NAME?</v>
      </c>
      <c r="AI200" s="70" t="e">
        <f t="shared" ref="AI200:CD200" ca="1" si="1515">AI171/AI23*90</f>
        <v>#NAME?</v>
      </c>
      <c r="AJ200" s="70" t="e">
        <f t="shared" ca="1" si="1515"/>
        <v>#NAME?</v>
      </c>
      <c r="AK200" s="70" t="e">
        <f ca="1">AK171/AK23*90</f>
        <v>#NAME?</v>
      </c>
      <c r="AL200" s="70" t="e">
        <f t="shared" ca="1" si="1515"/>
        <v>#NAME?</v>
      </c>
      <c r="AM200" s="70" t="e">
        <f t="shared" ca="1" si="1515"/>
        <v>#NAME?</v>
      </c>
      <c r="AN200" s="70" t="e">
        <f t="shared" ca="1" si="1515"/>
        <v>#NAME?</v>
      </c>
      <c r="AO200" s="70" t="e">
        <f t="shared" ca="1" si="1515"/>
        <v>#NAME?</v>
      </c>
      <c r="AP200" s="70" t="e">
        <f t="shared" ca="1" si="1515"/>
        <v>#NAME?</v>
      </c>
      <c r="AQ200" s="70" t="e">
        <f t="shared" ca="1" si="1515"/>
        <v>#NAME?</v>
      </c>
      <c r="AR200" s="70" t="e">
        <f t="shared" ca="1" si="1515"/>
        <v>#NAME?</v>
      </c>
      <c r="AS200" s="70" t="e">
        <f t="shared" ca="1" si="1515"/>
        <v>#NAME?</v>
      </c>
      <c r="AT200" s="70" t="e">
        <f t="shared" ca="1" si="1515"/>
        <v>#NAME?</v>
      </c>
      <c r="AU200" s="70" t="e">
        <f t="shared" ca="1" si="1515"/>
        <v>#NAME?</v>
      </c>
      <c r="AV200" s="70" t="e">
        <f t="shared" ca="1" si="1515"/>
        <v>#NAME?</v>
      </c>
      <c r="AW200" s="70" t="e">
        <f t="shared" ca="1" si="1515"/>
        <v>#NAME?</v>
      </c>
      <c r="AX200" s="70" t="e">
        <f t="shared" ca="1" si="1515"/>
        <v>#NAME?</v>
      </c>
      <c r="AY200" s="70" t="e">
        <f t="shared" ca="1" si="1515"/>
        <v>#NAME?</v>
      </c>
      <c r="AZ200" s="70" t="e">
        <f t="shared" ca="1" si="1515"/>
        <v>#NAME?</v>
      </c>
      <c r="BA200" s="70" t="e">
        <f t="shared" ca="1" si="1515"/>
        <v>#NAME?</v>
      </c>
      <c r="BB200" s="70" t="e">
        <f t="shared" ca="1" si="1515"/>
        <v>#NAME?</v>
      </c>
      <c r="BC200" s="70" t="e">
        <f t="shared" ca="1" si="1515"/>
        <v>#NAME?</v>
      </c>
      <c r="BD200" s="70" t="e">
        <f t="shared" ca="1" si="1515"/>
        <v>#NAME?</v>
      </c>
      <c r="BE200" s="70" t="e">
        <f t="shared" ca="1" si="1515"/>
        <v>#NAME?</v>
      </c>
      <c r="BF200" s="70" t="e">
        <f t="shared" ca="1" si="1515"/>
        <v>#NAME?</v>
      </c>
      <c r="BG200" s="70" t="e">
        <f t="shared" ca="1" si="1515"/>
        <v>#NAME?</v>
      </c>
      <c r="BH200" s="70" t="e">
        <f t="shared" ca="1" si="1515"/>
        <v>#NAME?</v>
      </c>
      <c r="BI200" s="70" t="e">
        <f t="shared" ca="1" si="1515"/>
        <v>#NAME?</v>
      </c>
      <c r="BJ200" s="70" t="e">
        <f t="shared" ca="1" si="1515"/>
        <v>#NAME?</v>
      </c>
      <c r="BK200" s="70" t="e">
        <f t="shared" ca="1" si="1515"/>
        <v>#NAME?</v>
      </c>
      <c r="BL200" s="70" t="e">
        <f t="shared" ca="1" si="1515"/>
        <v>#NAME?</v>
      </c>
      <c r="BM200" s="70" t="e">
        <f t="shared" ca="1" si="1515"/>
        <v>#NAME?</v>
      </c>
      <c r="BN200" s="70" t="e">
        <f t="shared" ca="1" si="1515"/>
        <v>#NAME?</v>
      </c>
      <c r="BO200" s="70" t="e">
        <f t="shared" ca="1" si="1515"/>
        <v>#NAME?</v>
      </c>
      <c r="BP200" s="70" t="e">
        <f t="shared" ca="1" si="1515"/>
        <v>#NAME?</v>
      </c>
      <c r="BQ200" s="70" t="e">
        <f t="shared" ca="1" si="1515"/>
        <v>#NAME?</v>
      </c>
      <c r="BR200" s="70" t="e">
        <f t="shared" ca="1" si="1515"/>
        <v>#NAME?</v>
      </c>
      <c r="BS200" s="70" t="e">
        <f t="shared" ca="1" si="1515"/>
        <v>#NAME?</v>
      </c>
      <c r="BT200" s="70" t="e">
        <f t="shared" ca="1" si="1515"/>
        <v>#NAME?</v>
      </c>
      <c r="BU200" s="70" t="e">
        <f t="shared" ca="1" si="1515"/>
        <v>#NAME?</v>
      </c>
      <c r="BV200" s="70" t="e">
        <f t="shared" ca="1" si="1515"/>
        <v>#NAME?</v>
      </c>
      <c r="BW200" s="70" t="e">
        <f t="shared" ca="1" si="1515"/>
        <v>#NAME?</v>
      </c>
      <c r="BX200" s="70" t="e">
        <f t="shared" ca="1" si="1515"/>
        <v>#NAME?</v>
      </c>
      <c r="BY200" s="70" t="e">
        <f t="shared" ca="1" si="1515"/>
        <v>#NAME?</v>
      </c>
      <c r="BZ200" s="70" t="e">
        <f t="shared" ca="1" si="1515"/>
        <v>#NAME?</v>
      </c>
      <c r="CA200" s="70" t="e">
        <f t="shared" ca="1" si="1515"/>
        <v>#NAME?</v>
      </c>
      <c r="CB200" s="70" t="e">
        <f t="shared" ca="1" si="1515"/>
        <v>#NAME?</v>
      </c>
      <c r="CC200" s="70" t="e">
        <f t="shared" ca="1" si="1515"/>
        <v>#NAME?</v>
      </c>
      <c r="CD200" s="70" t="e">
        <f t="shared" ca="1" si="1515"/>
        <v>#NAME?</v>
      </c>
      <c r="CE200" s="115" t="e">
        <f ca="1">CE171/CE25*90</f>
        <v>#NAME?</v>
      </c>
      <c r="CF200" s="70" t="e">
        <f ca="1">CF171/CF23*90</f>
        <v>#NAME?</v>
      </c>
      <c r="CG200" s="70" t="e">
        <f ca="1">CG171/CG25*90</f>
        <v>#NAME?</v>
      </c>
      <c r="CH200" s="70" t="e">
        <f ca="1">CH171/CH23*90</f>
        <v>#NAME?</v>
      </c>
      <c r="CI200" s="70" t="e">
        <f ca="1">CI198+CI199</f>
        <v>#NAME?</v>
      </c>
      <c r="CJ200" s="70" t="e">
        <f ca="1">CJ171/CJ23*90</f>
        <v>#NAME?</v>
      </c>
      <c r="CK200" s="50" t="e">
        <f t="shared" ref="CK200:DB200" ca="1" si="1516">CK198+CK199</f>
        <v>#NAME?</v>
      </c>
      <c r="CL200" s="70" t="e">
        <f ca="1">CL171/CL23*90</f>
        <v>#NAME?</v>
      </c>
      <c r="CM200" s="50" t="e">
        <f t="shared" ca="1" si="1516"/>
        <v>#NAME?</v>
      </c>
      <c r="CN200" s="50" t="e">
        <f t="shared" ca="1" si="1516"/>
        <v>#NAME?</v>
      </c>
      <c r="CO200" s="50" t="e">
        <f t="shared" ca="1" si="1516"/>
        <v>#NAME?</v>
      </c>
      <c r="CP200" s="50" t="e">
        <f t="shared" ca="1" si="1516"/>
        <v>#NAME?</v>
      </c>
      <c r="CQ200" s="50" t="e">
        <f t="shared" ca="1" si="1516"/>
        <v>#NAME?</v>
      </c>
      <c r="CR200" s="50" t="e">
        <f t="shared" ca="1" si="1516"/>
        <v>#NAME?</v>
      </c>
      <c r="CS200" s="50" t="e">
        <f t="shared" ca="1" si="1516"/>
        <v>#NAME?</v>
      </c>
      <c r="CT200" s="50" t="e">
        <f t="shared" ca="1" si="1516"/>
        <v>#NAME?</v>
      </c>
      <c r="CU200" s="50" t="e">
        <f t="shared" ca="1" si="1516"/>
        <v>#NAME?</v>
      </c>
      <c r="CV200" s="50" t="e">
        <f t="shared" ca="1" si="1516"/>
        <v>#NAME?</v>
      </c>
      <c r="CW200" s="50" t="e">
        <f t="shared" ca="1" si="1516"/>
        <v>#NAME?</v>
      </c>
      <c r="CX200" s="50" t="e">
        <f t="shared" ca="1" si="1516"/>
        <v>#NAME?</v>
      </c>
      <c r="CY200" s="50" t="e">
        <f t="shared" ca="1" si="1516"/>
        <v>#NAME?</v>
      </c>
      <c r="CZ200" s="50" t="e">
        <f t="shared" ca="1" si="1516"/>
        <v>#NAME?</v>
      </c>
      <c r="DA200" s="50" t="e">
        <f t="shared" ca="1" si="1516"/>
        <v>#NAME?</v>
      </c>
      <c r="DB200" s="50" t="e">
        <f t="shared" ca="1" si="1516"/>
        <v>#NAME?</v>
      </c>
      <c r="DE200" s="138"/>
      <c r="DF200" s="7">
        <v>60.888196416793427</v>
      </c>
    </row>
    <row r="201" spans="1:110" s="7" customFormat="1" x14ac:dyDescent="0.2">
      <c r="A201" s="69" t="s">
        <v>470</v>
      </c>
      <c r="B201" s="70" t="e">
        <f ca="1">B197-B200</f>
        <v>#NAME?</v>
      </c>
      <c r="C201" s="70" t="e">
        <f t="shared" ref="C201:V201" ca="1" si="1517">C197-C200</f>
        <v>#NAME?</v>
      </c>
      <c r="D201" s="70" t="e">
        <f t="shared" ca="1" si="1517"/>
        <v>#NAME?</v>
      </c>
      <c r="E201" s="70" t="e">
        <f t="shared" ca="1" si="1517"/>
        <v>#NAME?</v>
      </c>
      <c r="F201" s="70" t="e">
        <f t="shared" ca="1" si="1517"/>
        <v>#NAME?</v>
      </c>
      <c r="G201" s="70" t="e">
        <f t="shared" ca="1" si="1517"/>
        <v>#NAME?</v>
      </c>
      <c r="H201" s="70" t="e">
        <f t="shared" ca="1" si="1517"/>
        <v>#NAME?</v>
      </c>
      <c r="I201" s="70" t="e">
        <f t="shared" ca="1" si="1517"/>
        <v>#NAME?</v>
      </c>
      <c r="J201" s="70" t="e">
        <f t="shared" ca="1" si="1517"/>
        <v>#NAME?</v>
      </c>
      <c r="K201" s="70" t="e">
        <f t="shared" ca="1" si="1517"/>
        <v>#NAME?</v>
      </c>
      <c r="L201" s="70" t="e">
        <f t="shared" ca="1" si="1517"/>
        <v>#NAME?</v>
      </c>
      <c r="M201" s="70" t="e">
        <f t="shared" ca="1" si="1517"/>
        <v>#NAME?</v>
      </c>
      <c r="N201" s="70" t="e">
        <f t="shared" ca="1" si="1517"/>
        <v>#NAME?</v>
      </c>
      <c r="O201" s="70" t="e">
        <f t="shared" ca="1" si="1517"/>
        <v>#NAME?</v>
      </c>
      <c r="P201" s="70" t="e">
        <f t="shared" ca="1" si="1517"/>
        <v>#NAME?</v>
      </c>
      <c r="Q201" s="70" t="e">
        <f t="shared" ca="1" si="1517"/>
        <v>#NAME?</v>
      </c>
      <c r="R201" s="70" t="e">
        <f t="shared" ca="1" si="1517"/>
        <v>#NAME?</v>
      </c>
      <c r="S201" s="70" t="e">
        <f t="shared" ca="1" si="1517"/>
        <v>#NAME?</v>
      </c>
      <c r="T201" s="70" t="e">
        <f t="shared" ca="1" si="1517"/>
        <v>#NAME?</v>
      </c>
      <c r="U201" s="70" t="e">
        <f t="shared" ca="1" si="1517"/>
        <v>#NAME?</v>
      </c>
      <c r="V201" s="70" t="e">
        <f t="shared" ca="1" si="1517"/>
        <v>#NAME?</v>
      </c>
      <c r="W201" s="70" t="e">
        <f t="shared" ref="W201" ca="1" si="1518">W197-W200</f>
        <v>#NAME?</v>
      </c>
      <c r="X201" s="70" t="e">
        <f t="shared" ref="X201:Y201" ca="1" si="1519">X197-X200</f>
        <v>#NAME?</v>
      </c>
      <c r="Y201" s="70" t="e">
        <f t="shared" ca="1" si="1519"/>
        <v>#NAME?</v>
      </c>
      <c r="Z201" s="70" t="e">
        <f t="shared" ref="Z201:AA201" ca="1" si="1520">Z197-Z200</f>
        <v>#NAME?</v>
      </c>
      <c r="AA201" s="70" t="e">
        <f t="shared" ca="1" si="1520"/>
        <v>#NAME?</v>
      </c>
      <c r="AB201" s="71" t="e">
        <f t="shared" ref="AA201:AD201" ca="1" si="1521">AB197-AB200</f>
        <v>#NAME?</v>
      </c>
      <c r="AC201" s="71" t="e">
        <f t="shared" ca="1" si="1521"/>
        <v>#NAME?</v>
      </c>
      <c r="AD201" s="71" t="e">
        <f t="shared" ca="1" si="1521"/>
        <v>#NAME?</v>
      </c>
      <c r="AE201" s="71" t="e">
        <f t="shared" ref="AE201" ca="1" si="1522">AE197-AE200</f>
        <v>#NAME?</v>
      </c>
      <c r="AI201" s="70" t="e">
        <f t="shared" ref="AI201:AK201" ca="1" si="1523">AI197-AI200</f>
        <v>#NAME?</v>
      </c>
      <c r="AJ201" s="70" t="e">
        <f t="shared" ref="AJ201:AM201" ca="1" si="1524">AJ197-AJ200</f>
        <v>#NAME?</v>
      </c>
      <c r="AK201" s="70" t="e">
        <f t="shared" ca="1" si="1523"/>
        <v>#NAME?</v>
      </c>
      <c r="AL201" s="70" t="e">
        <f t="shared" ca="1" si="1524"/>
        <v>#NAME?</v>
      </c>
      <c r="AM201" s="70" t="e">
        <f t="shared" ca="1" si="1524"/>
        <v>#NAME?</v>
      </c>
      <c r="AN201" s="70" t="e">
        <f t="shared" ref="AN201:AY201" ca="1" si="1525">AN197-AN200</f>
        <v>#NAME?</v>
      </c>
      <c r="AO201" s="70" t="e">
        <f t="shared" ca="1" si="1525"/>
        <v>#NAME?</v>
      </c>
      <c r="AP201" s="70" t="e">
        <f t="shared" ca="1" si="1525"/>
        <v>#NAME?</v>
      </c>
      <c r="AQ201" s="70" t="e">
        <f t="shared" ca="1" si="1525"/>
        <v>#NAME?</v>
      </c>
      <c r="AR201" s="70" t="e">
        <f t="shared" ca="1" si="1525"/>
        <v>#NAME?</v>
      </c>
      <c r="AS201" s="70" t="e">
        <f t="shared" ca="1" si="1525"/>
        <v>#NAME?</v>
      </c>
      <c r="AT201" s="70" t="e">
        <f t="shared" ca="1" si="1525"/>
        <v>#NAME?</v>
      </c>
      <c r="AU201" s="70" t="e">
        <f t="shared" ca="1" si="1525"/>
        <v>#NAME?</v>
      </c>
      <c r="AV201" s="70" t="e">
        <f t="shared" ca="1" si="1525"/>
        <v>#NAME?</v>
      </c>
      <c r="AW201" s="70" t="e">
        <f t="shared" ca="1" si="1525"/>
        <v>#NAME?</v>
      </c>
      <c r="AX201" s="70" t="e">
        <f t="shared" ca="1" si="1525"/>
        <v>#NAME?</v>
      </c>
      <c r="AY201" s="70" t="e">
        <f t="shared" ca="1" si="1525"/>
        <v>#NAME?</v>
      </c>
      <c r="AZ201" s="70" t="e">
        <f t="shared" ref="AZ201:BC201" ca="1" si="1526">AZ197-AZ200</f>
        <v>#NAME?</v>
      </c>
      <c r="BA201" s="70" t="e">
        <f t="shared" ca="1" si="1526"/>
        <v>#NAME?</v>
      </c>
      <c r="BB201" s="70" t="e">
        <f t="shared" ca="1" si="1526"/>
        <v>#NAME?</v>
      </c>
      <c r="BC201" s="70" t="e">
        <f t="shared" ca="1" si="1526"/>
        <v>#NAME?</v>
      </c>
      <c r="BD201" s="70" t="e">
        <f t="shared" ref="BD201:CE201" ca="1" si="1527">BD197-BD200</f>
        <v>#NAME?</v>
      </c>
      <c r="BE201" s="70" t="e">
        <f t="shared" ca="1" si="1527"/>
        <v>#NAME?</v>
      </c>
      <c r="BF201" s="70" t="e">
        <f t="shared" ca="1" si="1527"/>
        <v>#NAME?</v>
      </c>
      <c r="BG201" s="70" t="e">
        <f t="shared" ca="1" si="1527"/>
        <v>#NAME?</v>
      </c>
      <c r="BH201" s="70" t="e">
        <f t="shared" ca="1" si="1527"/>
        <v>#NAME?</v>
      </c>
      <c r="BI201" s="70" t="e">
        <f t="shared" ca="1" si="1527"/>
        <v>#NAME?</v>
      </c>
      <c r="BJ201" s="70" t="e">
        <f t="shared" ca="1" si="1527"/>
        <v>#NAME?</v>
      </c>
      <c r="BK201" s="70" t="e">
        <f t="shared" ca="1" si="1527"/>
        <v>#NAME?</v>
      </c>
      <c r="BL201" s="70" t="e">
        <f t="shared" ca="1" si="1527"/>
        <v>#NAME?</v>
      </c>
      <c r="BM201" s="70" t="e">
        <f t="shared" ca="1" si="1527"/>
        <v>#NAME?</v>
      </c>
      <c r="BN201" s="70" t="e">
        <f t="shared" ca="1" si="1527"/>
        <v>#NAME?</v>
      </c>
      <c r="BO201" s="70" t="e">
        <f t="shared" ca="1" si="1527"/>
        <v>#NAME?</v>
      </c>
      <c r="BP201" s="70" t="e">
        <f t="shared" ca="1" si="1527"/>
        <v>#NAME?</v>
      </c>
      <c r="BQ201" s="70" t="e">
        <f t="shared" ca="1" si="1527"/>
        <v>#NAME?</v>
      </c>
      <c r="BR201" s="70" t="e">
        <f t="shared" ca="1" si="1527"/>
        <v>#NAME?</v>
      </c>
      <c r="BS201" s="70" t="e">
        <f t="shared" ca="1" si="1527"/>
        <v>#NAME?</v>
      </c>
      <c r="BT201" s="70" t="e">
        <f t="shared" ca="1" si="1527"/>
        <v>#NAME?</v>
      </c>
      <c r="BU201" s="70" t="e">
        <f t="shared" ca="1" si="1527"/>
        <v>#NAME?</v>
      </c>
      <c r="BV201" s="70" t="e">
        <f t="shared" ca="1" si="1527"/>
        <v>#NAME?</v>
      </c>
      <c r="BW201" s="70" t="e">
        <f t="shared" ca="1" si="1527"/>
        <v>#NAME?</v>
      </c>
      <c r="BX201" s="70" t="e">
        <f t="shared" ca="1" si="1527"/>
        <v>#NAME?</v>
      </c>
      <c r="BY201" s="70" t="e">
        <f t="shared" ca="1" si="1527"/>
        <v>#NAME?</v>
      </c>
      <c r="BZ201" s="70" t="e">
        <f t="shared" ca="1" si="1527"/>
        <v>#NAME?</v>
      </c>
      <c r="CA201" s="70" t="e">
        <f t="shared" ca="1" si="1527"/>
        <v>#NAME?</v>
      </c>
      <c r="CB201" s="70" t="e">
        <f t="shared" ca="1" si="1527"/>
        <v>#NAME?</v>
      </c>
      <c r="CC201" s="70" t="e">
        <f t="shared" ca="1" si="1527"/>
        <v>#NAME?</v>
      </c>
      <c r="CD201" s="70" t="e">
        <f t="shared" ca="1" si="1527"/>
        <v>#NAME?</v>
      </c>
      <c r="CE201" s="115" t="e">
        <f t="shared" ca="1" si="1527"/>
        <v>#NAME?</v>
      </c>
      <c r="CF201" s="70" t="e">
        <f t="shared" ref="CF201:CG201" ca="1" si="1528">CF197-CF200</f>
        <v>#NAME?</v>
      </c>
      <c r="CG201" s="70" t="e">
        <f t="shared" ca="1" si="1528"/>
        <v>#NAME?</v>
      </c>
      <c r="CH201" s="70" t="e">
        <f t="shared" ref="CH201:CI201" ca="1" si="1529">CH197-CH200</f>
        <v>#NAME?</v>
      </c>
      <c r="CI201" s="70" t="e">
        <f t="shared" ca="1" si="1529"/>
        <v>#NAME?</v>
      </c>
      <c r="CJ201" s="70" t="e">
        <f t="shared" ref="CJ201:DB201" ca="1" si="1530">CJ197-CJ200</f>
        <v>#NAME?</v>
      </c>
      <c r="CK201" s="50" t="e">
        <f t="shared" ca="1" si="1530"/>
        <v>#NAME?</v>
      </c>
      <c r="CL201" s="70" t="e">
        <f t="shared" ref="CL201" ca="1" si="1531">CL197-CL200</f>
        <v>#NAME?</v>
      </c>
      <c r="CM201" s="50" t="e">
        <f t="shared" ca="1" si="1530"/>
        <v>#NAME?</v>
      </c>
      <c r="CN201" s="50" t="e">
        <f t="shared" ca="1" si="1530"/>
        <v>#NAME?</v>
      </c>
      <c r="CO201" s="50" t="e">
        <f t="shared" ca="1" si="1530"/>
        <v>#NAME?</v>
      </c>
      <c r="CP201" s="50" t="e">
        <f t="shared" ca="1" si="1530"/>
        <v>#NAME?</v>
      </c>
      <c r="CQ201" s="50" t="e">
        <f t="shared" ca="1" si="1530"/>
        <v>#NAME?</v>
      </c>
      <c r="CR201" s="50" t="e">
        <f t="shared" ca="1" si="1530"/>
        <v>#NAME?</v>
      </c>
      <c r="CS201" s="50" t="e">
        <f t="shared" ca="1" si="1530"/>
        <v>#NAME?</v>
      </c>
      <c r="CT201" s="50" t="e">
        <f t="shared" ca="1" si="1530"/>
        <v>#NAME?</v>
      </c>
      <c r="CU201" s="50" t="e">
        <f t="shared" ca="1" si="1530"/>
        <v>#NAME?</v>
      </c>
      <c r="CV201" s="50" t="e">
        <f t="shared" ca="1" si="1530"/>
        <v>#NAME?</v>
      </c>
      <c r="CW201" s="50" t="e">
        <f t="shared" ca="1" si="1530"/>
        <v>#NAME?</v>
      </c>
      <c r="CX201" s="50" t="e">
        <f t="shared" ca="1" si="1530"/>
        <v>#NAME?</v>
      </c>
      <c r="CY201" s="50" t="e">
        <f t="shared" ca="1" si="1530"/>
        <v>#NAME?</v>
      </c>
      <c r="CZ201" s="50" t="e">
        <f t="shared" ca="1" si="1530"/>
        <v>#NAME?</v>
      </c>
      <c r="DA201" s="50" t="e">
        <f t="shared" ca="1" si="1530"/>
        <v>#NAME?</v>
      </c>
      <c r="DB201" s="50" t="e">
        <f t="shared" ca="1" si="1530"/>
        <v>#NAME?</v>
      </c>
      <c r="DE201" s="138"/>
      <c r="DF201" s="7">
        <v>285.77934518761799</v>
      </c>
    </row>
    <row r="202" spans="1:110" s="7" customFormat="1" x14ac:dyDescent="0.2">
      <c r="A202" s="69" t="s">
        <v>86</v>
      </c>
      <c r="AB202" s="77"/>
      <c r="AC202" s="77"/>
      <c r="AD202" s="77"/>
      <c r="AE202" s="77"/>
      <c r="CE202" s="115"/>
      <c r="CG202" s="115"/>
      <c r="CK202" s="50"/>
      <c r="CM202" s="50"/>
      <c r="CN202" s="50"/>
      <c r="CO202" s="50"/>
      <c r="CP202" s="50"/>
      <c r="CQ202" s="50"/>
      <c r="CR202" s="50"/>
      <c r="CS202" s="50"/>
      <c r="CT202" s="50"/>
      <c r="CU202" s="50"/>
      <c r="CV202" s="50"/>
      <c r="CW202" s="50"/>
      <c r="CX202" s="50"/>
      <c r="CY202" s="50"/>
      <c r="CZ202" s="50"/>
      <c r="DA202" s="50"/>
      <c r="DB202" s="50"/>
      <c r="DE202" s="138"/>
    </row>
    <row r="203" spans="1:110" s="86" customFormat="1" x14ac:dyDescent="0.2">
      <c r="A203" s="86" t="s">
        <v>440</v>
      </c>
      <c r="C203" s="86" t="e">
        <f t="shared" ref="C203:Y203" ca="1" si="1532">C25/B25-1</f>
        <v>#NAME?</v>
      </c>
      <c r="D203" s="86" t="e">
        <f t="shared" ca="1" si="1532"/>
        <v>#NAME?</v>
      </c>
      <c r="E203" s="86" t="e">
        <f t="shared" ca="1" si="1532"/>
        <v>#NAME?</v>
      </c>
      <c r="F203" s="86" t="e">
        <f t="shared" ca="1" si="1532"/>
        <v>#NAME?</v>
      </c>
      <c r="G203" s="86" t="e">
        <f t="shared" ca="1" si="1532"/>
        <v>#NAME?</v>
      </c>
      <c r="H203" s="86" t="e">
        <f t="shared" ca="1" si="1532"/>
        <v>#NAME?</v>
      </c>
      <c r="I203" s="86" t="e">
        <f t="shared" ca="1" si="1532"/>
        <v>#NAME?</v>
      </c>
      <c r="J203" s="86" t="e">
        <f t="shared" ca="1" si="1532"/>
        <v>#NAME?</v>
      </c>
      <c r="K203" s="86" t="e">
        <f t="shared" ca="1" si="1532"/>
        <v>#NAME?</v>
      </c>
      <c r="L203" s="86" t="e">
        <f t="shared" ca="1" si="1532"/>
        <v>#NAME?</v>
      </c>
      <c r="M203" s="86" t="e">
        <f t="shared" ca="1" si="1532"/>
        <v>#NAME?</v>
      </c>
      <c r="N203" s="86" t="e">
        <f t="shared" ca="1" si="1532"/>
        <v>#NAME?</v>
      </c>
      <c r="O203" s="86" t="e">
        <f t="shared" ca="1" si="1532"/>
        <v>#NAME?</v>
      </c>
      <c r="P203" s="86" t="e">
        <f t="shared" ca="1" si="1532"/>
        <v>#NAME?</v>
      </c>
      <c r="Q203" s="86" t="e">
        <f t="shared" ca="1" si="1532"/>
        <v>#NAME?</v>
      </c>
      <c r="R203" s="86" t="e">
        <f t="shared" ca="1" si="1532"/>
        <v>#NAME?</v>
      </c>
      <c r="S203" s="86" t="e">
        <f t="shared" ca="1" si="1532"/>
        <v>#NAME?</v>
      </c>
      <c r="T203" s="86" t="e">
        <f t="shared" ca="1" si="1532"/>
        <v>#NAME?</v>
      </c>
      <c r="U203" s="86" t="e">
        <f t="shared" ca="1" si="1532"/>
        <v>#NAME?</v>
      </c>
      <c r="V203" s="86" t="e">
        <f t="shared" ca="1" si="1532"/>
        <v>#NAME?</v>
      </c>
      <c r="W203" s="86" t="e">
        <f t="shared" ca="1" si="1532"/>
        <v>#NAME?</v>
      </c>
      <c r="X203" s="86" t="e">
        <f t="shared" ca="1" si="1532"/>
        <v>#NAME?</v>
      </c>
      <c r="Y203" s="86" t="e">
        <f t="shared" ca="1" si="1532"/>
        <v>#NAME?</v>
      </c>
      <c r="Z203" s="86" t="e">
        <f ca="1">Z25/Y25-1</f>
        <v>#NAME?</v>
      </c>
      <c r="AA203" s="86" t="e">
        <f ca="1">AA25/Z25-1</f>
        <v>#NAME?</v>
      </c>
      <c r="AB203" s="87" t="e">
        <f t="shared" ref="AA203:AE203" ca="1" si="1533">AB25/AA25-1</f>
        <v>#NAME?</v>
      </c>
      <c r="AC203" s="87">
        <f t="shared" si="1533"/>
        <v>0.14965573421699552</v>
      </c>
      <c r="AD203" s="87">
        <f t="shared" si="1533"/>
        <v>0.14967060368592611</v>
      </c>
      <c r="AE203" s="87">
        <f t="shared" si="1533"/>
        <v>0.14968483499158847</v>
      </c>
      <c r="AN203" s="86" t="e">
        <f t="shared" ref="AN203:CI203" ca="1" si="1534">+(AN25+AM25)/(AJ25+AI25)-1</f>
        <v>#NAME?</v>
      </c>
      <c r="AO203" s="86" t="e">
        <f t="shared" ca="1" si="1534"/>
        <v>#NAME?</v>
      </c>
      <c r="AP203" s="86" t="e">
        <f t="shared" ca="1" si="1534"/>
        <v>#NAME?</v>
      </c>
      <c r="AQ203" s="86" t="e">
        <f t="shared" ca="1" si="1534"/>
        <v>#NAME?</v>
      </c>
      <c r="AR203" s="86" t="e">
        <f t="shared" ca="1" si="1534"/>
        <v>#NAME?</v>
      </c>
      <c r="AS203" s="86" t="e">
        <f t="shared" ca="1" si="1534"/>
        <v>#NAME?</v>
      </c>
      <c r="AT203" s="86" t="e">
        <f t="shared" ca="1" si="1534"/>
        <v>#NAME?</v>
      </c>
      <c r="AU203" s="86" t="e">
        <f t="shared" ca="1" si="1534"/>
        <v>#NAME?</v>
      </c>
      <c r="AV203" s="86" t="e">
        <f t="shared" ca="1" si="1534"/>
        <v>#NAME?</v>
      </c>
      <c r="AW203" s="86" t="e">
        <f t="shared" ca="1" si="1534"/>
        <v>#NAME?</v>
      </c>
      <c r="AX203" s="86" t="e">
        <f t="shared" ca="1" si="1534"/>
        <v>#NAME?</v>
      </c>
      <c r="AY203" s="86" t="e">
        <f t="shared" ca="1" si="1534"/>
        <v>#NAME?</v>
      </c>
      <c r="AZ203" s="86" t="e">
        <f t="shared" ca="1" si="1534"/>
        <v>#NAME?</v>
      </c>
      <c r="BA203" s="86" t="e">
        <f t="shared" ca="1" si="1534"/>
        <v>#NAME?</v>
      </c>
      <c r="BB203" s="86" t="e">
        <f t="shared" ca="1" si="1534"/>
        <v>#NAME?</v>
      </c>
      <c r="BC203" s="86" t="e">
        <f t="shared" ca="1" si="1534"/>
        <v>#NAME?</v>
      </c>
      <c r="BD203" s="86" t="e">
        <f t="shared" ca="1" si="1534"/>
        <v>#NAME?</v>
      </c>
      <c r="BE203" s="86" t="e">
        <f t="shared" ca="1" si="1534"/>
        <v>#NAME?</v>
      </c>
      <c r="BF203" s="86" t="e">
        <f t="shared" ca="1" si="1534"/>
        <v>#NAME?</v>
      </c>
      <c r="BG203" s="86" t="e">
        <f t="shared" ca="1" si="1534"/>
        <v>#NAME?</v>
      </c>
      <c r="BH203" s="86" t="e">
        <f t="shared" ca="1" si="1534"/>
        <v>#NAME?</v>
      </c>
      <c r="BI203" s="86" t="e">
        <f t="shared" ca="1" si="1534"/>
        <v>#NAME?</v>
      </c>
      <c r="BJ203" s="86" t="e">
        <f t="shared" ca="1" si="1534"/>
        <v>#NAME?</v>
      </c>
      <c r="BK203" s="86" t="e">
        <f t="shared" ca="1" si="1534"/>
        <v>#NAME?</v>
      </c>
      <c r="BL203" s="86" t="e">
        <f t="shared" ca="1" si="1534"/>
        <v>#NAME?</v>
      </c>
      <c r="BM203" s="86" t="e">
        <f t="shared" ca="1" si="1534"/>
        <v>#NAME?</v>
      </c>
      <c r="BN203" s="86" t="e">
        <f t="shared" ca="1" si="1534"/>
        <v>#NAME?</v>
      </c>
      <c r="BO203" s="86" t="e">
        <f t="shared" ca="1" si="1534"/>
        <v>#NAME?</v>
      </c>
      <c r="BP203" s="86" t="e">
        <f t="shared" ca="1" si="1534"/>
        <v>#NAME?</v>
      </c>
      <c r="BQ203" s="86" t="e">
        <f t="shared" ca="1" si="1534"/>
        <v>#NAME?</v>
      </c>
      <c r="BR203" s="86" t="e">
        <f t="shared" ca="1" si="1534"/>
        <v>#NAME?</v>
      </c>
      <c r="BS203" s="86" t="e">
        <f t="shared" ca="1" si="1534"/>
        <v>#NAME?</v>
      </c>
      <c r="BT203" s="86" t="e">
        <f t="shared" ca="1" si="1534"/>
        <v>#NAME?</v>
      </c>
      <c r="BU203" s="86" t="e">
        <f t="shared" ca="1" si="1534"/>
        <v>#NAME?</v>
      </c>
      <c r="BV203" s="86" t="e">
        <f t="shared" ca="1" si="1534"/>
        <v>#NAME?</v>
      </c>
      <c r="BW203" s="86" t="e">
        <f t="shared" ca="1" si="1534"/>
        <v>#NAME?</v>
      </c>
      <c r="BX203" s="86" t="e">
        <f t="shared" ca="1" si="1534"/>
        <v>#NAME?</v>
      </c>
      <c r="BY203" s="86" t="e">
        <f t="shared" ca="1" si="1534"/>
        <v>#NAME?</v>
      </c>
      <c r="BZ203" s="86" t="e">
        <f t="shared" ca="1" si="1534"/>
        <v>#NAME?</v>
      </c>
      <c r="CA203" s="86" t="e">
        <f t="shared" ca="1" si="1534"/>
        <v>#NAME?</v>
      </c>
      <c r="CB203" s="86" t="e">
        <f t="shared" ca="1" si="1534"/>
        <v>#NAME?</v>
      </c>
      <c r="CC203" s="86" t="e">
        <f t="shared" ca="1" si="1534"/>
        <v>#NAME?</v>
      </c>
      <c r="CD203" s="86" t="e">
        <f t="shared" ca="1" si="1534"/>
        <v>#NAME?</v>
      </c>
      <c r="CE203" s="86" t="e">
        <f t="shared" ca="1" si="1534"/>
        <v>#NAME?</v>
      </c>
      <c r="CF203" s="86" t="e">
        <f t="shared" ca="1" si="1534"/>
        <v>#NAME?</v>
      </c>
      <c r="CG203" s="86" t="e">
        <f t="shared" ca="1" si="1534"/>
        <v>#NAME?</v>
      </c>
      <c r="CH203" s="86" t="e">
        <f t="shared" ca="1" si="1534"/>
        <v>#NAME?</v>
      </c>
      <c r="CI203" s="86" t="e">
        <f t="shared" ca="1" si="1534"/>
        <v>#NAME?</v>
      </c>
      <c r="CJ203" s="86" t="e">
        <f ca="1">+(CJ25+CI25)/(CF25+CE25)-1</f>
        <v>#NAME?</v>
      </c>
      <c r="CK203" s="87"/>
      <c r="CL203" s="86" t="e">
        <f ca="1">+(CL25+CK25)/(CH25+CG25)-1</f>
        <v>#NAME?</v>
      </c>
      <c r="CM203" s="87"/>
      <c r="CN203" s="87"/>
      <c r="CO203" s="87"/>
      <c r="CP203" s="87"/>
      <c r="CQ203" s="87"/>
      <c r="CR203" s="87"/>
      <c r="CS203" s="87"/>
      <c r="CT203" s="87"/>
      <c r="CU203" s="87"/>
      <c r="CV203" s="87"/>
      <c r="CW203" s="87"/>
      <c r="CX203" s="87"/>
      <c r="CY203" s="87"/>
      <c r="CZ203" s="87"/>
      <c r="DA203" s="87"/>
      <c r="DB203" s="87"/>
      <c r="DE203" s="141"/>
      <c r="DF203" s="86">
        <v>-0.10538112811900147</v>
      </c>
    </row>
    <row r="204" spans="1:110" s="86" customFormat="1" x14ac:dyDescent="0.2">
      <c r="A204" s="86" t="s">
        <v>441</v>
      </c>
      <c r="C204" s="86" t="e">
        <f t="shared" ref="C204" ca="1" si="1535">C201/B201-1</f>
        <v>#NAME?</v>
      </c>
      <c r="D204" s="86" t="e">
        <f t="shared" ref="D204" ca="1" si="1536">D201/C201-1</f>
        <v>#NAME?</v>
      </c>
      <c r="E204" s="86" t="e">
        <f ca="1">E201/D201-1</f>
        <v>#NAME?</v>
      </c>
      <c r="F204" s="86" t="e">
        <f t="shared" ref="F204" ca="1" si="1537">F201/E201-1</f>
        <v>#NAME?</v>
      </c>
      <c r="G204" s="86" t="e">
        <f t="shared" ref="G204" ca="1" si="1538">G201/F201-1</f>
        <v>#NAME?</v>
      </c>
      <c r="H204" s="86" t="e">
        <f t="shared" ref="H204" ca="1" si="1539">H201/G201-1</f>
        <v>#NAME?</v>
      </c>
      <c r="I204" s="86" t="e">
        <f t="shared" ref="I204" ca="1" si="1540">I201/H201-1</f>
        <v>#NAME?</v>
      </c>
      <c r="J204" s="86" t="e">
        <f t="shared" ref="J204" ca="1" si="1541">J201/I201-1</f>
        <v>#NAME?</v>
      </c>
      <c r="K204" s="86" t="e">
        <f ca="1">K201/J201-1</f>
        <v>#NAME?</v>
      </c>
      <c r="L204" s="86" t="e">
        <f t="shared" ref="L204" ca="1" si="1542">L201/K201-1</f>
        <v>#NAME?</v>
      </c>
      <c r="M204" s="86" t="e">
        <f t="shared" ref="M204" ca="1" si="1543">M201/L201-1</f>
        <v>#NAME?</v>
      </c>
      <c r="N204" s="86" t="e">
        <f t="shared" ref="N204" ca="1" si="1544">N201/M201-1</f>
        <v>#NAME?</v>
      </c>
      <c r="O204" s="86" t="e">
        <f t="shared" ref="O204" ca="1" si="1545">O201/N201-1</f>
        <v>#NAME?</v>
      </c>
      <c r="P204" s="86" t="e">
        <f t="shared" ref="P204" ca="1" si="1546">P201/O201-1</f>
        <v>#NAME?</v>
      </c>
      <c r="Q204" s="86" t="e">
        <f t="shared" ref="Q204" ca="1" si="1547">Q201/P201-1</f>
        <v>#NAME?</v>
      </c>
      <c r="R204" s="86" t="e">
        <f t="shared" ref="R204" ca="1" si="1548">R201/Q201-1</f>
        <v>#NAME?</v>
      </c>
      <c r="S204" s="86" t="e">
        <f t="shared" ref="S204" ca="1" si="1549">S201/R201-1</f>
        <v>#NAME?</v>
      </c>
      <c r="T204" s="86" t="e">
        <f t="shared" ref="T204" ca="1" si="1550">T201/S201-1</f>
        <v>#NAME?</v>
      </c>
      <c r="U204" s="86" t="e">
        <f t="shared" ref="U204" ca="1" si="1551">U201/T201-1</f>
        <v>#NAME?</v>
      </c>
      <c r="V204" s="86" t="e">
        <f t="shared" ref="V204" ca="1" si="1552">V201/U201-1</f>
        <v>#NAME?</v>
      </c>
      <c r="W204" s="86" t="e">
        <f t="shared" ref="W204:AA204" ca="1" si="1553">W201/V201-1</f>
        <v>#NAME?</v>
      </c>
      <c r="X204" s="86" t="e">
        <f t="shared" ca="1" si="1553"/>
        <v>#NAME?</v>
      </c>
      <c r="Y204" s="86" t="e">
        <f t="shared" ca="1" si="1553"/>
        <v>#NAME?</v>
      </c>
      <c r="Z204" s="86" t="e">
        <f t="shared" ca="1" si="1553"/>
        <v>#NAME?</v>
      </c>
      <c r="AA204" s="86" t="e">
        <f t="shared" ca="1" si="1553"/>
        <v>#NAME?</v>
      </c>
      <c r="AB204" s="87" t="e">
        <f t="shared" ref="AB204" ca="1" si="1554">AB201/AA201-1</f>
        <v>#NAME?</v>
      </c>
      <c r="AC204" s="87" t="e">
        <f t="shared" ref="AC204" ca="1" si="1555">AC201/AB201-1</f>
        <v>#NAME?</v>
      </c>
      <c r="AD204" s="87" t="e">
        <f t="shared" ref="AD204" ca="1" si="1556">AD201/AC201-1</f>
        <v>#NAME?</v>
      </c>
      <c r="AE204" s="87" t="e">
        <f t="shared" ref="AE204" ca="1" si="1557">AE201/AD201-1</f>
        <v>#NAME?</v>
      </c>
      <c r="AN204" s="86" t="e">
        <f t="shared" ref="AN204:CI204" ca="1" si="1558">+AN201/AJ201-1</f>
        <v>#NAME?</v>
      </c>
      <c r="AO204" s="86" t="e">
        <f t="shared" ca="1" si="1558"/>
        <v>#NAME?</v>
      </c>
      <c r="AP204" s="86" t="e">
        <f t="shared" ca="1" si="1558"/>
        <v>#NAME?</v>
      </c>
      <c r="AQ204" s="86" t="e">
        <f t="shared" ca="1" si="1558"/>
        <v>#NAME?</v>
      </c>
      <c r="AR204" s="86" t="e">
        <f t="shared" ca="1" si="1558"/>
        <v>#NAME?</v>
      </c>
      <c r="AS204" s="86" t="e">
        <f t="shared" ca="1" si="1558"/>
        <v>#NAME?</v>
      </c>
      <c r="AT204" s="86" t="e">
        <f t="shared" ca="1" si="1558"/>
        <v>#NAME?</v>
      </c>
      <c r="AU204" s="86" t="e">
        <f t="shared" ca="1" si="1558"/>
        <v>#NAME?</v>
      </c>
      <c r="AV204" s="86" t="e">
        <f t="shared" ca="1" si="1558"/>
        <v>#NAME?</v>
      </c>
      <c r="AW204" s="86" t="e">
        <f t="shared" ca="1" si="1558"/>
        <v>#NAME?</v>
      </c>
      <c r="AX204" s="86" t="e">
        <f t="shared" ca="1" si="1558"/>
        <v>#NAME?</v>
      </c>
      <c r="AY204" s="86" t="e">
        <f t="shared" ca="1" si="1558"/>
        <v>#NAME?</v>
      </c>
      <c r="AZ204" s="86" t="e">
        <f t="shared" ca="1" si="1558"/>
        <v>#NAME?</v>
      </c>
      <c r="BA204" s="86" t="e">
        <f t="shared" ca="1" si="1558"/>
        <v>#NAME?</v>
      </c>
      <c r="BB204" s="86" t="e">
        <f t="shared" ca="1" si="1558"/>
        <v>#NAME?</v>
      </c>
      <c r="BC204" s="86" t="e">
        <f t="shared" ca="1" si="1558"/>
        <v>#NAME?</v>
      </c>
      <c r="BD204" s="86" t="e">
        <f t="shared" ca="1" si="1558"/>
        <v>#NAME?</v>
      </c>
      <c r="BE204" s="86" t="e">
        <f t="shared" ca="1" si="1558"/>
        <v>#NAME?</v>
      </c>
      <c r="BF204" s="86" t="e">
        <f t="shared" ca="1" si="1558"/>
        <v>#NAME?</v>
      </c>
      <c r="BG204" s="86" t="e">
        <f t="shared" ca="1" si="1558"/>
        <v>#NAME?</v>
      </c>
      <c r="BH204" s="86" t="e">
        <f t="shared" ca="1" si="1558"/>
        <v>#NAME?</v>
      </c>
      <c r="BI204" s="86" t="e">
        <f t="shared" ca="1" si="1558"/>
        <v>#NAME?</v>
      </c>
      <c r="BJ204" s="86" t="e">
        <f t="shared" ca="1" si="1558"/>
        <v>#NAME?</v>
      </c>
      <c r="BK204" s="86" t="e">
        <f t="shared" ca="1" si="1558"/>
        <v>#NAME?</v>
      </c>
      <c r="BL204" s="86" t="e">
        <f t="shared" ca="1" si="1558"/>
        <v>#NAME?</v>
      </c>
      <c r="BM204" s="86" t="e">
        <f t="shared" ca="1" si="1558"/>
        <v>#NAME?</v>
      </c>
      <c r="BN204" s="86" t="e">
        <f t="shared" ca="1" si="1558"/>
        <v>#NAME?</v>
      </c>
      <c r="BO204" s="86" t="e">
        <f t="shared" ca="1" si="1558"/>
        <v>#NAME?</v>
      </c>
      <c r="BP204" s="86" t="e">
        <f t="shared" ca="1" si="1558"/>
        <v>#NAME?</v>
      </c>
      <c r="BQ204" s="86" t="e">
        <f t="shared" ca="1" si="1558"/>
        <v>#NAME?</v>
      </c>
      <c r="BR204" s="86" t="e">
        <f t="shared" ca="1" si="1558"/>
        <v>#NAME?</v>
      </c>
      <c r="BS204" s="86" t="e">
        <f t="shared" ca="1" si="1558"/>
        <v>#NAME?</v>
      </c>
      <c r="BT204" s="86" t="e">
        <f t="shared" ca="1" si="1558"/>
        <v>#NAME?</v>
      </c>
      <c r="BU204" s="86" t="e">
        <f t="shared" ca="1" si="1558"/>
        <v>#NAME?</v>
      </c>
      <c r="BV204" s="86" t="e">
        <f t="shared" ca="1" si="1558"/>
        <v>#NAME?</v>
      </c>
      <c r="BW204" s="86" t="e">
        <f t="shared" ca="1" si="1558"/>
        <v>#NAME?</v>
      </c>
      <c r="BX204" s="86" t="e">
        <f t="shared" ca="1" si="1558"/>
        <v>#NAME?</v>
      </c>
      <c r="BY204" s="86" t="e">
        <f t="shared" ca="1" si="1558"/>
        <v>#NAME?</v>
      </c>
      <c r="BZ204" s="86" t="e">
        <f t="shared" ca="1" si="1558"/>
        <v>#NAME?</v>
      </c>
      <c r="CA204" s="86" t="e">
        <f t="shared" ca="1" si="1558"/>
        <v>#NAME?</v>
      </c>
      <c r="CB204" s="86" t="e">
        <f t="shared" ca="1" si="1558"/>
        <v>#NAME?</v>
      </c>
      <c r="CC204" s="86" t="e">
        <f t="shared" ca="1" si="1558"/>
        <v>#NAME?</v>
      </c>
      <c r="CD204" s="86" t="e">
        <f t="shared" ca="1" si="1558"/>
        <v>#NAME?</v>
      </c>
      <c r="CE204" s="86" t="e">
        <f t="shared" ca="1" si="1558"/>
        <v>#NAME?</v>
      </c>
      <c r="CF204" s="86" t="e">
        <f t="shared" ca="1" si="1558"/>
        <v>#NAME?</v>
      </c>
      <c r="CG204" s="86" t="e">
        <f t="shared" ca="1" si="1558"/>
        <v>#NAME?</v>
      </c>
      <c r="CH204" s="86" t="e">
        <f t="shared" ca="1" si="1558"/>
        <v>#NAME?</v>
      </c>
      <c r="CI204" s="86" t="e">
        <f t="shared" ca="1" si="1558"/>
        <v>#NAME?</v>
      </c>
      <c r="CJ204" s="86" t="e">
        <f ca="1">+CJ201/CF201-1</f>
        <v>#NAME?</v>
      </c>
      <c r="CK204" s="87"/>
      <c r="CL204" s="86" t="e">
        <f ca="1">+CL201/CH201-1</f>
        <v>#NAME?</v>
      </c>
      <c r="CM204" s="87"/>
      <c r="CN204" s="87"/>
      <c r="CO204" s="87"/>
      <c r="CP204" s="87"/>
      <c r="CQ204" s="87"/>
      <c r="CR204" s="87"/>
      <c r="CS204" s="87"/>
      <c r="CT204" s="87"/>
      <c r="CU204" s="87"/>
      <c r="CV204" s="87"/>
      <c r="CW204" s="87"/>
      <c r="CX204" s="87"/>
      <c r="CY204" s="87"/>
      <c r="CZ204" s="87"/>
      <c r="DA204" s="87"/>
      <c r="DB204" s="87"/>
      <c r="DE204" s="141"/>
      <c r="DF204" s="86">
        <v>0.65083282655235442</v>
      </c>
    </row>
    <row r="205" spans="1:110" s="103" customFormat="1" x14ac:dyDescent="0.2">
      <c r="A205" s="147" t="s">
        <v>87</v>
      </c>
      <c r="C205" s="103" t="e">
        <f ca="1">IF(C204&gt;C203,"RF",0)</f>
        <v>#NAME?</v>
      </c>
      <c r="D205" s="103" t="e">
        <f ca="1">IF(D204&gt;D203,"RF",0)</f>
        <v>#NAME?</v>
      </c>
      <c r="E205" s="103" t="e">
        <f t="shared" ref="E205:U205" ca="1" si="1559">IF(E204&gt;E203,"RF",0)</f>
        <v>#NAME?</v>
      </c>
      <c r="F205" s="103" t="e">
        <f t="shared" ca="1" si="1559"/>
        <v>#NAME?</v>
      </c>
      <c r="G205" s="103" t="e">
        <f t="shared" ca="1" si="1559"/>
        <v>#NAME?</v>
      </c>
      <c r="H205" s="103" t="e">
        <f t="shared" ca="1" si="1559"/>
        <v>#NAME?</v>
      </c>
      <c r="I205" s="103" t="e">
        <f t="shared" ca="1" si="1559"/>
        <v>#NAME?</v>
      </c>
      <c r="J205" s="103" t="e">
        <f t="shared" ca="1" si="1559"/>
        <v>#NAME?</v>
      </c>
      <c r="K205" s="103" t="e">
        <f t="shared" ca="1" si="1559"/>
        <v>#NAME?</v>
      </c>
      <c r="L205" s="103" t="e">
        <f t="shared" ca="1" si="1559"/>
        <v>#NAME?</v>
      </c>
      <c r="M205" s="103" t="e">
        <f t="shared" ca="1" si="1559"/>
        <v>#NAME?</v>
      </c>
      <c r="N205" s="103" t="e">
        <f t="shared" ca="1" si="1559"/>
        <v>#NAME?</v>
      </c>
      <c r="O205" s="103" t="e">
        <f t="shared" ca="1" si="1559"/>
        <v>#NAME?</v>
      </c>
      <c r="P205" s="103" t="e">
        <f t="shared" ca="1" si="1559"/>
        <v>#NAME?</v>
      </c>
      <c r="Q205" s="103" t="e">
        <f t="shared" ca="1" si="1559"/>
        <v>#NAME?</v>
      </c>
      <c r="R205" s="103" t="e">
        <f t="shared" ca="1" si="1559"/>
        <v>#NAME?</v>
      </c>
      <c r="S205" s="103" t="e">
        <f t="shared" ca="1" si="1559"/>
        <v>#NAME?</v>
      </c>
      <c r="T205" s="103" t="e">
        <f t="shared" ca="1" si="1559"/>
        <v>#NAME?</v>
      </c>
      <c r="U205" s="103" t="e">
        <f t="shared" ca="1" si="1559"/>
        <v>#NAME?</v>
      </c>
      <c r="V205" s="103" t="e">
        <f ca="1">IF(V204&gt;V203,"RF",0)</f>
        <v>#NAME?</v>
      </c>
      <c r="W205" s="103" t="e">
        <f t="shared" ref="W205" ca="1" si="1560">IF(W204&gt;W203,"RF",0)</f>
        <v>#NAME?</v>
      </c>
      <c r="X205" s="103" t="e">
        <f t="shared" ref="X205:Y205" ca="1" si="1561">IF(X204&gt;X203,"RF",0)</f>
        <v>#NAME?</v>
      </c>
      <c r="Y205" s="103" t="e">
        <f t="shared" ca="1" si="1561"/>
        <v>#NAME?</v>
      </c>
      <c r="Z205" s="103" t="e">
        <f t="shared" ref="Z205:AA205" ca="1" si="1562">IF(Z204&gt;Z203,"RF",0)</f>
        <v>#NAME?</v>
      </c>
      <c r="AA205" s="103" t="e">
        <f t="shared" ca="1" si="1562"/>
        <v>#NAME?</v>
      </c>
      <c r="AB205" s="73" t="e">
        <f t="shared" ref="AA205:AD205" ca="1" si="1563">IF(AB204&gt;AB203,"RF",0)</f>
        <v>#NAME?</v>
      </c>
      <c r="AC205" s="73" t="e">
        <f t="shared" ca="1" si="1563"/>
        <v>#NAME?</v>
      </c>
      <c r="AD205" s="73" t="e">
        <f t="shared" ca="1" si="1563"/>
        <v>#NAME?</v>
      </c>
      <c r="AE205" s="73" t="e">
        <f t="shared" ref="AE205" ca="1" si="1564">IF(AE204&gt;AE203,"RF",0)</f>
        <v>#NAME?</v>
      </c>
      <c r="CK205" s="73"/>
      <c r="CM205" s="73"/>
      <c r="CN205" s="73"/>
      <c r="CO205" s="73"/>
      <c r="CP205" s="73"/>
      <c r="CQ205" s="73"/>
      <c r="CR205" s="73"/>
      <c r="CS205" s="73"/>
      <c r="CT205" s="73"/>
      <c r="CU205" s="73"/>
      <c r="CV205" s="73"/>
      <c r="CW205" s="73"/>
      <c r="CX205" s="73"/>
      <c r="CY205" s="73"/>
      <c r="CZ205" s="73"/>
      <c r="DA205" s="73"/>
      <c r="DB205" s="73"/>
      <c r="DE205" s="142"/>
      <c r="DF205" s="103" t="s">
        <v>534</v>
      </c>
    </row>
    <row r="206" spans="1:110" x14ac:dyDescent="0.2">
      <c r="A206" s="153" t="s">
        <v>494</v>
      </c>
      <c r="AA206" s="2"/>
      <c r="CL206" s="2"/>
    </row>
    <row r="207" spans="1:110" x14ac:dyDescent="0.2">
      <c r="A207" s="152" t="s">
        <v>495</v>
      </c>
      <c r="AA207" s="2"/>
      <c r="CL207" s="2"/>
    </row>
    <row r="208" spans="1:110" s="23" customFormat="1" x14ac:dyDescent="0.2">
      <c r="A208" s="23" t="s">
        <v>22</v>
      </c>
      <c r="C208" s="23" t="e">
        <f t="shared" ref="C208:AE208" ca="1" si="1565">C63</f>
        <v>#NAME?</v>
      </c>
      <c r="D208" s="23" t="e">
        <f t="shared" ca="1" si="1565"/>
        <v>#NAME?</v>
      </c>
      <c r="E208" s="23" t="e">
        <f t="shared" ca="1" si="1565"/>
        <v>#NAME?</v>
      </c>
      <c r="F208" s="23" t="e">
        <f t="shared" ca="1" si="1565"/>
        <v>#NAME?</v>
      </c>
      <c r="G208" s="23" t="e">
        <f t="shared" ca="1" si="1565"/>
        <v>#NAME?</v>
      </c>
      <c r="H208" s="23" t="e">
        <f t="shared" ca="1" si="1565"/>
        <v>#NAME?</v>
      </c>
      <c r="I208" s="23" t="e">
        <f t="shared" ca="1" si="1565"/>
        <v>#NAME?</v>
      </c>
      <c r="J208" s="23" t="e">
        <f t="shared" ca="1" si="1565"/>
        <v>#NAME?</v>
      </c>
      <c r="K208" s="23" t="e">
        <f t="shared" ca="1" si="1565"/>
        <v>#NAME?</v>
      </c>
      <c r="L208" s="23" t="e">
        <f t="shared" ca="1" si="1565"/>
        <v>#NAME?</v>
      </c>
      <c r="M208" s="23" t="e">
        <f t="shared" ca="1" si="1565"/>
        <v>#NAME?</v>
      </c>
      <c r="N208" s="23" t="e">
        <f t="shared" ca="1" si="1565"/>
        <v>#NAME?</v>
      </c>
      <c r="O208" s="23" t="e">
        <f t="shared" ca="1" si="1565"/>
        <v>#NAME?</v>
      </c>
      <c r="P208" s="23" t="e">
        <f t="shared" ca="1" si="1565"/>
        <v>#NAME?</v>
      </c>
      <c r="Q208" s="23" t="e">
        <f t="shared" ca="1" si="1565"/>
        <v>#NAME?</v>
      </c>
      <c r="R208" s="23" t="e">
        <f t="shared" ca="1" si="1565"/>
        <v>#NAME?</v>
      </c>
      <c r="S208" s="23" t="e">
        <f t="shared" ca="1" si="1565"/>
        <v>#NAME?</v>
      </c>
      <c r="T208" s="23" t="e">
        <f t="shared" ca="1" si="1565"/>
        <v>#NAME?</v>
      </c>
      <c r="U208" s="23" t="e">
        <f t="shared" ca="1" si="1565"/>
        <v>#NAME?</v>
      </c>
      <c r="V208" s="23" t="e">
        <f t="shared" ca="1" si="1565"/>
        <v>#NAME?</v>
      </c>
      <c r="W208" s="23" t="e">
        <f t="shared" ca="1" si="1565"/>
        <v>#NAME?</v>
      </c>
      <c r="X208" s="23" t="e">
        <f t="shared" ca="1" si="1565"/>
        <v>#NAME?</v>
      </c>
      <c r="Y208" s="23" t="e">
        <f t="shared" ca="1" si="1565"/>
        <v>#NAME?</v>
      </c>
      <c r="Z208" s="23" t="e">
        <f t="shared" ca="1" si="1565"/>
        <v>#NAME?</v>
      </c>
      <c r="AA208" s="23" t="e">
        <f t="shared" ref="AA208" ca="1" si="1566">AA63</f>
        <v>#NAME?</v>
      </c>
      <c r="AB208" s="24" t="e">
        <f t="shared" ca="1" si="1565"/>
        <v>#NAME?</v>
      </c>
      <c r="AC208" s="24" t="e">
        <f t="shared" ca="1" si="1565"/>
        <v>#NAME?</v>
      </c>
      <c r="AD208" s="24" t="e">
        <f t="shared" ca="1" si="1565"/>
        <v>#NAME?</v>
      </c>
      <c r="AE208" s="24" t="e">
        <f t="shared" ca="1" si="1565"/>
        <v>#NAME?</v>
      </c>
      <c r="AI208" s="23" t="e">
        <f t="shared" ref="AI208:BN208" ca="1" si="1567">AI63</f>
        <v>#NAME?</v>
      </c>
      <c r="AJ208" s="23" t="e">
        <f t="shared" ca="1" si="1567"/>
        <v>#NAME?</v>
      </c>
      <c r="AK208" s="23" t="e">
        <f t="shared" ca="1" si="1567"/>
        <v>#NAME?</v>
      </c>
      <c r="AL208" s="23" t="e">
        <f t="shared" ca="1" si="1567"/>
        <v>#NAME?</v>
      </c>
      <c r="AM208" s="23" t="e">
        <f t="shared" ca="1" si="1567"/>
        <v>#NAME?</v>
      </c>
      <c r="AN208" s="23" t="e">
        <f t="shared" ca="1" si="1567"/>
        <v>#NAME?</v>
      </c>
      <c r="AO208" s="23" t="e">
        <f t="shared" ca="1" si="1567"/>
        <v>#NAME?</v>
      </c>
      <c r="AP208" s="23" t="e">
        <f t="shared" ca="1" si="1567"/>
        <v>#NAME?</v>
      </c>
      <c r="AQ208" s="23" t="e">
        <f t="shared" ca="1" si="1567"/>
        <v>#NAME?</v>
      </c>
      <c r="AR208" s="23" t="e">
        <f t="shared" ca="1" si="1567"/>
        <v>#NAME?</v>
      </c>
      <c r="AS208" s="23" t="e">
        <f t="shared" ca="1" si="1567"/>
        <v>#NAME?</v>
      </c>
      <c r="AT208" s="23" t="e">
        <f t="shared" ca="1" si="1567"/>
        <v>#NAME?</v>
      </c>
      <c r="AU208" s="23" t="e">
        <f t="shared" ca="1" si="1567"/>
        <v>#NAME?</v>
      </c>
      <c r="AV208" s="23" t="e">
        <f t="shared" ca="1" si="1567"/>
        <v>#NAME?</v>
      </c>
      <c r="AW208" s="23" t="e">
        <f t="shared" ca="1" si="1567"/>
        <v>#NAME?</v>
      </c>
      <c r="AX208" s="23" t="e">
        <f t="shared" ca="1" si="1567"/>
        <v>#NAME?</v>
      </c>
      <c r="AY208" s="23" t="e">
        <f t="shared" ca="1" si="1567"/>
        <v>#NAME?</v>
      </c>
      <c r="AZ208" s="23" t="e">
        <f t="shared" ca="1" si="1567"/>
        <v>#NAME?</v>
      </c>
      <c r="BA208" s="23" t="e">
        <f t="shared" ca="1" si="1567"/>
        <v>#NAME?</v>
      </c>
      <c r="BB208" s="23" t="e">
        <f t="shared" ca="1" si="1567"/>
        <v>#NAME?</v>
      </c>
      <c r="BC208" s="23" t="e">
        <f t="shared" ca="1" si="1567"/>
        <v>#NAME?</v>
      </c>
      <c r="BD208" s="23" t="e">
        <f t="shared" ca="1" si="1567"/>
        <v>#NAME?</v>
      </c>
      <c r="BE208" s="23" t="e">
        <f t="shared" ca="1" si="1567"/>
        <v>#NAME?</v>
      </c>
      <c r="BF208" s="23" t="e">
        <f t="shared" ca="1" si="1567"/>
        <v>#NAME?</v>
      </c>
      <c r="BG208" s="23" t="e">
        <f t="shared" ca="1" si="1567"/>
        <v>#NAME?</v>
      </c>
      <c r="BH208" s="23" t="e">
        <f t="shared" ca="1" si="1567"/>
        <v>#NAME?</v>
      </c>
      <c r="BI208" s="23" t="e">
        <f t="shared" ca="1" si="1567"/>
        <v>#NAME?</v>
      </c>
      <c r="BJ208" s="23" t="e">
        <f t="shared" ca="1" si="1567"/>
        <v>#NAME?</v>
      </c>
      <c r="BK208" s="23" t="e">
        <f t="shared" ca="1" si="1567"/>
        <v>#NAME?</v>
      </c>
      <c r="BL208" s="23" t="e">
        <f t="shared" ca="1" si="1567"/>
        <v>#NAME?</v>
      </c>
      <c r="BM208" s="23" t="e">
        <f t="shared" ca="1" si="1567"/>
        <v>#NAME?</v>
      </c>
      <c r="BN208" s="23" t="e">
        <f t="shared" ca="1" si="1567"/>
        <v>#NAME?</v>
      </c>
      <c r="BO208" s="23" t="e">
        <f t="shared" ref="BO208:CT208" ca="1" si="1568">BO63</f>
        <v>#NAME?</v>
      </c>
      <c r="BP208" s="23" t="e">
        <f t="shared" ca="1" si="1568"/>
        <v>#NAME?</v>
      </c>
      <c r="BQ208" s="23" t="e">
        <f t="shared" ca="1" si="1568"/>
        <v>#NAME?</v>
      </c>
      <c r="BR208" s="23" t="e">
        <f t="shared" ca="1" si="1568"/>
        <v>#NAME?</v>
      </c>
      <c r="BS208" s="23" t="e">
        <f t="shared" ca="1" si="1568"/>
        <v>#NAME?</v>
      </c>
      <c r="BT208" s="23" t="e">
        <f t="shared" ca="1" si="1568"/>
        <v>#NAME?</v>
      </c>
      <c r="BU208" s="23" t="e">
        <f t="shared" ca="1" si="1568"/>
        <v>#NAME?</v>
      </c>
      <c r="BV208" s="23" t="e">
        <f t="shared" ca="1" si="1568"/>
        <v>#NAME?</v>
      </c>
      <c r="BW208" s="23" t="e">
        <f t="shared" ca="1" si="1568"/>
        <v>#NAME?</v>
      </c>
      <c r="BX208" s="23" t="e">
        <f t="shared" ca="1" si="1568"/>
        <v>#NAME?</v>
      </c>
      <c r="BY208" s="23" t="e">
        <f t="shared" ca="1" si="1568"/>
        <v>#NAME?</v>
      </c>
      <c r="BZ208" s="23" t="e">
        <f t="shared" ca="1" si="1568"/>
        <v>#NAME?</v>
      </c>
      <c r="CA208" s="23" t="e">
        <f t="shared" ca="1" si="1568"/>
        <v>#NAME?</v>
      </c>
      <c r="CB208" s="23" t="e">
        <f t="shared" ca="1" si="1568"/>
        <v>#NAME?</v>
      </c>
      <c r="CC208" s="23" t="e">
        <f t="shared" ca="1" si="1568"/>
        <v>#NAME?</v>
      </c>
      <c r="CD208" s="23" t="e">
        <f t="shared" ca="1" si="1568"/>
        <v>#NAME?</v>
      </c>
      <c r="CE208" s="23" t="e">
        <f t="shared" ca="1" si="1568"/>
        <v>#NAME?</v>
      </c>
      <c r="CF208" s="23" t="e">
        <f t="shared" ca="1" si="1568"/>
        <v>#NAME?</v>
      </c>
      <c r="CG208" s="23" t="e">
        <f t="shared" ca="1" si="1568"/>
        <v>#NAME?</v>
      </c>
      <c r="CH208" s="23" t="e">
        <f t="shared" ca="1" si="1568"/>
        <v>#NAME?</v>
      </c>
      <c r="CI208" s="23" t="e">
        <f t="shared" ca="1" si="1568"/>
        <v>#NAME?</v>
      </c>
      <c r="CJ208" s="23" t="e">
        <f t="shared" ca="1" si="1568"/>
        <v>#NAME?</v>
      </c>
      <c r="CK208" s="24" t="e">
        <f t="shared" ca="1" si="1568"/>
        <v>#NAME?</v>
      </c>
      <c r="CL208" s="23" t="e">
        <f t="shared" ref="CL208" ca="1" si="1569">CL63</f>
        <v>#NAME?</v>
      </c>
      <c r="CM208" s="24" t="e">
        <f t="shared" ca="1" si="1568"/>
        <v>#NAME?</v>
      </c>
      <c r="CN208" s="24" t="e">
        <f t="shared" ca="1" si="1568"/>
        <v>#NAME?</v>
      </c>
      <c r="CO208" s="24" t="e">
        <f t="shared" ca="1" si="1568"/>
        <v>#NAME?</v>
      </c>
      <c r="CP208" s="24" t="e">
        <f t="shared" ca="1" si="1568"/>
        <v>#NAME?</v>
      </c>
      <c r="CQ208" s="24" t="e">
        <f t="shared" ca="1" si="1568"/>
        <v>#NAME?</v>
      </c>
      <c r="CR208" s="24" t="e">
        <f t="shared" ca="1" si="1568"/>
        <v>#NAME?</v>
      </c>
      <c r="CS208" s="24" t="e">
        <f t="shared" ca="1" si="1568"/>
        <v>#NAME?</v>
      </c>
      <c r="CT208" s="24" t="e">
        <f t="shared" ca="1" si="1568"/>
        <v>#NAME?</v>
      </c>
      <c r="CU208" s="24" t="e">
        <f t="shared" ref="CU208:DB208" ca="1" si="1570">CU63</f>
        <v>#NAME?</v>
      </c>
      <c r="CV208" s="24" t="e">
        <f t="shared" ca="1" si="1570"/>
        <v>#NAME?</v>
      </c>
      <c r="CW208" s="24" t="e">
        <f t="shared" ca="1" si="1570"/>
        <v>#NAME?</v>
      </c>
      <c r="CX208" s="24" t="e">
        <f t="shared" ca="1" si="1570"/>
        <v>#NAME?</v>
      </c>
      <c r="CY208" s="24" t="e">
        <f t="shared" ca="1" si="1570"/>
        <v>#NAME?</v>
      </c>
      <c r="CZ208" s="24" t="e">
        <f t="shared" ca="1" si="1570"/>
        <v>#NAME?</v>
      </c>
      <c r="DA208" s="24" t="e">
        <f t="shared" ca="1" si="1570"/>
        <v>#NAME?</v>
      </c>
      <c r="DB208" s="24" t="e">
        <f t="shared" ca="1" si="1570"/>
        <v>#NAME?</v>
      </c>
      <c r="DE208" s="123"/>
      <c r="DF208" s="23">
        <v>15.008000000000022</v>
      </c>
    </row>
    <row r="209" spans="1:110" s="23" customFormat="1" x14ac:dyDescent="0.2">
      <c r="A209" s="23" t="s">
        <v>88</v>
      </c>
      <c r="C209" s="23" t="e">
        <f t="shared" ref="C209:AE209" ca="1" si="1571">C47</f>
        <v>#NAME?</v>
      </c>
      <c r="D209" s="23" t="e">
        <f t="shared" ca="1" si="1571"/>
        <v>#NAME?</v>
      </c>
      <c r="E209" s="23" t="e">
        <f t="shared" ca="1" si="1571"/>
        <v>#NAME?</v>
      </c>
      <c r="F209" s="23" t="e">
        <f t="shared" ca="1" si="1571"/>
        <v>#NAME?</v>
      </c>
      <c r="G209" s="23" t="e">
        <f t="shared" ca="1" si="1571"/>
        <v>#NAME?</v>
      </c>
      <c r="H209" s="23" t="e">
        <f t="shared" ca="1" si="1571"/>
        <v>#NAME?</v>
      </c>
      <c r="I209" s="23" t="e">
        <f t="shared" ca="1" si="1571"/>
        <v>#NAME?</v>
      </c>
      <c r="J209" s="23" t="e">
        <f t="shared" ca="1" si="1571"/>
        <v>#NAME?</v>
      </c>
      <c r="K209" s="23" t="e">
        <f t="shared" ca="1" si="1571"/>
        <v>#NAME?</v>
      </c>
      <c r="L209" s="23" t="e">
        <f t="shared" ca="1" si="1571"/>
        <v>#NAME?</v>
      </c>
      <c r="M209" s="23" t="e">
        <f t="shared" ca="1" si="1571"/>
        <v>#NAME?</v>
      </c>
      <c r="N209" s="23" t="e">
        <f t="shared" ca="1" si="1571"/>
        <v>#NAME?</v>
      </c>
      <c r="O209" s="23" t="e">
        <f t="shared" ca="1" si="1571"/>
        <v>#NAME?</v>
      </c>
      <c r="P209" s="23" t="e">
        <f t="shared" ca="1" si="1571"/>
        <v>#NAME?</v>
      </c>
      <c r="Q209" s="23" t="e">
        <f t="shared" ca="1" si="1571"/>
        <v>#NAME?</v>
      </c>
      <c r="R209" s="23" t="e">
        <f t="shared" ca="1" si="1571"/>
        <v>#NAME?</v>
      </c>
      <c r="S209" s="23" t="e">
        <f t="shared" ca="1" si="1571"/>
        <v>#NAME?</v>
      </c>
      <c r="T209" s="23" t="e">
        <f t="shared" ca="1" si="1571"/>
        <v>#NAME?</v>
      </c>
      <c r="U209" s="23" t="e">
        <f t="shared" ca="1" si="1571"/>
        <v>#NAME?</v>
      </c>
      <c r="V209" s="23" t="e">
        <f t="shared" ca="1" si="1571"/>
        <v>#NAME?</v>
      </c>
      <c r="W209" s="23" t="e">
        <f t="shared" ca="1" si="1571"/>
        <v>#NAME?</v>
      </c>
      <c r="X209" s="23" t="e">
        <f t="shared" ca="1" si="1571"/>
        <v>#NAME?</v>
      </c>
      <c r="Y209" s="23" t="e">
        <f t="shared" ca="1" si="1571"/>
        <v>#NAME?</v>
      </c>
      <c r="Z209" s="23" t="e">
        <f t="shared" ca="1" si="1571"/>
        <v>#NAME?</v>
      </c>
      <c r="AA209" s="23" t="e">
        <f t="shared" ref="AA209" ca="1" si="1572">AA47</f>
        <v>#NAME?</v>
      </c>
      <c r="AB209" s="24" t="e">
        <f t="shared" ca="1" si="1571"/>
        <v>#NAME?</v>
      </c>
      <c r="AC209" s="24" t="e">
        <f t="shared" ca="1" si="1571"/>
        <v>#NAME?</v>
      </c>
      <c r="AD209" s="24" t="e">
        <f t="shared" ca="1" si="1571"/>
        <v>#NAME?</v>
      </c>
      <c r="AE209" s="24" t="e">
        <f t="shared" ca="1" si="1571"/>
        <v>#NAME?</v>
      </c>
      <c r="AI209" s="23" t="e">
        <f t="shared" ref="AI209:BN209" ca="1" si="1573">AI47</f>
        <v>#NAME?</v>
      </c>
      <c r="AJ209" s="23" t="e">
        <f t="shared" ca="1" si="1573"/>
        <v>#NAME?</v>
      </c>
      <c r="AK209" s="23" t="e">
        <f t="shared" ca="1" si="1573"/>
        <v>#NAME?</v>
      </c>
      <c r="AL209" s="23" t="e">
        <f t="shared" ca="1" si="1573"/>
        <v>#NAME?</v>
      </c>
      <c r="AM209" s="23" t="e">
        <f t="shared" ca="1" si="1573"/>
        <v>#NAME?</v>
      </c>
      <c r="AN209" s="23" t="e">
        <f t="shared" ca="1" si="1573"/>
        <v>#NAME?</v>
      </c>
      <c r="AO209" s="23" t="e">
        <f t="shared" ca="1" si="1573"/>
        <v>#NAME?</v>
      </c>
      <c r="AP209" s="23" t="e">
        <f t="shared" ca="1" si="1573"/>
        <v>#NAME?</v>
      </c>
      <c r="AQ209" s="23" t="e">
        <f t="shared" ca="1" si="1573"/>
        <v>#NAME?</v>
      </c>
      <c r="AR209" s="23" t="e">
        <f t="shared" ca="1" si="1573"/>
        <v>#NAME?</v>
      </c>
      <c r="AS209" s="23" t="e">
        <f t="shared" ca="1" si="1573"/>
        <v>#NAME?</v>
      </c>
      <c r="AT209" s="23" t="e">
        <f t="shared" ca="1" si="1573"/>
        <v>#NAME?</v>
      </c>
      <c r="AU209" s="23" t="e">
        <f t="shared" ca="1" si="1573"/>
        <v>#NAME?</v>
      </c>
      <c r="AV209" s="23" t="e">
        <f t="shared" ca="1" si="1573"/>
        <v>#NAME?</v>
      </c>
      <c r="AW209" s="23" t="e">
        <f t="shared" ca="1" si="1573"/>
        <v>#NAME?</v>
      </c>
      <c r="AX209" s="23" t="e">
        <f t="shared" ca="1" si="1573"/>
        <v>#NAME?</v>
      </c>
      <c r="AY209" s="23" t="e">
        <f t="shared" ca="1" si="1573"/>
        <v>#NAME?</v>
      </c>
      <c r="AZ209" s="23" t="e">
        <f t="shared" ca="1" si="1573"/>
        <v>#NAME?</v>
      </c>
      <c r="BA209" s="23" t="e">
        <f t="shared" ca="1" si="1573"/>
        <v>#NAME?</v>
      </c>
      <c r="BB209" s="23" t="e">
        <f t="shared" ca="1" si="1573"/>
        <v>#NAME?</v>
      </c>
      <c r="BC209" s="23" t="e">
        <f t="shared" ca="1" si="1573"/>
        <v>#NAME?</v>
      </c>
      <c r="BD209" s="23" t="e">
        <f t="shared" ca="1" si="1573"/>
        <v>#NAME?</v>
      </c>
      <c r="BE209" s="23" t="e">
        <f t="shared" ca="1" si="1573"/>
        <v>#NAME?</v>
      </c>
      <c r="BF209" s="23" t="e">
        <f t="shared" ca="1" si="1573"/>
        <v>#NAME?</v>
      </c>
      <c r="BG209" s="23" t="e">
        <f t="shared" ca="1" si="1573"/>
        <v>#NAME?</v>
      </c>
      <c r="BH209" s="23" t="e">
        <f t="shared" ca="1" si="1573"/>
        <v>#NAME?</v>
      </c>
      <c r="BI209" s="23" t="e">
        <f t="shared" ca="1" si="1573"/>
        <v>#NAME?</v>
      </c>
      <c r="BJ209" s="23" t="e">
        <f t="shared" ca="1" si="1573"/>
        <v>#NAME?</v>
      </c>
      <c r="BK209" s="23" t="e">
        <f t="shared" ca="1" si="1573"/>
        <v>#NAME?</v>
      </c>
      <c r="BL209" s="23" t="e">
        <f t="shared" ca="1" si="1573"/>
        <v>#NAME?</v>
      </c>
      <c r="BM209" s="23" t="e">
        <f t="shared" ca="1" si="1573"/>
        <v>#NAME?</v>
      </c>
      <c r="BN209" s="23" t="e">
        <f t="shared" ca="1" si="1573"/>
        <v>#NAME?</v>
      </c>
      <c r="BO209" s="23" t="e">
        <f t="shared" ref="BO209:CT209" ca="1" si="1574">BO47</f>
        <v>#NAME?</v>
      </c>
      <c r="BP209" s="23" t="e">
        <f t="shared" ca="1" si="1574"/>
        <v>#NAME?</v>
      </c>
      <c r="BQ209" s="23" t="e">
        <f t="shared" ca="1" si="1574"/>
        <v>#NAME?</v>
      </c>
      <c r="BR209" s="23" t="e">
        <f t="shared" ca="1" si="1574"/>
        <v>#NAME?</v>
      </c>
      <c r="BS209" s="23" t="e">
        <f t="shared" ca="1" si="1574"/>
        <v>#NAME?</v>
      </c>
      <c r="BT209" s="23" t="e">
        <f t="shared" ca="1" si="1574"/>
        <v>#NAME?</v>
      </c>
      <c r="BU209" s="23" t="e">
        <f t="shared" ca="1" si="1574"/>
        <v>#NAME?</v>
      </c>
      <c r="BV209" s="23" t="e">
        <f t="shared" ca="1" si="1574"/>
        <v>#NAME?</v>
      </c>
      <c r="BW209" s="23" t="e">
        <f t="shared" ca="1" si="1574"/>
        <v>#NAME?</v>
      </c>
      <c r="BX209" s="23" t="e">
        <f t="shared" ca="1" si="1574"/>
        <v>#NAME?</v>
      </c>
      <c r="BY209" s="23" t="e">
        <f t="shared" ca="1" si="1574"/>
        <v>#NAME?</v>
      </c>
      <c r="BZ209" s="23" t="e">
        <f t="shared" ca="1" si="1574"/>
        <v>#NAME?</v>
      </c>
      <c r="CA209" s="23" t="e">
        <f t="shared" ca="1" si="1574"/>
        <v>#NAME?</v>
      </c>
      <c r="CB209" s="23" t="e">
        <f t="shared" ca="1" si="1574"/>
        <v>#NAME?</v>
      </c>
      <c r="CC209" s="23" t="e">
        <f t="shared" ca="1" si="1574"/>
        <v>#NAME?</v>
      </c>
      <c r="CD209" s="23" t="e">
        <f t="shared" ca="1" si="1574"/>
        <v>#NAME?</v>
      </c>
      <c r="CE209" s="23" t="e">
        <f t="shared" ca="1" si="1574"/>
        <v>#NAME?</v>
      </c>
      <c r="CF209" s="23" t="e">
        <f t="shared" ca="1" si="1574"/>
        <v>#NAME?</v>
      </c>
      <c r="CG209" s="23" t="e">
        <f t="shared" ca="1" si="1574"/>
        <v>#NAME?</v>
      </c>
      <c r="CH209" s="23" t="e">
        <f t="shared" ca="1" si="1574"/>
        <v>#NAME?</v>
      </c>
      <c r="CI209" s="23" t="e">
        <f t="shared" ca="1" si="1574"/>
        <v>#NAME?</v>
      </c>
      <c r="CJ209" s="23" t="e">
        <f t="shared" ca="1" si="1574"/>
        <v>#NAME?</v>
      </c>
      <c r="CK209" s="24" t="e">
        <f t="shared" ca="1" si="1574"/>
        <v>#NAME?</v>
      </c>
      <c r="CL209" s="23" t="e">
        <f t="shared" ref="CL209" ca="1" si="1575">CL47</f>
        <v>#NAME?</v>
      </c>
      <c r="CM209" s="24" t="e">
        <f t="shared" ca="1" si="1574"/>
        <v>#NAME?</v>
      </c>
      <c r="CN209" s="24" t="e">
        <f t="shared" ca="1" si="1574"/>
        <v>#NAME?</v>
      </c>
      <c r="CO209" s="24" t="e">
        <f t="shared" ca="1" si="1574"/>
        <v>#NAME?</v>
      </c>
      <c r="CP209" s="24" t="e">
        <f t="shared" ca="1" si="1574"/>
        <v>#NAME?</v>
      </c>
      <c r="CQ209" s="24" t="e">
        <f t="shared" ca="1" si="1574"/>
        <v>#NAME?</v>
      </c>
      <c r="CR209" s="24" t="e">
        <f t="shared" ca="1" si="1574"/>
        <v>#NAME?</v>
      </c>
      <c r="CS209" s="24" t="e">
        <f t="shared" ca="1" si="1574"/>
        <v>#NAME?</v>
      </c>
      <c r="CT209" s="24" t="e">
        <f t="shared" ca="1" si="1574"/>
        <v>#NAME?</v>
      </c>
      <c r="CU209" s="24" t="e">
        <f t="shared" ref="CU209:DB209" ca="1" si="1576">CU47</f>
        <v>#NAME?</v>
      </c>
      <c r="CV209" s="24" t="e">
        <f t="shared" ca="1" si="1576"/>
        <v>#NAME?</v>
      </c>
      <c r="CW209" s="24" t="e">
        <f t="shared" ca="1" si="1576"/>
        <v>#NAME?</v>
      </c>
      <c r="CX209" s="24" t="e">
        <f t="shared" ca="1" si="1576"/>
        <v>#NAME?</v>
      </c>
      <c r="CY209" s="24" t="e">
        <f t="shared" ca="1" si="1576"/>
        <v>#NAME?</v>
      </c>
      <c r="CZ209" s="24" t="e">
        <f t="shared" ca="1" si="1576"/>
        <v>#NAME?</v>
      </c>
      <c r="DA209" s="24" t="e">
        <f t="shared" ca="1" si="1576"/>
        <v>#NAME?</v>
      </c>
      <c r="DB209" s="24" t="e">
        <f t="shared" ca="1" si="1576"/>
        <v>#NAME?</v>
      </c>
      <c r="DE209" s="123"/>
      <c r="DF209" s="23">
        <v>20.076000000000001</v>
      </c>
    </row>
    <row r="210" spans="1:110" s="22" customFormat="1" x14ac:dyDescent="0.2">
      <c r="A210" s="22" t="s">
        <v>89</v>
      </c>
      <c r="C210" s="22" t="e">
        <f t="shared" ref="C210:W210" ca="1" si="1577">C208+C209</f>
        <v>#NAME?</v>
      </c>
      <c r="D210" s="22" t="e">
        <f t="shared" ca="1" si="1577"/>
        <v>#NAME?</v>
      </c>
      <c r="E210" s="22" t="e">
        <f t="shared" ca="1" si="1577"/>
        <v>#NAME?</v>
      </c>
      <c r="F210" s="22" t="e">
        <f t="shared" ca="1" si="1577"/>
        <v>#NAME?</v>
      </c>
      <c r="G210" s="22" t="e">
        <f t="shared" ca="1" si="1577"/>
        <v>#NAME?</v>
      </c>
      <c r="H210" s="22" t="e">
        <f t="shared" ca="1" si="1577"/>
        <v>#NAME?</v>
      </c>
      <c r="I210" s="22" t="e">
        <f t="shared" ca="1" si="1577"/>
        <v>#NAME?</v>
      </c>
      <c r="J210" s="22" t="e">
        <f t="shared" ca="1" si="1577"/>
        <v>#NAME?</v>
      </c>
      <c r="K210" s="22" t="e">
        <f t="shared" ca="1" si="1577"/>
        <v>#NAME?</v>
      </c>
      <c r="L210" s="22" t="e">
        <f t="shared" ca="1" si="1577"/>
        <v>#NAME?</v>
      </c>
      <c r="M210" s="22" t="e">
        <f t="shared" ca="1" si="1577"/>
        <v>#NAME?</v>
      </c>
      <c r="N210" s="22" t="e">
        <f t="shared" ca="1" si="1577"/>
        <v>#NAME?</v>
      </c>
      <c r="O210" s="22" t="e">
        <f t="shared" ca="1" si="1577"/>
        <v>#NAME?</v>
      </c>
      <c r="P210" s="22" t="e">
        <f t="shared" ca="1" si="1577"/>
        <v>#NAME?</v>
      </c>
      <c r="Q210" s="22" t="e">
        <f t="shared" ca="1" si="1577"/>
        <v>#NAME?</v>
      </c>
      <c r="R210" s="22" t="e">
        <f t="shared" ca="1" si="1577"/>
        <v>#NAME?</v>
      </c>
      <c r="S210" s="22" t="e">
        <f t="shared" ca="1" si="1577"/>
        <v>#NAME?</v>
      </c>
      <c r="T210" s="22" t="e">
        <f t="shared" ca="1" si="1577"/>
        <v>#NAME?</v>
      </c>
      <c r="U210" s="22" t="e">
        <f t="shared" ca="1" si="1577"/>
        <v>#NAME?</v>
      </c>
      <c r="V210" s="22" t="e">
        <f t="shared" ca="1" si="1577"/>
        <v>#NAME?</v>
      </c>
      <c r="W210" s="22" t="e">
        <f t="shared" ca="1" si="1577"/>
        <v>#NAME?</v>
      </c>
      <c r="X210" s="22" t="e">
        <f t="shared" ref="X210:Y210" ca="1" si="1578">X208+X209</f>
        <v>#NAME?</v>
      </c>
      <c r="Y210" s="22" t="e">
        <f t="shared" ca="1" si="1578"/>
        <v>#NAME?</v>
      </c>
      <c r="Z210" s="22" t="e">
        <f t="shared" ref="Z210:AA210" ca="1" si="1579">Z208+Z209</f>
        <v>#NAME?</v>
      </c>
      <c r="AA210" s="22" t="e">
        <f t="shared" ca="1" si="1579"/>
        <v>#NAME?</v>
      </c>
      <c r="AB210" s="21" t="e">
        <f t="shared" ref="AA210:AD210" ca="1" si="1580">AB208+AB209</f>
        <v>#NAME?</v>
      </c>
      <c r="AC210" s="21" t="e">
        <f t="shared" ca="1" si="1580"/>
        <v>#NAME?</v>
      </c>
      <c r="AD210" s="21" t="e">
        <f t="shared" ca="1" si="1580"/>
        <v>#NAME?</v>
      </c>
      <c r="AE210" s="21" t="e">
        <f t="shared" ref="AE210" ca="1" si="1581">AE208+AE209</f>
        <v>#NAME?</v>
      </c>
      <c r="AI210" s="22" t="e">
        <f t="shared" ref="AI210" ca="1" si="1582">AI208+AI209</f>
        <v>#NAME?</v>
      </c>
      <c r="AJ210" s="22" t="e">
        <f t="shared" ref="AJ210:AL210" ca="1" si="1583">AJ208+AJ209</f>
        <v>#NAME?</v>
      </c>
      <c r="AK210" s="22" t="e">
        <f t="shared" ca="1" si="1583"/>
        <v>#NAME?</v>
      </c>
      <c r="AL210" s="22" t="e">
        <f t="shared" ca="1" si="1583"/>
        <v>#NAME?</v>
      </c>
      <c r="AM210" s="22" t="e">
        <f t="shared" ref="AM210" ca="1" si="1584">AM208+AM209</f>
        <v>#NAME?</v>
      </c>
      <c r="AN210" s="22" t="e">
        <f t="shared" ref="AN210:CD210" ca="1" si="1585">AN208+AN209</f>
        <v>#NAME?</v>
      </c>
      <c r="AO210" s="22" t="e">
        <f t="shared" ca="1" si="1585"/>
        <v>#NAME?</v>
      </c>
      <c r="AP210" s="22" t="e">
        <f t="shared" ca="1" si="1585"/>
        <v>#NAME?</v>
      </c>
      <c r="AQ210" s="22" t="e">
        <f t="shared" ca="1" si="1585"/>
        <v>#NAME?</v>
      </c>
      <c r="AR210" s="22" t="e">
        <f t="shared" ca="1" si="1585"/>
        <v>#NAME?</v>
      </c>
      <c r="AS210" s="22" t="e">
        <f t="shared" ca="1" si="1585"/>
        <v>#NAME?</v>
      </c>
      <c r="AT210" s="22" t="e">
        <f t="shared" ca="1" si="1585"/>
        <v>#NAME?</v>
      </c>
      <c r="AU210" s="22" t="e">
        <f t="shared" ca="1" si="1585"/>
        <v>#NAME?</v>
      </c>
      <c r="AV210" s="22" t="e">
        <f t="shared" ca="1" si="1585"/>
        <v>#NAME?</v>
      </c>
      <c r="AW210" s="22" t="e">
        <f t="shared" ca="1" si="1585"/>
        <v>#NAME?</v>
      </c>
      <c r="AX210" s="22" t="e">
        <f t="shared" ca="1" si="1585"/>
        <v>#NAME?</v>
      </c>
      <c r="AY210" s="22" t="e">
        <f t="shared" ca="1" si="1585"/>
        <v>#NAME?</v>
      </c>
      <c r="AZ210" s="22" t="e">
        <f t="shared" ca="1" si="1585"/>
        <v>#NAME?</v>
      </c>
      <c r="BA210" s="22" t="e">
        <f t="shared" ca="1" si="1585"/>
        <v>#NAME?</v>
      </c>
      <c r="BB210" s="22" t="e">
        <f t="shared" ca="1" si="1585"/>
        <v>#NAME?</v>
      </c>
      <c r="BC210" s="22" t="e">
        <f t="shared" ca="1" si="1585"/>
        <v>#NAME?</v>
      </c>
      <c r="BD210" s="22" t="e">
        <f t="shared" ca="1" si="1585"/>
        <v>#NAME?</v>
      </c>
      <c r="BE210" s="22" t="e">
        <f t="shared" ca="1" si="1585"/>
        <v>#NAME?</v>
      </c>
      <c r="BF210" s="22" t="e">
        <f t="shared" ca="1" si="1585"/>
        <v>#NAME?</v>
      </c>
      <c r="BG210" s="22" t="e">
        <f t="shared" ca="1" si="1585"/>
        <v>#NAME?</v>
      </c>
      <c r="BH210" s="22" t="e">
        <f t="shared" ca="1" si="1585"/>
        <v>#NAME?</v>
      </c>
      <c r="BI210" s="22" t="e">
        <f t="shared" ca="1" si="1585"/>
        <v>#NAME?</v>
      </c>
      <c r="BJ210" s="22" t="e">
        <f t="shared" ca="1" si="1585"/>
        <v>#NAME?</v>
      </c>
      <c r="BK210" s="22" t="e">
        <f t="shared" ca="1" si="1585"/>
        <v>#NAME?</v>
      </c>
      <c r="BL210" s="22" t="e">
        <f t="shared" ca="1" si="1585"/>
        <v>#NAME?</v>
      </c>
      <c r="BM210" s="22" t="e">
        <f t="shared" ca="1" si="1585"/>
        <v>#NAME?</v>
      </c>
      <c r="BN210" s="22" t="e">
        <f t="shared" ca="1" si="1585"/>
        <v>#NAME?</v>
      </c>
      <c r="BO210" s="22" t="e">
        <f t="shared" ca="1" si="1585"/>
        <v>#NAME?</v>
      </c>
      <c r="BP210" s="22" t="e">
        <f t="shared" ca="1" si="1585"/>
        <v>#NAME?</v>
      </c>
      <c r="BQ210" s="22" t="e">
        <f t="shared" ca="1" si="1585"/>
        <v>#NAME?</v>
      </c>
      <c r="BR210" s="22" t="e">
        <f t="shared" ca="1" si="1585"/>
        <v>#NAME?</v>
      </c>
      <c r="BS210" s="22" t="e">
        <f t="shared" ca="1" si="1585"/>
        <v>#NAME?</v>
      </c>
      <c r="BT210" s="22" t="e">
        <f t="shared" ca="1" si="1585"/>
        <v>#NAME?</v>
      </c>
      <c r="BU210" s="22" t="e">
        <f t="shared" ca="1" si="1585"/>
        <v>#NAME?</v>
      </c>
      <c r="BV210" s="22" t="e">
        <f t="shared" ca="1" si="1585"/>
        <v>#NAME?</v>
      </c>
      <c r="BW210" s="22" t="e">
        <f t="shared" ca="1" si="1585"/>
        <v>#NAME?</v>
      </c>
      <c r="BX210" s="22" t="e">
        <f t="shared" ca="1" si="1585"/>
        <v>#NAME?</v>
      </c>
      <c r="BY210" s="22" t="e">
        <f t="shared" ca="1" si="1585"/>
        <v>#NAME?</v>
      </c>
      <c r="BZ210" s="22" t="e">
        <f t="shared" ca="1" si="1585"/>
        <v>#NAME?</v>
      </c>
      <c r="CA210" s="22" t="e">
        <f t="shared" ca="1" si="1585"/>
        <v>#NAME?</v>
      </c>
      <c r="CB210" s="22" t="e">
        <f t="shared" ca="1" si="1585"/>
        <v>#NAME?</v>
      </c>
      <c r="CC210" s="22" t="e">
        <f t="shared" ca="1" si="1585"/>
        <v>#NAME?</v>
      </c>
      <c r="CD210" s="22" t="e">
        <f t="shared" ca="1" si="1585"/>
        <v>#NAME?</v>
      </c>
      <c r="CE210" s="22" t="e">
        <f t="shared" ref="CE210:CF210" ca="1" si="1586">CE208+CE209</f>
        <v>#NAME?</v>
      </c>
      <c r="CF210" s="22" t="e">
        <f t="shared" ca="1" si="1586"/>
        <v>#NAME?</v>
      </c>
      <c r="CG210" s="22" t="e">
        <f t="shared" ref="CG210:CH210" ca="1" si="1587">CG208+CG209</f>
        <v>#NAME?</v>
      </c>
      <c r="CH210" s="22" t="e">
        <f t="shared" ca="1" si="1587"/>
        <v>#NAME?</v>
      </c>
      <c r="CI210" s="22" t="e">
        <f t="shared" ref="CI210:CJ210" ca="1" si="1588">CI208+CI209</f>
        <v>#NAME?</v>
      </c>
      <c r="CJ210" s="22" t="e">
        <f t="shared" ca="1" si="1588"/>
        <v>#NAME?</v>
      </c>
      <c r="CK210" s="21" t="e">
        <f t="shared" ref="CK210:DB210" ca="1" si="1589">CK208+CK209</f>
        <v>#NAME?</v>
      </c>
      <c r="CL210" s="22" t="e">
        <f t="shared" ca="1" si="1589"/>
        <v>#NAME?</v>
      </c>
      <c r="CM210" s="21" t="e">
        <f t="shared" ca="1" si="1589"/>
        <v>#NAME?</v>
      </c>
      <c r="CN210" s="21" t="e">
        <f t="shared" ca="1" si="1589"/>
        <v>#NAME?</v>
      </c>
      <c r="CO210" s="21" t="e">
        <f t="shared" ca="1" si="1589"/>
        <v>#NAME?</v>
      </c>
      <c r="CP210" s="21" t="e">
        <f t="shared" ca="1" si="1589"/>
        <v>#NAME?</v>
      </c>
      <c r="CQ210" s="21" t="e">
        <f t="shared" ca="1" si="1589"/>
        <v>#NAME?</v>
      </c>
      <c r="CR210" s="21" t="e">
        <f t="shared" ca="1" si="1589"/>
        <v>#NAME?</v>
      </c>
      <c r="CS210" s="21" t="e">
        <f t="shared" ca="1" si="1589"/>
        <v>#NAME?</v>
      </c>
      <c r="CT210" s="21" t="e">
        <f t="shared" ca="1" si="1589"/>
        <v>#NAME?</v>
      </c>
      <c r="CU210" s="21" t="e">
        <f t="shared" ca="1" si="1589"/>
        <v>#NAME?</v>
      </c>
      <c r="CV210" s="21" t="e">
        <f t="shared" ca="1" si="1589"/>
        <v>#NAME?</v>
      </c>
      <c r="CW210" s="21" t="e">
        <f t="shared" ca="1" si="1589"/>
        <v>#NAME?</v>
      </c>
      <c r="CX210" s="21" t="e">
        <f t="shared" ca="1" si="1589"/>
        <v>#NAME?</v>
      </c>
      <c r="CY210" s="21" t="e">
        <f t="shared" ca="1" si="1589"/>
        <v>#NAME?</v>
      </c>
      <c r="CZ210" s="21" t="e">
        <f t="shared" ca="1" si="1589"/>
        <v>#NAME?</v>
      </c>
      <c r="DA210" s="21" t="e">
        <f t="shared" ca="1" si="1589"/>
        <v>#NAME?</v>
      </c>
      <c r="DB210" s="21" t="e">
        <f t="shared" ca="1" si="1589"/>
        <v>#NAME?</v>
      </c>
      <c r="DE210" s="126"/>
      <c r="DF210" s="22">
        <v>35.084000000000024</v>
      </c>
    </row>
    <row r="211" spans="1:110" s="23" customFormat="1" x14ac:dyDescent="0.2">
      <c r="A211" s="23" t="s">
        <v>65</v>
      </c>
      <c r="C211" s="23" t="e">
        <f t="shared" ref="C211:AA211" ca="1" si="1590">B163-C163+B178+B179-C178-C179</f>
        <v>#NAME?</v>
      </c>
      <c r="D211" s="23" t="e">
        <f t="shared" ca="1" si="1590"/>
        <v>#NAME?</v>
      </c>
      <c r="E211" s="23" t="e">
        <f ca="1">D163-E163+D178+D179-E178-E179</f>
        <v>#NAME?</v>
      </c>
      <c r="F211" s="23" t="e">
        <f t="shared" ca="1" si="1590"/>
        <v>#NAME?</v>
      </c>
      <c r="G211" s="23" t="e">
        <f t="shared" ca="1" si="1590"/>
        <v>#NAME?</v>
      </c>
      <c r="H211" s="23" t="e">
        <f t="shared" ca="1" si="1590"/>
        <v>#NAME?</v>
      </c>
      <c r="I211" s="23" t="e">
        <f t="shared" ca="1" si="1590"/>
        <v>#NAME?</v>
      </c>
      <c r="J211" s="23" t="e">
        <f ca="1">I163-J163+I178+I179-J178-J179</f>
        <v>#NAME?</v>
      </c>
      <c r="K211" s="23" t="e">
        <f ca="1">J163-K163+J178+J179-K178-K179</f>
        <v>#NAME?</v>
      </c>
      <c r="L211" s="23" t="e">
        <f t="shared" ca="1" si="1590"/>
        <v>#NAME?</v>
      </c>
      <c r="M211" s="23" t="e">
        <f t="shared" ca="1" si="1590"/>
        <v>#NAME?</v>
      </c>
      <c r="N211" s="23" t="e">
        <f t="shared" ca="1" si="1590"/>
        <v>#NAME?</v>
      </c>
      <c r="O211" s="23" t="e">
        <f t="shared" ca="1" si="1590"/>
        <v>#NAME?</v>
      </c>
      <c r="P211" s="23" t="e">
        <f t="shared" ca="1" si="1590"/>
        <v>#NAME?</v>
      </c>
      <c r="Q211" s="23" t="e">
        <f t="shared" ca="1" si="1590"/>
        <v>#NAME?</v>
      </c>
      <c r="R211" s="23" t="e">
        <f t="shared" ca="1" si="1590"/>
        <v>#NAME?</v>
      </c>
      <c r="S211" s="23" t="e">
        <f t="shared" ca="1" si="1590"/>
        <v>#NAME?</v>
      </c>
      <c r="T211" s="23" t="e">
        <f t="shared" ca="1" si="1590"/>
        <v>#NAME?</v>
      </c>
      <c r="U211" s="23" t="e">
        <f t="shared" ca="1" si="1590"/>
        <v>#NAME?</v>
      </c>
      <c r="V211" s="23" t="e">
        <f t="shared" ca="1" si="1590"/>
        <v>#NAME?</v>
      </c>
      <c r="W211" s="23" t="e">
        <f t="shared" ca="1" si="1590"/>
        <v>#NAME?</v>
      </c>
      <c r="X211" s="23" t="e">
        <f t="shared" ca="1" si="1590"/>
        <v>#NAME?</v>
      </c>
      <c r="Y211" s="23" t="e">
        <f t="shared" ca="1" si="1590"/>
        <v>#NAME?</v>
      </c>
      <c r="Z211" s="23" t="e">
        <f t="shared" ca="1" si="1590"/>
        <v>#NAME?</v>
      </c>
      <c r="AA211" s="23" t="e">
        <f t="shared" ca="1" si="1590"/>
        <v>#NAME?</v>
      </c>
      <c r="AB211" s="24" t="e">
        <f t="shared" ref="AB211" ca="1" si="1591">AA163-AB163+AA178+AA179-AB178-AB179</f>
        <v>#NAME?</v>
      </c>
      <c r="AC211" s="24" t="e">
        <f t="shared" ref="AC211" ca="1" si="1592">AB163-AC163+AB178+AB179-AC178-AC179</f>
        <v>#NAME?</v>
      </c>
      <c r="AD211" s="24" t="e">
        <f t="shared" ref="AD211" ca="1" si="1593">AC163-AD163+AC178+AC179-AD178-AD179</f>
        <v>#NAME?</v>
      </c>
      <c r="AE211" s="24" t="e">
        <f t="shared" ref="AE211" ca="1" si="1594">AD163-AE163+AD178+AD179-AE178-AE179</f>
        <v>#NAME?</v>
      </c>
      <c r="AI211" s="23" t="e">
        <f ca="1">AH163-AI163+AH178+AH179-AI178-AJ179</f>
        <v>#NAME?</v>
      </c>
      <c r="AJ211" s="23" t="e">
        <f t="shared" ref="AJ211:AL211" ca="1" si="1595">AI163-AJ163+AI178+AI179-AJ178-AK179</f>
        <v>#NAME?</v>
      </c>
      <c r="AK211" s="23" t="e">
        <f t="shared" ca="1" si="1595"/>
        <v>#NAME?</v>
      </c>
      <c r="AL211" s="23" t="e">
        <f t="shared" ca="1" si="1595"/>
        <v>#NAME?</v>
      </c>
      <c r="AM211" s="23" t="e">
        <f t="shared" ref="AM211" ca="1" si="1596">AL163-AM163+AL178+AL179-AM178-AM179</f>
        <v>#NAME?</v>
      </c>
      <c r="AN211" s="23" t="e">
        <f t="shared" ref="AN211" ca="1" si="1597">AM163-AN163+AM178+AM179-AN178-AN179</f>
        <v>#NAME?</v>
      </c>
      <c r="AO211" s="23" t="e">
        <f t="shared" ref="AO211" ca="1" si="1598">AN163-AO163+AN178+AN179-AO178-AO179</f>
        <v>#NAME?</v>
      </c>
      <c r="AP211" s="23" t="e">
        <f t="shared" ref="AP211" ca="1" si="1599">AO163-AP163+AO178+AO179-AP178-AP179</f>
        <v>#NAME?</v>
      </c>
      <c r="AQ211" s="23" t="e">
        <f t="shared" ref="AQ211" ca="1" si="1600">AP163-AQ163+AP178+AP179-AQ178-AQ179</f>
        <v>#NAME?</v>
      </c>
      <c r="AR211" s="23" t="e">
        <f t="shared" ref="AR211" ca="1" si="1601">AQ163-AR163+AQ178+AQ179-AR178-AR179</f>
        <v>#NAME?</v>
      </c>
      <c r="AS211" s="23" t="e">
        <f t="shared" ref="AS211" ca="1" si="1602">AR163-AS163+AR178+AR179-AS178-AS179</f>
        <v>#NAME?</v>
      </c>
      <c r="AT211" s="23" t="e">
        <f t="shared" ref="AT211" ca="1" si="1603">AS163-AT163+AS178+AS179-AT178-AT179</f>
        <v>#NAME?</v>
      </c>
      <c r="AU211" s="23" t="e">
        <f t="shared" ref="AU211" ca="1" si="1604">AT163-AU163+AT178+AT179-AU178-AU179</f>
        <v>#NAME?</v>
      </c>
      <c r="AV211" s="23" t="e">
        <f t="shared" ref="AV211" ca="1" si="1605">AU163-AV163+AU178+AU179-AV178-AV179</f>
        <v>#NAME?</v>
      </c>
      <c r="AW211" s="23" t="e">
        <f t="shared" ref="AW211" ca="1" si="1606">AV163-AW163+AV178+AV179-AW178-AW179</f>
        <v>#NAME?</v>
      </c>
      <c r="AX211" s="23" t="e">
        <f t="shared" ref="AX211" ca="1" si="1607">AW163-AX163+AW178+AW179-AX178-AX179</f>
        <v>#NAME?</v>
      </c>
      <c r="AY211" s="23" t="e">
        <f t="shared" ref="AY211" ca="1" si="1608">AX163-AY163+AX178+AX179-AY178-AY179</f>
        <v>#NAME?</v>
      </c>
      <c r="AZ211" s="23" t="e">
        <f t="shared" ref="AZ211" ca="1" si="1609">AY163-AZ163+AY178+AY179-AZ178-AZ179</f>
        <v>#NAME?</v>
      </c>
      <c r="BA211" s="23" t="e">
        <f t="shared" ref="BA211" ca="1" si="1610">AZ163-BA163+AZ178+AZ179-BA178-BA179</f>
        <v>#NAME?</v>
      </c>
      <c r="BB211" s="23" t="e">
        <f t="shared" ref="BB211" ca="1" si="1611">BA163-BB163+BA178+BA179-BB178-BB179</f>
        <v>#NAME?</v>
      </c>
      <c r="BC211" s="23" t="e">
        <f t="shared" ref="BC211" ca="1" si="1612">BB163-BC163+BB178+BB179-BC178-BC179</f>
        <v>#NAME?</v>
      </c>
      <c r="BD211" s="23" t="e">
        <f t="shared" ref="BD211" ca="1" si="1613">BC163-BD163+BC178+BC179-BD178-BD179</f>
        <v>#NAME?</v>
      </c>
      <c r="BE211" s="23" t="e">
        <f t="shared" ref="BE211" ca="1" si="1614">BD163-BE163+BD178+BD179-BE178-BE179</f>
        <v>#NAME?</v>
      </c>
      <c r="BF211" s="23" t="e">
        <f t="shared" ref="BF211" ca="1" si="1615">BE163-BF163+BE178+BE179-BF178-BF179</f>
        <v>#NAME?</v>
      </c>
      <c r="BG211" s="23" t="e">
        <f t="shared" ref="BG211" ca="1" si="1616">BF163-BG163+BF178+BF179-BG178-BG179</f>
        <v>#NAME?</v>
      </c>
      <c r="BH211" s="23" t="e">
        <f t="shared" ref="BH211" ca="1" si="1617">BG163-BH163+BG178+BG179-BH178-BH179</f>
        <v>#NAME?</v>
      </c>
      <c r="BI211" s="23" t="e">
        <f t="shared" ref="BI211" ca="1" si="1618">BH163-BI163+BH178+BH179-BI178-BI179</f>
        <v>#NAME?</v>
      </c>
      <c r="BJ211" s="23" t="e">
        <f t="shared" ref="BJ211" ca="1" si="1619">BI163-BJ163+BI178+BI179-BJ178-BJ179</f>
        <v>#NAME?</v>
      </c>
      <c r="BK211" s="23" t="e">
        <f t="shared" ref="BK211" ca="1" si="1620">BJ163-BK163+BJ178+BJ179-BK178-BK179</f>
        <v>#NAME?</v>
      </c>
      <c r="BL211" s="23" t="e">
        <f t="shared" ref="BL211" ca="1" si="1621">BK163-BL163+BK178+BK179-BL178-BL179</f>
        <v>#NAME?</v>
      </c>
      <c r="BM211" s="23" t="e">
        <f t="shared" ref="BM211" ca="1" si="1622">BL163-BM163+BL178+BL179-BM178-BM179</f>
        <v>#NAME?</v>
      </c>
      <c r="BN211" s="23" t="e">
        <f t="shared" ref="BN211" ca="1" si="1623">BM163-BN163+BM178+BM179-BN178-BN179</f>
        <v>#NAME?</v>
      </c>
      <c r="BO211" s="23" t="e">
        <f t="shared" ref="BO211" ca="1" si="1624">BN163-BO163+BN178+BN179-BO178-BO179</f>
        <v>#NAME?</v>
      </c>
      <c r="BP211" s="23" t="e">
        <f t="shared" ref="BP211" ca="1" si="1625">BO163-BP163+BO178+BO179-BP178-BP179</f>
        <v>#NAME?</v>
      </c>
      <c r="BQ211" s="23" t="e">
        <f t="shared" ref="BQ211" ca="1" si="1626">BP163-BQ163+BP178+BP179-BQ178-BQ179</f>
        <v>#NAME?</v>
      </c>
      <c r="BR211" s="23" t="e">
        <f t="shared" ref="BR211" ca="1" si="1627">BQ163-BR163+BQ178+BQ179-BR178-BR179</f>
        <v>#NAME?</v>
      </c>
      <c r="BS211" s="23" t="e">
        <f t="shared" ref="BS211" ca="1" si="1628">BR163-BS163+BR178+BR179-BS178-BS179</f>
        <v>#NAME?</v>
      </c>
      <c r="BT211" s="23" t="e">
        <f t="shared" ref="BT211" ca="1" si="1629">BS163-BT163+BS178+BS179-BT178-BT179</f>
        <v>#NAME?</v>
      </c>
      <c r="BU211" s="23" t="e">
        <f t="shared" ref="BU211" ca="1" si="1630">BT163-BU163+BT178+BT179-BU178-BU179</f>
        <v>#NAME?</v>
      </c>
      <c r="BV211" s="23" t="e">
        <f t="shared" ref="BV211" ca="1" si="1631">BU163-BV163+BU178+BU179-BV178-BV179</f>
        <v>#NAME?</v>
      </c>
      <c r="BW211" s="23" t="e">
        <f t="shared" ref="BW211" ca="1" si="1632">BV163-BW163+BV178+BV179-BW178-BW179</f>
        <v>#NAME?</v>
      </c>
      <c r="BX211" s="23" t="e">
        <f t="shared" ref="BX211" ca="1" si="1633">BW163-BX163+BW178+BW179-BX178-BX179</f>
        <v>#NAME?</v>
      </c>
      <c r="BY211" s="23" t="e">
        <f t="shared" ref="BY211" ca="1" si="1634">BX163-BY163+BX178+BX179-BY178-BY179</f>
        <v>#NAME?</v>
      </c>
      <c r="BZ211" s="23" t="e">
        <f t="shared" ref="BZ211" ca="1" si="1635">BY163-BZ163+BY178+BY179-BZ178-BZ179</f>
        <v>#NAME?</v>
      </c>
      <c r="CA211" s="23" t="e">
        <f t="shared" ref="CA211" ca="1" si="1636">BZ163-CA163+BZ178+BZ179-CA178-CA179</f>
        <v>#NAME?</v>
      </c>
      <c r="CB211" s="23" t="e">
        <f t="shared" ref="CB211" ca="1" si="1637">CA163-CB163+CA178+CA179-CB178-CB179</f>
        <v>#NAME?</v>
      </c>
      <c r="CC211" s="23" t="e">
        <f t="shared" ref="CC211" ca="1" si="1638">CB163-CC163+CB178+CB179-CC178-CC179</f>
        <v>#NAME?</v>
      </c>
      <c r="CD211" s="23" t="e">
        <f t="shared" ref="CD211" ca="1" si="1639">CC163-CD163+CC178+CC179-CD178-CD179</f>
        <v>#NAME?</v>
      </c>
      <c r="CE211" s="23" t="e">
        <f t="shared" ref="CE211" ca="1" si="1640">CD163-CE163+CD178+CD179-CE178-CE179</f>
        <v>#NAME?</v>
      </c>
      <c r="CF211" s="23" t="e">
        <f t="shared" ref="CF211" ca="1" si="1641">CE163-CF163+CE178+CE179-CF178-CF179</f>
        <v>#NAME?</v>
      </c>
      <c r="CG211" s="23" t="e">
        <f t="shared" ref="CG211" ca="1" si="1642">CF163-CG163+CF178+CF179-CG178-CG179</f>
        <v>#NAME?</v>
      </c>
      <c r="CH211" s="23" t="e">
        <f t="shared" ref="CH211:CL211" ca="1" si="1643">CG163-CH163+CG178+CG179-CH178-CH179</f>
        <v>#NAME?</v>
      </c>
      <c r="CI211" s="23" t="e">
        <f t="shared" ca="1" si="1643"/>
        <v>#NAME?</v>
      </c>
      <c r="CJ211" s="23" t="e">
        <f t="shared" ca="1" si="1643"/>
        <v>#NAME?</v>
      </c>
      <c r="CK211" s="24" t="e">
        <f t="shared" ref="CK211" ca="1" si="1644">CJ163-CK163+CJ178+CJ179-CK178-CK179</f>
        <v>#NAME?</v>
      </c>
      <c r="CL211" s="23" t="e">
        <f t="shared" ca="1" si="1643"/>
        <v>#NAME?</v>
      </c>
      <c r="CM211" s="24" t="e">
        <f t="shared" ref="CM211" ca="1" si="1645">CL163-CM163+CL178+CL179-CM178-CM179</f>
        <v>#NAME?</v>
      </c>
      <c r="CN211" s="24" t="e">
        <f t="shared" ref="CN211" ca="1" si="1646">CM163-CN163+CM178+CM179-CN178-CN179</f>
        <v>#NAME?</v>
      </c>
      <c r="CO211" s="24" t="e">
        <f t="shared" ref="CO211" ca="1" si="1647">CN163-CO163+CN178+CN179-CO178-CO179</f>
        <v>#NAME?</v>
      </c>
      <c r="CP211" s="24" t="e">
        <f t="shared" ref="CP211" ca="1" si="1648">CO163-CP163+CO178+CO179-CP178-CP179</f>
        <v>#NAME?</v>
      </c>
      <c r="CQ211" s="24" t="e">
        <f t="shared" ref="CQ211" ca="1" si="1649">CP163-CQ163+CP178+CP179-CQ178-CQ179</f>
        <v>#NAME?</v>
      </c>
      <c r="CR211" s="24" t="e">
        <f t="shared" ref="CR211" ca="1" si="1650">CQ163-CR163+CQ178+CQ179-CR178-CR179</f>
        <v>#NAME?</v>
      </c>
      <c r="CS211" s="24" t="e">
        <f t="shared" ref="CS211" ca="1" si="1651">CR163-CS163+CR178+CR179-CS178-CS179</f>
        <v>#NAME?</v>
      </c>
      <c r="CT211" s="24" t="e">
        <f t="shared" ref="CT211" ca="1" si="1652">CS163-CT163+CS178+CS179-CT178-CT179</f>
        <v>#NAME?</v>
      </c>
      <c r="CU211" s="24" t="e">
        <f t="shared" ref="CU211" ca="1" si="1653">CT163-CU163+CT178+CT179-CU178-CU179</f>
        <v>#NAME?</v>
      </c>
      <c r="CV211" s="24" t="e">
        <f t="shared" ref="CV211" ca="1" si="1654">CU163-CV163+CU178+CU179-CV178-CV179</f>
        <v>#NAME?</v>
      </c>
      <c r="CW211" s="24" t="e">
        <f t="shared" ref="CW211" ca="1" si="1655">CV163-CW163+CV178+CV179-CW178-CW179</f>
        <v>#NAME?</v>
      </c>
      <c r="CX211" s="24" t="e">
        <f t="shared" ref="CX211" ca="1" si="1656">CW163-CX163+CW178+CW179-CX178-CX179</f>
        <v>#NAME?</v>
      </c>
      <c r="CY211" s="24" t="e">
        <f t="shared" ref="CY211" ca="1" si="1657">CX163-CY163+CX178+CX179-CY178-CY179</f>
        <v>#NAME?</v>
      </c>
      <c r="CZ211" s="24" t="e">
        <f t="shared" ref="CZ211" ca="1" si="1658">CY163-CZ163+CY178+CY179-CZ178-CZ179</f>
        <v>#NAME?</v>
      </c>
      <c r="DA211" s="24" t="e">
        <f t="shared" ref="DA211" ca="1" si="1659">CZ163-DA163+CZ178+CZ179-DA178-DA179</f>
        <v>#NAME?</v>
      </c>
      <c r="DB211" s="24" t="e">
        <f t="shared" ref="DB211" ca="1" si="1660">DA163-DB163+DA178+DA179-DB178-DB179</f>
        <v>#NAME?</v>
      </c>
      <c r="DE211" s="123"/>
      <c r="DF211" s="23">
        <v>-48.570500000000003</v>
      </c>
    </row>
    <row r="212" spans="1:110" s="23" customFormat="1" x14ac:dyDescent="0.2">
      <c r="A212" s="23" t="s">
        <v>73</v>
      </c>
      <c r="C212" s="23" t="e">
        <f t="shared" ref="C212:AA212" ca="1" si="1661">B171-C171</f>
        <v>#NAME?</v>
      </c>
      <c r="D212" s="23" t="e">
        <f t="shared" ca="1" si="1661"/>
        <v>#NAME?</v>
      </c>
      <c r="E212" s="23" t="e">
        <f ca="1">D171-E171</f>
        <v>#NAME?</v>
      </c>
      <c r="F212" s="23" t="e">
        <f t="shared" ca="1" si="1661"/>
        <v>#NAME?</v>
      </c>
      <c r="G212" s="23" t="e">
        <f t="shared" ca="1" si="1661"/>
        <v>#NAME?</v>
      </c>
      <c r="H212" s="23" t="e">
        <f t="shared" ca="1" si="1661"/>
        <v>#NAME?</v>
      </c>
      <c r="I212" s="23" t="e">
        <f t="shared" ca="1" si="1661"/>
        <v>#NAME?</v>
      </c>
      <c r="J212" s="23" t="e">
        <f ca="1">I171-J171</f>
        <v>#NAME?</v>
      </c>
      <c r="K212" s="23" t="e">
        <f ca="1">J171-K171</f>
        <v>#NAME?</v>
      </c>
      <c r="L212" s="23" t="e">
        <f t="shared" ca="1" si="1661"/>
        <v>#NAME?</v>
      </c>
      <c r="M212" s="23" t="e">
        <f t="shared" ca="1" si="1661"/>
        <v>#NAME?</v>
      </c>
      <c r="N212" s="23" t="e">
        <f t="shared" ca="1" si="1661"/>
        <v>#NAME?</v>
      </c>
      <c r="O212" s="23" t="e">
        <f t="shared" ca="1" si="1661"/>
        <v>#NAME?</v>
      </c>
      <c r="P212" s="23" t="e">
        <f t="shared" ca="1" si="1661"/>
        <v>#NAME?</v>
      </c>
      <c r="Q212" s="23" t="e">
        <f t="shared" ca="1" si="1661"/>
        <v>#NAME?</v>
      </c>
      <c r="R212" s="23" t="e">
        <f t="shared" ca="1" si="1661"/>
        <v>#NAME?</v>
      </c>
      <c r="S212" s="23" t="e">
        <f t="shared" ca="1" si="1661"/>
        <v>#NAME?</v>
      </c>
      <c r="T212" s="23" t="e">
        <f t="shared" ca="1" si="1661"/>
        <v>#NAME?</v>
      </c>
      <c r="U212" s="23" t="e">
        <f t="shared" ca="1" si="1661"/>
        <v>#NAME?</v>
      </c>
      <c r="V212" s="23" t="e">
        <f t="shared" ca="1" si="1661"/>
        <v>#NAME?</v>
      </c>
      <c r="W212" s="23" t="e">
        <f t="shared" ca="1" si="1661"/>
        <v>#NAME?</v>
      </c>
      <c r="X212" s="23" t="e">
        <f t="shared" ca="1" si="1661"/>
        <v>#NAME?</v>
      </c>
      <c r="Y212" s="23" t="e">
        <f t="shared" ca="1" si="1661"/>
        <v>#NAME?</v>
      </c>
      <c r="Z212" s="23" t="e">
        <f t="shared" ca="1" si="1661"/>
        <v>#NAME?</v>
      </c>
      <c r="AA212" s="23" t="e">
        <f t="shared" ca="1" si="1661"/>
        <v>#NAME?</v>
      </c>
      <c r="AB212" s="24" t="e">
        <f t="shared" ref="AB212" ca="1" si="1662">AA171-AB171</f>
        <v>#NAME?</v>
      </c>
      <c r="AC212" s="24" t="e">
        <f t="shared" ref="AC212" ca="1" si="1663">AB171-AC171</f>
        <v>#NAME?</v>
      </c>
      <c r="AD212" s="24" t="e">
        <f t="shared" ref="AD212" ca="1" si="1664">AC171-AD171</f>
        <v>#NAME?</v>
      </c>
      <c r="AE212" s="24" t="e">
        <f t="shared" ref="AE212" ca="1" si="1665">AD171-AE171</f>
        <v>#NAME?</v>
      </c>
      <c r="AI212" s="23">
        <f t="shared" ref="AI212" si="1666">AH171-AI171</f>
        <v>0</v>
      </c>
      <c r="AJ212" s="23" t="e">
        <f t="shared" ref="AJ212" ca="1" si="1667">AI171-AJ171</f>
        <v>#NAME?</v>
      </c>
      <c r="AK212" s="23" t="e">
        <f t="shared" ref="AK212" ca="1" si="1668">AJ171-AK171</f>
        <v>#NAME?</v>
      </c>
      <c r="AL212" s="23" t="e">
        <f t="shared" ref="AL212" ca="1" si="1669">AK171-AL171</f>
        <v>#NAME?</v>
      </c>
      <c r="AM212" s="23" t="e">
        <f t="shared" ref="AM212" ca="1" si="1670">AL171-AM171</f>
        <v>#NAME?</v>
      </c>
      <c r="AN212" s="23" t="e">
        <f t="shared" ref="AN212" ca="1" si="1671">AM171-AN171</f>
        <v>#NAME?</v>
      </c>
      <c r="AO212" s="23" t="e">
        <f t="shared" ref="AO212" ca="1" si="1672">AN171-AO171</f>
        <v>#NAME?</v>
      </c>
      <c r="AP212" s="23" t="e">
        <f t="shared" ref="AP212" ca="1" si="1673">AO171-AP171</f>
        <v>#NAME?</v>
      </c>
      <c r="AQ212" s="23" t="e">
        <f t="shared" ref="AQ212" ca="1" si="1674">AP171-AQ171</f>
        <v>#NAME?</v>
      </c>
      <c r="AR212" s="23" t="e">
        <f t="shared" ref="AR212" ca="1" si="1675">AQ171-AR171</f>
        <v>#NAME?</v>
      </c>
      <c r="AS212" s="23" t="e">
        <f t="shared" ref="AS212" ca="1" si="1676">AR171-AS171</f>
        <v>#NAME?</v>
      </c>
      <c r="AT212" s="23" t="e">
        <f t="shared" ref="AT212" ca="1" si="1677">AS171-AT171</f>
        <v>#NAME?</v>
      </c>
      <c r="AU212" s="23" t="e">
        <f t="shared" ref="AU212" ca="1" si="1678">AT171-AU171</f>
        <v>#NAME?</v>
      </c>
      <c r="AV212" s="23" t="e">
        <f t="shared" ref="AV212" ca="1" si="1679">AU171-AV171</f>
        <v>#NAME?</v>
      </c>
      <c r="AW212" s="23" t="e">
        <f t="shared" ref="AW212" ca="1" si="1680">AV171-AW171</f>
        <v>#NAME?</v>
      </c>
      <c r="AX212" s="23" t="e">
        <f t="shared" ref="AX212" ca="1" si="1681">AW171-AX171</f>
        <v>#NAME?</v>
      </c>
      <c r="AY212" s="23" t="e">
        <f t="shared" ref="AY212" ca="1" si="1682">AX171-AY171</f>
        <v>#NAME?</v>
      </c>
      <c r="AZ212" s="23" t="e">
        <f t="shared" ref="AZ212" ca="1" si="1683">AY171-AZ171</f>
        <v>#NAME?</v>
      </c>
      <c r="BA212" s="23" t="e">
        <f t="shared" ref="BA212" ca="1" si="1684">AZ171-BA171</f>
        <v>#NAME?</v>
      </c>
      <c r="BB212" s="23" t="e">
        <f t="shared" ref="BB212" ca="1" si="1685">BA171-BB171</f>
        <v>#NAME?</v>
      </c>
      <c r="BC212" s="23" t="e">
        <f t="shared" ref="BC212" ca="1" si="1686">BB171-BC171</f>
        <v>#NAME?</v>
      </c>
      <c r="BD212" s="23" t="e">
        <f t="shared" ref="BD212" ca="1" si="1687">BC171-BD171</f>
        <v>#NAME?</v>
      </c>
      <c r="BE212" s="23" t="e">
        <f t="shared" ref="BE212" ca="1" si="1688">BD171-BE171</f>
        <v>#NAME?</v>
      </c>
      <c r="BF212" s="23" t="e">
        <f t="shared" ref="BF212" ca="1" si="1689">BE171-BF171</f>
        <v>#NAME?</v>
      </c>
      <c r="BG212" s="23" t="e">
        <f t="shared" ref="BG212" ca="1" si="1690">BF171-BG171</f>
        <v>#NAME?</v>
      </c>
      <c r="BH212" s="23" t="e">
        <f t="shared" ref="BH212" ca="1" si="1691">BG171-BH171</f>
        <v>#NAME?</v>
      </c>
      <c r="BI212" s="23" t="e">
        <f t="shared" ref="BI212" ca="1" si="1692">BH171-BI171</f>
        <v>#NAME?</v>
      </c>
      <c r="BJ212" s="23" t="e">
        <f t="shared" ref="BJ212" ca="1" si="1693">BI171-BJ171</f>
        <v>#NAME?</v>
      </c>
      <c r="BK212" s="23" t="e">
        <f t="shared" ref="BK212" ca="1" si="1694">BJ171-BK171</f>
        <v>#NAME?</v>
      </c>
      <c r="BL212" s="23" t="e">
        <f t="shared" ref="BL212" ca="1" si="1695">BK171-BL171</f>
        <v>#NAME?</v>
      </c>
      <c r="BM212" s="23" t="e">
        <f t="shared" ref="BM212" ca="1" si="1696">BL171-BM171</f>
        <v>#NAME?</v>
      </c>
      <c r="BN212" s="23" t="e">
        <f t="shared" ref="BN212" ca="1" si="1697">BM171-BN171</f>
        <v>#NAME?</v>
      </c>
      <c r="BO212" s="23" t="e">
        <f t="shared" ref="BO212" ca="1" si="1698">BN171-BO171</f>
        <v>#NAME?</v>
      </c>
      <c r="BP212" s="23" t="e">
        <f t="shared" ref="BP212" ca="1" si="1699">BO171-BP171</f>
        <v>#NAME?</v>
      </c>
      <c r="BQ212" s="23" t="e">
        <f t="shared" ref="BQ212" ca="1" si="1700">BP171-BQ171</f>
        <v>#NAME?</v>
      </c>
      <c r="BR212" s="23" t="e">
        <f t="shared" ref="BR212" ca="1" si="1701">BQ171-BR171</f>
        <v>#NAME?</v>
      </c>
      <c r="BS212" s="23" t="e">
        <f t="shared" ref="BS212" ca="1" si="1702">BR171-BS171</f>
        <v>#NAME?</v>
      </c>
      <c r="BT212" s="23" t="e">
        <f t="shared" ref="BT212" ca="1" si="1703">BS171-BT171</f>
        <v>#NAME?</v>
      </c>
      <c r="BU212" s="23" t="e">
        <f t="shared" ref="BU212" ca="1" si="1704">BT171-BU171</f>
        <v>#NAME?</v>
      </c>
      <c r="BV212" s="23" t="e">
        <f t="shared" ref="BV212" ca="1" si="1705">BU171-BV171</f>
        <v>#NAME?</v>
      </c>
      <c r="BW212" s="23" t="e">
        <f t="shared" ref="BW212" ca="1" si="1706">BV171-BW171</f>
        <v>#NAME?</v>
      </c>
      <c r="BX212" s="23" t="e">
        <f t="shared" ref="BX212" ca="1" si="1707">BW171-BX171</f>
        <v>#NAME?</v>
      </c>
      <c r="BY212" s="23" t="e">
        <f t="shared" ref="BY212" ca="1" si="1708">BX171-BY171</f>
        <v>#NAME?</v>
      </c>
      <c r="BZ212" s="23" t="e">
        <f t="shared" ref="BZ212" ca="1" si="1709">BY171-BZ171</f>
        <v>#NAME?</v>
      </c>
      <c r="CA212" s="23" t="e">
        <f t="shared" ref="CA212" ca="1" si="1710">BZ171-CA171</f>
        <v>#NAME?</v>
      </c>
      <c r="CB212" s="23" t="e">
        <f t="shared" ref="CB212" ca="1" si="1711">CA171-CB171</f>
        <v>#NAME?</v>
      </c>
      <c r="CC212" s="23" t="e">
        <f t="shared" ref="CC212" ca="1" si="1712">CB171-CC171</f>
        <v>#NAME?</v>
      </c>
      <c r="CD212" s="23" t="e">
        <f t="shared" ref="CD212" ca="1" si="1713">CC171-CD171</f>
        <v>#NAME?</v>
      </c>
      <c r="CE212" s="23" t="e">
        <f t="shared" ref="CE212" ca="1" si="1714">CD171-CE171</f>
        <v>#NAME?</v>
      </c>
      <c r="CF212" s="23" t="e">
        <f t="shared" ref="CF212" ca="1" si="1715">CE171-CF171</f>
        <v>#NAME?</v>
      </c>
      <c r="CG212" s="23" t="e">
        <f t="shared" ref="CG212" ca="1" si="1716">CF171-CG171</f>
        <v>#NAME?</v>
      </c>
      <c r="CH212" s="23" t="e">
        <f t="shared" ref="CH212:CL212" ca="1" si="1717">CG171-CH171</f>
        <v>#NAME?</v>
      </c>
      <c r="CI212" s="23" t="e">
        <f t="shared" ca="1" si="1717"/>
        <v>#NAME?</v>
      </c>
      <c r="CJ212" s="23" t="e">
        <f t="shared" ca="1" si="1717"/>
        <v>#NAME?</v>
      </c>
      <c r="CK212" s="24" t="e">
        <f t="shared" ref="CK212" ca="1" si="1718">CJ171-CK171</f>
        <v>#NAME?</v>
      </c>
      <c r="CL212" s="23" t="e">
        <f t="shared" ca="1" si="1717"/>
        <v>#NAME?</v>
      </c>
      <c r="CM212" s="24" t="e">
        <f t="shared" ref="CM212" ca="1" si="1719">CL171-CM171</f>
        <v>#NAME?</v>
      </c>
      <c r="CN212" s="24" t="e">
        <f t="shared" ref="CN212" ca="1" si="1720">CM171-CN171</f>
        <v>#NAME?</v>
      </c>
      <c r="CO212" s="24" t="e">
        <f t="shared" ref="CO212" ca="1" si="1721">CN171-CO171</f>
        <v>#NAME?</v>
      </c>
      <c r="CP212" s="24" t="e">
        <f t="shared" ref="CP212" ca="1" si="1722">CO171-CP171</f>
        <v>#NAME?</v>
      </c>
      <c r="CQ212" s="24" t="e">
        <f t="shared" ref="CQ212" ca="1" si="1723">CP171-CQ171</f>
        <v>#NAME?</v>
      </c>
      <c r="CR212" s="24" t="e">
        <f t="shared" ref="CR212" ca="1" si="1724">CQ171-CR171</f>
        <v>#NAME?</v>
      </c>
      <c r="CS212" s="24" t="e">
        <f t="shared" ref="CS212" ca="1" si="1725">CR171-CS171</f>
        <v>#NAME?</v>
      </c>
      <c r="CT212" s="24" t="e">
        <f t="shared" ref="CT212" ca="1" si="1726">CS171-CT171</f>
        <v>#NAME?</v>
      </c>
      <c r="CU212" s="24" t="e">
        <f t="shared" ref="CU212" ca="1" si="1727">CT171-CU171</f>
        <v>#NAME?</v>
      </c>
      <c r="CV212" s="24" t="e">
        <f t="shared" ref="CV212" ca="1" si="1728">CU171-CV171</f>
        <v>#NAME?</v>
      </c>
      <c r="CW212" s="24" t="e">
        <f t="shared" ref="CW212" ca="1" si="1729">CV171-CW171</f>
        <v>#NAME?</v>
      </c>
      <c r="CX212" s="24" t="e">
        <f t="shared" ref="CX212" ca="1" si="1730">CW171-CX171</f>
        <v>#NAME?</v>
      </c>
      <c r="CY212" s="24" t="e">
        <f t="shared" ref="CY212" ca="1" si="1731">CX171-CY171</f>
        <v>#NAME?</v>
      </c>
      <c r="CZ212" s="24" t="e">
        <f t="shared" ref="CZ212" ca="1" si="1732">CY171-CZ171</f>
        <v>#NAME?</v>
      </c>
      <c r="DA212" s="24" t="e">
        <f t="shared" ref="DA212" ca="1" si="1733">CZ171-DA171</f>
        <v>#NAME?</v>
      </c>
      <c r="DB212" s="24" t="e">
        <f t="shared" ref="DB212" ca="1" si="1734">DA171-DB171</f>
        <v>#NAME?</v>
      </c>
      <c r="DE212" s="123"/>
      <c r="DF212" s="23">
        <v>-5.4878000000000036</v>
      </c>
    </row>
    <row r="213" spans="1:110" s="22" customFormat="1" x14ac:dyDescent="0.2">
      <c r="A213" s="22" t="s">
        <v>90</v>
      </c>
      <c r="C213" s="22" t="e">
        <f t="shared" ref="C213:W213" ca="1" si="1735">C211-C212</f>
        <v>#NAME?</v>
      </c>
      <c r="D213" s="22" t="e">
        <f t="shared" ca="1" si="1735"/>
        <v>#NAME?</v>
      </c>
      <c r="E213" s="22" t="e">
        <f t="shared" ca="1" si="1735"/>
        <v>#NAME?</v>
      </c>
      <c r="F213" s="22" t="e">
        <f t="shared" ca="1" si="1735"/>
        <v>#NAME?</v>
      </c>
      <c r="G213" s="22" t="e">
        <f t="shared" ca="1" si="1735"/>
        <v>#NAME?</v>
      </c>
      <c r="H213" s="22" t="e">
        <f t="shared" ca="1" si="1735"/>
        <v>#NAME?</v>
      </c>
      <c r="I213" s="22" t="e">
        <f t="shared" ca="1" si="1735"/>
        <v>#NAME?</v>
      </c>
      <c r="J213" s="22" t="e">
        <f ca="1">J211-J212</f>
        <v>#NAME?</v>
      </c>
      <c r="K213" s="22" t="e">
        <f t="shared" ca="1" si="1735"/>
        <v>#NAME?</v>
      </c>
      <c r="L213" s="22" t="e">
        <f t="shared" ca="1" si="1735"/>
        <v>#NAME?</v>
      </c>
      <c r="M213" s="22" t="e">
        <f t="shared" ca="1" si="1735"/>
        <v>#NAME?</v>
      </c>
      <c r="N213" s="22" t="e">
        <f t="shared" ca="1" si="1735"/>
        <v>#NAME?</v>
      </c>
      <c r="O213" s="22" t="e">
        <f t="shared" ca="1" si="1735"/>
        <v>#NAME?</v>
      </c>
      <c r="P213" s="22" t="e">
        <f t="shared" ca="1" si="1735"/>
        <v>#NAME?</v>
      </c>
      <c r="Q213" s="22" t="e">
        <f t="shared" ca="1" si="1735"/>
        <v>#NAME?</v>
      </c>
      <c r="R213" s="22" t="e">
        <f t="shared" ca="1" si="1735"/>
        <v>#NAME?</v>
      </c>
      <c r="S213" s="22" t="e">
        <f t="shared" ca="1" si="1735"/>
        <v>#NAME?</v>
      </c>
      <c r="T213" s="22" t="e">
        <f t="shared" ca="1" si="1735"/>
        <v>#NAME?</v>
      </c>
      <c r="U213" s="22" t="e">
        <f t="shared" ca="1" si="1735"/>
        <v>#NAME?</v>
      </c>
      <c r="V213" s="22" t="e">
        <f t="shared" ca="1" si="1735"/>
        <v>#NAME?</v>
      </c>
      <c r="W213" s="22" t="e">
        <f t="shared" ca="1" si="1735"/>
        <v>#NAME?</v>
      </c>
      <c r="X213" s="22" t="e">
        <f t="shared" ref="X213:Y213" ca="1" si="1736">X211-X212</f>
        <v>#NAME?</v>
      </c>
      <c r="Y213" s="22" t="e">
        <f t="shared" ca="1" si="1736"/>
        <v>#NAME?</v>
      </c>
      <c r="Z213" s="22" t="e">
        <f t="shared" ref="Z213:AA213" ca="1" si="1737">Z211-Z212</f>
        <v>#NAME?</v>
      </c>
      <c r="AA213" s="22" t="e">
        <f t="shared" ca="1" si="1737"/>
        <v>#NAME?</v>
      </c>
      <c r="AB213" s="21" t="e">
        <f t="shared" ref="AA213:AD213" ca="1" si="1738">AB211-AB212</f>
        <v>#NAME?</v>
      </c>
      <c r="AC213" s="21" t="e">
        <f t="shared" ca="1" si="1738"/>
        <v>#NAME?</v>
      </c>
      <c r="AD213" s="21" t="e">
        <f t="shared" ca="1" si="1738"/>
        <v>#NAME?</v>
      </c>
      <c r="AE213" s="21" t="e">
        <f t="shared" ref="AE213" ca="1" si="1739">AE211-AE212</f>
        <v>#NAME?</v>
      </c>
      <c r="AI213" s="22" t="e">
        <f t="shared" ref="AI213" ca="1" si="1740">AI211-AI212</f>
        <v>#NAME?</v>
      </c>
      <c r="AJ213" s="22" t="e">
        <f t="shared" ref="AJ213:AL213" ca="1" si="1741">AJ211-AJ212</f>
        <v>#NAME?</v>
      </c>
      <c r="AK213" s="22" t="e">
        <f t="shared" ca="1" si="1741"/>
        <v>#NAME?</v>
      </c>
      <c r="AL213" s="22" t="e">
        <f t="shared" ca="1" si="1741"/>
        <v>#NAME?</v>
      </c>
      <c r="AM213" s="22" t="e">
        <f t="shared" ref="AM213" ca="1" si="1742">AM211-AM212</f>
        <v>#NAME?</v>
      </c>
      <c r="AN213" s="22" t="e">
        <f t="shared" ref="AN213:CD213" ca="1" si="1743">AN211-AN212</f>
        <v>#NAME?</v>
      </c>
      <c r="AO213" s="22" t="e">
        <f t="shared" ca="1" si="1743"/>
        <v>#NAME?</v>
      </c>
      <c r="AP213" s="22" t="e">
        <f t="shared" ca="1" si="1743"/>
        <v>#NAME?</v>
      </c>
      <c r="AQ213" s="22" t="e">
        <f t="shared" ca="1" si="1743"/>
        <v>#NAME?</v>
      </c>
      <c r="AR213" s="22" t="e">
        <f t="shared" ca="1" si="1743"/>
        <v>#NAME?</v>
      </c>
      <c r="AS213" s="22" t="e">
        <f t="shared" ca="1" si="1743"/>
        <v>#NAME?</v>
      </c>
      <c r="AT213" s="22" t="e">
        <f t="shared" ca="1" si="1743"/>
        <v>#NAME?</v>
      </c>
      <c r="AU213" s="22" t="e">
        <f t="shared" ca="1" si="1743"/>
        <v>#NAME?</v>
      </c>
      <c r="AV213" s="22" t="e">
        <f t="shared" ca="1" si="1743"/>
        <v>#NAME?</v>
      </c>
      <c r="AW213" s="22" t="e">
        <f t="shared" ca="1" si="1743"/>
        <v>#NAME?</v>
      </c>
      <c r="AX213" s="22" t="e">
        <f t="shared" ca="1" si="1743"/>
        <v>#NAME?</v>
      </c>
      <c r="AY213" s="22" t="e">
        <f t="shared" ca="1" si="1743"/>
        <v>#NAME?</v>
      </c>
      <c r="AZ213" s="22" t="e">
        <f t="shared" ca="1" si="1743"/>
        <v>#NAME?</v>
      </c>
      <c r="BA213" s="22" t="e">
        <f t="shared" ca="1" si="1743"/>
        <v>#NAME?</v>
      </c>
      <c r="BB213" s="22" t="e">
        <f t="shared" ca="1" si="1743"/>
        <v>#NAME?</v>
      </c>
      <c r="BC213" s="22" t="e">
        <f t="shared" ca="1" si="1743"/>
        <v>#NAME?</v>
      </c>
      <c r="BD213" s="22" t="e">
        <f t="shared" ca="1" si="1743"/>
        <v>#NAME?</v>
      </c>
      <c r="BE213" s="22" t="e">
        <f t="shared" ca="1" si="1743"/>
        <v>#NAME?</v>
      </c>
      <c r="BF213" s="22" t="e">
        <f t="shared" ca="1" si="1743"/>
        <v>#NAME?</v>
      </c>
      <c r="BG213" s="22" t="e">
        <f t="shared" ca="1" si="1743"/>
        <v>#NAME?</v>
      </c>
      <c r="BH213" s="22" t="e">
        <f t="shared" ca="1" si="1743"/>
        <v>#NAME?</v>
      </c>
      <c r="BI213" s="22" t="e">
        <f t="shared" ca="1" si="1743"/>
        <v>#NAME?</v>
      </c>
      <c r="BJ213" s="22" t="e">
        <f t="shared" ca="1" si="1743"/>
        <v>#NAME?</v>
      </c>
      <c r="BK213" s="22" t="e">
        <f t="shared" ca="1" si="1743"/>
        <v>#NAME?</v>
      </c>
      <c r="BL213" s="22" t="e">
        <f t="shared" ca="1" si="1743"/>
        <v>#NAME?</v>
      </c>
      <c r="BM213" s="22" t="e">
        <f t="shared" ca="1" si="1743"/>
        <v>#NAME?</v>
      </c>
      <c r="BN213" s="22" t="e">
        <f t="shared" ca="1" si="1743"/>
        <v>#NAME?</v>
      </c>
      <c r="BO213" s="22" t="e">
        <f t="shared" ca="1" si="1743"/>
        <v>#NAME?</v>
      </c>
      <c r="BP213" s="22" t="e">
        <f t="shared" ca="1" si="1743"/>
        <v>#NAME?</v>
      </c>
      <c r="BQ213" s="22" t="e">
        <f t="shared" ca="1" si="1743"/>
        <v>#NAME?</v>
      </c>
      <c r="BR213" s="22" t="e">
        <f t="shared" ca="1" si="1743"/>
        <v>#NAME?</v>
      </c>
      <c r="BS213" s="22" t="e">
        <f t="shared" ca="1" si="1743"/>
        <v>#NAME?</v>
      </c>
      <c r="BT213" s="22" t="e">
        <f t="shared" ca="1" si="1743"/>
        <v>#NAME?</v>
      </c>
      <c r="BU213" s="22" t="e">
        <f t="shared" ca="1" si="1743"/>
        <v>#NAME?</v>
      </c>
      <c r="BV213" s="22" t="e">
        <f t="shared" ca="1" si="1743"/>
        <v>#NAME?</v>
      </c>
      <c r="BW213" s="22" t="e">
        <f t="shared" ca="1" si="1743"/>
        <v>#NAME?</v>
      </c>
      <c r="BX213" s="22" t="e">
        <f t="shared" ca="1" si="1743"/>
        <v>#NAME?</v>
      </c>
      <c r="BY213" s="22" t="e">
        <f t="shared" ca="1" si="1743"/>
        <v>#NAME?</v>
      </c>
      <c r="BZ213" s="22" t="e">
        <f t="shared" ca="1" si="1743"/>
        <v>#NAME?</v>
      </c>
      <c r="CA213" s="22" t="e">
        <f t="shared" ca="1" si="1743"/>
        <v>#NAME?</v>
      </c>
      <c r="CB213" s="22" t="e">
        <f t="shared" ca="1" si="1743"/>
        <v>#NAME?</v>
      </c>
      <c r="CC213" s="22" t="e">
        <f t="shared" ca="1" si="1743"/>
        <v>#NAME?</v>
      </c>
      <c r="CD213" s="22" t="e">
        <f t="shared" ca="1" si="1743"/>
        <v>#NAME?</v>
      </c>
      <c r="CE213" s="22" t="e">
        <f t="shared" ref="CE213:CF213" ca="1" si="1744">CE211-CE212</f>
        <v>#NAME?</v>
      </c>
      <c r="CF213" s="22" t="e">
        <f t="shared" ca="1" si="1744"/>
        <v>#NAME?</v>
      </c>
      <c r="CG213" s="22" t="e">
        <f t="shared" ref="CG213:CH213" ca="1" si="1745">CG211-CG212</f>
        <v>#NAME?</v>
      </c>
      <c r="CH213" s="22" t="e">
        <f t="shared" ca="1" si="1745"/>
        <v>#NAME?</v>
      </c>
      <c r="CI213" s="22" t="e">
        <f t="shared" ref="CI213:CJ213" ca="1" si="1746">CI211-CI212</f>
        <v>#NAME?</v>
      </c>
      <c r="CJ213" s="22" t="e">
        <f t="shared" ca="1" si="1746"/>
        <v>#NAME?</v>
      </c>
      <c r="CK213" s="21" t="e">
        <f t="shared" ref="CK213:DB213" ca="1" si="1747">CK211-CK212</f>
        <v>#NAME?</v>
      </c>
      <c r="CL213" s="22" t="e">
        <f t="shared" ca="1" si="1747"/>
        <v>#NAME?</v>
      </c>
      <c r="CM213" s="21" t="e">
        <f t="shared" ca="1" si="1747"/>
        <v>#NAME?</v>
      </c>
      <c r="CN213" s="21" t="e">
        <f t="shared" ca="1" si="1747"/>
        <v>#NAME?</v>
      </c>
      <c r="CO213" s="21" t="e">
        <f t="shared" ca="1" si="1747"/>
        <v>#NAME?</v>
      </c>
      <c r="CP213" s="21" t="e">
        <f t="shared" ca="1" si="1747"/>
        <v>#NAME?</v>
      </c>
      <c r="CQ213" s="21" t="e">
        <f t="shared" ca="1" si="1747"/>
        <v>#NAME?</v>
      </c>
      <c r="CR213" s="21" t="e">
        <f t="shared" ca="1" si="1747"/>
        <v>#NAME?</v>
      </c>
      <c r="CS213" s="21" t="e">
        <f t="shared" ca="1" si="1747"/>
        <v>#NAME?</v>
      </c>
      <c r="CT213" s="21" t="e">
        <f t="shared" ca="1" si="1747"/>
        <v>#NAME?</v>
      </c>
      <c r="CU213" s="21" t="e">
        <f t="shared" ca="1" si="1747"/>
        <v>#NAME?</v>
      </c>
      <c r="CV213" s="21" t="e">
        <f t="shared" ca="1" si="1747"/>
        <v>#NAME?</v>
      </c>
      <c r="CW213" s="21" t="e">
        <f t="shared" ca="1" si="1747"/>
        <v>#NAME?</v>
      </c>
      <c r="CX213" s="21" t="e">
        <f t="shared" ca="1" si="1747"/>
        <v>#NAME?</v>
      </c>
      <c r="CY213" s="21" t="e">
        <f t="shared" ca="1" si="1747"/>
        <v>#NAME?</v>
      </c>
      <c r="CZ213" s="21" t="e">
        <f t="shared" ca="1" si="1747"/>
        <v>#NAME?</v>
      </c>
      <c r="DA213" s="21" t="e">
        <f t="shared" ca="1" si="1747"/>
        <v>#NAME?</v>
      </c>
      <c r="DB213" s="21" t="e">
        <f t="shared" ca="1" si="1747"/>
        <v>#NAME?</v>
      </c>
      <c r="DE213" s="126"/>
      <c r="DF213" s="22">
        <v>-43.082700000000003</v>
      </c>
    </row>
    <row r="214" spans="1:110" s="22" customFormat="1" x14ac:dyDescent="0.2">
      <c r="A214" s="22" t="s">
        <v>91</v>
      </c>
      <c r="C214" s="22" t="e">
        <f t="shared" ref="C214:W214" ca="1" si="1748">C210+C213</f>
        <v>#NAME?</v>
      </c>
      <c r="D214" s="22" t="e">
        <f ca="1">D210+D213</f>
        <v>#NAME?</v>
      </c>
      <c r="E214" s="22" t="e">
        <f t="shared" ca="1" si="1748"/>
        <v>#NAME?</v>
      </c>
      <c r="F214" s="22" t="e">
        <f t="shared" ca="1" si="1748"/>
        <v>#NAME?</v>
      </c>
      <c r="G214" s="22" t="e">
        <f t="shared" ca="1" si="1748"/>
        <v>#NAME?</v>
      </c>
      <c r="H214" s="22" t="e">
        <f t="shared" ca="1" si="1748"/>
        <v>#NAME?</v>
      </c>
      <c r="I214" s="22" t="e">
        <f t="shared" ca="1" si="1748"/>
        <v>#NAME?</v>
      </c>
      <c r="J214" s="22" t="e">
        <f ca="1">J210+J213</f>
        <v>#NAME?</v>
      </c>
      <c r="K214" s="22" t="e">
        <f t="shared" ca="1" si="1748"/>
        <v>#NAME?</v>
      </c>
      <c r="L214" s="22" t="e">
        <f t="shared" ca="1" si="1748"/>
        <v>#NAME?</v>
      </c>
      <c r="M214" s="22" t="e">
        <f t="shared" ca="1" si="1748"/>
        <v>#NAME?</v>
      </c>
      <c r="N214" s="22" t="e">
        <f t="shared" ca="1" si="1748"/>
        <v>#NAME?</v>
      </c>
      <c r="O214" s="22" t="e">
        <f t="shared" ca="1" si="1748"/>
        <v>#NAME?</v>
      </c>
      <c r="P214" s="22" t="e">
        <f t="shared" ca="1" si="1748"/>
        <v>#NAME?</v>
      </c>
      <c r="Q214" s="22" t="e">
        <f t="shared" ca="1" si="1748"/>
        <v>#NAME?</v>
      </c>
      <c r="R214" s="22" t="e">
        <f t="shared" ca="1" si="1748"/>
        <v>#NAME?</v>
      </c>
      <c r="S214" s="22" t="e">
        <f t="shared" ca="1" si="1748"/>
        <v>#NAME?</v>
      </c>
      <c r="T214" s="22" t="e">
        <f t="shared" ca="1" si="1748"/>
        <v>#NAME?</v>
      </c>
      <c r="U214" s="22" t="e">
        <f t="shared" ca="1" si="1748"/>
        <v>#NAME?</v>
      </c>
      <c r="V214" s="22" t="e">
        <f t="shared" ca="1" si="1748"/>
        <v>#NAME?</v>
      </c>
      <c r="W214" s="22" t="e">
        <f t="shared" ca="1" si="1748"/>
        <v>#NAME?</v>
      </c>
      <c r="X214" s="22" t="e">
        <f t="shared" ref="X214:Y214" ca="1" si="1749">X210+X213</f>
        <v>#NAME?</v>
      </c>
      <c r="Y214" s="22" t="e">
        <f t="shared" ca="1" si="1749"/>
        <v>#NAME?</v>
      </c>
      <c r="Z214" s="22" t="e">
        <f t="shared" ref="Z214:AA214" ca="1" si="1750">Z210+Z213</f>
        <v>#NAME?</v>
      </c>
      <c r="AA214" s="22" t="e">
        <f t="shared" ca="1" si="1750"/>
        <v>#NAME?</v>
      </c>
      <c r="AB214" s="21" t="e">
        <f t="shared" ref="AA214:AD214" ca="1" si="1751">AB210+AB213</f>
        <v>#NAME?</v>
      </c>
      <c r="AC214" s="21" t="e">
        <f t="shared" ca="1" si="1751"/>
        <v>#NAME?</v>
      </c>
      <c r="AD214" s="21" t="e">
        <f t="shared" ca="1" si="1751"/>
        <v>#NAME?</v>
      </c>
      <c r="AE214" s="21" t="e">
        <f t="shared" ref="AE214" ca="1" si="1752">AE210+AE213</f>
        <v>#NAME?</v>
      </c>
      <c r="AI214" s="22" t="e">
        <f t="shared" ref="AI214" ca="1" si="1753">AI210+AI213</f>
        <v>#NAME?</v>
      </c>
      <c r="AJ214" s="22" t="e">
        <f t="shared" ref="AJ214:AL214" ca="1" si="1754">AJ210+AJ213</f>
        <v>#NAME?</v>
      </c>
      <c r="AK214" s="22" t="e">
        <f t="shared" ca="1" si="1754"/>
        <v>#NAME?</v>
      </c>
      <c r="AL214" s="22" t="e">
        <f t="shared" ca="1" si="1754"/>
        <v>#NAME?</v>
      </c>
      <c r="AM214" s="22" t="e">
        <f t="shared" ref="AM214" ca="1" si="1755">AM210+AM213</f>
        <v>#NAME?</v>
      </c>
      <c r="AN214" s="22" t="e">
        <f t="shared" ref="AN214:CD214" ca="1" si="1756">AN210+AN213</f>
        <v>#NAME?</v>
      </c>
      <c r="AO214" s="22" t="e">
        <f t="shared" ca="1" si="1756"/>
        <v>#NAME?</v>
      </c>
      <c r="AP214" s="22" t="e">
        <f t="shared" ca="1" si="1756"/>
        <v>#NAME?</v>
      </c>
      <c r="AQ214" s="22" t="e">
        <f t="shared" ca="1" si="1756"/>
        <v>#NAME?</v>
      </c>
      <c r="AR214" s="22" t="e">
        <f t="shared" ca="1" si="1756"/>
        <v>#NAME?</v>
      </c>
      <c r="AS214" s="22" t="e">
        <f t="shared" ca="1" si="1756"/>
        <v>#NAME?</v>
      </c>
      <c r="AT214" s="22" t="e">
        <f t="shared" ca="1" si="1756"/>
        <v>#NAME?</v>
      </c>
      <c r="AU214" s="22" t="e">
        <f t="shared" ca="1" si="1756"/>
        <v>#NAME?</v>
      </c>
      <c r="AV214" s="22" t="e">
        <f t="shared" ca="1" si="1756"/>
        <v>#NAME?</v>
      </c>
      <c r="AW214" s="22" t="e">
        <f t="shared" ca="1" si="1756"/>
        <v>#NAME?</v>
      </c>
      <c r="AX214" s="22" t="e">
        <f t="shared" ca="1" si="1756"/>
        <v>#NAME?</v>
      </c>
      <c r="AY214" s="22" t="e">
        <f t="shared" ca="1" si="1756"/>
        <v>#NAME?</v>
      </c>
      <c r="AZ214" s="22" t="e">
        <f t="shared" ca="1" si="1756"/>
        <v>#NAME?</v>
      </c>
      <c r="BA214" s="22" t="e">
        <f t="shared" ca="1" si="1756"/>
        <v>#NAME?</v>
      </c>
      <c r="BB214" s="22" t="e">
        <f t="shared" ca="1" si="1756"/>
        <v>#NAME?</v>
      </c>
      <c r="BC214" s="22" t="e">
        <f t="shared" ca="1" si="1756"/>
        <v>#NAME?</v>
      </c>
      <c r="BD214" s="22" t="e">
        <f t="shared" ca="1" si="1756"/>
        <v>#NAME?</v>
      </c>
      <c r="BE214" s="22" t="e">
        <f t="shared" ca="1" si="1756"/>
        <v>#NAME?</v>
      </c>
      <c r="BF214" s="22" t="e">
        <f t="shared" ca="1" si="1756"/>
        <v>#NAME?</v>
      </c>
      <c r="BG214" s="22" t="e">
        <f t="shared" ca="1" si="1756"/>
        <v>#NAME?</v>
      </c>
      <c r="BH214" s="22" t="e">
        <f t="shared" ca="1" si="1756"/>
        <v>#NAME?</v>
      </c>
      <c r="BI214" s="22" t="e">
        <f t="shared" ca="1" si="1756"/>
        <v>#NAME?</v>
      </c>
      <c r="BJ214" s="22" t="e">
        <f t="shared" ca="1" si="1756"/>
        <v>#NAME?</v>
      </c>
      <c r="BK214" s="22" t="e">
        <f t="shared" ca="1" si="1756"/>
        <v>#NAME?</v>
      </c>
      <c r="BL214" s="22" t="e">
        <f t="shared" ca="1" si="1756"/>
        <v>#NAME?</v>
      </c>
      <c r="BM214" s="22" t="e">
        <f t="shared" ca="1" si="1756"/>
        <v>#NAME?</v>
      </c>
      <c r="BN214" s="22" t="e">
        <f t="shared" ca="1" si="1756"/>
        <v>#NAME?</v>
      </c>
      <c r="BO214" s="22" t="e">
        <f t="shared" ca="1" si="1756"/>
        <v>#NAME?</v>
      </c>
      <c r="BP214" s="22" t="e">
        <f t="shared" ca="1" si="1756"/>
        <v>#NAME?</v>
      </c>
      <c r="BQ214" s="22" t="e">
        <f t="shared" ca="1" si="1756"/>
        <v>#NAME?</v>
      </c>
      <c r="BR214" s="22" t="e">
        <f t="shared" ca="1" si="1756"/>
        <v>#NAME?</v>
      </c>
      <c r="BS214" s="22" t="e">
        <f t="shared" ca="1" si="1756"/>
        <v>#NAME?</v>
      </c>
      <c r="BT214" s="22" t="e">
        <f t="shared" ca="1" si="1756"/>
        <v>#NAME?</v>
      </c>
      <c r="BU214" s="22" t="e">
        <f t="shared" ca="1" si="1756"/>
        <v>#NAME?</v>
      </c>
      <c r="BV214" s="22" t="e">
        <f t="shared" ca="1" si="1756"/>
        <v>#NAME?</v>
      </c>
      <c r="BW214" s="22" t="e">
        <f t="shared" ca="1" si="1756"/>
        <v>#NAME?</v>
      </c>
      <c r="BX214" s="22" t="e">
        <f t="shared" ca="1" si="1756"/>
        <v>#NAME?</v>
      </c>
      <c r="BY214" s="22" t="e">
        <f t="shared" ca="1" si="1756"/>
        <v>#NAME?</v>
      </c>
      <c r="BZ214" s="22" t="e">
        <f t="shared" ca="1" si="1756"/>
        <v>#NAME?</v>
      </c>
      <c r="CA214" s="22" t="e">
        <f t="shared" ca="1" si="1756"/>
        <v>#NAME?</v>
      </c>
      <c r="CB214" s="22" t="e">
        <f t="shared" ca="1" si="1756"/>
        <v>#NAME?</v>
      </c>
      <c r="CC214" s="22" t="e">
        <f t="shared" ca="1" si="1756"/>
        <v>#NAME?</v>
      </c>
      <c r="CD214" s="22" t="e">
        <f t="shared" ca="1" si="1756"/>
        <v>#NAME?</v>
      </c>
      <c r="CE214" s="22" t="e">
        <f t="shared" ref="CE214:CF214" ca="1" si="1757">CE210+CE213</f>
        <v>#NAME?</v>
      </c>
      <c r="CF214" s="22" t="e">
        <f t="shared" ca="1" si="1757"/>
        <v>#NAME?</v>
      </c>
      <c r="CG214" s="22" t="e">
        <f t="shared" ref="CG214:CH214" ca="1" si="1758">CG210+CG213</f>
        <v>#NAME?</v>
      </c>
      <c r="CH214" s="22" t="e">
        <f t="shared" ca="1" si="1758"/>
        <v>#NAME?</v>
      </c>
      <c r="CI214" s="22" t="e">
        <f t="shared" ref="CI214:CJ214" ca="1" si="1759">CI210+CI213</f>
        <v>#NAME?</v>
      </c>
      <c r="CJ214" s="22" t="e">
        <f t="shared" ca="1" si="1759"/>
        <v>#NAME?</v>
      </c>
      <c r="CK214" s="21" t="e">
        <f t="shared" ref="CK214:DB214" ca="1" si="1760">CK210+CK213</f>
        <v>#NAME?</v>
      </c>
      <c r="CL214" s="22" t="e">
        <f t="shared" ca="1" si="1760"/>
        <v>#NAME?</v>
      </c>
      <c r="CM214" s="21" t="e">
        <f t="shared" ca="1" si="1760"/>
        <v>#NAME?</v>
      </c>
      <c r="CN214" s="21" t="e">
        <f t="shared" ca="1" si="1760"/>
        <v>#NAME?</v>
      </c>
      <c r="CO214" s="21" t="e">
        <f t="shared" ca="1" si="1760"/>
        <v>#NAME?</v>
      </c>
      <c r="CP214" s="21" t="e">
        <f t="shared" ca="1" si="1760"/>
        <v>#NAME?</v>
      </c>
      <c r="CQ214" s="21" t="e">
        <f t="shared" ca="1" si="1760"/>
        <v>#NAME?</v>
      </c>
      <c r="CR214" s="21" t="e">
        <f t="shared" ca="1" si="1760"/>
        <v>#NAME?</v>
      </c>
      <c r="CS214" s="21" t="e">
        <f t="shared" ca="1" si="1760"/>
        <v>#NAME?</v>
      </c>
      <c r="CT214" s="21" t="e">
        <f t="shared" ca="1" si="1760"/>
        <v>#NAME?</v>
      </c>
      <c r="CU214" s="21" t="e">
        <f t="shared" ca="1" si="1760"/>
        <v>#NAME?</v>
      </c>
      <c r="CV214" s="21" t="e">
        <f t="shared" ca="1" si="1760"/>
        <v>#NAME?</v>
      </c>
      <c r="CW214" s="21" t="e">
        <f t="shared" ca="1" si="1760"/>
        <v>#NAME?</v>
      </c>
      <c r="CX214" s="21" t="e">
        <f t="shared" ca="1" si="1760"/>
        <v>#NAME?</v>
      </c>
      <c r="CY214" s="21" t="e">
        <f t="shared" ca="1" si="1760"/>
        <v>#NAME?</v>
      </c>
      <c r="CZ214" s="21" t="e">
        <f t="shared" ca="1" si="1760"/>
        <v>#NAME?</v>
      </c>
      <c r="DA214" s="21" t="e">
        <f t="shared" ca="1" si="1760"/>
        <v>#NAME?</v>
      </c>
      <c r="DB214" s="21" t="e">
        <f t="shared" ca="1" si="1760"/>
        <v>#NAME?</v>
      </c>
      <c r="DE214" s="126"/>
      <c r="DF214" s="22">
        <v>-7.9986999999999782</v>
      </c>
    </row>
    <row r="215" spans="1:110" s="23" customFormat="1" x14ac:dyDescent="0.2">
      <c r="AB215" s="24"/>
      <c r="AC215" s="24"/>
      <c r="AD215" s="24"/>
      <c r="AE215" s="24"/>
      <c r="CK215" s="24"/>
      <c r="CM215" s="24"/>
      <c r="CN215" s="24"/>
      <c r="CO215" s="24"/>
      <c r="CP215" s="24"/>
      <c r="CQ215" s="24"/>
      <c r="CR215" s="24"/>
      <c r="CS215" s="24"/>
      <c r="CT215" s="24"/>
      <c r="CU215" s="24"/>
      <c r="CV215" s="24"/>
      <c r="CW215" s="24"/>
      <c r="CX215" s="24"/>
      <c r="CY215" s="24"/>
      <c r="CZ215" s="24"/>
      <c r="DA215" s="24"/>
      <c r="DB215" s="24"/>
      <c r="DE215" s="123"/>
    </row>
    <row r="216" spans="1:110" s="22" customFormat="1" x14ac:dyDescent="0.2">
      <c r="A216" s="22" t="s">
        <v>92</v>
      </c>
      <c r="C216" s="22" t="e">
        <f t="shared" ref="C216:W216" ca="1" si="1761">C217+C218</f>
        <v>#NAME?</v>
      </c>
      <c r="D216" s="22" t="e">
        <f ca="1">D217+D218</f>
        <v>#NAME?</v>
      </c>
      <c r="E216" s="22" t="e">
        <f t="shared" ca="1" si="1761"/>
        <v>#NAME?</v>
      </c>
      <c r="F216" s="22" t="e">
        <f t="shared" ca="1" si="1761"/>
        <v>#NAME?</v>
      </c>
      <c r="G216" s="22" t="e">
        <f t="shared" ca="1" si="1761"/>
        <v>#NAME?</v>
      </c>
      <c r="H216" s="22" t="e">
        <f t="shared" ca="1" si="1761"/>
        <v>#NAME?</v>
      </c>
      <c r="I216" s="22" t="e">
        <f t="shared" ca="1" si="1761"/>
        <v>#NAME?</v>
      </c>
      <c r="J216" s="22" t="e">
        <f t="shared" ca="1" si="1761"/>
        <v>#NAME?</v>
      </c>
      <c r="K216" s="22" t="e">
        <f t="shared" ca="1" si="1761"/>
        <v>#NAME?</v>
      </c>
      <c r="L216" s="22" t="e">
        <f t="shared" ca="1" si="1761"/>
        <v>#NAME?</v>
      </c>
      <c r="M216" s="22" t="e">
        <f t="shared" ca="1" si="1761"/>
        <v>#NAME?</v>
      </c>
      <c r="N216" s="22" t="e">
        <f t="shared" ca="1" si="1761"/>
        <v>#NAME?</v>
      </c>
      <c r="O216" s="22" t="e">
        <f t="shared" ca="1" si="1761"/>
        <v>#NAME?</v>
      </c>
      <c r="P216" s="22" t="e">
        <f t="shared" ca="1" si="1761"/>
        <v>#NAME?</v>
      </c>
      <c r="Q216" s="22" t="e">
        <f t="shared" ca="1" si="1761"/>
        <v>#NAME?</v>
      </c>
      <c r="R216" s="22" t="e">
        <f t="shared" ca="1" si="1761"/>
        <v>#NAME?</v>
      </c>
      <c r="S216" s="22" t="e">
        <f t="shared" ca="1" si="1761"/>
        <v>#NAME?</v>
      </c>
      <c r="T216" s="22" t="e">
        <f t="shared" ca="1" si="1761"/>
        <v>#NAME?</v>
      </c>
      <c r="U216" s="22" t="e">
        <f t="shared" ca="1" si="1761"/>
        <v>#NAME?</v>
      </c>
      <c r="V216" s="22" t="e">
        <f t="shared" ca="1" si="1761"/>
        <v>#NAME?</v>
      </c>
      <c r="W216" s="22" t="e">
        <f t="shared" ca="1" si="1761"/>
        <v>#NAME?</v>
      </c>
      <c r="X216" s="22" t="e">
        <f t="shared" ref="X216:Y216" ca="1" si="1762">X217+X218</f>
        <v>#NAME?</v>
      </c>
      <c r="Y216" s="22" t="e">
        <f t="shared" ca="1" si="1762"/>
        <v>#NAME?</v>
      </c>
      <c r="Z216" s="22" t="e">
        <f t="shared" ref="Z216:AA216" ca="1" si="1763">Z217+Z218</f>
        <v>#NAME?</v>
      </c>
      <c r="AA216" s="22" t="e">
        <f t="shared" ca="1" si="1763"/>
        <v>#NAME?</v>
      </c>
      <c r="AB216" s="21" t="e">
        <f t="shared" ref="AA216:AD216" ca="1" si="1764">AB217+AB218</f>
        <v>#NAME?</v>
      </c>
      <c r="AC216" s="21" t="e">
        <f t="shared" ca="1" si="1764"/>
        <v>#NAME?</v>
      </c>
      <c r="AD216" s="21" t="e">
        <f t="shared" ca="1" si="1764"/>
        <v>#NAME?</v>
      </c>
      <c r="AE216" s="21" t="e">
        <f t="shared" ref="AE216" ca="1" si="1765">AE217+AE218</f>
        <v>#NAME?</v>
      </c>
      <c r="AI216" s="22" t="e">
        <f t="shared" ref="AI216" ca="1" si="1766">AI217+AI218</f>
        <v>#NAME?</v>
      </c>
      <c r="AJ216" s="22" t="e">
        <f t="shared" ref="AJ216:AL216" ca="1" si="1767">AJ217+AJ218</f>
        <v>#NAME?</v>
      </c>
      <c r="AK216" s="22" t="e">
        <f t="shared" ca="1" si="1767"/>
        <v>#NAME?</v>
      </c>
      <c r="AL216" s="22" t="e">
        <f t="shared" ca="1" si="1767"/>
        <v>#NAME?</v>
      </c>
      <c r="AM216" s="22" t="e">
        <f t="shared" ref="AM216" ca="1" si="1768">AM217+AM218</f>
        <v>#NAME?</v>
      </c>
      <c r="AN216" s="22" t="e">
        <f t="shared" ref="AN216:CD216" ca="1" si="1769">AN217+AN218</f>
        <v>#NAME?</v>
      </c>
      <c r="AO216" s="22" t="e">
        <f t="shared" ca="1" si="1769"/>
        <v>#NAME?</v>
      </c>
      <c r="AP216" s="22" t="e">
        <f t="shared" ca="1" si="1769"/>
        <v>#NAME?</v>
      </c>
      <c r="AQ216" s="22" t="e">
        <f t="shared" ca="1" si="1769"/>
        <v>#NAME?</v>
      </c>
      <c r="AR216" s="22" t="e">
        <f t="shared" ca="1" si="1769"/>
        <v>#NAME?</v>
      </c>
      <c r="AS216" s="22" t="e">
        <f t="shared" ca="1" si="1769"/>
        <v>#NAME?</v>
      </c>
      <c r="AT216" s="22" t="e">
        <f t="shared" ca="1" si="1769"/>
        <v>#NAME?</v>
      </c>
      <c r="AU216" s="22" t="e">
        <f t="shared" ca="1" si="1769"/>
        <v>#NAME?</v>
      </c>
      <c r="AV216" s="22" t="e">
        <f t="shared" ca="1" si="1769"/>
        <v>#NAME?</v>
      </c>
      <c r="AW216" s="22" t="e">
        <f t="shared" ca="1" si="1769"/>
        <v>#NAME?</v>
      </c>
      <c r="AX216" s="22" t="e">
        <f t="shared" ca="1" si="1769"/>
        <v>#NAME?</v>
      </c>
      <c r="AY216" s="22" t="e">
        <f t="shared" ca="1" si="1769"/>
        <v>#NAME?</v>
      </c>
      <c r="AZ216" s="22" t="e">
        <f t="shared" ca="1" si="1769"/>
        <v>#NAME?</v>
      </c>
      <c r="BA216" s="22" t="e">
        <f t="shared" ca="1" si="1769"/>
        <v>#NAME?</v>
      </c>
      <c r="BB216" s="22" t="e">
        <f t="shared" ca="1" si="1769"/>
        <v>#NAME?</v>
      </c>
      <c r="BC216" s="22" t="e">
        <f t="shared" ca="1" si="1769"/>
        <v>#NAME?</v>
      </c>
      <c r="BD216" s="22" t="e">
        <f t="shared" ca="1" si="1769"/>
        <v>#NAME?</v>
      </c>
      <c r="BE216" s="22" t="e">
        <f t="shared" ca="1" si="1769"/>
        <v>#NAME?</v>
      </c>
      <c r="BF216" s="22" t="e">
        <f t="shared" ca="1" si="1769"/>
        <v>#NAME?</v>
      </c>
      <c r="BG216" s="22" t="e">
        <f t="shared" ca="1" si="1769"/>
        <v>#NAME?</v>
      </c>
      <c r="BH216" s="22" t="e">
        <f t="shared" ca="1" si="1769"/>
        <v>#NAME?</v>
      </c>
      <c r="BI216" s="22" t="e">
        <f t="shared" ca="1" si="1769"/>
        <v>#NAME?</v>
      </c>
      <c r="BJ216" s="22" t="e">
        <f t="shared" ca="1" si="1769"/>
        <v>#NAME?</v>
      </c>
      <c r="BK216" s="22" t="e">
        <f t="shared" ca="1" si="1769"/>
        <v>#NAME?</v>
      </c>
      <c r="BL216" s="22" t="e">
        <f t="shared" ca="1" si="1769"/>
        <v>#NAME?</v>
      </c>
      <c r="BM216" s="22" t="e">
        <f t="shared" ca="1" si="1769"/>
        <v>#NAME?</v>
      </c>
      <c r="BN216" s="22" t="e">
        <f t="shared" ca="1" si="1769"/>
        <v>#NAME?</v>
      </c>
      <c r="BO216" s="22" t="e">
        <f t="shared" ca="1" si="1769"/>
        <v>#NAME?</v>
      </c>
      <c r="BP216" s="22" t="e">
        <f t="shared" ca="1" si="1769"/>
        <v>#NAME?</v>
      </c>
      <c r="BQ216" s="22" t="e">
        <f t="shared" ca="1" si="1769"/>
        <v>#NAME?</v>
      </c>
      <c r="BR216" s="22" t="e">
        <f t="shared" ca="1" si="1769"/>
        <v>#NAME?</v>
      </c>
      <c r="BS216" s="22" t="e">
        <f t="shared" ca="1" si="1769"/>
        <v>#NAME?</v>
      </c>
      <c r="BT216" s="22" t="e">
        <f t="shared" ca="1" si="1769"/>
        <v>#NAME?</v>
      </c>
      <c r="BU216" s="22" t="e">
        <f t="shared" ca="1" si="1769"/>
        <v>#NAME?</v>
      </c>
      <c r="BV216" s="22" t="e">
        <f t="shared" ca="1" si="1769"/>
        <v>#NAME?</v>
      </c>
      <c r="BW216" s="22" t="e">
        <f t="shared" ca="1" si="1769"/>
        <v>#NAME?</v>
      </c>
      <c r="BX216" s="22" t="e">
        <f t="shared" ca="1" si="1769"/>
        <v>#NAME?</v>
      </c>
      <c r="BY216" s="22" t="e">
        <f t="shared" ca="1" si="1769"/>
        <v>#NAME?</v>
      </c>
      <c r="BZ216" s="22" t="e">
        <f t="shared" ca="1" si="1769"/>
        <v>#NAME?</v>
      </c>
      <c r="CA216" s="22" t="e">
        <f t="shared" ca="1" si="1769"/>
        <v>#NAME?</v>
      </c>
      <c r="CB216" s="22" t="e">
        <f t="shared" ca="1" si="1769"/>
        <v>#NAME?</v>
      </c>
      <c r="CC216" s="22" t="e">
        <f t="shared" ca="1" si="1769"/>
        <v>#NAME?</v>
      </c>
      <c r="CD216" s="22" t="e">
        <f t="shared" ca="1" si="1769"/>
        <v>#NAME?</v>
      </c>
      <c r="CE216" s="22" t="e">
        <f t="shared" ref="CE216:CF216" ca="1" si="1770">CE217+CE218</f>
        <v>#NAME?</v>
      </c>
      <c r="CF216" s="22" t="e">
        <f t="shared" ca="1" si="1770"/>
        <v>#NAME?</v>
      </c>
      <c r="CG216" s="22" t="e">
        <f t="shared" ref="CG216:CH216" ca="1" si="1771">CG217+CG218</f>
        <v>#NAME?</v>
      </c>
      <c r="CH216" s="22" t="e">
        <f t="shared" ca="1" si="1771"/>
        <v>#NAME?</v>
      </c>
      <c r="CI216" s="22" t="e">
        <f t="shared" ref="CI216:CJ216" ca="1" si="1772">CI217+CI218</f>
        <v>#NAME?</v>
      </c>
      <c r="CJ216" s="22" t="e">
        <f t="shared" ca="1" si="1772"/>
        <v>#NAME?</v>
      </c>
      <c r="CK216" s="21" t="e">
        <f t="shared" ref="CK216:DB216" ca="1" si="1773">CK217+CK218</f>
        <v>#NAME?</v>
      </c>
      <c r="CL216" s="22" t="e">
        <f t="shared" ca="1" si="1773"/>
        <v>#NAME?</v>
      </c>
      <c r="CM216" s="21" t="e">
        <f t="shared" ca="1" si="1773"/>
        <v>#NAME?</v>
      </c>
      <c r="CN216" s="21" t="e">
        <f t="shared" ca="1" si="1773"/>
        <v>#NAME?</v>
      </c>
      <c r="CO216" s="21" t="e">
        <f t="shared" ca="1" si="1773"/>
        <v>#NAME?</v>
      </c>
      <c r="CP216" s="21" t="e">
        <f t="shared" ca="1" si="1773"/>
        <v>#NAME?</v>
      </c>
      <c r="CQ216" s="21" t="e">
        <f t="shared" ca="1" si="1773"/>
        <v>#NAME?</v>
      </c>
      <c r="CR216" s="21" t="e">
        <f t="shared" ca="1" si="1773"/>
        <v>#NAME?</v>
      </c>
      <c r="CS216" s="21" t="e">
        <f t="shared" ca="1" si="1773"/>
        <v>#NAME?</v>
      </c>
      <c r="CT216" s="21" t="e">
        <f t="shared" ca="1" si="1773"/>
        <v>#NAME?</v>
      </c>
      <c r="CU216" s="21" t="e">
        <f t="shared" ca="1" si="1773"/>
        <v>#NAME?</v>
      </c>
      <c r="CV216" s="21" t="e">
        <f t="shared" ca="1" si="1773"/>
        <v>#NAME?</v>
      </c>
      <c r="CW216" s="21" t="e">
        <f t="shared" ca="1" si="1773"/>
        <v>#NAME?</v>
      </c>
      <c r="CX216" s="21" t="e">
        <f t="shared" ca="1" si="1773"/>
        <v>#NAME?</v>
      </c>
      <c r="CY216" s="21" t="e">
        <f t="shared" ca="1" si="1773"/>
        <v>#NAME?</v>
      </c>
      <c r="CZ216" s="21" t="e">
        <f t="shared" ca="1" si="1773"/>
        <v>#NAME?</v>
      </c>
      <c r="DA216" s="21" t="e">
        <f t="shared" ca="1" si="1773"/>
        <v>#NAME?</v>
      </c>
      <c r="DB216" s="21" t="e">
        <f t="shared" ca="1" si="1773"/>
        <v>#NAME?</v>
      </c>
      <c r="DE216" s="126"/>
      <c r="DF216" s="22">
        <v>-87.96629999999999</v>
      </c>
    </row>
    <row r="217" spans="1:110" s="23" customFormat="1" x14ac:dyDescent="0.2">
      <c r="A217" s="23" t="s">
        <v>93</v>
      </c>
      <c r="C217" s="23" t="e">
        <f t="shared" ref="C217:AA217" ca="1" si="1774">B155-C155</f>
        <v>#NAME?</v>
      </c>
      <c r="D217" s="23" t="e">
        <f t="shared" ca="1" si="1774"/>
        <v>#NAME?</v>
      </c>
      <c r="E217" s="23" t="e">
        <f ca="1">D155-E155</f>
        <v>#NAME?</v>
      </c>
      <c r="F217" s="23" t="e">
        <f t="shared" ca="1" si="1774"/>
        <v>#NAME?</v>
      </c>
      <c r="G217" s="23" t="e">
        <f t="shared" ca="1" si="1774"/>
        <v>#NAME?</v>
      </c>
      <c r="H217" s="23" t="e">
        <f t="shared" ca="1" si="1774"/>
        <v>#NAME?</v>
      </c>
      <c r="I217" s="23" t="e">
        <f t="shared" ca="1" si="1774"/>
        <v>#NAME?</v>
      </c>
      <c r="J217" s="23" t="e">
        <f ca="1">I155-J155</f>
        <v>#NAME?</v>
      </c>
      <c r="K217" s="23" t="e">
        <f ca="1">J155-K155</f>
        <v>#NAME?</v>
      </c>
      <c r="L217" s="23" t="e">
        <f t="shared" ca="1" si="1774"/>
        <v>#NAME?</v>
      </c>
      <c r="M217" s="23" t="e">
        <f t="shared" ca="1" si="1774"/>
        <v>#NAME?</v>
      </c>
      <c r="N217" s="23" t="e">
        <f t="shared" ca="1" si="1774"/>
        <v>#NAME?</v>
      </c>
      <c r="O217" s="23" t="e">
        <f t="shared" ca="1" si="1774"/>
        <v>#NAME?</v>
      </c>
      <c r="P217" s="23" t="e">
        <f t="shared" ca="1" si="1774"/>
        <v>#NAME?</v>
      </c>
      <c r="Q217" s="23" t="e">
        <f t="shared" ca="1" si="1774"/>
        <v>#NAME?</v>
      </c>
      <c r="R217" s="23" t="e">
        <f t="shared" ca="1" si="1774"/>
        <v>#NAME?</v>
      </c>
      <c r="S217" s="23" t="e">
        <f t="shared" ca="1" si="1774"/>
        <v>#NAME?</v>
      </c>
      <c r="T217" s="23" t="e">
        <f t="shared" ca="1" si="1774"/>
        <v>#NAME?</v>
      </c>
      <c r="U217" s="23" t="e">
        <f t="shared" ca="1" si="1774"/>
        <v>#NAME?</v>
      </c>
      <c r="V217" s="23" t="e">
        <f t="shared" ca="1" si="1774"/>
        <v>#NAME?</v>
      </c>
      <c r="W217" s="23" t="e">
        <f t="shared" ca="1" si="1774"/>
        <v>#NAME?</v>
      </c>
      <c r="X217" s="23" t="e">
        <f t="shared" ca="1" si="1774"/>
        <v>#NAME?</v>
      </c>
      <c r="Y217" s="23" t="e">
        <f t="shared" ca="1" si="1774"/>
        <v>#NAME?</v>
      </c>
      <c r="Z217" s="23" t="e">
        <f t="shared" ca="1" si="1774"/>
        <v>#NAME?</v>
      </c>
      <c r="AA217" s="23" t="e">
        <f t="shared" ca="1" si="1774"/>
        <v>#NAME?</v>
      </c>
      <c r="AB217" s="24" t="e">
        <f t="shared" ref="AB217" ca="1" si="1775">AA155-AB155</f>
        <v>#NAME?</v>
      </c>
      <c r="AC217" s="24" t="e">
        <f t="shared" ref="AC217" ca="1" si="1776">AB155-AC155</f>
        <v>#NAME?</v>
      </c>
      <c r="AD217" s="24" t="e">
        <f t="shared" ref="AD217" ca="1" si="1777">AC155-AD155</f>
        <v>#NAME?</v>
      </c>
      <c r="AE217" s="24" t="e">
        <f t="shared" ref="AE217" ca="1" si="1778">AD155-AE155</f>
        <v>#NAME?</v>
      </c>
      <c r="AI217" s="23">
        <f t="shared" ref="AI217" si="1779">AH155-AI155</f>
        <v>0</v>
      </c>
      <c r="AJ217" s="23" t="e">
        <f t="shared" ref="AJ217" ca="1" si="1780">AI155-AJ155</f>
        <v>#NAME?</v>
      </c>
      <c r="AK217" s="23" t="e">
        <f t="shared" ref="AK217" ca="1" si="1781">AJ155-AK155</f>
        <v>#NAME?</v>
      </c>
      <c r="AL217" s="23" t="e">
        <f t="shared" ref="AL217" ca="1" si="1782">AK155-AL155</f>
        <v>#NAME?</v>
      </c>
      <c r="AM217" s="23" t="e">
        <f t="shared" ref="AM217" ca="1" si="1783">AL155-AM155</f>
        <v>#NAME?</v>
      </c>
      <c r="AN217" s="23" t="e">
        <f t="shared" ref="AN217" ca="1" si="1784">AM155-AN155</f>
        <v>#NAME?</v>
      </c>
      <c r="AO217" s="23" t="e">
        <f t="shared" ref="AO217" ca="1" si="1785">AN155-AO155</f>
        <v>#NAME?</v>
      </c>
      <c r="AP217" s="23" t="e">
        <f t="shared" ref="AP217" ca="1" si="1786">AO155-AP155</f>
        <v>#NAME?</v>
      </c>
      <c r="AQ217" s="23" t="e">
        <f t="shared" ref="AQ217" ca="1" si="1787">AP155-AQ155</f>
        <v>#NAME?</v>
      </c>
      <c r="AR217" s="23" t="e">
        <f t="shared" ref="AR217" ca="1" si="1788">AQ155-AR155</f>
        <v>#NAME?</v>
      </c>
      <c r="AS217" s="23" t="e">
        <f t="shared" ref="AS217" ca="1" si="1789">AR155-AS155</f>
        <v>#NAME?</v>
      </c>
      <c r="AT217" s="23" t="e">
        <f t="shared" ref="AT217" ca="1" si="1790">AS155-AT155</f>
        <v>#NAME?</v>
      </c>
      <c r="AU217" s="23" t="e">
        <f t="shared" ref="AU217" ca="1" si="1791">AT155-AU155</f>
        <v>#NAME?</v>
      </c>
      <c r="AV217" s="23" t="e">
        <f t="shared" ref="AV217" ca="1" si="1792">AU155-AV155</f>
        <v>#NAME?</v>
      </c>
      <c r="AW217" s="23" t="e">
        <f t="shared" ref="AW217" ca="1" si="1793">AV155-AW155</f>
        <v>#NAME?</v>
      </c>
      <c r="AX217" s="23" t="e">
        <f t="shared" ref="AX217" ca="1" si="1794">AW155-AX155</f>
        <v>#NAME?</v>
      </c>
      <c r="AY217" s="23" t="e">
        <f t="shared" ref="AY217" ca="1" si="1795">AX155-AY155</f>
        <v>#NAME?</v>
      </c>
      <c r="AZ217" s="23" t="e">
        <f t="shared" ref="AZ217" ca="1" si="1796">AY155-AZ155</f>
        <v>#NAME?</v>
      </c>
      <c r="BA217" s="23" t="e">
        <f t="shared" ref="BA217" ca="1" si="1797">AZ155-BA155</f>
        <v>#NAME?</v>
      </c>
      <c r="BB217" s="23" t="e">
        <f t="shared" ref="BB217" ca="1" si="1798">BA155-BB155</f>
        <v>#NAME?</v>
      </c>
      <c r="BC217" s="23" t="e">
        <f t="shared" ref="BC217" ca="1" si="1799">BB155-BC155</f>
        <v>#NAME?</v>
      </c>
      <c r="BD217" s="23" t="e">
        <f t="shared" ref="BD217" ca="1" si="1800">BC155-BD155</f>
        <v>#NAME?</v>
      </c>
      <c r="BE217" s="23" t="e">
        <f t="shared" ref="BE217" ca="1" si="1801">BD155-BE155</f>
        <v>#NAME?</v>
      </c>
      <c r="BF217" s="23" t="e">
        <f t="shared" ref="BF217" ca="1" si="1802">BE155-BF155</f>
        <v>#NAME?</v>
      </c>
      <c r="BG217" s="23" t="e">
        <f t="shared" ref="BG217" ca="1" si="1803">BF155-BG155</f>
        <v>#NAME?</v>
      </c>
      <c r="BH217" s="23" t="e">
        <f t="shared" ref="BH217" ca="1" si="1804">BG155-BH155</f>
        <v>#NAME?</v>
      </c>
      <c r="BI217" s="23" t="e">
        <f t="shared" ref="BI217" ca="1" si="1805">BH155-BI155</f>
        <v>#NAME?</v>
      </c>
      <c r="BJ217" s="23" t="e">
        <f t="shared" ref="BJ217" ca="1" si="1806">BI155-BJ155</f>
        <v>#NAME?</v>
      </c>
      <c r="BK217" s="23" t="e">
        <f t="shared" ref="BK217" ca="1" si="1807">BJ155-BK155</f>
        <v>#NAME?</v>
      </c>
      <c r="BL217" s="23" t="e">
        <f t="shared" ref="BL217" ca="1" si="1808">BK155-BL155</f>
        <v>#NAME?</v>
      </c>
      <c r="BM217" s="23" t="e">
        <f t="shared" ref="BM217" ca="1" si="1809">BL155-BM155</f>
        <v>#NAME?</v>
      </c>
      <c r="BN217" s="23" t="e">
        <f t="shared" ref="BN217" ca="1" si="1810">BM155-BN155</f>
        <v>#NAME?</v>
      </c>
      <c r="BO217" s="23" t="e">
        <f t="shared" ref="BO217" ca="1" si="1811">BN155-BO155</f>
        <v>#NAME?</v>
      </c>
      <c r="BP217" s="23" t="e">
        <f t="shared" ref="BP217" ca="1" si="1812">BO155-BP155</f>
        <v>#NAME?</v>
      </c>
      <c r="BQ217" s="23" t="e">
        <f t="shared" ref="BQ217" ca="1" si="1813">BP155-BQ155</f>
        <v>#NAME?</v>
      </c>
      <c r="BR217" s="23" t="e">
        <f t="shared" ref="BR217" ca="1" si="1814">BQ155-BR155</f>
        <v>#NAME?</v>
      </c>
      <c r="BS217" s="23" t="e">
        <f t="shared" ref="BS217" ca="1" si="1815">BR155-BS155</f>
        <v>#NAME?</v>
      </c>
      <c r="BT217" s="23" t="e">
        <f t="shared" ref="BT217" ca="1" si="1816">BS155-BT155</f>
        <v>#NAME?</v>
      </c>
      <c r="BU217" s="23" t="e">
        <f t="shared" ref="BU217" ca="1" si="1817">BT155-BU155</f>
        <v>#NAME?</v>
      </c>
      <c r="BV217" s="23" t="e">
        <f t="shared" ref="BV217" ca="1" si="1818">BU155-BV155</f>
        <v>#NAME?</v>
      </c>
      <c r="BW217" s="23" t="e">
        <f t="shared" ref="BW217" ca="1" si="1819">BV155-BW155</f>
        <v>#NAME?</v>
      </c>
      <c r="BX217" s="23" t="e">
        <f t="shared" ref="BX217" ca="1" si="1820">BW155-BX155</f>
        <v>#NAME?</v>
      </c>
      <c r="BY217" s="23" t="e">
        <f t="shared" ref="BY217" ca="1" si="1821">BX155-BY155</f>
        <v>#NAME?</v>
      </c>
      <c r="BZ217" s="23" t="e">
        <f t="shared" ref="BZ217" ca="1" si="1822">BY155-BZ155</f>
        <v>#NAME?</v>
      </c>
      <c r="CA217" s="23" t="e">
        <f t="shared" ref="CA217" ca="1" si="1823">BZ155-CA155</f>
        <v>#NAME?</v>
      </c>
      <c r="CB217" s="23" t="e">
        <f t="shared" ref="CB217" ca="1" si="1824">CA155-CB155</f>
        <v>#NAME?</v>
      </c>
      <c r="CC217" s="23" t="e">
        <f t="shared" ref="CC217" ca="1" si="1825">CB155-CC155</f>
        <v>#NAME?</v>
      </c>
      <c r="CD217" s="23" t="e">
        <f t="shared" ref="CD217" ca="1" si="1826">CC155-CD155</f>
        <v>#NAME?</v>
      </c>
      <c r="CE217" s="23" t="e">
        <f t="shared" ref="CE217" ca="1" si="1827">CD155-CE155</f>
        <v>#NAME?</v>
      </c>
      <c r="CF217" s="23" t="e">
        <f t="shared" ref="CF217" ca="1" si="1828">CE155-CF155</f>
        <v>#NAME?</v>
      </c>
      <c r="CG217" s="23" t="e">
        <f t="shared" ref="CG217" ca="1" si="1829">CF155-CG155</f>
        <v>#NAME?</v>
      </c>
      <c r="CH217" s="23" t="e">
        <f t="shared" ref="CH217:CL217" ca="1" si="1830">CG155-CH155</f>
        <v>#NAME?</v>
      </c>
      <c r="CI217" s="23" t="e">
        <f t="shared" ca="1" si="1830"/>
        <v>#NAME?</v>
      </c>
      <c r="CJ217" s="23" t="e">
        <f t="shared" ca="1" si="1830"/>
        <v>#NAME?</v>
      </c>
      <c r="CK217" s="24" t="e">
        <f t="shared" ref="CK217" ca="1" si="1831">CJ155-CK155</f>
        <v>#NAME?</v>
      </c>
      <c r="CL217" s="23" t="e">
        <f t="shared" ca="1" si="1830"/>
        <v>#NAME?</v>
      </c>
      <c r="CM217" s="24" t="e">
        <f t="shared" ref="CM217" ca="1" si="1832">CL155-CM155</f>
        <v>#NAME?</v>
      </c>
      <c r="CN217" s="24" t="e">
        <f t="shared" ref="CN217" ca="1" si="1833">CM155-CN155</f>
        <v>#NAME?</v>
      </c>
      <c r="CO217" s="24" t="e">
        <f t="shared" ref="CO217" ca="1" si="1834">CN155-CO155</f>
        <v>#NAME?</v>
      </c>
      <c r="CP217" s="24" t="e">
        <f t="shared" ref="CP217" ca="1" si="1835">CO155-CP155</f>
        <v>#NAME?</v>
      </c>
      <c r="CQ217" s="24" t="e">
        <f t="shared" ref="CQ217" ca="1" si="1836">CP155-CQ155</f>
        <v>#NAME?</v>
      </c>
      <c r="CR217" s="24" t="e">
        <f t="shared" ref="CR217" ca="1" si="1837">CQ155-CR155</f>
        <v>#NAME?</v>
      </c>
      <c r="CS217" s="24" t="e">
        <f t="shared" ref="CS217" ca="1" si="1838">CR155-CS155</f>
        <v>#NAME?</v>
      </c>
      <c r="CT217" s="24" t="e">
        <f t="shared" ref="CT217" ca="1" si="1839">CS155-CT155</f>
        <v>#NAME?</v>
      </c>
      <c r="CU217" s="24" t="e">
        <f t="shared" ref="CU217" ca="1" si="1840">CT155-CU155</f>
        <v>#NAME?</v>
      </c>
      <c r="CV217" s="24" t="e">
        <f t="shared" ref="CV217" ca="1" si="1841">CU155-CV155</f>
        <v>#NAME?</v>
      </c>
      <c r="CW217" s="24" t="e">
        <f t="shared" ref="CW217" ca="1" si="1842">CV155-CW155</f>
        <v>#NAME?</v>
      </c>
      <c r="CX217" s="24" t="e">
        <f t="shared" ref="CX217" ca="1" si="1843">CW155-CX155</f>
        <v>#NAME?</v>
      </c>
      <c r="CY217" s="24" t="e">
        <f t="shared" ref="CY217" ca="1" si="1844">CX155-CY155</f>
        <v>#NAME?</v>
      </c>
      <c r="CZ217" s="24" t="e">
        <f t="shared" ref="CZ217" ca="1" si="1845">CY155-CZ155</f>
        <v>#NAME?</v>
      </c>
      <c r="DA217" s="24" t="e">
        <f t="shared" ref="DA217" ca="1" si="1846">CZ155-DA155</f>
        <v>#NAME?</v>
      </c>
      <c r="DB217" s="24" t="e">
        <f t="shared" ref="DB217" ca="1" si="1847">DA155-DB155</f>
        <v>#NAME?</v>
      </c>
      <c r="DE217" s="123"/>
      <c r="DF217" s="23">
        <v>0</v>
      </c>
    </row>
    <row r="218" spans="1:110" s="23" customFormat="1" x14ac:dyDescent="0.2">
      <c r="A218" s="23" t="s">
        <v>94</v>
      </c>
      <c r="C218" s="23" t="e">
        <f t="shared" ref="C218:AE218" ca="1" si="1848">B153-C47-C153</f>
        <v>#NAME?</v>
      </c>
      <c r="D218" s="23" t="e">
        <f t="shared" ca="1" si="1848"/>
        <v>#NAME?</v>
      </c>
      <c r="E218" s="23" t="e">
        <f t="shared" ca="1" si="1848"/>
        <v>#NAME?</v>
      </c>
      <c r="F218" s="23" t="e">
        <f t="shared" ca="1" si="1848"/>
        <v>#NAME?</v>
      </c>
      <c r="G218" s="23" t="e">
        <f t="shared" ca="1" si="1848"/>
        <v>#NAME?</v>
      </c>
      <c r="H218" s="23" t="e">
        <f t="shared" ca="1" si="1848"/>
        <v>#NAME?</v>
      </c>
      <c r="I218" s="23" t="e">
        <f t="shared" ca="1" si="1848"/>
        <v>#NAME?</v>
      </c>
      <c r="J218" s="23" t="e">
        <f t="shared" ca="1" si="1848"/>
        <v>#NAME?</v>
      </c>
      <c r="K218" s="23" t="e">
        <f t="shared" ca="1" si="1848"/>
        <v>#NAME?</v>
      </c>
      <c r="L218" s="23" t="e">
        <f t="shared" ca="1" si="1848"/>
        <v>#NAME?</v>
      </c>
      <c r="M218" s="23" t="e">
        <f t="shared" ca="1" si="1848"/>
        <v>#NAME?</v>
      </c>
      <c r="N218" s="23" t="e">
        <f t="shared" ca="1" si="1848"/>
        <v>#NAME?</v>
      </c>
      <c r="O218" s="23" t="e">
        <f t="shared" ca="1" si="1848"/>
        <v>#NAME?</v>
      </c>
      <c r="P218" s="23" t="e">
        <f t="shared" ca="1" si="1848"/>
        <v>#NAME?</v>
      </c>
      <c r="Q218" s="23" t="e">
        <f t="shared" ca="1" si="1848"/>
        <v>#NAME?</v>
      </c>
      <c r="R218" s="23" t="e">
        <f t="shared" ca="1" si="1848"/>
        <v>#NAME?</v>
      </c>
      <c r="S218" s="23" t="e">
        <f t="shared" ca="1" si="1848"/>
        <v>#NAME?</v>
      </c>
      <c r="T218" s="23" t="e">
        <f t="shared" ca="1" si="1848"/>
        <v>#NAME?</v>
      </c>
      <c r="U218" s="23" t="e">
        <f t="shared" ca="1" si="1848"/>
        <v>#NAME?</v>
      </c>
      <c r="V218" s="23" t="e">
        <f t="shared" ca="1" si="1848"/>
        <v>#NAME?</v>
      </c>
      <c r="W218" s="23" t="e">
        <f t="shared" ca="1" si="1848"/>
        <v>#NAME?</v>
      </c>
      <c r="X218" s="23" t="e">
        <f t="shared" ca="1" si="1848"/>
        <v>#NAME?</v>
      </c>
      <c r="Y218" s="23" t="e">
        <f t="shared" ca="1" si="1848"/>
        <v>#NAME?</v>
      </c>
      <c r="Z218" s="23" t="e">
        <f t="shared" ca="1" si="1848"/>
        <v>#NAME?</v>
      </c>
      <c r="AA218" s="23" t="e">
        <f t="shared" ca="1" si="1848"/>
        <v>#NAME?</v>
      </c>
      <c r="AB218" s="24" t="e">
        <f t="shared" ca="1" si="1848"/>
        <v>#NAME?</v>
      </c>
      <c r="AC218" s="24" t="e">
        <f t="shared" ca="1" si="1848"/>
        <v>#NAME?</v>
      </c>
      <c r="AD218" s="24" t="e">
        <f t="shared" ca="1" si="1848"/>
        <v>#NAME?</v>
      </c>
      <c r="AE218" s="24" t="e">
        <f t="shared" ca="1" si="1848"/>
        <v>#NAME?</v>
      </c>
      <c r="AI218" s="23" t="e">
        <f t="shared" ref="AI218:BN218" ca="1" si="1849">AH153-AI47-AI153</f>
        <v>#NAME?</v>
      </c>
      <c r="AJ218" s="23" t="e">
        <f t="shared" ca="1" si="1849"/>
        <v>#NAME?</v>
      </c>
      <c r="AK218" s="23" t="e">
        <f t="shared" ca="1" si="1849"/>
        <v>#NAME?</v>
      </c>
      <c r="AL218" s="23" t="e">
        <f t="shared" ca="1" si="1849"/>
        <v>#NAME?</v>
      </c>
      <c r="AM218" s="23" t="e">
        <f t="shared" ca="1" si="1849"/>
        <v>#NAME?</v>
      </c>
      <c r="AN218" s="23" t="e">
        <f t="shared" ca="1" si="1849"/>
        <v>#NAME?</v>
      </c>
      <c r="AO218" s="23" t="e">
        <f t="shared" ca="1" si="1849"/>
        <v>#NAME?</v>
      </c>
      <c r="AP218" s="23" t="e">
        <f t="shared" ca="1" si="1849"/>
        <v>#NAME?</v>
      </c>
      <c r="AQ218" s="23" t="e">
        <f t="shared" ca="1" si="1849"/>
        <v>#NAME?</v>
      </c>
      <c r="AR218" s="23" t="e">
        <f t="shared" ca="1" si="1849"/>
        <v>#NAME?</v>
      </c>
      <c r="AS218" s="23" t="e">
        <f t="shared" ca="1" si="1849"/>
        <v>#NAME?</v>
      </c>
      <c r="AT218" s="23" t="e">
        <f t="shared" ca="1" si="1849"/>
        <v>#NAME?</v>
      </c>
      <c r="AU218" s="23" t="e">
        <f t="shared" ca="1" si="1849"/>
        <v>#NAME?</v>
      </c>
      <c r="AV218" s="23" t="e">
        <f t="shared" ca="1" si="1849"/>
        <v>#NAME?</v>
      </c>
      <c r="AW218" s="23" t="e">
        <f t="shared" ca="1" si="1849"/>
        <v>#NAME?</v>
      </c>
      <c r="AX218" s="23" t="e">
        <f t="shared" ca="1" si="1849"/>
        <v>#NAME?</v>
      </c>
      <c r="AY218" s="23" t="e">
        <f t="shared" ca="1" si="1849"/>
        <v>#NAME?</v>
      </c>
      <c r="AZ218" s="23" t="e">
        <f t="shared" ca="1" si="1849"/>
        <v>#NAME?</v>
      </c>
      <c r="BA218" s="23" t="e">
        <f t="shared" ca="1" si="1849"/>
        <v>#NAME?</v>
      </c>
      <c r="BB218" s="23" t="e">
        <f t="shared" ca="1" si="1849"/>
        <v>#NAME?</v>
      </c>
      <c r="BC218" s="23" t="e">
        <f t="shared" ca="1" si="1849"/>
        <v>#NAME?</v>
      </c>
      <c r="BD218" s="23" t="e">
        <f t="shared" ca="1" si="1849"/>
        <v>#NAME?</v>
      </c>
      <c r="BE218" s="23" t="e">
        <f t="shared" ca="1" si="1849"/>
        <v>#NAME?</v>
      </c>
      <c r="BF218" s="23" t="e">
        <f t="shared" ca="1" si="1849"/>
        <v>#NAME?</v>
      </c>
      <c r="BG218" s="23" t="e">
        <f t="shared" ca="1" si="1849"/>
        <v>#NAME?</v>
      </c>
      <c r="BH218" s="23" t="e">
        <f t="shared" ca="1" si="1849"/>
        <v>#NAME?</v>
      </c>
      <c r="BI218" s="23" t="e">
        <f t="shared" ca="1" si="1849"/>
        <v>#NAME?</v>
      </c>
      <c r="BJ218" s="23" t="e">
        <f t="shared" ca="1" si="1849"/>
        <v>#NAME?</v>
      </c>
      <c r="BK218" s="23" t="e">
        <f t="shared" ca="1" si="1849"/>
        <v>#NAME?</v>
      </c>
      <c r="BL218" s="23" t="e">
        <f t="shared" ca="1" si="1849"/>
        <v>#NAME?</v>
      </c>
      <c r="BM218" s="23" t="e">
        <f t="shared" ca="1" si="1849"/>
        <v>#NAME?</v>
      </c>
      <c r="BN218" s="23" t="e">
        <f t="shared" ca="1" si="1849"/>
        <v>#NAME?</v>
      </c>
      <c r="BO218" s="23" t="e">
        <f t="shared" ref="BO218:CT218" ca="1" si="1850">BN153-BO47-BO153</f>
        <v>#NAME?</v>
      </c>
      <c r="BP218" s="23" t="e">
        <f t="shared" ca="1" si="1850"/>
        <v>#NAME?</v>
      </c>
      <c r="BQ218" s="23" t="e">
        <f t="shared" ca="1" si="1850"/>
        <v>#NAME?</v>
      </c>
      <c r="BR218" s="23" t="e">
        <f t="shared" ca="1" si="1850"/>
        <v>#NAME?</v>
      </c>
      <c r="BS218" s="23" t="e">
        <f t="shared" ca="1" si="1850"/>
        <v>#NAME?</v>
      </c>
      <c r="BT218" s="23" t="e">
        <f t="shared" ca="1" si="1850"/>
        <v>#NAME?</v>
      </c>
      <c r="BU218" s="23" t="e">
        <f t="shared" ca="1" si="1850"/>
        <v>#NAME?</v>
      </c>
      <c r="BV218" s="23" t="e">
        <f t="shared" ca="1" si="1850"/>
        <v>#NAME?</v>
      </c>
      <c r="BW218" s="23" t="e">
        <f t="shared" ca="1" si="1850"/>
        <v>#NAME?</v>
      </c>
      <c r="BX218" s="23" t="e">
        <f t="shared" ca="1" si="1850"/>
        <v>#NAME?</v>
      </c>
      <c r="BY218" s="23" t="e">
        <f t="shared" ca="1" si="1850"/>
        <v>#NAME?</v>
      </c>
      <c r="BZ218" s="23" t="e">
        <f t="shared" ca="1" si="1850"/>
        <v>#NAME?</v>
      </c>
      <c r="CA218" s="23" t="e">
        <f t="shared" ca="1" si="1850"/>
        <v>#NAME?</v>
      </c>
      <c r="CB218" s="23" t="e">
        <f t="shared" ca="1" si="1850"/>
        <v>#NAME?</v>
      </c>
      <c r="CC218" s="23" t="e">
        <f t="shared" ca="1" si="1850"/>
        <v>#NAME?</v>
      </c>
      <c r="CD218" s="23" t="e">
        <f t="shared" ca="1" si="1850"/>
        <v>#NAME?</v>
      </c>
      <c r="CE218" s="23" t="e">
        <f t="shared" ca="1" si="1850"/>
        <v>#NAME?</v>
      </c>
      <c r="CF218" s="23" t="e">
        <f t="shared" ca="1" si="1850"/>
        <v>#NAME?</v>
      </c>
      <c r="CG218" s="23" t="e">
        <f t="shared" ca="1" si="1850"/>
        <v>#NAME?</v>
      </c>
      <c r="CH218" s="23" t="e">
        <f t="shared" ca="1" si="1850"/>
        <v>#NAME?</v>
      </c>
      <c r="CI218" s="23" t="e">
        <f t="shared" ca="1" si="1850"/>
        <v>#NAME?</v>
      </c>
      <c r="CJ218" s="23" t="e">
        <f t="shared" ca="1" si="1850"/>
        <v>#NAME?</v>
      </c>
      <c r="CK218" s="24" t="e">
        <f t="shared" ca="1" si="1850"/>
        <v>#NAME?</v>
      </c>
      <c r="CL218" s="23" t="e">
        <f t="shared" ca="1" si="1850"/>
        <v>#NAME?</v>
      </c>
      <c r="CM218" s="24" t="e">
        <f t="shared" ca="1" si="1850"/>
        <v>#NAME?</v>
      </c>
      <c r="CN218" s="24" t="e">
        <f t="shared" ca="1" si="1850"/>
        <v>#NAME?</v>
      </c>
      <c r="CO218" s="24" t="e">
        <f t="shared" ca="1" si="1850"/>
        <v>#NAME?</v>
      </c>
      <c r="CP218" s="24" t="e">
        <f t="shared" ca="1" si="1850"/>
        <v>#NAME?</v>
      </c>
      <c r="CQ218" s="24" t="e">
        <f t="shared" ca="1" si="1850"/>
        <v>#NAME?</v>
      </c>
      <c r="CR218" s="24" t="e">
        <f t="shared" ca="1" si="1850"/>
        <v>#NAME?</v>
      </c>
      <c r="CS218" s="24" t="e">
        <f t="shared" ca="1" si="1850"/>
        <v>#NAME?</v>
      </c>
      <c r="CT218" s="24" t="e">
        <f t="shared" ca="1" si="1850"/>
        <v>#NAME?</v>
      </c>
      <c r="CU218" s="24" t="e">
        <f t="shared" ref="CU218:DB218" ca="1" si="1851">CT153-CU47-CU153</f>
        <v>#NAME?</v>
      </c>
      <c r="CV218" s="24" t="e">
        <f t="shared" ca="1" si="1851"/>
        <v>#NAME?</v>
      </c>
      <c r="CW218" s="24" t="e">
        <f t="shared" ca="1" si="1851"/>
        <v>#NAME?</v>
      </c>
      <c r="CX218" s="24" t="e">
        <f t="shared" ca="1" si="1851"/>
        <v>#NAME?</v>
      </c>
      <c r="CY218" s="24" t="e">
        <f t="shared" ca="1" si="1851"/>
        <v>#NAME?</v>
      </c>
      <c r="CZ218" s="24" t="e">
        <f t="shared" ca="1" si="1851"/>
        <v>#NAME?</v>
      </c>
      <c r="DA218" s="24" t="e">
        <f t="shared" ca="1" si="1851"/>
        <v>#NAME?</v>
      </c>
      <c r="DB218" s="24" t="e">
        <f t="shared" ca="1" si="1851"/>
        <v>#NAME?</v>
      </c>
      <c r="DE218" s="123"/>
      <c r="DF218" s="23">
        <v>-87.96629999999999</v>
      </c>
    </row>
    <row r="219" spans="1:110" s="23" customFormat="1" x14ac:dyDescent="0.2">
      <c r="AB219" s="24"/>
      <c r="AC219" s="24"/>
      <c r="AD219" s="24"/>
      <c r="AE219" s="24"/>
      <c r="CK219" s="24"/>
      <c r="CM219" s="24"/>
      <c r="CN219" s="24"/>
      <c r="CO219" s="24"/>
      <c r="CP219" s="24"/>
      <c r="CQ219" s="24"/>
      <c r="CR219" s="24"/>
      <c r="CS219" s="24"/>
      <c r="CT219" s="24"/>
      <c r="CU219" s="24"/>
      <c r="CV219" s="24"/>
      <c r="CW219" s="24"/>
      <c r="CX219" s="24"/>
      <c r="CY219" s="24"/>
      <c r="CZ219" s="24"/>
      <c r="DA219" s="24"/>
      <c r="DB219" s="24"/>
      <c r="DE219" s="123"/>
    </row>
    <row r="220" spans="1:110" s="22" customFormat="1" x14ac:dyDescent="0.2">
      <c r="A220" s="22" t="s">
        <v>95</v>
      </c>
      <c r="C220" s="22" t="e">
        <f t="shared" ref="C220:W220" ca="1" si="1852">C221+C222</f>
        <v>#NAME?</v>
      </c>
      <c r="D220" s="22" t="e">
        <f t="shared" ca="1" si="1852"/>
        <v>#NAME?</v>
      </c>
      <c r="E220" s="22" t="e">
        <f t="shared" ca="1" si="1852"/>
        <v>#NAME?</v>
      </c>
      <c r="F220" s="22" t="e">
        <f t="shared" ca="1" si="1852"/>
        <v>#NAME?</v>
      </c>
      <c r="G220" s="22" t="e">
        <f t="shared" ca="1" si="1852"/>
        <v>#NAME?</v>
      </c>
      <c r="H220" s="22" t="e">
        <f t="shared" ca="1" si="1852"/>
        <v>#NAME?</v>
      </c>
      <c r="I220" s="22" t="e">
        <f t="shared" ca="1" si="1852"/>
        <v>#NAME?</v>
      </c>
      <c r="J220" s="22" t="e">
        <f t="shared" ca="1" si="1852"/>
        <v>#NAME?</v>
      </c>
      <c r="K220" s="22" t="e">
        <f t="shared" ca="1" si="1852"/>
        <v>#NAME?</v>
      </c>
      <c r="L220" s="22" t="e">
        <f t="shared" ca="1" si="1852"/>
        <v>#NAME?</v>
      </c>
      <c r="M220" s="22" t="e">
        <f t="shared" ca="1" si="1852"/>
        <v>#NAME?</v>
      </c>
      <c r="N220" s="22" t="e">
        <f t="shared" ca="1" si="1852"/>
        <v>#NAME?</v>
      </c>
      <c r="O220" s="22" t="e">
        <f t="shared" ca="1" si="1852"/>
        <v>#NAME?</v>
      </c>
      <c r="P220" s="22" t="e">
        <f t="shared" ca="1" si="1852"/>
        <v>#NAME?</v>
      </c>
      <c r="Q220" s="22" t="e">
        <f t="shared" ca="1" si="1852"/>
        <v>#NAME?</v>
      </c>
      <c r="R220" s="22" t="e">
        <f t="shared" ca="1" si="1852"/>
        <v>#NAME?</v>
      </c>
      <c r="S220" s="22" t="e">
        <f t="shared" ca="1" si="1852"/>
        <v>#NAME?</v>
      </c>
      <c r="T220" s="22" t="e">
        <f t="shared" ca="1" si="1852"/>
        <v>#NAME?</v>
      </c>
      <c r="U220" s="22" t="e">
        <f t="shared" ca="1" si="1852"/>
        <v>#NAME?</v>
      </c>
      <c r="V220" s="22" t="e">
        <f t="shared" ca="1" si="1852"/>
        <v>#NAME?</v>
      </c>
      <c r="W220" s="22" t="e">
        <f t="shared" ca="1" si="1852"/>
        <v>#NAME?</v>
      </c>
      <c r="X220" s="22" t="e">
        <f t="shared" ref="X220:Y220" ca="1" si="1853">X221+X222</f>
        <v>#NAME?</v>
      </c>
      <c r="Y220" s="22" t="e">
        <f t="shared" ca="1" si="1853"/>
        <v>#NAME?</v>
      </c>
      <c r="Z220" s="22" t="e">
        <f t="shared" ref="Z220:AA220" ca="1" si="1854">Z221+Z222</f>
        <v>#NAME?</v>
      </c>
      <c r="AA220" s="22" t="e">
        <f t="shared" ca="1" si="1854"/>
        <v>#NAME?</v>
      </c>
      <c r="AB220" s="21" t="e">
        <f t="shared" ref="AA220:AD220" ca="1" si="1855">AB221+AB222</f>
        <v>#NAME?</v>
      </c>
      <c r="AC220" s="21" t="e">
        <f t="shared" ca="1" si="1855"/>
        <v>#NAME?</v>
      </c>
      <c r="AD220" s="21" t="e">
        <f t="shared" ca="1" si="1855"/>
        <v>#NAME?</v>
      </c>
      <c r="AE220" s="21" t="e">
        <f t="shared" ref="AE220" ca="1" si="1856">AE221+AE222</f>
        <v>#NAME?</v>
      </c>
      <c r="AI220" s="22" t="e">
        <f t="shared" ref="AI220" ca="1" si="1857">AI221+AI222</f>
        <v>#NAME?</v>
      </c>
      <c r="AJ220" s="22" t="e">
        <f t="shared" ref="AJ220:AL220" ca="1" si="1858">AJ221+AJ222</f>
        <v>#NAME?</v>
      </c>
      <c r="AK220" s="22" t="e">
        <f t="shared" ca="1" si="1858"/>
        <v>#NAME?</v>
      </c>
      <c r="AL220" s="22" t="e">
        <f t="shared" ca="1" si="1858"/>
        <v>#NAME?</v>
      </c>
      <c r="AM220" s="22" t="e">
        <f t="shared" ref="AM220" ca="1" si="1859">AM221+AM222</f>
        <v>#NAME?</v>
      </c>
      <c r="AN220" s="22" t="e">
        <f t="shared" ref="AN220:CD220" ca="1" si="1860">AN221+AN222</f>
        <v>#NAME?</v>
      </c>
      <c r="AO220" s="22" t="e">
        <f t="shared" ca="1" si="1860"/>
        <v>#NAME?</v>
      </c>
      <c r="AP220" s="22" t="e">
        <f t="shared" ca="1" si="1860"/>
        <v>#NAME?</v>
      </c>
      <c r="AQ220" s="22" t="e">
        <f t="shared" ca="1" si="1860"/>
        <v>#NAME?</v>
      </c>
      <c r="AR220" s="22" t="e">
        <f t="shared" ca="1" si="1860"/>
        <v>#NAME?</v>
      </c>
      <c r="AS220" s="22" t="e">
        <f t="shared" ca="1" si="1860"/>
        <v>#NAME?</v>
      </c>
      <c r="AT220" s="22" t="e">
        <f t="shared" ca="1" si="1860"/>
        <v>#NAME?</v>
      </c>
      <c r="AU220" s="22" t="e">
        <f t="shared" ca="1" si="1860"/>
        <v>#NAME?</v>
      </c>
      <c r="AV220" s="22" t="e">
        <f t="shared" ca="1" si="1860"/>
        <v>#NAME?</v>
      </c>
      <c r="AW220" s="22" t="e">
        <f t="shared" ca="1" si="1860"/>
        <v>#NAME?</v>
      </c>
      <c r="AX220" s="22" t="e">
        <f t="shared" ca="1" si="1860"/>
        <v>#NAME?</v>
      </c>
      <c r="AY220" s="22" t="e">
        <f t="shared" ca="1" si="1860"/>
        <v>#NAME?</v>
      </c>
      <c r="AZ220" s="22" t="e">
        <f t="shared" ca="1" si="1860"/>
        <v>#NAME?</v>
      </c>
      <c r="BA220" s="22" t="e">
        <f t="shared" ca="1" si="1860"/>
        <v>#NAME?</v>
      </c>
      <c r="BB220" s="22" t="e">
        <f t="shared" ca="1" si="1860"/>
        <v>#NAME?</v>
      </c>
      <c r="BC220" s="22" t="e">
        <f t="shared" ca="1" si="1860"/>
        <v>#NAME?</v>
      </c>
      <c r="BD220" s="22" t="e">
        <f t="shared" ca="1" si="1860"/>
        <v>#NAME?</v>
      </c>
      <c r="BE220" s="22" t="e">
        <f t="shared" ca="1" si="1860"/>
        <v>#NAME?</v>
      </c>
      <c r="BF220" s="22" t="e">
        <f t="shared" ca="1" si="1860"/>
        <v>#NAME?</v>
      </c>
      <c r="BG220" s="22" t="e">
        <f t="shared" ca="1" si="1860"/>
        <v>#NAME?</v>
      </c>
      <c r="BH220" s="22" t="e">
        <f t="shared" ca="1" si="1860"/>
        <v>#NAME?</v>
      </c>
      <c r="BI220" s="22" t="e">
        <f t="shared" ca="1" si="1860"/>
        <v>#NAME?</v>
      </c>
      <c r="BJ220" s="22" t="e">
        <f t="shared" ca="1" si="1860"/>
        <v>#NAME?</v>
      </c>
      <c r="BK220" s="22" t="e">
        <f t="shared" ca="1" si="1860"/>
        <v>#NAME?</v>
      </c>
      <c r="BL220" s="22" t="e">
        <f t="shared" ca="1" si="1860"/>
        <v>#NAME?</v>
      </c>
      <c r="BM220" s="22" t="e">
        <f t="shared" ca="1" si="1860"/>
        <v>#NAME?</v>
      </c>
      <c r="BN220" s="22" t="e">
        <f t="shared" ca="1" si="1860"/>
        <v>#NAME?</v>
      </c>
      <c r="BO220" s="22" t="e">
        <f t="shared" ca="1" si="1860"/>
        <v>#NAME?</v>
      </c>
      <c r="BP220" s="22" t="e">
        <f t="shared" ca="1" si="1860"/>
        <v>#NAME?</v>
      </c>
      <c r="BQ220" s="22" t="e">
        <f t="shared" ca="1" si="1860"/>
        <v>#NAME?</v>
      </c>
      <c r="BR220" s="22" t="e">
        <f t="shared" ca="1" si="1860"/>
        <v>#NAME?</v>
      </c>
      <c r="BS220" s="22" t="e">
        <f t="shared" ca="1" si="1860"/>
        <v>#NAME?</v>
      </c>
      <c r="BT220" s="22" t="e">
        <f t="shared" ca="1" si="1860"/>
        <v>#NAME?</v>
      </c>
      <c r="BU220" s="22" t="e">
        <f t="shared" ca="1" si="1860"/>
        <v>#NAME?</v>
      </c>
      <c r="BV220" s="22" t="e">
        <f t="shared" ca="1" si="1860"/>
        <v>#NAME?</v>
      </c>
      <c r="BW220" s="22" t="e">
        <f t="shared" ca="1" si="1860"/>
        <v>#NAME?</v>
      </c>
      <c r="BX220" s="22" t="e">
        <f t="shared" ca="1" si="1860"/>
        <v>#NAME?</v>
      </c>
      <c r="BY220" s="22" t="e">
        <f t="shared" ca="1" si="1860"/>
        <v>#NAME?</v>
      </c>
      <c r="BZ220" s="22" t="e">
        <f t="shared" ca="1" si="1860"/>
        <v>#NAME?</v>
      </c>
      <c r="CA220" s="22" t="e">
        <f t="shared" ca="1" si="1860"/>
        <v>#NAME?</v>
      </c>
      <c r="CB220" s="22" t="e">
        <f t="shared" ca="1" si="1860"/>
        <v>#NAME?</v>
      </c>
      <c r="CC220" s="22" t="e">
        <f t="shared" ca="1" si="1860"/>
        <v>#NAME?</v>
      </c>
      <c r="CD220" s="22" t="e">
        <f t="shared" ca="1" si="1860"/>
        <v>#NAME?</v>
      </c>
      <c r="CE220" s="22" t="e">
        <f t="shared" ref="CE220:CF220" ca="1" si="1861">CE221+CE222</f>
        <v>#NAME?</v>
      </c>
      <c r="CF220" s="22" t="e">
        <f t="shared" ca="1" si="1861"/>
        <v>#NAME?</v>
      </c>
      <c r="CG220" s="22" t="e">
        <f t="shared" ref="CG220:CH220" ca="1" si="1862">CG221+CG222</f>
        <v>#NAME?</v>
      </c>
      <c r="CH220" s="22" t="e">
        <f t="shared" ca="1" si="1862"/>
        <v>#NAME?</v>
      </c>
      <c r="CI220" s="22" t="e">
        <f t="shared" ref="CI220:CJ220" ca="1" si="1863">CI221+CI222</f>
        <v>#NAME?</v>
      </c>
      <c r="CJ220" s="22" t="e">
        <f t="shared" ca="1" si="1863"/>
        <v>#NAME?</v>
      </c>
      <c r="CK220" s="21" t="e">
        <f t="shared" ref="CK220:DB220" ca="1" si="1864">CK221+CK222</f>
        <v>#NAME?</v>
      </c>
      <c r="CL220" s="22" t="e">
        <f t="shared" ca="1" si="1864"/>
        <v>#NAME?</v>
      </c>
      <c r="CM220" s="21" t="e">
        <f t="shared" ca="1" si="1864"/>
        <v>#NAME?</v>
      </c>
      <c r="CN220" s="21" t="e">
        <f t="shared" ca="1" si="1864"/>
        <v>#NAME?</v>
      </c>
      <c r="CO220" s="21" t="e">
        <f t="shared" ca="1" si="1864"/>
        <v>#NAME?</v>
      </c>
      <c r="CP220" s="21" t="e">
        <f t="shared" ca="1" si="1864"/>
        <v>#NAME?</v>
      </c>
      <c r="CQ220" s="21" t="e">
        <f t="shared" ca="1" si="1864"/>
        <v>#NAME?</v>
      </c>
      <c r="CR220" s="21" t="e">
        <f t="shared" ca="1" si="1864"/>
        <v>#NAME?</v>
      </c>
      <c r="CS220" s="21" t="e">
        <f t="shared" ca="1" si="1864"/>
        <v>#NAME?</v>
      </c>
      <c r="CT220" s="21" t="e">
        <f t="shared" ca="1" si="1864"/>
        <v>#NAME?</v>
      </c>
      <c r="CU220" s="21" t="e">
        <f t="shared" ca="1" si="1864"/>
        <v>#NAME?</v>
      </c>
      <c r="CV220" s="21" t="e">
        <f t="shared" ca="1" si="1864"/>
        <v>#NAME?</v>
      </c>
      <c r="CW220" s="21" t="e">
        <f t="shared" ca="1" si="1864"/>
        <v>#NAME?</v>
      </c>
      <c r="CX220" s="21" t="e">
        <f t="shared" ca="1" si="1864"/>
        <v>#NAME?</v>
      </c>
      <c r="CY220" s="21" t="e">
        <f t="shared" ca="1" si="1864"/>
        <v>#NAME?</v>
      </c>
      <c r="CZ220" s="21" t="e">
        <f t="shared" ca="1" si="1864"/>
        <v>#NAME?</v>
      </c>
      <c r="DA220" s="21" t="e">
        <f t="shared" ca="1" si="1864"/>
        <v>#NAME?</v>
      </c>
      <c r="DB220" s="21" t="e">
        <f t="shared" ca="1" si="1864"/>
        <v>#NAME?</v>
      </c>
      <c r="DE220" s="126"/>
      <c r="DF220" s="22">
        <v>99.248599999999925</v>
      </c>
    </row>
    <row r="221" spans="1:110" s="23" customFormat="1" x14ac:dyDescent="0.2">
      <c r="A221" s="23" t="s">
        <v>49</v>
      </c>
      <c r="C221" s="23" t="e">
        <f t="shared" ref="C221:AA221" ca="1" si="1865">C143-B143</f>
        <v>#NAME?</v>
      </c>
      <c r="D221" s="23" t="e">
        <f t="shared" ca="1" si="1865"/>
        <v>#NAME?</v>
      </c>
      <c r="E221" s="23" t="e">
        <f ca="1">E143-D143</f>
        <v>#NAME?</v>
      </c>
      <c r="F221" s="23" t="e">
        <f t="shared" ca="1" si="1865"/>
        <v>#NAME?</v>
      </c>
      <c r="G221" s="23" t="e">
        <f t="shared" ca="1" si="1865"/>
        <v>#NAME?</v>
      </c>
      <c r="H221" s="23" t="e">
        <f t="shared" ca="1" si="1865"/>
        <v>#NAME?</v>
      </c>
      <c r="I221" s="23" t="e">
        <f t="shared" ca="1" si="1865"/>
        <v>#NAME?</v>
      </c>
      <c r="J221" s="23" t="e">
        <f ca="1">J143-I143</f>
        <v>#NAME?</v>
      </c>
      <c r="K221" s="23" t="e">
        <f ca="1">K143-J143</f>
        <v>#NAME?</v>
      </c>
      <c r="L221" s="23" t="e">
        <f t="shared" ca="1" si="1865"/>
        <v>#NAME?</v>
      </c>
      <c r="M221" s="23" t="e">
        <f t="shared" ca="1" si="1865"/>
        <v>#NAME?</v>
      </c>
      <c r="N221" s="23" t="e">
        <f t="shared" ca="1" si="1865"/>
        <v>#NAME?</v>
      </c>
      <c r="O221" s="23" t="e">
        <f t="shared" ca="1" si="1865"/>
        <v>#NAME?</v>
      </c>
      <c r="P221" s="23" t="e">
        <f t="shared" ca="1" si="1865"/>
        <v>#NAME?</v>
      </c>
      <c r="Q221" s="23" t="e">
        <f t="shared" ca="1" si="1865"/>
        <v>#NAME?</v>
      </c>
      <c r="R221" s="23" t="e">
        <f t="shared" ca="1" si="1865"/>
        <v>#NAME?</v>
      </c>
      <c r="S221" s="23" t="e">
        <f t="shared" ca="1" si="1865"/>
        <v>#NAME?</v>
      </c>
      <c r="T221" s="23" t="e">
        <f t="shared" ca="1" si="1865"/>
        <v>#NAME?</v>
      </c>
      <c r="U221" s="23" t="e">
        <f t="shared" ca="1" si="1865"/>
        <v>#NAME?</v>
      </c>
      <c r="V221" s="23" t="e">
        <f t="shared" ca="1" si="1865"/>
        <v>#NAME?</v>
      </c>
      <c r="W221" s="23" t="e">
        <f t="shared" ca="1" si="1865"/>
        <v>#NAME?</v>
      </c>
      <c r="X221" s="23" t="e">
        <f t="shared" ca="1" si="1865"/>
        <v>#NAME?</v>
      </c>
      <c r="Y221" s="23" t="e">
        <f t="shared" ca="1" si="1865"/>
        <v>#NAME?</v>
      </c>
      <c r="Z221" s="23" t="e">
        <f t="shared" ca="1" si="1865"/>
        <v>#NAME?</v>
      </c>
      <c r="AA221" s="23" t="e">
        <f t="shared" ca="1" si="1865"/>
        <v>#NAME?</v>
      </c>
      <c r="AB221" s="24" t="e">
        <f t="shared" ref="AB221" ca="1" si="1866">AB143-AA143</f>
        <v>#NAME?</v>
      </c>
      <c r="AC221" s="24" t="e">
        <f t="shared" ref="AC221" ca="1" si="1867">AC143-AB143</f>
        <v>#NAME?</v>
      </c>
      <c r="AD221" s="24" t="e">
        <f t="shared" ref="AD221" ca="1" si="1868">AD143-AC143</f>
        <v>#NAME?</v>
      </c>
      <c r="AE221" s="24" t="e">
        <f t="shared" ref="AE221" ca="1" si="1869">AE143-AD143</f>
        <v>#NAME?</v>
      </c>
      <c r="AI221" s="23">
        <f t="shared" ref="AI221" si="1870">AI143-AH143</f>
        <v>0</v>
      </c>
      <c r="AJ221" s="23" t="e">
        <f t="shared" ref="AJ221" ca="1" si="1871">AJ143-AI143</f>
        <v>#NAME?</v>
      </c>
      <c r="AK221" s="23" t="e">
        <f t="shared" ref="AK221" ca="1" si="1872">AK143-AJ143</f>
        <v>#NAME?</v>
      </c>
      <c r="AL221" s="23" t="e">
        <f t="shared" ref="AL221" ca="1" si="1873">AL143-AK143</f>
        <v>#NAME?</v>
      </c>
      <c r="AM221" s="23" t="e">
        <f t="shared" ref="AM221" ca="1" si="1874">AM143-AL143</f>
        <v>#NAME?</v>
      </c>
      <c r="AN221" s="23" t="e">
        <f t="shared" ref="AN221" ca="1" si="1875">AN143-AM143</f>
        <v>#NAME?</v>
      </c>
      <c r="AO221" s="23" t="e">
        <f t="shared" ref="AO221" ca="1" si="1876">AO143-AN143</f>
        <v>#NAME?</v>
      </c>
      <c r="AP221" s="23" t="e">
        <f t="shared" ref="AP221" ca="1" si="1877">AP143-AO143</f>
        <v>#NAME?</v>
      </c>
      <c r="AQ221" s="23" t="e">
        <f t="shared" ref="AQ221" ca="1" si="1878">AQ143-AP143</f>
        <v>#NAME?</v>
      </c>
      <c r="AR221" s="23" t="e">
        <f t="shared" ref="AR221" ca="1" si="1879">AR143-AQ143</f>
        <v>#NAME?</v>
      </c>
      <c r="AS221" s="23" t="e">
        <f t="shared" ref="AS221" ca="1" si="1880">AS143-AR143</f>
        <v>#NAME?</v>
      </c>
      <c r="AT221" s="23" t="e">
        <f t="shared" ref="AT221" ca="1" si="1881">AT143-AS143</f>
        <v>#NAME?</v>
      </c>
      <c r="AU221" s="23" t="e">
        <f t="shared" ref="AU221" ca="1" si="1882">AU143-AT143</f>
        <v>#NAME?</v>
      </c>
      <c r="AV221" s="23" t="e">
        <f t="shared" ref="AV221" ca="1" si="1883">AV143-AU143</f>
        <v>#NAME?</v>
      </c>
      <c r="AW221" s="23" t="e">
        <f t="shared" ref="AW221" ca="1" si="1884">AW143-AV143</f>
        <v>#NAME?</v>
      </c>
      <c r="AX221" s="23" t="e">
        <f t="shared" ref="AX221" ca="1" si="1885">AX143-AW143</f>
        <v>#NAME?</v>
      </c>
      <c r="AY221" s="23" t="e">
        <f t="shared" ref="AY221" ca="1" si="1886">AY143-AX143</f>
        <v>#NAME?</v>
      </c>
      <c r="AZ221" s="23" t="e">
        <f t="shared" ref="AZ221" ca="1" si="1887">AZ143-AY143</f>
        <v>#NAME?</v>
      </c>
      <c r="BA221" s="23" t="e">
        <f t="shared" ref="BA221" ca="1" si="1888">BA143-AZ143</f>
        <v>#NAME?</v>
      </c>
      <c r="BB221" s="23" t="e">
        <f t="shared" ref="BB221" ca="1" si="1889">BB143-BA143</f>
        <v>#NAME?</v>
      </c>
      <c r="BC221" s="23" t="e">
        <f t="shared" ref="BC221" ca="1" si="1890">BC143-BB143</f>
        <v>#NAME?</v>
      </c>
      <c r="BD221" s="23" t="e">
        <f t="shared" ref="BD221" ca="1" si="1891">BD143-BC143</f>
        <v>#NAME?</v>
      </c>
      <c r="BE221" s="23" t="e">
        <f t="shared" ref="BE221" ca="1" si="1892">BE143-BD143</f>
        <v>#NAME?</v>
      </c>
      <c r="BF221" s="23" t="e">
        <f t="shared" ref="BF221" ca="1" si="1893">BF143-BE143</f>
        <v>#NAME?</v>
      </c>
      <c r="BG221" s="23" t="e">
        <f t="shared" ref="BG221" ca="1" si="1894">BG143-BF143</f>
        <v>#NAME?</v>
      </c>
      <c r="BH221" s="23" t="e">
        <f t="shared" ref="BH221" ca="1" si="1895">BH143-BG143</f>
        <v>#NAME?</v>
      </c>
      <c r="BI221" s="23" t="e">
        <f t="shared" ref="BI221" ca="1" si="1896">BI143-BH143</f>
        <v>#NAME?</v>
      </c>
      <c r="BJ221" s="23" t="e">
        <f t="shared" ref="BJ221" ca="1" si="1897">BJ143-BI143</f>
        <v>#NAME?</v>
      </c>
      <c r="BK221" s="23" t="e">
        <f t="shared" ref="BK221" ca="1" si="1898">BK143-BJ143</f>
        <v>#NAME?</v>
      </c>
      <c r="BL221" s="23" t="e">
        <f t="shared" ref="BL221" ca="1" si="1899">BL143-BK143</f>
        <v>#NAME?</v>
      </c>
      <c r="BM221" s="23" t="e">
        <f t="shared" ref="BM221" ca="1" si="1900">BM143-BL143</f>
        <v>#NAME?</v>
      </c>
      <c r="BN221" s="23" t="e">
        <f t="shared" ref="BN221" ca="1" si="1901">BN143-BM143</f>
        <v>#NAME?</v>
      </c>
      <c r="BO221" s="23" t="e">
        <f t="shared" ref="BO221" ca="1" si="1902">BO143-BN143</f>
        <v>#NAME?</v>
      </c>
      <c r="BP221" s="23" t="e">
        <f t="shared" ref="BP221" ca="1" si="1903">BP143-BO143</f>
        <v>#NAME?</v>
      </c>
      <c r="BQ221" s="23" t="e">
        <f t="shared" ref="BQ221" ca="1" si="1904">BQ143-BP143</f>
        <v>#NAME?</v>
      </c>
      <c r="BR221" s="23" t="e">
        <f t="shared" ref="BR221" ca="1" si="1905">BR143-BQ143</f>
        <v>#NAME?</v>
      </c>
      <c r="BS221" s="23" t="e">
        <f t="shared" ref="BS221" ca="1" si="1906">BS143-BR143</f>
        <v>#NAME?</v>
      </c>
      <c r="BT221" s="23" t="e">
        <f t="shared" ref="BT221" ca="1" si="1907">BT143-BS143</f>
        <v>#NAME?</v>
      </c>
      <c r="BU221" s="23" t="e">
        <f t="shared" ref="BU221" ca="1" si="1908">BU143-BT143</f>
        <v>#NAME?</v>
      </c>
      <c r="BV221" s="23" t="e">
        <f t="shared" ref="BV221" ca="1" si="1909">BV143-BU143</f>
        <v>#NAME?</v>
      </c>
      <c r="BW221" s="23" t="e">
        <f t="shared" ref="BW221" ca="1" si="1910">BW143-BV143</f>
        <v>#NAME?</v>
      </c>
      <c r="BX221" s="23" t="e">
        <f t="shared" ref="BX221" ca="1" si="1911">BX143-BW143</f>
        <v>#NAME?</v>
      </c>
      <c r="BY221" s="23" t="e">
        <f t="shared" ref="BY221" ca="1" si="1912">BY143-BX143</f>
        <v>#NAME?</v>
      </c>
      <c r="BZ221" s="23" t="e">
        <f t="shared" ref="BZ221" ca="1" si="1913">BZ143-BY143</f>
        <v>#NAME?</v>
      </c>
      <c r="CA221" s="23" t="e">
        <f t="shared" ref="CA221" ca="1" si="1914">CA143-BZ143</f>
        <v>#NAME?</v>
      </c>
      <c r="CB221" s="23" t="e">
        <f t="shared" ref="CB221" ca="1" si="1915">CB143-CA143</f>
        <v>#NAME?</v>
      </c>
      <c r="CC221" s="23" t="e">
        <f t="shared" ref="CC221" ca="1" si="1916">CC143-CB143</f>
        <v>#NAME?</v>
      </c>
      <c r="CD221" s="23" t="e">
        <f t="shared" ref="CD221" ca="1" si="1917">CD143-CC143</f>
        <v>#NAME?</v>
      </c>
      <c r="CE221" s="23" t="e">
        <f t="shared" ref="CE221" ca="1" si="1918">CE143-CD143</f>
        <v>#NAME?</v>
      </c>
      <c r="CF221" s="23" t="e">
        <f t="shared" ref="CF221" ca="1" si="1919">CF143-CE143</f>
        <v>#NAME?</v>
      </c>
      <c r="CG221" s="23" t="e">
        <f t="shared" ref="CG221" ca="1" si="1920">CG143-CF143</f>
        <v>#NAME?</v>
      </c>
      <c r="CH221" s="23" t="e">
        <f t="shared" ref="CH221:CL221" ca="1" si="1921">CH143-CG143</f>
        <v>#NAME?</v>
      </c>
      <c r="CI221" s="23" t="e">
        <f t="shared" ca="1" si="1921"/>
        <v>#NAME?</v>
      </c>
      <c r="CJ221" s="23" t="e">
        <f t="shared" ca="1" si="1921"/>
        <v>#NAME?</v>
      </c>
      <c r="CK221" s="24" t="e">
        <f t="shared" ref="CK221" ca="1" si="1922">CK143-CJ143</f>
        <v>#NAME?</v>
      </c>
      <c r="CL221" s="23" t="e">
        <f t="shared" ca="1" si="1921"/>
        <v>#NAME?</v>
      </c>
      <c r="CM221" s="24" t="e">
        <f t="shared" ref="CM221" ca="1" si="1923">CM143-CL143</f>
        <v>#NAME?</v>
      </c>
      <c r="CN221" s="24" t="e">
        <f t="shared" ref="CN221" ca="1" si="1924">CN143-CM143</f>
        <v>#NAME?</v>
      </c>
      <c r="CO221" s="24" t="e">
        <f t="shared" ref="CO221" ca="1" si="1925">CO143-CN143</f>
        <v>#NAME?</v>
      </c>
      <c r="CP221" s="24" t="e">
        <f t="shared" ref="CP221" ca="1" si="1926">CP143-CO143</f>
        <v>#NAME?</v>
      </c>
      <c r="CQ221" s="24" t="e">
        <f t="shared" ref="CQ221" ca="1" si="1927">CQ143-CP143</f>
        <v>#NAME?</v>
      </c>
      <c r="CR221" s="24" t="e">
        <f t="shared" ref="CR221" ca="1" si="1928">CR143-CQ143</f>
        <v>#NAME?</v>
      </c>
      <c r="CS221" s="24" t="e">
        <f t="shared" ref="CS221" ca="1" si="1929">CS143-CR143</f>
        <v>#NAME?</v>
      </c>
      <c r="CT221" s="24" t="e">
        <f t="shared" ref="CT221" ca="1" si="1930">CT143-CS143</f>
        <v>#NAME?</v>
      </c>
      <c r="CU221" s="24" t="e">
        <f t="shared" ref="CU221" ca="1" si="1931">CU143-CT143</f>
        <v>#NAME?</v>
      </c>
      <c r="CV221" s="24" t="e">
        <f t="shared" ref="CV221" ca="1" si="1932">CV143-CU143</f>
        <v>#NAME?</v>
      </c>
      <c r="CW221" s="24" t="e">
        <f t="shared" ref="CW221" ca="1" si="1933">CW143-CV143</f>
        <v>#NAME?</v>
      </c>
      <c r="CX221" s="24" t="e">
        <f t="shared" ref="CX221" ca="1" si="1934">CX143-CW143</f>
        <v>#NAME?</v>
      </c>
      <c r="CY221" s="24" t="e">
        <f t="shared" ref="CY221" ca="1" si="1935">CY143-CX143</f>
        <v>#NAME?</v>
      </c>
      <c r="CZ221" s="24" t="e">
        <f t="shared" ref="CZ221" ca="1" si="1936">CZ143-CY143</f>
        <v>#NAME?</v>
      </c>
      <c r="DA221" s="24" t="e">
        <f t="shared" ref="DA221" ca="1" si="1937">DA143-CZ143</f>
        <v>#NAME?</v>
      </c>
      <c r="DB221" s="24" t="e">
        <f t="shared" ref="DB221" ca="1" si="1938">DB143-DA143</f>
        <v>#NAME?</v>
      </c>
      <c r="DE221" s="123"/>
      <c r="DF221" s="23">
        <v>13.2697</v>
      </c>
    </row>
    <row r="222" spans="1:110" s="23" customFormat="1" x14ac:dyDescent="0.2">
      <c r="A222" s="23" t="s">
        <v>27</v>
      </c>
      <c r="C222" s="23" t="e">
        <f t="shared" ref="C222:AE222" ca="1" si="1939">C135-C63-B135+C137-B137</f>
        <v>#NAME?</v>
      </c>
      <c r="D222" s="23" t="e">
        <f t="shared" ca="1" si="1939"/>
        <v>#NAME?</v>
      </c>
      <c r="E222" s="23" t="e">
        <f t="shared" ca="1" si="1939"/>
        <v>#NAME?</v>
      </c>
      <c r="F222" s="23" t="e">
        <f t="shared" ca="1" si="1939"/>
        <v>#NAME?</v>
      </c>
      <c r="G222" s="23" t="e">
        <f t="shared" ca="1" si="1939"/>
        <v>#NAME?</v>
      </c>
      <c r="H222" s="23" t="e">
        <f t="shared" ca="1" si="1939"/>
        <v>#NAME?</v>
      </c>
      <c r="I222" s="23" t="e">
        <f t="shared" ca="1" si="1939"/>
        <v>#NAME?</v>
      </c>
      <c r="J222" s="23" t="e">
        <f t="shared" ca="1" si="1939"/>
        <v>#NAME?</v>
      </c>
      <c r="K222" s="23" t="e">
        <f t="shared" ca="1" si="1939"/>
        <v>#NAME?</v>
      </c>
      <c r="L222" s="23" t="e">
        <f t="shared" ca="1" si="1939"/>
        <v>#NAME?</v>
      </c>
      <c r="M222" s="23" t="e">
        <f t="shared" ca="1" si="1939"/>
        <v>#NAME?</v>
      </c>
      <c r="N222" s="23" t="e">
        <f t="shared" ca="1" si="1939"/>
        <v>#NAME?</v>
      </c>
      <c r="O222" s="23" t="e">
        <f t="shared" ca="1" si="1939"/>
        <v>#NAME?</v>
      </c>
      <c r="P222" s="23" t="e">
        <f t="shared" ca="1" si="1939"/>
        <v>#NAME?</v>
      </c>
      <c r="Q222" s="23" t="e">
        <f t="shared" ca="1" si="1939"/>
        <v>#NAME?</v>
      </c>
      <c r="R222" s="23" t="e">
        <f t="shared" ca="1" si="1939"/>
        <v>#NAME?</v>
      </c>
      <c r="S222" s="23" t="e">
        <f t="shared" ca="1" si="1939"/>
        <v>#NAME?</v>
      </c>
      <c r="T222" s="23" t="e">
        <f t="shared" ca="1" si="1939"/>
        <v>#NAME?</v>
      </c>
      <c r="U222" s="23" t="e">
        <f t="shared" ca="1" si="1939"/>
        <v>#NAME?</v>
      </c>
      <c r="V222" s="23" t="e">
        <f t="shared" ca="1" si="1939"/>
        <v>#NAME?</v>
      </c>
      <c r="W222" s="23" t="e">
        <f t="shared" ca="1" si="1939"/>
        <v>#NAME?</v>
      </c>
      <c r="X222" s="23" t="e">
        <f t="shared" ca="1" si="1939"/>
        <v>#NAME?</v>
      </c>
      <c r="Y222" s="23" t="e">
        <f t="shared" ca="1" si="1939"/>
        <v>#NAME?</v>
      </c>
      <c r="Z222" s="23" t="e">
        <f t="shared" ca="1" si="1939"/>
        <v>#NAME?</v>
      </c>
      <c r="AA222" s="23" t="e">
        <f t="shared" ca="1" si="1939"/>
        <v>#NAME?</v>
      </c>
      <c r="AB222" s="24" t="e">
        <f t="shared" ca="1" si="1939"/>
        <v>#NAME?</v>
      </c>
      <c r="AC222" s="24" t="e">
        <f t="shared" ca="1" si="1939"/>
        <v>#NAME?</v>
      </c>
      <c r="AD222" s="24" t="e">
        <f t="shared" ca="1" si="1939"/>
        <v>#NAME?</v>
      </c>
      <c r="AE222" s="24" t="e">
        <f t="shared" ca="1" si="1939"/>
        <v>#NAME?</v>
      </c>
      <c r="AI222" s="23" t="e">
        <f t="shared" ref="AI222:BN222" ca="1" si="1940">AI135-AI63-AH135+AI137-AH137</f>
        <v>#NAME?</v>
      </c>
      <c r="AJ222" s="23" t="e">
        <f t="shared" ca="1" si="1940"/>
        <v>#NAME?</v>
      </c>
      <c r="AK222" s="23" t="e">
        <f t="shared" ca="1" si="1940"/>
        <v>#NAME?</v>
      </c>
      <c r="AL222" s="23" t="e">
        <f t="shared" ca="1" si="1940"/>
        <v>#NAME?</v>
      </c>
      <c r="AM222" s="23" t="e">
        <f t="shared" ca="1" si="1940"/>
        <v>#NAME?</v>
      </c>
      <c r="AN222" s="23" t="e">
        <f t="shared" ca="1" si="1940"/>
        <v>#NAME?</v>
      </c>
      <c r="AO222" s="23" t="e">
        <f t="shared" ca="1" si="1940"/>
        <v>#NAME?</v>
      </c>
      <c r="AP222" s="23" t="e">
        <f t="shared" ca="1" si="1940"/>
        <v>#NAME?</v>
      </c>
      <c r="AQ222" s="23" t="e">
        <f t="shared" ca="1" si="1940"/>
        <v>#NAME?</v>
      </c>
      <c r="AR222" s="23" t="e">
        <f t="shared" ca="1" si="1940"/>
        <v>#NAME?</v>
      </c>
      <c r="AS222" s="23" t="e">
        <f t="shared" ca="1" si="1940"/>
        <v>#NAME?</v>
      </c>
      <c r="AT222" s="23" t="e">
        <f t="shared" ca="1" si="1940"/>
        <v>#NAME?</v>
      </c>
      <c r="AU222" s="23" t="e">
        <f t="shared" ca="1" si="1940"/>
        <v>#NAME?</v>
      </c>
      <c r="AV222" s="23" t="e">
        <f t="shared" ca="1" si="1940"/>
        <v>#NAME?</v>
      </c>
      <c r="AW222" s="23" t="e">
        <f t="shared" ca="1" si="1940"/>
        <v>#NAME?</v>
      </c>
      <c r="AX222" s="23" t="e">
        <f t="shared" ca="1" si="1940"/>
        <v>#NAME?</v>
      </c>
      <c r="AY222" s="23" t="e">
        <f t="shared" ca="1" si="1940"/>
        <v>#NAME?</v>
      </c>
      <c r="AZ222" s="23" t="e">
        <f t="shared" ca="1" si="1940"/>
        <v>#NAME?</v>
      </c>
      <c r="BA222" s="23" t="e">
        <f t="shared" ca="1" si="1940"/>
        <v>#NAME?</v>
      </c>
      <c r="BB222" s="23" t="e">
        <f t="shared" ca="1" si="1940"/>
        <v>#NAME?</v>
      </c>
      <c r="BC222" s="23" t="e">
        <f t="shared" ca="1" si="1940"/>
        <v>#NAME?</v>
      </c>
      <c r="BD222" s="23" t="e">
        <f t="shared" ca="1" si="1940"/>
        <v>#NAME?</v>
      </c>
      <c r="BE222" s="23" t="e">
        <f t="shared" ca="1" si="1940"/>
        <v>#NAME?</v>
      </c>
      <c r="BF222" s="23" t="e">
        <f t="shared" ca="1" si="1940"/>
        <v>#NAME?</v>
      </c>
      <c r="BG222" s="23" t="e">
        <f t="shared" ca="1" si="1940"/>
        <v>#NAME?</v>
      </c>
      <c r="BH222" s="23" t="e">
        <f t="shared" ca="1" si="1940"/>
        <v>#NAME?</v>
      </c>
      <c r="BI222" s="23" t="e">
        <f t="shared" ca="1" si="1940"/>
        <v>#NAME?</v>
      </c>
      <c r="BJ222" s="23" t="e">
        <f t="shared" ca="1" si="1940"/>
        <v>#NAME?</v>
      </c>
      <c r="BK222" s="23" t="e">
        <f t="shared" ca="1" si="1940"/>
        <v>#NAME?</v>
      </c>
      <c r="BL222" s="23" t="e">
        <f t="shared" ca="1" si="1940"/>
        <v>#NAME?</v>
      </c>
      <c r="BM222" s="23" t="e">
        <f t="shared" ca="1" si="1940"/>
        <v>#NAME?</v>
      </c>
      <c r="BN222" s="23" t="e">
        <f t="shared" ca="1" si="1940"/>
        <v>#NAME?</v>
      </c>
      <c r="BO222" s="23" t="e">
        <f t="shared" ref="BO222:CT222" ca="1" si="1941">BO135-BO63-BN135+BO137-BN137</f>
        <v>#NAME?</v>
      </c>
      <c r="BP222" s="23" t="e">
        <f t="shared" ca="1" si="1941"/>
        <v>#NAME?</v>
      </c>
      <c r="BQ222" s="23" t="e">
        <f t="shared" ca="1" si="1941"/>
        <v>#NAME?</v>
      </c>
      <c r="BR222" s="23" t="e">
        <f t="shared" ca="1" si="1941"/>
        <v>#NAME?</v>
      </c>
      <c r="BS222" s="23" t="e">
        <f t="shared" ca="1" si="1941"/>
        <v>#NAME?</v>
      </c>
      <c r="BT222" s="23" t="e">
        <f t="shared" ca="1" si="1941"/>
        <v>#NAME?</v>
      </c>
      <c r="BU222" s="23" t="e">
        <f t="shared" ca="1" si="1941"/>
        <v>#NAME?</v>
      </c>
      <c r="BV222" s="23" t="e">
        <f t="shared" ca="1" si="1941"/>
        <v>#NAME?</v>
      </c>
      <c r="BW222" s="23" t="e">
        <f t="shared" ca="1" si="1941"/>
        <v>#NAME?</v>
      </c>
      <c r="BX222" s="23" t="e">
        <f t="shared" ca="1" si="1941"/>
        <v>#NAME?</v>
      </c>
      <c r="BY222" s="23" t="e">
        <f t="shared" ca="1" si="1941"/>
        <v>#NAME?</v>
      </c>
      <c r="BZ222" s="23" t="e">
        <f t="shared" ca="1" si="1941"/>
        <v>#NAME?</v>
      </c>
      <c r="CA222" s="23" t="e">
        <f t="shared" ca="1" si="1941"/>
        <v>#NAME?</v>
      </c>
      <c r="CB222" s="23" t="e">
        <f t="shared" ca="1" si="1941"/>
        <v>#NAME?</v>
      </c>
      <c r="CC222" s="23" t="e">
        <f t="shared" ca="1" si="1941"/>
        <v>#NAME?</v>
      </c>
      <c r="CD222" s="23" t="e">
        <f t="shared" ca="1" si="1941"/>
        <v>#NAME?</v>
      </c>
      <c r="CE222" s="23" t="e">
        <f t="shared" ca="1" si="1941"/>
        <v>#NAME?</v>
      </c>
      <c r="CF222" s="23" t="e">
        <f t="shared" ca="1" si="1941"/>
        <v>#NAME?</v>
      </c>
      <c r="CG222" s="23" t="e">
        <f t="shared" ca="1" si="1941"/>
        <v>#NAME?</v>
      </c>
      <c r="CH222" s="23" t="e">
        <f t="shared" ca="1" si="1941"/>
        <v>#NAME?</v>
      </c>
      <c r="CI222" s="23" t="e">
        <f t="shared" ca="1" si="1941"/>
        <v>#NAME?</v>
      </c>
      <c r="CJ222" s="23" t="e">
        <f t="shared" ca="1" si="1941"/>
        <v>#NAME?</v>
      </c>
      <c r="CK222" s="24" t="e">
        <f t="shared" ca="1" si="1941"/>
        <v>#NAME?</v>
      </c>
      <c r="CL222" s="23" t="e">
        <f t="shared" ca="1" si="1941"/>
        <v>#NAME?</v>
      </c>
      <c r="CM222" s="24" t="e">
        <f t="shared" ca="1" si="1941"/>
        <v>#NAME?</v>
      </c>
      <c r="CN222" s="24" t="e">
        <f t="shared" ca="1" si="1941"/>
        <v>#NAME?</v>
      </c>
      <c r="CO222" s="24" t="e">
        <f t="shared" ca="1" si="1941"/>
        <v>#NAME?</v>
      </c>
      <c r="CP222" s="24" t="e">
        <f t="shared" ca="1" si="1941"/>
        <v>#NAME?</v>
      </c>
      <c r="CQ222" s="24" t="e">
        <f t="shared" ca="1" si="1941"/>
        <v>#NAME?</v>
      </c>
      <c r="CR222" s="24" t="e">
        <f t="shared" ca="1" si="1941"/>
        <v>#NAME?</v>
      </c>
      <c r="CS222" s="24" t="e">
        <f t="shared" ca="1" si="1941"/>
        <v>#NAME?</v>
      </c>
      <c r="CT222" s="24" t="e">
        <f t="shared" ca="1" si="1941"/>
        <v>#NAME?</v>
      </c>
      <c r="CU222" s="24" t="e">
        <f t="shared" ref="CU222:DB222" ca="1" si="1942">CU135-CU63-CT135+CU137-CT137</f>
        <v>#NAME?</v>
      </c>
      <c r="CV222" s="24" t="e">
        <f t="shared" ca="1" si="1942"/>
        <v>#NAME?</v>
      </c>
      <c r="CW222" s="24" t="e">
        <f t="shared" ca="1" si="1942"/>
        <v>#NAME?</v>
      </c>
      <c r="CX222" s="24" t="e">
        <f t="shared" ca="1" si="1942"/>
        <v>#NAME?</v>
      </c>
      <c r="CY222" s="24" t="e">
        <f t="shared" ca="1" si="1942"/>
        <v>#NAME?</v>
      </c>
      <c r="CZ222" s="24" t="e">
        <f t="shared" ca="1" si="1942"/>
        <v>#NAME?</v>
      </c>
      <c r="DA222" s="24" t="e">
        <f t="shared" ca="1" si="1942"/>
        <v>#NAME?</v>
      </c>
      <c r="DB222" s="24" t="e">
        <f t="shared" ca="1" si="1942"/>
        <v>#NAME?</v>
      </c>
      <c r="DE222" s="123"/>
      <c r="DF222" s="23">
        <v>85.978899999999925</v>
      </c>
    </row>
    <row r="223" spans="1:110" s="23" customFormat="1" x14ac:dyDescent="0.2">
      <c r="AB223" s="24"/>
      <c r="AC223" s="24"/>
      <c r="AD223" s="24"/>
      <c r="AE223" s="24"/>
      <c r="CK223" s="24"/>
      <c r="CM223" s="24"/>
      <c r="CN223" s="24"/>
      <c r="CO223" s="24"/>
      <c r="CP223" s="24"/>
      <c r="CQ223" s="24"/>
      <c r="CR223" s="24"/>
      <c r="CS223" s="24"/>
      <c r="CT223" s="24"/>
      <c r="CU223" s="24"/>
      <c r="CV223" s="24"/>
      <c r="CW223" s="24"/>
      <c r="CX223" s="24"/>
      <c r="CY223" s="24"/>
      <c r="CZ223" s="24"/>
      <c r="DA223" s="24"/>
      <c r="DB223" s="24"/>
      <c r="DE223" s="123"/>
    </row>
    <row r="224" spans="1:110" s="23" customFormat="1" x14ac:dyDescent="0.2">
      <c r="A224" s="23" t="s">
        <v>442</v>
      </c>
      <c r="C224" s="23" t="e">
        <f t="shared" ref="C224" ca="1" si="1943">B176</f>
        <v>#NAME?</v>
      </c>
      <c r="D224" s="23" t="e">
        <f t="shared" ref="D224" ca="1" si="1944">C176</f>
        <v>#NAME?</v>
      </c>
      <c r="E224" s="23" t="e">
        <f ca="1">D176</f>
        <v>#NAME?</v>
      </c>
      <c r="F224" s="23" t="e">
        <f t="shared" ref="F224" ca="1" si="1945">E176</f>
        <v>#NAME?</v>
      </c>
      <c r="G224" s="23" t="e">
        <f t="shared" ref="G224" ca="1" si="1946">F176</f>
        <v>#NAME?</v>
      </c>
      <c r="H224" s="23" t="e">
        <f t="shared" ref="H224" ca="1" si="1947">G176</f>
        <v>#NAME?</v>
      </c>
      <c r="I224" s="23" t="e">
        <f t="shared" ref="I224" ca="1" si="1948">H176</f>
        <v>#NAME?</v>
      </c>
      <c r="J224" s="23" t="e">
        <f ca="1">I176</f>
        <v>#NAME?</v>
      </c>
      <c r="K224" s="23" t="e">
        <f ca="1">J176</f>
        <v>#NAME?</v>
      </c>
      <c r="L224" s="23" t="e">
        <f t="shared" ref="L224" ca="1" si="1949">K176</f>
        <v>#NAME?</v>
      </c>
      <c r="M224" s="23" t="e">
        <f t="shared" ref="M224" ca="1" si="1950">L176</f>
        <v>#NAME?</v>
      </c>
      <c r="N224" s="23" t="e">
        <f t="shared" ref="N224" ca="1" si="1951">M176</f>
        <v>#NAME?</v>
      </c>
      <c r="O224" s="23" t="e">
        <f t="shared" ref="O224" ca="1" si="1952">N176</f>
        <v>#NAME?</v>
      </c>
      <c r="P224" s="23" t="e">
        <f t="shared" ref="P224" ca="1" si="1953">O176</f>
        <v>#NAME?</v>
      </c>
      <c r="Q224" s="23" t="e">
        <f t="shared" ref="Q224" ca="1" si="1954">P176</f>
        <v>#NAME?</v>
      </c>
      <c r="R224" s="23" t="e">
        <f t="shared" ref="R224" ca="1" si="1955">Q176</f>
        <v>#NAME?</v>
      </c>
      <c r="S224" s="23" t="e">
        <f t="shared" ref="S224" ca="1" si="1956">R176</f>
        <v>#NAME?</v>
      </c>
      <c r="T224" s="23" t="e">
        <f t="shared" ref="T224" ca="1" si="1957">S176</f>
        <v>#NAME?</v>
      </c>
      <c r="U224" s="23" t="e">
        <f t="shared" ref="U224" ca="1" si="1958">T176</f>
        <v>#NAME?</v>
      </c>
      <c r="V224" s="23" t="e">
        <f t="shared" ref="V224" ca="1" si="1959">U176</f>
        <v>#NAME?</v>
      </c>
      <c r="W224" s="23" t="e">
        <f t="shared" ref="W224:AA224" ca="1" si="1960">V176</f>
        <v>#NAME?</v>
      </c>
      <c r="X224" s="23" t="e">
        <f t="shared" ca="1" si="1960"/>
        <v>#NAME?</v>
      </c>
      <c r="Y224" s="23" t="e">
        <f t="shared" ca="1" si="1960"/>
        <v>#NAME?</v>
      </c>
      <c r="Z224" s="23" t="e">
        <f t="shared" ca="1" si="1960"/>
        <v>#NAME?</v>
      </c>
      <c r="AA224" s="23" t="e">
        <f t="shared" ca="1" si="1960"/>
        <v>#NAME?</v>
      </c>
      <c r="AB224" s="24" t="e">
        <f t="shared" ref="AB224" ca="1" si="1961">AA176</f>
        <v>#NAME?</v>
      </c>
      <c r="AC224" s="24" t="e">
        <f t="shared" ref="AC224" ca="1" si="1962">AB176</f>
        <v>#NAME?</v>
      </c>
      <c r="AD224" s="24" t="e">
        <f t="shared" ref="AD224" ca="1" si="1963">AC176</f>
        <v>#NAME?</v>
      </c>
      <c r="AE224" s="24" t="e">
        <f t="shared" ref="AE224" ca="1" si="1964">AD176</f>
        <v>#NAME?</v>
      </c>
      <c r="AI224" s="23">
        <f t="shared" ref="AI224" si="1965">AH176</f>
        <v>0</v>
      </c>
      <c r="AJ224" s="23">
        <f t="shared" ref="AJ224" si="1966">AI176</f>
        <v>0</v>
      </c>
      <c r="AK224" s="23" t="e">
        <f t="shared" ref="AK224" ca="1" si="1967">AJ176</f>
        <v>#NAME?</v>
      </c>
      <c r="AL224" s="23" t="e">
        <f t="shared" ref="AL224" ca="1" si="1968">AK176</f>
        <v>#NAME?</v>
      </c>
      <c r="AM224" s="23" t="e">
        <f t="shared" ref="AM224" ca="1" si="1969">AL176</f>
        <v>#NAME?</v>
      </c>
      <c r="AN224" s="23" t="e">
        <f t="shared" ref="AN224" ca="1" si="1970">AM176</f>
        <v>#NAME?</v>
      </c>
      <c r="AO224" s="23" t="e">
        <f t="shared" ref="AO224" ca="1" si="1971">AN176</f>
        <v>#NAME?</v>
      </c>
      <c r="AP224" s="23" t="e">
        <f t="shared" ref="AP224" ca="1" si="1972">AO176</f>
        <v>#NAME?</v>
      </c>
      <c r="AQ224" s="23" t="e">
        <f t="shared" ref="AQ224" ca="1" si="1973">AP176</f>
        <v>#NAME?</v>
      </c>
      <c r="AR224" s="23" t="e">
        <f t="shared" ref="AR224" ca="1" si="1974">AQ176</f>
        <v>#NAME?</v>
      </c>
      <c r="AS224" s="23" t="e">
        <f t="shared" ref="AS224" ca="1" si="1975">AR176</f>
        <v>#NAME?</v>
      </c>
      <c r="AT224" s="23" t="e">
        <f t="shared" ref="AT224" ca="1" si="1976">AS176</f>
        <v>#NAME?</v>
      </c>
      <c r="AU224" s="23" t="e">
        <f t="shared" ref="AU224" ca="1" si="1977">AT176</f>
        <v>#NAME?</v>
      </c>
      <c r="AV224" s="23" t="e">
        <f t="shared" ref="AV224" ca="1" si="1978">AU176</f>
        <v>#NAME?</v>
      </c>
      <c r="AW224" s="23" t="e">
        <f t="shared" ref="AW224" ca="1" si="1979">AV176</f>
        <v>#NAME?</v>
      </c>
      <c r="AX224" s="23" t="e">
        <f t="shared" ref="AX224" ca="1" si="1980">AW176</f>
        <v>#NAME?</v>
      </c>
      <c r="AY224" s="23" t="e">
        <f t="shared" ref="AY224" ca="1" si="1981">AX176</f>
        <v>#NAME?</v>
      </c>
      <c r="AZ224" s="23" t="e">
        <f t="shared" ref="AZ224" ca="1" si="1982">AY176</f>
        <v>#NAME?</v>
      </c>
      <c r="BA224" s="23" t="e">
        <f t="shared" ref="BA224" ca="1" si="1983">AZ176</f>
        <v>#NAME?</v>
      </c>
      <c r="BB224" s="23" t="e">
        <f t="shared" ref="BB224" ca="1" si="1984">BA176</f>
        <v>#NAME?</v>
      </c>
      <c r="BC224" s="23" t="e">
        <f t="shared" ref="BC224" ca="1" si="1985">BB176</f>
        <v>#NAME?</v>
      </c>
      <c r="BD224" s="23" t="e">
        <f t="shared" ref="BD224" ca="1" si="1986">BC176</f>
        <v>#NAME?</v>
      </c>
      <c r="BE224" s="23" t="e">
        <f t="shared" ref="BE224" ca="1" si="1987">BD176</f>
        <v>#NAME?</v>
      </c>
      <c r="BF224" s="23" t="e">
        <f t="shared" ref="BF224" ca="1" si="1988">BE176</f>
        <v>#NAME?</v>
      </c>
      <c r="BG224" s="23" t="e">
        <f t="shared" ref="BG224" ca="1" si="1989">BF176</f>
        <v>#NAME?</v>
      </c>
      <c r="BH224" s="23" t="e">
        <f t="shared" ref="BH224" ca="1" si="1990">BG176</f>
        <v>#NAME?</v>
      </c>
      <c r="BI224" s="23" t="e">
        <f t="shared" ref="BI224" ca="1" si="1991">BH176</f>
        <v>#NAME?</v>
      </c>
      <c r="BJ224" s="23" t="e">
        <f t="shared" ref="BJ224" ca="1" si="1992">BI176</f>
        <v>#NAME?</v>
      </c>
      <c r="BK224" s="23" t="e">
        <f t="shared" ref="BK224" ca="1" si="1993">BJ176</f>
        <v>#NAME?</v>
      </c>
      <c r="BL224" s="23" t="e">
        <f t="shared" ref="BL224" ca="1" si="1994">BK176</f>
        <v>#NAME?</v>
      </c>
      <c r="BM224" s="23" t="e">
        <f t="shared" ref="BM224" ca="1" si="1995">BL176</f>
        <v>#NAME?</v>
      </c>
      <c r="BN224" s="23" t="e">
        <f t="shared" ref="BN224" ca="1" si="1996">BM176</f>
        <v>#NAME?</v>
      </c>
      <c r="BO224" s="23" t="e">
        <f t="shared" ref="BO224" ca="1" si="1997">BN176</f>
        <v>#NAME?</v>
      </c>
      <c r="BP224" s="23" t="e">
        <f t="shared" ref="BP224" ca="1" si="1998">BO176</f>
        <v>#NAME?</v>
      </c>
      <c r="BQ224" s="23" t="e">
        <f t="shared" ref="BQ224" ca="1" si="1999">BP176</f>
        <v>#NAME?</v>
      </c>
      <c r="BR224" s="23" t="e">
        <f t="shared" ref="BR224" ca="1" si="2000">BQ176</f>
        <v>#NAME?</v>
      </c>
      <c r="BS224" s="23" t="e">
        <f t="shared" ref="BS224" ca="1" si="2001">BR176</f>
        <v>#NAME?</v>
      </c>
      <c r="BT224" s="23" t="e">
        <f t="shared" ref="BT224" ca="1" si="2002">BS176</f>
        <v>#NAME?</v>
      </c>
      <c r="BU224" s="23" t="e">
        <f t="shared" ref="BU224" ca="1" si="2003">BT176</f>
        <v>#NAME?</v>
      </c>
      <c r="BV224" s="23" t="e">
        <f t="shared" ref="BV224" ca="1" si="2004">BU176</f>
        <v>#NAME?</v>
      </c>
      <c r="BW224" s="23" t="e">
        <f t="shared" ref="BW224" ca="1" si="2005">BV176</f>
        <v>#NAME?</v>
      </c>
      <c r="BX224" s="23" t="e">
        <f t="shared" ref="BX224" ca="1" si="2006">BW176</f>
        <v>#NAME?</v>
      </c>
      <c r="BY224" s="23" t="e">
        <f t="shared" ref="BY224" ca="1" si="2007">BX176</f>
        <v>#NAME?</v>
      </c>
      <c r="BZ224" s="23" t="e">
        <f t="shared" ref="BZ224" ca="1" si="2008">BY176</f>
        <v>#NAME?</v>
      </c>
      <c r="CA224" s="23" t="e">
        <f t="shared" ref="CA224" ca="1" si="2009">BZ176</f>
        <v>#NAME?</v>
      </c>
      <c r="CB224" s="23" t="e">
        <f t="shared" ref="CB224" ca="1" si="2010">CA176</f>
        <v>#NAME?</v>
      </c>
      <c r="CC224" s="23" t="e">
        <f t="shared" ref="CC224" ca="1" si="2011">CB176</f>
        <v>#NAME?</v>
      </c>
      <c r="CD224" s="23" t="e">
        <f t="shared" ref="CD224" ca="1" si="2012">CC176</f>
        <v>#NAME?</v>
      </c>
      <c r="CE224" s="23" t="e">
        <f t="shared" ref="CE224" ca="1" si="2013">CD176</f>
        <v>#NAME?</v>
      </c>
      <c r="CF224" s="23" t="e">
        <f t="shared" ref="CF224" ca="1" si="2014">CE176</f>
        <v>#NAME?</v>
      </c>
      <c r="CG224" s="23" t="e">
        <f t="shared" ref="CG224" ca="1" si="2015">CF176</f>
        <v>#NAME?</v>
      </c>
      <c r="CH224" s="23" t="e">
        <f t="shared" ref="CH224:CL224" ca="1" si="2016">CG176</f>
        <v>#NAME?</v>
      </c>
      <c r="CI224" s="23" t="e">
        <f t="shared" ca="1" si="2016"/>
        <v>#NAME?</v>
      </c>
      <c r="CJ224" s="23" t="e">
        <f t="shared" ca="1" si="2016"/>
        <v>#NAME?</v>
      </c>
      <c r="CK224" s="24" t="e">
        <f t="shared" ref="CK224" ca="1" si="2017">CJ176</f>
        <v>#NAME?</v>
      </c>
      <c r="CL224" s="23" t="e">
        <f t="shared" ca="1" si="2016"/>
        <v>#NAME?</v>
      </c>
      <c r="CM224" s="24" t="e">
        <f t="shared" ref="CM224" ca="1" si="2018">CL176</f>
        <v>#NAME?</v>
      </c>
      <c r="CN224" s="24" t="e">
        <f t="shared" ref="CN224" ca="1" si="2019">CM176</f>
        <v>#NAME?</v>
      </c>
      <c r="CO224" s="24" t="e">
        <f t="shared" ref="CO224" ca="1" si="2020">CN176</f>
        <v>#NAME?</v>
      </c>
      <c r="CP224" s="24" t="e">
        <f t="shared" ref="CP224" ca="1" si="2021">CO176</f>
        <v>#NAME?</v>
      </c>
      <c r="CQ224" s="24" t="e">
        <f t="shared" ref="CQ224" ca="1" si="2022">CP176</f>
        <v>#NAME?</v>
      </c>
      <c r="CR224" s="24" t="e">
        <f t="shared" ref="CR224" ca="1" si="2023">CQ176</f>
        <v>#NAME?</v>
      </c>
      <c r="CS224" s="24" t="e">
        <f t="shared" ref="CS224" ca="1" si="2024">CR176</f>
        <v>#NAME?</v>
      </c>
      <c r="CT224" s="24" t="e">
        <f t="shared" ref="CT224" ca="1" si="2025">CS176</f>
        <v>#NAME?</v>
      </c>
      <c r="CU224" s="24" t="e">
        <f t="shared" ref="CU224" ca="1" si="2026">CT176</f>
        <v>#NAME?</v>
      </c>
      <c r="CV224" s="24" t="e">
        <f t="shared" ref="CV224" ca="1" si="2027">CU176</f>
        <v>#NAME?</v>
      </c>
      <c r="CW224" s="24" t="e">
        <f t="shared" ref="CW224" ca="1" si="2028">CV176</f>
        <v>#NAME?</v>
      </c>
      <c r="CX224" s="24" t="e">
        <f t="shared" ref="CX224" ca="1" si="2029">CW176</f>
        <v>#NAME?</v>
      </c>
      <c r="CY224" s="24" t="e">
        <f t="shared" ref="CY224" ca="1" si="2030">CX176</f>
        <v>#NAME?</v>
      </c>
      <c r="CZ224" s="24" t="e">
        <f t="shared" ref="CZ224" ca="1" si="2031">CY176</f>
        <v>#NAME?</v>
      </c>
      <c r="DA224" s="24" t="e">
        <f t="shared" ref="DA224" ca="1" si="2032">CZ176</f>
        <v>#NAME?</v>
      </c>
      <c r="DB224" s="24" t="e">
        <f t="shared" ref="DB224" ca="1" si="2033">DA176</f>
        <v>#NAME?</v>
      </c>
      <c r="DE224" s="123"/>
      <c r="DF224" s="23">
        <v>7.7664</v>
      </c>
    </row>
    <row r="225" spans="1:110" s="23" customFormat="1" x14ac:dyDescent="0.2">
      <c r="A225" s="23" t="s">
        <v>443</v>
      </c>
      <c r="C225" s="23" t="e">
        <f t="shared" ref="C225:W225" ca="1" si="2034">C224+C220+C216+C214</f>
        <v>#NAME?</v>
      </c>
      <c r="D225" s="23" t="e">
        <f t="shared" ca="1" si="2034"/>
        <v>#NAME?</v>
      </c>
      <c r="E225" s="23" t="e">
        <f t="shared" ca="1" si="2034"/>
        <v>#NAME?</v>
      </c>
      <c r="F225" s="23" t="e">
        <f t="shared" ca="1" si="2034"/>
        <v>#NAME?</v>
      </c>
      <c r="G225" s="23" t="e">
        <f t="shared" ca="1" si="2034"/>
        <v>#NAME?</v>
      </c>
      <c r="H225" s="23" t="e">
        <f t="shared" ca="1" si="2034"/>
        <v>#NAME?</v>
      </c>
      <c r="I225" s="23" t="e">
        <f t="shared" ca="1" si="2034"/>
        <v>#NAME?</v>
      </c>
      <c r="J225" s="23" t="e">
        <f ca="1">J224+J220+J216+J214</f>
        <v>#NAME?</v>
      </c>
      <c r="K225" s="23" t="e">
        <f ca="1">K224+K220+K216+K214</f>
        <v>#NAME?</v>
      </c>
      <c r="L225" s="23" t="e">
        <f ca="1">L224+L220+L216+L214</f>
        <v>#NAME?</v>
      </c>
      <c r="M225" s="23" t="e">
        <f ca="1">M224+M220+M216+M214</f>
        <v>#NAME?</v>
      </c>
      <c r="N225" s="23" t="e">
        <f t="shared" ca="1" si="2034"/>
        <v>#NAME?</v>
      </c>
      <c r="O225" s="23" t="e">
        <f t="shared" ca="1" si="2034"/>
        <v>#NAME?</v>
      </c>
      <c r="P225" s="23" t="e">
        <f t="shared" ca="1" si="2034"/>
        <v>#NAME?</v>
      </c>
      <c r="Q225" s="23" t="e">
        <f t="shared" ca="1" si="2034"/>
        <v>#NAME?</v>
      </c>
      <c r="R225" s="23" t="e">
        <f t="shared" ca="1" si="2034"/>
        <v>#NAME?</v>
      </c>
      <c r="S225" s="23" t="e">
        <f t="shared" ca="1" si="2034"/>
        <v>#NAME?</v>
      </c>
      <c r="T225" s="23" t="e">
        <f t="shared" ca="1" si="2034"/>
        <v>#NAME?</v>
      </c>
      <c r="U225" s="23" t="e">
        <f t="shared" ca="1" si="2034"/>
        <v>#NAME?</v>
      </c>
      <c r="V225" s="23" t="e">
        <f t="shared" ca="1" si="2034"/>
        <v>#NAME?</v>
      </c>
      <c r="W225" s="23" t="e">
        <f t="shared" ca="1" si="2034"/>
        <v>#NAME?</v>
      </c>
      <c r="X225" s="23" t="e">
        <f t="shared" ref="X225:Y225" ca="1" si="2035">X224+X220+X216+X214</f>
        <v>#NAME?</v>
      </c>
      <c r="Y225" s="23" t="e">
        <f t="shared" ca="1" si="2035"/>
        <v>#NAME?</v>
      </c>
      <c r="Z225" s="23" t="e">
        <f t="shared" ref="Z225:AA225" ca="1" si="2036">Z224+Z220+Z216+Z214</f>
        <v>#NAME?</v>
      </c>
      <c r="AA225" s="23" t="e">
        <f t="shared" ca="1" si="2036"/>
        <v>#NAME?</v>
      </c>
      <c r="AB225" s="24" t="e">
        <f t="shared" ref="AA225:AD225" ca="1" si="2037">AB224+AB220+AB216+AB214</f>
        <v>#NAME?</v>
      </c>
      <c r="AC225" s="24" t="e">
        <f t="shared" ca="1" si="2037"/>
        <v>#NAME?</v>
      </c>
      <c r="AD225" s="24" t="e">
        <f t="shared" ca="1" si="2037"/>
        <v>#NAME?</v>
      </c>
      <c r="AE225" s="24" t="e">
        <f t="shared" ref="AE225" ca="1" si="2038">AE224+AE220+AE216+AE214</f>
        <v>#NAME?</v>
      </c>
      <c r="AI225" s="23" t="e">
        <f t="shared" ref="AI225" ca="1" si="2039">AI224+AI220+AI216+AI214</f>
        <v>#NAME?</v>
      </c>
      <c r="AJ225" s="23" t="e">
        <f t="shared" ref="AJ225:AL225" ca="1" si="2040">AJ224+AJ220+AJ216+AJ214</f>
        <v>#NAME?</v>
      </c>
      <c r="AK225" s="23" t="e">
        <f t="shared" ca="1" si="2040"/>
        <v>#NAME?</v>
      </c>
      <c r="AL225" s="23" t="e">
        <f t="shared" ca="1" si="2040"/>
        <v>#NAME?</v>
      </c>
      <c r="AM225" s="23" t="e">
        <f t="shared" ref="AM225" ca="1" si="2041">AM224+AM220+AM216+AM214</f>
        <v>#NAME?</v>
      </c>
      <c r="AN225" s="23" t="e">
        <f t="shared" ref="AN225:CD225" ca="1" si="2042">AN224+AN220+AN216+AN214</f>
        <v>#NAME?</v>
      </c>
      <c r="AO225" s="23" t="e">
        <f t="shared" ca="1" si="2042"/>
        <v>#NAME?</v>
      </c>
      <c r="AP225" s="23" t="e">
        <f t="shared" ca="1" si="2042"/>
        <v>#NAME?</v>
      </c>
      <c r="AQ225" s="23" t="e">
        <f t="shared" ca="1" si="2042"/>
        <v>#NAME?</v>
      </c>
      <c r="AR225" s="23" t="e">
        <f t="shared" ca="1" si="2042"/>
        <v>#NAME?</v>
      </c>
      <c r="AS225" s="23" t="e">
        <f t="shared" ca="1" si="2042"/>
        <v>#NAME?</v>
      </c>
      <c r="AT225" s="23" t="e">
        <f t="shared" ca="1" si="2042"/>
        <v>#NAME?</v>
      </c>
      <c r="AU225" s="23" t="e">
        <f t="shared" ca="1" si="2042"/>
        <v>#NAME?</v>
      </c>
      <c r="AV225" s="23" t="e">
        <f t="shared" ca="1" si="2042"/>
        <v>#NAME?</v>
      </c>
      <c r="AW225" s="23" t="e">
        <f t="shared" ca="1" si="2042"/>
        <v>#NAME?</v>
      </c>
      <c r="AX225" s="23" t="e">
        <f t="shared" ca="1" si="2042"/>
        <v>#NAME?</v>
      </c>
      <c r="AY225" s="23" t="e">
        <f t="shared" ca="1" si="2042"/>
        <v>#NAME?</v>
      </c>
      <c r="AZ225" s="23" t="e">
        <f t="shared" ca="1" si="2042"/>
        <v>#NAME?</v>
      </c>
      <c r="BA225" s="23" t="e">
        <f t="shared" ca="1" si="2042"/>
        <v>#NAME?</v>
      </c>
      <c r="BB225" s="23" t="e">
        <f t="shared" ca="1" si="2042"/>
        <v>#NAME?</v>
      </c>
      <c r="BC225" s="23" t="e">
        <f t="shared" ca="1" si="2042"/>
        <v>#NAME?</v>
      </c>
      <c r="BD225" s="23" t="e">
        <f t="shared" ca="1" si="2042"/>
        <v>#NAME?</v>
      </c>
      <c r="BE225" s="23" t="e">
        <f t="shared" ca="1" si="2042"/>
        <v>#NAME?</v>
      </c>
      <c r="BF225" s="23" t="e">
        <f t="shared" ca="1" si="2042"/>
        <v>#NAME?</v>
      </c>
      <c r="BG225" s="23" t="e">
        <f t="shared" ca="1" si="2042"/>
        <v>#NAME?</v>
      </c>
      <c r="BH225" s="23" t="e">
        <f t="shared" ca="1" si="2042"/>
        <v>#NAME?</v>
      </c>
      <c r="BI225" s="23" t="e">
        <f t="shared" ca="1" si="2042"/>
        <v>#NAME?</v>
      </c>
      <c r="BJ225" s="23" t="e">
        <f t="shared" ca="1" si="2042"/>
        <v>#NAME?</v>
      </c>
      <c r="BK225" s="23" t="e">
        <f t="shared" ca="1" si="2042"/>
        <v>#NAME?</v>
      </c>
      <c r="BL225" s="23" t="e">
        <f t="shared" ca="1" si="2042"/>
        <v>#NAME?</v>
      </c>
      <c r="BM225" s="23" t="e">
        <f t="shared" ca="1" si="2042"/>
        <v>#NAME?</v>
      </c>
      <c r="BN225" s="23" t="e">
        <f t="shared" ca="1" si="2042"/>
        <v>#NAME?</v>
      </c>
      <c r="BO225" s="23" t="e">
        <f t="shared" ca="1" si="2042"/>
        <v>#NAME?</v>
      </c>
      <c r="BP225" s="23" t="e">
        <f t="shared" ca="1" si="2042"/>
        <v>#NAME?</v>
      </c>
      <c r="BQ225" s="23" t="e">
        <f t="shared" ca="1" si="2042"/>
        <v>#NAME?</v>
      </c>
      <c r="BR225" s="23" t="e">
        <f t="shared" ca="1" si="2042"/>
        <v>#NAME?</v>
      </c>
      <c r="BS225" s="23" t="e">
        <f t="shared" ca="1" si="2042"/>
        <v>#NAME?</v>
      </c>
      <c r="BT225" s="23" t="e">
        <f t="shared" ca="1" si="2042"/>
        <v>#NAME?</v>
      </c>
      <c r="BU225" s="23" t="e">
        <f t="shared" ca="1" si="2042"/>
        <v>#NAME?</v>
      </c>
      <c r="BV225" s="23" t="e">
        <f t="shared" ca="1" si="2042"/>
        <v>#NAME?</v>
      </c>
      <c r="BW225" s="23" t="e">
        <f t="shared" ca="1" si="2042"/>
        <v>#NAME?</v>
      </c>
      <c r="BX225" s="23" t="e">
        <f t="shared" ca="1" si="2042"/>
        <v>#NAME?</v>
      </c>
      <c r="BY225" s="23" t="e">
        <f t="shared" ca="1" si="2042"/>
        <v>#NAME?</v>
      </c>
      <c r="BZ225" s="23" t="e">
        <f t="shared" ca="1" si="2042"/>
        <v>#NAME?</v>
      </c>
      <c r="CA225" s="23" t="e">
        <f t="shared" ca="1" si="2042"/>
        <v>#NAME?</v>
      </c>
      <c r="CB225" s="23" t="e">
        <f t="shared" ca="1" si="2042"/>
        <v>#NAME?</v>
      </c>
      <c r="CC225" s="23" t="e">
        <f t="shared" ca="1" si="2042"/>
        <v>#NAME?</v>
      </c>
      <c r="CD225" s="23" t="e">
        <f t="shared" ca="1" si="2042"/>
        <v>#NAME?</v>
      </c>
      <c r="CE225" s="23" t="e">
        <f t="shared" ref="CE225:CF225" ca="1" si="2043">CE224+CE220+CE216+CE214</f>
        <v>#NAME?</v>
      </c>
      <c r="CF225" s="23" t="e">
        <f t="shared" ca="1" si="2043"/>
        <v>#NAME?</v>
      </c>
      <c r="CG225" s="23" t="e">
        <f t="shared" ref="CG225:CH225" ca="1" si="2044">CG224+CG220+CG216+CG214</f>
        <v>#NAME?</v>
      </c>
      <c r="CH225" s="23" t="e">
        <f t="shared" ca="1" si="2044"/>
        <v>#NAME?</v>
      </c>
      <c r="CI225" s="23" t="e">
        <f t="shared" ref="CI225:CJ225" ca="1" si="2045">CI224+CI220+CI216+CI214</f>
        <v>#NAME?</v>
      </c>
      <c r="CJ225" s="23" t="e">
        <f t="shared" ca="1" si="2045"/>
        <v>#NAME?</v>
      </c>
      <c r="CK225" s="24" t="e">
        <f t="shared" ref="CK225:DB225" ca="1" si="2046">CK224+CK220+CK216+CK214</f>
        <v>#NAME?</v>
      </c>
      <c r="CL225" s="23" t="e">
        <f t="shared" ca="1" si="2046"/>
        <v>#NAME?</v>
      </c>
      <c r="CM225" s="24" t="e">
        <f t="shared" ca="1" si="2046"/>
        <v>#NAME?</v>
      </c>
      <c r="CN225" s="24" t="e">
        <f t="shared" ca="1" si="2046"/>
        <v>#NAME?</v>
      </c>
      <c r="CO225" s="24" t="e">
        <f t="shared" ca="1" si="2046"/>
        <v>#NAME?</v>
      </c>
      <c r="CP225" s="24" t="e">
        <f t="shared" ca="1" si="2046"/>
        <v>#NAME?</v>
      </c>
      <c r="CQ225" s="24" t="e">
        <f t="shared" ca="1" si="2046"/>
        <v>#NAME?</v>
      </c>
      <c r="CR225" s="24" t="e">
        <f t="shared" ca="1" si="2046"/>
        <v>#NAME?</v>
      </c>
      <c r="CS225" s="24" t="e">
        <f t="shared" ca="1" si="2046"/>
        <v>#NAME?</v>
      </c>
      <c r="CT225" s="24" t="e">
        <f t="shared" ca="1" si="2046"/>
        <v>#NAME?</v>
      </c>
      <c r="CU225" s="24" t="e">
        <f t="shared" ca="1" si="2046"/>
        <v>#NAME?</v>
      </c>
      <c r="CV225" s="24" t="e">
        <f t="shared" ca="1" si="2046"/>
        <v>#NAME?</v>
      </c>
      <c r="CW225" s="24" t="e">
        <f t="shared" ca="1" si="2046"/>
        <v>#NAME?</v>
      </c>
      <c r="CX225" s="24" t="e">
        <f t="shared" ca="1" si="2046"/>
        <v>#NAME?</v>
      </c>
      <c r="CY225" s="24" t="e">
        <f t="shared" ca="1" si="2046"/>
        <v>#NAME?</v>
      </c>
      <c r="CZ225" s="24" t="e">
        <f t="shared" ca="1" si="2046"/>
        <v>#NAME?</v>
      </c>
      <c r="DA225" s="24" t="e">
        <f t="shared" ca="1" si="2046"/>
        <v>#NAME?</v>
      </c>
      <c r="DB225" s="24" t="e">
        <f t="shared" ca="1" si="2046"/>
        <v>#NAME?</v>
      </c>
      <c r="DE225" s="123"/>
      <c r="DF225" s="23">
        <v>11.049999999999962</v>
      </c>
    </row>
    <row r="226" spans="1:110" s="28" customFormat="1" x14ac:dyDescent="0.2">
      <c r="A226" s="28" t="s">
        <v>444</v>
      </c>
      <c r="C226" s="28" t="e">
        <f t="shared" ref="C226:W226" ca="1" si="2047">C225-C176</f>
        <v>#NAME?</v>
      </c>
      <c r="D226" s="28" t="e">
        <f t="shared" ca="1" si="2047"/>
        <v>#NAME?</v>
      </c>
      <c r="E226" s="28" t="e">
        <f t="shared" ca="1" si="2047"/>
        <v>#NAME?</v>
      </c>
      <c r="F226" s="28" t="e">
        <f t="shared" ca="1" si="2047"/>
        <v>#NAME?</v>
      </c>
      <c r="G226" s="28" t="e">
        <f t="shared" ca="1" si="2047"/>
        <v>#NAME?</v>
      </c>
      <c r="H226" s="28" t="e">
        <f t="shared" ca="1" si="2047"/>
        <v>#NAME?</v>
      </c>
      <c r="I226" s="28" t="e">
        <f t="shared" ca="1" si="2047"/>
        <v>#NAME?</v>
      </c>
      <c r="J226" s="28" t="e">
        <f ca="1">J225-J176</f>
        <v>#NAME?</v>
      </c>
      <c r="K226" s="28" t="e">
        <f t="shared" ca="1" si="2047"/>
        <v>#NAME?</v>
      </c>
      <c r="L226" s="28" t="e">
        <f t="shared" ca="1" si="2047"/>
        <v>#NAME?</v>
      </c>
      <c r="M226" s="28" t="e">
        <f t="shared" ca="1" si="2047"/>
        <v>#NAME?</v>
      </c>
      <c r="N226" s="28" t="e">
        <f t="shared" ca="1" si="2047"/>
        <v>#NAME?</v>
      </c>
      <c r="O226" s="28" t="e">
        <f t="shared" ca="1" si="2047"/>
        <v>#NAME?</v>
      </c>
      <c r="P226" s="28" t="e">
        <f t="shared" ca="1" si="2047"/>
        <v>#NAME?</v>
      </c>
      <c r="Q226" s="28" t="e">
        <f t="shared" ca="1" si="2047"/>
        <v>#NAME?</v>
      </c>
      <c r="R226" s="28" t="e">
        <f t="shared" ca="1" si="2047"/>
        <v>#NAME?</v>
      </c>
      <c r="S226" s="28" t="e">
        <f t="shared" ca="1" si="2047"/>
        <v>#NAME?</v>
      </c>
      <c r="T226" s="28" t="e">
        <f t="shared" ca="1" si="2047"/>
        <v>#NAME?</v>
      </c>
      <c r="U226" s="28" t="e">
        <f t="shared" ca="1" si="2047"/>
        <v>#NAME?</v>
      </c>
      <c r="V226" s="28" t="e">
        <f t="shared" ca="1" si="2047"/>
        <v>#NAME?</v>
      </c>
      <c r="W226" s="28" t="e">
        <f t="shared" ca="1" si="2047"/>
        <v>#NAME?</v>
      </c>
      <c r="X226" s="28" t="e">
        <f t="shared" ref="X226:Y226" ca="1" si="2048">X225-X176</f>
        <v>#NAME?</v>
      </c>
      <c r="Y226" s="28" t="e">
        <f t="shared" ca="1" si="2048"/>
        <v>#NAME?</v>
      </c>
      <c r="Z226" s="28" t="e">
        <f t="shared" ref="Z226:AA226" ca="1" si="2049">Z225-Z176</f>
        <v>#NAME?</v>
      </c>
      <c r="AA226" s="28" t="e">
        <f t="shared" ca="1" si="2049"/>
        <v>#NAME?</v>
      </c>
      <c r="AB226" s="30" t="e">
        <f t="shared" ref="AA226:AD226" ca="1" si="2050">AB225-AB176</f>
        <v>#NAME?</v>
      </c>
      <c r="AC226" s="30" t="e">
        <f t="shared" ca="1" si="2050"/>
        <v>#NAME?</v>
      </c>
      <c r="AD226" s="30" t="e">
        <f t="shared" ca="1" si="2050"/>
        <v>#NAME?</v>
      </c>
      <c r="AE226" s="30" t="e">
        <f t="shared" ref="AE226" ca="1" si="2051">AE225-AE176</f>
        <v>#NAME?</v>
      </c>
      <c r="AI226" s="28" t="e">
        <f t="shared" ref="AI226" ca="1" si="2052">AI225-AI176</f>
        <v>#NAME?</v>
      </c>
      <c r="AJ226" s="28" t="e">
        <f t="shared" ref="AJ226:AL226" ca="1" si="2053">AJ225-AJ176</f>
        <v>#NAME?</v>
      </c>
      <c r="AK226" s="28" t="e">
        <f t="shared" ca="1" si="2053"/>
        <v>#NAME?</v>
      </c>
      <c r="AL226" s="28" t="e">
        <f t="shared" ca="1" si="2053"/>
        <v>#NAME?</v>
      </c>
      <c r="AM226" s="28" t="e">
        <f t="shared" ref="AM226" ca="1" si="2054">AM225-AM176</f>
        <v>#NAME?</v>
      </c>
      <c r="AN226" s="28" t="e">
        <f t="shared" ref="AN226:CD226" ca="1" si="2055">AN225-AN176</f>
        <v>#NAME?</v>
      </c>
      <c r="AO226" s="28" t="e">
        <f t="shared" ca="1" si="2055"/>
        <v>#NAME?</v>
      </c>
      <c r="AP226" s="28" t="e">
        <f t="shared" ca="1" si="2055"/>
        <v>#NAME?</v>
      </c>
      <c r="AQ226" s="28" t="e">
        <f t="shared" ca="1" si="2055"/>
        <v>#NAME?</v>
      </c>
      <c r="AR226" s="28" t="e">
        <f t="shared" ca="1" si="2055"/>
        <v>#NAME?</v>
      </c>
      <c r="AS226" s="28" t="e">
        <f t="shared" ca="1" si="2055"/>
        <v>#NAME?</v>
      </c>
      <c r="AT226" s="28" t="e">
        <f t="shared" ca="1" si="2055"/>
        <v>#NAME?</v>
      </c>
      <c r="AU226" s="28" t="e">
        <f t="shared" ca="1" si="2055"/>
        <v>#NAME?</v>
      </c>
      <c r="AV226" s="28" t="e">
        <f t="shared" ca="1" si="2055"/>
        <v>#NAME?</v>
      </c>
      <c r="AW226" s="28" t="e">
        <f t="shared" ca="1" si="2055"/>
        <v>#NAME?</v>
      </c>
      <c r="AX226" s="28" t="e">
        <f t="shared" ca="1" si="2055"/>
        <v>#NAME?</v>
      </c>
      <c r="AY226" s="28" t="e">
        <f t="shared" ca="1" si="2055"/>
        <v>#NAME?</v>
      </c>
      <c r="AZ226" s="28" t="e">
        <f t="shared" ca="1" si="2055"/>
        <v>#NAME?</v>
      </c>
      <c r="BA226" s="28" t="e">
        <f t="shared" ca="1" si="2055"/>
        <v>#NAME?</v>
      </c>
      <c r="BB226" s="28" t="e">
        <f t="shared" ca="1" si="2055"/>
        <v>#NAME?</v>
      </c>
      <c r="BC226" s="28" t="e">
        <f t="shared" ca="1" si="2055"/>
        <v>#NAME?</v>
      </c>
      <c r="BD226" s="28" t="e">
        <f t="shared" ca="1" si="2055"/>
        <v>#NAME?</v>
      </c>
      <c r="BE226" s="28" t="e">
        <f t="shared" ca="1" si="2055"/>
        <v>#NAME?</v>
      </c>
      <c r="BF226" s="28" t="e">
        <f t="shared" ca="1" si="2055"/>
        <v>#NAME?</v>
      </c>
      <c r="BG226" s="28" t="e">
        <f t="shared" ca="1" si="2055"/>
        <v>#NAME?</v>
      </c>
      <c r="BH226" s="28" t="e">
        <f t="shared" ca="1" si="2055"/>
        <v>#NAME?</v>
      </c>
      <c r="BI226" s="28" t="e">
        <f t="shared" ca="1" si="2055"/>
        <v>#NAME?</v>
      </c>
      <c r="BJ226" s="28" t="e">
        <f t="shared" ca="1" si="2055"/>
        <v>#NAME?</v>
      </c>
      <c r="BK226" s="28" t="e">
        <f t="shared" ca="1" si="2055"/>
        <v>#NAME?</v>
      </c>
      <c r="BL226" s="28" t="e">
        <f t="shared" ca="1" si="2055"/>
        <v>#NAME?</v>
      </c>
      <c r="BM226" s="28" t="e">
        <f t="shared" ca="1" si="2055"/>
        <v>#NAME?</v>
      </c>
      <c r="BN226" s="28" t="e">
        <f t="shared" ca="1" si="2055"/>
        <v>#NAME?</v>
      </c>
      <c r="BO226" s="28" t="e">
        <f t="shared" ca="1" si="2055"/>
        <v>#NAME?</v>
      </c>
      <c r="BP226" s="28" t="e">
        <f t="shared" ca="1" si="2055"/>
        <v>#NAME?</v>
      </c>
      <c r="BQ226" s="28" t="e">
        <f t="shared" ca="1" si="2055"/>
        <v>#NAME?</v>
      </c>
      <c r="BR226" s="28" t="e">
        <f t="shared" ca="1" si="2055"/>
        <v>#NAME?</v>
      </c>
      <c r="BS226" s="28" t="e">
        <f t="shared" ca="1" si="2055"/>
        <v>#NAME?</v>
      </c>
      <c r="BT226" s="28" t="e">
        <f t="shared" ca="1" si="2055"/>
        <v>#NAME?</v>
      </c>
      <c r="BU226" s="28" t="e">
        <f t="shared" ca="1" si="2055"/>
        <v>#NAME?</v>
      </c>
      <c r="BV226" s="28" t="e">
        <f t="shared" ca="1" si="2055"/>
        <v>#NAME?</v>
      </c>
      <c r="BW226" s="28" t="e">
        <f t="shared" ca="1" si="2055"/>
        <v>#NAME?</v>
      </c>
      <c r="BX226" s="28" t="e">
        <f t="shared" ca="1" si="2055"/>
        <v>#NAME?</v>
      </c>
      <c r="BY226" s="28" t="e">
        <f t="shared" ca="1" si="2055"/>
        <v>#NAME?</v>
      </c>
      <c r="BZ226" s="28" t="e">
        <f t="shared" ca="1" si="2055"/>
        <v>#NAME?</v>
      </c>
      <c r="CA226" s="28" t="e">
        <f t="shared" ca="1" si="2055"/>
        <v>#NAME?</v>
      </c>
      <c r="CB226" s="28" t="e">
        <f t="shared" ca="1" si="2055"/>
        <v>#NAME?</v>
      </c>
      <c r="CC226" s="28" t="e">
        <f t="shared" ca="1" si="2055"/>
        <v>#NAME?</v>
      </c>
      <c r="CD226" s="28" t="e">
        <f t="shared" ca="1" si="2055"/>
        <v>#NAME?</v>
      </c>
      <c r="CE226" s="28" t="e">
        <f t="shared" ref="CE226:CF226" ca="1" si="2056">CE225-CE176</f>
        <v>#NAME?</v>
      </c>
      <c r="CF226" s="28" t="e">
        <f t="shared" ca="1" si="2056"/>
        <v>#NAME?</v>
      </c>
      <c r="CG226" s="28" t="e">
        <f t="shared" ref="CG226:CH226" ca="1" si="2057">CG225-CG176</f>
        <v>#NAME?</v>
      </c>
      <c r="CH226" s="28" t="e">
        <f t="shared" ca="1" si="2057"/>
        <v>#NAME?</v>
      </c>
      <c r="CI226" s="28" t="e">
        <f t="shared" ref="CI226:CJ226" ca="1" si="2058">CI225-CI176</f>
        <v>#NAME?</v>
      </c>
      <c r="CJ226" s="28" t="e">
        <f t="shared" ca="1" si="2058"/>
        <v>#NAME?</v>
      </c>
      <c r="CK226" s="30" t="e">
        <f t="shared" ref="CK226:DB226" ca="1" si="2059">CK225-CK176</f>
        <v>#NAME?</v>
      </c>
      <c r="CL226" s="28" t="e">
        <f t="shared" ca="1" si="2059"/>
        <v>#NAME?</v>
      </c>
      <c r="CM226" s="30" t="e">
        <f t="shared" ca="1" si="2059"/>
        <v>#NAME?</v>
      </c>
      <c r="CN226" s="30" t="e">
        <f t="shared" ca="1" si="2059"/>
        <v>#NAME?</v>
      </c>
      <c r="CO226" s="30" t="e">
        <f t="shared" ca="1" si="2059"/>
        <v>#NAME?</v>
      </c>
      <c r="CP226" s="30" t="e">
        <f t="shared" ca="1" si="2059"/>
        <v>#NAME?</v>
      </c>
      <c r="CQ226" s="30" t="e">
        <f t="shared" ca="1" si="2059"/>
        <v>#NAME?</v>
      </c>
      <c r="CR226" s="30" t="e">
        <f t="shared" ca="1" si="2059"/>
        <v>#NAME?</v>
      </c>
      <c r="CS226" s="30" t="e">
        <f t="shared" ca="1" si="2059"/>
        <v>#NAME?</v>
      </c>
      <c r="CT226" s="30" t="e">
        <f t="shared" ca="1" si="2059"/>
        <v>#NAME?</v>
      </c>
      <c r="CU226" s="30" t="e">
        <f t="shared" ca="1" si="2059"/>
        <v>#NAME?</v>
      </c>
      <c r="CV226" s="30" t="e">
        <f t="shared" ca="1" si="2059"/>
        <v>#NAME?</v>
      </c>
      <c r="CW226" s="30" t="e">
        <f t="shared" ca="1" si="2059"/>
        <v>#NAME?</v>
      </c>
      <c r="CX226" s="30" t="e">
        <f t="shared" ca="1" si="2059"/>
        <v>#NAME?</v>
      </c>
      <c r="CY226" s="30" t="e">
        <f t="shared" ca="1" si="2059"/>
        <v>#NAME?</v>
      </c>
      <c r="CZ226" s="30" t="e">
        <f t="shared" ca="1" si="2059"/>
        <v>#NAME?</v>
      </c>
      <c r="DA226" s="30" t="e">
        <f t="shared" ca="1" si="2059"/>
        <v>#NAME?</v>
      </c>
      <c r="DB226" s="30" t="e">
        <f t="shared" ca="1" si="2059"/>
        <v>#NAME?</v>
      </c>
      <c r="DE226" s="139"/>
      <c r="DF226" s="28">
        <v>9.9999999996214228E-4</v>
      </c>
    </row>
    <row r="227" spans="1:110" s="23" customFormat="1" x14ac:dyDescent="0.2">
      <c r="AB227" s="24"/>
      <c r="AC227" s="24"/>
      <c r="AD227" s="24"/>
      <c r="AE227" s="24"/>
      <c r="CK227" s="24"/>
      <c r="CM227" s="24"/>
      <c r="CN227" s="24"/>
      <c r="CO227" s="24"/>
      <c r="CP227" s="24"/>
      <c r="CQ227" s="24"/>
      <c r="CR227" s="24"/>
      <c r="CS227" s="24"/>
      <c r="CT227" s="24"/>
      <c r="CU227" s="24"/>
      <c r="CV227" s="24"/>
      <c r="CW227" s="24"/>
      <c r="CX227" s="24"/>
      <c r="CY227" s="24"/>
      <c r="CZ227" s="24"/>
      <c r="DA227" s="24"/>
      <c r="DB227" s="24"/>
      <c r="DE227" s="123"/>
    </row>
    <row r="228" spans="1:110" s="22" customFormat="1" x14ac:dyDescent="0.2">
      <c r="A228" s="22" t="s">
        <v>96</v>
      </c>
      <c r="C228" s="22" t="e">
        <f t="shared" ref="C228:W228" ca="1" si="2060">C214+C216</f>
        <v>#NAME?</v>
      </c>
      <c r="D228" s="22" t="e">
        <f t="shared" ca="1" si="2060"/>
        <v>#NAME?</v>
      </c>
      <c r="E228" s="22" t="e">
        <f t="shared" ca="1" si="2060"/>
        <v>#NAME?</v>
      </c>
      <c r="F228" s="22" t="e">
        <f t="shared" ca="1" si="2060"/>
        <v>#NAME?</v>
      </c>
      <c r="G228" s="22" t="e">
        <f t="shared" ca="1" si="2060"/>
        <v>#NAME?</v>
      </c>
      <c r="H228" s="22" t="e">
        <f t="shared" ca="1" si="2060"/>
        <v>#NAME?</v>
      </c>
      <c r="I228" s="22" t="e">
        <f t="shared" ca="1" si="2060"/>
        <v>#NAME?</v>
      </c>
      <c r="J228" s="22" t="e">
        <f ca="1">J214+J216</f>
        <v>#NAME?</v>
      </c>
      <c r="K228" s="22" t="e">
        <f t="shared" ca="1" si="2060"/>
        <v>#NAME?</v>
      </c>
      <c r="L228" s="22" t="e">
        <f t="shared" ca="1" si="2060"/>
        <v>#NAME?</v>
      </c>
      <c r="M228" s="22" t="e">
        <f t="shared" ca="1" si="2060"/>
        <v>#NAME?</v>
      </c>
      <c r="N228" s="22" t="e">
        <f t="shared" ca="1" si="2060"/>
        <v>#NAME?</v>
      </c>
      <c r="O228" s="22" t="e">
        <f t="shared" ca="1" si="2060"/>
        <v>#NAME?</v>
      </c>
      <c r="P228" s="22" t="e">
        <f t="shared" ca="1" si="2060"/>
        <v>#NAME?</v>
      </c>
      <c r="Q228" s="22" t="e">
        <f t="shared" ca="1" si="2060"/>
        <v>#NAME?</v>
      </c>
      <c r="R228" s="22" t="e">
        <f t="shared" ca="1" si="2060"/>
        <v>#NAME?</v>
      </c>
      <c r="S228" s="22" t="e">
        <f t="shared" ca="1" si="2060"/>
        <v>#NAME?</v>
      </c>
      <c r="T228" s="22" t="e">
        <f t="shared" ca="1" si="2060"/>
        <v>#NAME?</v>
      </c>
      <c r="U228" s="22" t="e">
        <f t="shared" ca="1" si="2060"/>
        <v>#NAME?</v>
      </c>
      <c r="V228" s="22" t="e">
        <f t="shared" ca="1" si="2060"/>
        <v>#NAME?</v>
      </c>
      <c r="W228" s="22" t="e">
        <f t="shared" ca="1" si="2060"/>
        <v>#NAME?</v>
      </c>
      <c r="X228" s="22" t="e">
        <f t="shared" ref="X228:Y228" ca="1" si="2061">X214+X216</f>
        <v>#NAME?</v>
      </c>
      <c r="Y228" s="22" t="e">
        <f t="shared" ca="1" si="2061"/>
        <v>#NAME?</v>
      </c>
      <c r="Z228" s="22" t="e">
        <f t="shared" ref="Z228:AA228" ca="1" si="2062">Z214+Z216</f>
        <v>#NAME?</v>
      </c>
      <c r="AA228" s="22" t="e">
        <f t="shared" ca="1" si="2062"/>
        <v>#NAME?</v>
      </c>
      <c r="AB228" s="21" t="e">
        <f t="shared" ref="AA228:AD228" ca="1" si="2063">AB214+AB216</f>
        <v>#NAME?</v>
      </c>
      <c r="AC228" s="21" t="e">
        <f t="shared" ca="1" si="2063"/>
        <v>#NAME?</v>
      </c>
      <c r="AD228" s="21" t="e">
        <f t="shared" ca="1" si="2063"/>
        <v>#NAME?</v>
      </c>
      <c r="AE228" s="21" t="e">
        <f t="shared" ref="AE228" ca="1" si="2064">AE214+AE216</f>
        <v>#NAME?</v>
      </c>
      <c r="AI228" s="22" t="e">
        <f t="shared" ref="AI228" ca="1" si="2065">AI214+AI216</f>
        <v>#NAME?</v>
      </c>
      <c r="AJ228" s="22" t="e">
        <f t="shared" ref="AJ228:AL228" ca="1" si="2066">AJ214+AJ216</f>
        <v>#NAME?</v>
      </c>
      <c r="AK228" s="22" t="e">
        <f t="shared" ca="1" si="2066"/>
        <v>#NAME?</v>
      </c>
      <c r="AL228" s="22" t="e">
        <f t="shared" ca="1" si="2066"/>
        <v>#NAME?</v>
      </c>
      <c r="AM228" s="22" t="e">
        <f t="shared" ref="AM228" ca="1" si="2067">AM214+AM216</f>
        <v>#NAME?</v>
      </c>
      <c r="AN228" s="22" t="e">
        <f t="shared" ref="AN228:CD228" ca="1" si="2068">AN214+AN216</f>
        <v>#NAME?</v>
      </c>
      <c r="AO228" s="22" t="e">
        <f t="shared" ca="1" si="2068"/>
        <v>#NAME?</v>
      </c>
      <c r="AP228" s="22" t="e">
        <f t="shared" ca="1" si="2068"/>
        <v>#NAME?</v>
      </c>
      <c r="AQ228" s="22" t="e">
        <f t="shared" ca="1" si="2068"/>
        <v>#NAME?</v>
      </c>
      <c r="AR228" s="22" t="e">
        <f t="shared" ca="1" si="2068"/>
        <v>#NAME?</v>
      </c>
      <c r="AS228" s="22" t="e">
        <f t="shared" ca="1" si="2068"/>
        <v>#NAME?</v>
      </c>
      <c r="AT228" s="22" t="e">
        <f t="shared" ca="1" si="2068"/>
        <v>#NAME?</v>
      </c>
      <c r="AU228" s="22" t="e">
        <f t="shared" ca="1" si="2068"/>
        <v>#NAME?</v>
      </c>
      <c r="AV228" s="22" t="e">
        <f t="shared" ca="1" si="2068"/>
        <v>#NAME?</v>
      </c>
      <c r="AW228" s="22" t="e">
        <f t="shared" ca="1" si="2068"/>
        <v>#NAME?</v>
      </c>
      <c r="AX228" s="22" t="e">
        <f t="shared" ca="1" si="2068"/>
        <v>#NAME?</v>
      </c>
      <c r="AY228" s="22" t="e">
        <f t="shared" ca="1" si="2068"/>
        <v>#NAME?</v>
      </c>
      <c r="AZ228" s="22" t="e">
        <f t="shared" ca="1" si="2068"/>
        <v>#NAME?</v>
      </c>
      <c r="BA228" s="22" t="e">
        <f t="shared" ca="1" si="2068"/>
        <v>#NAME?</v>
      </c>
      <c r="BB228" s="22" t="e">
        <f t="shared" ca="1" si="2068"/>
        <v>#NAME?</v>
      </c>
      <c r="BC228" s="22" t="e">
        <f t="shared" ca="1" si="2068"/>
        <v>#NAME?</v>
      </c>
      <c r="BD228" s="22" t="e">
        <f t="shared" ca="1" si="2068"/>
        <v>#NAME?</v>
      </c>
      <c r="BE228" s="22" t="e">
        <f t="shared" ca="1" si="2068"/>
        <v>#NAME?</v>
      </c>
      <c r="BF228" s="22" t="e">
        <f t="shared" ca="1" si="2068"/>
        <v>#NAME?</v>
      </c>
      <c r="BG228" s="22" t="e">
        <f t="shared" ca="1" si="2068"/>
        <v>#NAME?</v>
      </c>
      <c r="BH228" s="22" t="e">
        <f t="shared" ca="1" si="2068"/>
        <v>#NAME?</v>
      </c>
      <c r="BI228" s="22" t="e">
        <f t="shared" ca="1" si="2068"/>
        <v>#NAME?</v>
      </c>
      <c r="BJ228" s="22" t="e">
        <f t="shared" ca="1" si="2068"/>
        <v>#NAME?</v>
      </c>
      <c r="BK228" s="22" t="e">
        <f t="shared" ca="1" si="2068"/>
        <v>#NAME?</v>
      </c>
      <c r="BL228" s="22" t="e">
        <f t="shared" ca="1" si="2068"/>
        <v>#NAME?</v>
      </c>
      <c r="BM228" s="22" t="e">
        <f t="shared" ca="1" si="2068"/>
        <v>#NAME?</v>
      </c>
      <c r="BN228" s="22" t="e">
        <f t="shared" ca="1" si="2068"/>
        <v>#NAME?</v>
      </c>
      <c r="BO228" s="22" t="e">
        <f t="shared" ca="1" si="2068"/>
        <v>#NAME?</v>
      </c>
      <c r="BP228" s="22" t="e">
        <f t="shared" ca="1" si="2068"/>
        <v>#NAME?</v>
      </c>
      <c r="BQ228" s="22" t="e">
        <f t="shared" ca="1" si="2068"/>
        <v>#NAME?</v>
      </c>
      <c r="BR228" s="22" t="e">
        <f t="shared" ca="1" si="2068"/>
        <v>#NAME?</v>
      </c>
      <c r="BS228" s="22" t="e">
        <f t="shared" ca="1" si="2068"/>
        <v>#NAME?</v>
      </c>
      <c r="BT228" s="22" t="e">
        <f t="shared" ca="1" si="2068"/>
        <v>#NAME?</v>
      </c>
      <c r="BU228" s="22" t="e">
        <f t="shared" ca="1" si="2068"/>
        <v>#NAME?</v>
      </c>
      <c r="BV228" s="22" t="e">
        <f t="shared" ca="1" si="2068"/>
        <v>#NAME?</v>
      </c>
      <c r="BW228" s="22" t="e">
        <f t="shared" ca="1" si="2068"/>
        <v>#NAME?</v>
      </c>
      <c r="BX228" s="22" t="e">
        <f t="shared" ca="1" si="2068"/>
        <v>#NAME?</v>
      </c>
      <c r="BY228" s="22" t="e">
        <f t="shared" ca="1" si="2068"/>
        <v>#NAME?</v>
      </c>
      <c r="BZ228" s="22" t="e">
        <f t="shared" ca="1" si="2068"/>
        <v>#NAME?</v>
      </c>
      <c r="CA228" s="22" t="e">
        <f t="shared" ca="1" si="2068"/>
        <v>#NAME?</v>
      </c>
      <c r="CB228" s="22" t="e">
        <f t="shared" ca="1" si="2068"/>
        <v>#NAME?</v>
      </c>
      <c r="CC228" s="22" t="e">
        <f t="shared" ca="1" si="2068"/>
        <v>#NAME?</v>
      </c>
      <c r="CD228" s="22" t="e">
        <f t="shared" ca="1" si="2068"/>
        <v>#NAME?</v>
      </c>
      <c r="CE228" s="22" t="e">
        <f t="shared" ref="CE228:CF228" ca="1" si="2069">CE214+CE216</f>
        <v>#NAME?</v>
      </c>
      <c r="CF228" s="22" t="e">
        <f t="shared" ca="1" si="2069"/>
        <v>#NAME?</v>
      </c>
      <c r="CG228" s="22" t="e">
        <f t="shared" ref="CG228:CH228" ca="1" si="2070">CG214+CG216</f>
        <v>#NAME?</v>
      </c>
      <c r="CH228" s="22" t="e">
        <f t="shared" ca="1" si="2070"/>
        <v>#NAME?</v>
      </c>
      <c r="CI228" s="22" t="e">
        <f t="shared" ref="CI228:CJ228" ca="1" si="2071">CI214+CI216</f>
        <v>#NAME?</v>
      </c>
      <c r="CJ228" s="22" t="e">
        <f t="shared" ca="1" si="2071"/>
        <v>#NAME?</v>
      </c>
      <c r="CK228" s="21" t="e">
        <f t="shared" ref="CK228:DB228" ca="1" si="2072">CK214+CK216</f>
        <v>#NAME?</v>
      </c>
      <c r="CL228" s="22" t="e">
        <f t="shared" ca="1" si="2072"/>
        <v>#NAME?</v>
      </c>
      <c r="CM228" s="21" t="e">
        <f t="shared" ca="1" si="2072"/>
        <v>#NAME?</v>
      </c>
      <c r="CN228" s="21" t="e">
        <f t="shared" ca="1" si="2072"/>
        <v>#NAME?</v>
      </c>
      <c r="CO228" s="21" t="e">
        <f t="shared" ca="1" si="2072"/>
        <v>#NAME?</v>
      </c>
      <c r="CP228" s="21" t="e">
        <f t="shared" ca="1" si="2072"/>
        <v>#NAME?</v>
      </c>
      <c r="CQ228" s="21" t="e">
        <f t="shared" ca="1" si="2072"/>
        <v>#NAME?</v>
      </c>
      <c r="CR228" s="21" t="e">
        <f t="shared" ca="1" si="2072"/>
        <v>#NAME?</v>
      </c>
      <c r="CS228" s="21" t="e">
        <f t="shared" ca="1" si="2072"/>
        <v>#NAME?</v>
      </c>
      <c r="CT228" s="21" t="e">
        <f t="shared" ca="1" si="2072"/>
        <v>#NAME?</v>
      </c>
      <c r="CU228" s="21" t="e">
        <f t="shared" ca="1" si="2072"/>
        <v>#NAME?</v>
      </c>
      <c r="CV228" s="21" t="e">
        <f t="shared" ca="1" si="2072"/>
        <v>#NAME?</v>
      </c>
      <c r="CW228" s="21" t="e">
        <f t="shared" ca="1" si="2072"/>
        <v>#NAME?</v>
      </c>
      <c r="CX228" s="21" t="e">
        <f t="shared" ca="1" si="2072"/>
        <v>#NAME?</v>
      </c>
      <c r="CY228" s="21" t="e">
        <f t="shared" ca="1" si="2072"/>
        <v>#NAME?</v>
      </c>
      <c r="CZ228" s="21" t="e">
        <f t="shared" ca="1" si="2072"/>
        <v>#NAME?</v>
      </c>
      <c r="DA228" s="21" t="e">
        <f t="shared" ca="1" si="2072"/>
        <v>#NAME?</v>
      </c>
      <c r="DB228" s="21" t="e">
        <f t="shared" ca="1" si="2072"/>
        <v>#NAME?</v>
      </c>
      <c r="DE228" s="126"/>
      <c r="DF228" s="22">
        <v>-95.964999999999975</v>
      </c>
    </row>
    <row r="229" spans="1:110" x14ac:dyDescent="0.2">
      <c r="A229" s="152" t="s">
        <v>496</v>
      </c>
      <c r="AA229" s="2"/>
      <c r="CL229" s="2"/>
    </row>
    <row r="230" spans="1:110" x14ac:dyDescent="0.2">
      <c r="AA230" s="2"/>
      <c r="CL230" s="2"/>
    </row>
    <row r="231" spans="1:110" s="7" customFormat="1" hidden="1" outlineLevel="1" x14ac:dyDescent="0.2">
      <c r="A231" s="61" t="s">
        <v>97</v>
      </c>
      <c r="AB231" s="77"/>
      <c r="AC231" s="77"/>
      <c r="AD231" s="77"/>
      <c r="AE231" s="77"/>
      <c r="CK231" s="50"/>
      <c r="CM231" s="50"/>
      <c r="CN231" s="50"/>
      <c r="CO231" s="50"/>
      <c r="CP231" s="50"/>
      <c r="CQ231" s="50"/>
      <c r="CR231" s="50"/>
      <c r="CS231" s="50"/>
      <c r="CT231" s="50"/>
      <c r="CU231" s="50"/>
      <c r="CV231" s="50"/>
      <c r="CW231" s="50"/>
      <c r="CX231" s="50"/>
      <c r="CY231" s="50"/>
      <c r="CZ231" s="50"/>
      <c r="DA231" s="50"/>
      <c r="DB231" s="50"/>
      <c r="DE231" s="138"/>
    </row>
    <row r="232" spans="1:110" s="62" customFormat="1" hidden="1" outlineLevel="1" x14ac:dyDescent="0.2">
      <c r="A232" s="62" t="s">
        <v>98</v>
      </c>
      <c r="AB232" s="63"/>
      <c r="AC232" s="63"/>
      <c r="AD232" s="63"/>
      <c r="AE232" s="63"/>
      <c r="CK232" s="30"/>
      <c r="CM232" s="30"/>
      <c r="CN232" s="30"/>
      <c r="CO232" s="30"/>
      <c r="CP232" s="30"/>
      <c r="CQ232" s="30"/>
      <c r="CR232" s="30"/>
      <c r="CS232" s="30"/>
      <c r="CT232" s="30"/>
      <c r="CU232" s="30"/>
      <c r="CV232" s="30"/>
      <c r="CW232" s="30"/>
      <c r="CX232" s="30"/>
      <c r="CY232" s="30"/>
      <c r="CZ232" s="30"/>
      <c r="DA232" s="30"/>
      <c r="DB232" s="30"/>
      <c r="DE232" s="139"/>
    </row>
    <row r="233" spans="1:110" s="62" customFormat="1" hidden="1" outlineLevel="1" x14ac:dyDescent="0.2">
      <c r="A233" s="62" t="s">
        <v>99</v>
      </c>
      <c r="AB233" s="63"/>
      <c r="AC233" s="63"/>
      <c r="AD233" s="63"/>
      <c r="AE233" s="63"/>
      <c r="CK233" s="30"/>
      <c r="CM233" s="30"/>
      <c r="CN233" s="30"/>
      <c r="CO233" s="30"/>
      <c r="CP233" s="30"/>
      <c r="CQ233" s="30"/>
      <c r="CR233" s="30"/>
      <c r="CS233" s="30"/>
      <c r="CT233" s="30"/>
      <c r="CU233" s="30"/>
      <c r="CV233" s="30"/>
      <c r="CW233" s="30"/>
      <c r="CX233" s="30"/>
      <c r="CY233" s="30"/>
      <c r="CZ233" s="30"/>
      <c r="DA233" s="30"/>
      <c r="DB233" s="30"/>
      <c r="DE233" s="139"/>
    </row>
    <row r="234" spans="1:110" s="62" customFormat="1" hidden="1" outlineLevel="1" x14ac:dyDescent="0.2">
      <c r="A234" s="62" t="s">
        <v>100</v>
      </c>
      <c r="AB234" s="63"/>
      <c r="AC234" s="63"/>
      <c r="AD234" s="63"/>
      <c r="AE234" s="63"/>
      <c r="CK234" s="30"/>
      <c r="CM234" s="30"/>
      <c r="CN234" s="30"/>
      <c r="CO234" s="30"/>
      <c r="CP234" s="30"/>
      <c r="CQ234" s="30"/>
      <c r="CR234" s="30"/>
      <c r="CS234" s="30"/>
      <c r="CT234" s="30"/>
      <c r="CU234" s="30"/>
      <c r="CV234" s="30"/>
      <c r="CW234" s="30"/>
      <c r="CX234" s="30"/>
      <c r="CY234" s="30"/>
      <c r="CZ234" s="30"/>
      <c r="DA234" s="30"/>
      <c r="DB234" s="30"/>
      <c r="DE234" s="139"/>
    </row>
    <row r="235" spans="1:110" s="62" customFormat="1" hidden="1" outlineLevel="1" x14ac:dyDescent="0.2">
      <c r="AB235" s="63"/>
      <c r="AC235" s="63"/>
      <c r="AD235" s="63"/>
      <c r="AE235" s="63"/>
      <c r="CK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10" s="62" customFormat="1" hidden="1" outlineLevel="1" x14ac:dyDescent="0.2">
      <c r="AB236" s="63"/>
      <c r="AC236" s="63"/>
      <c r="AD236" s="63"/>
      <c r="AE236" s="63"/>
      <c r="CK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10" s="62" customFormat="1" hidden="1" outlineLevel="1" x14ac:dyDescent="0.2">
      <c r="AB237" s="63"/>
      <c r="AC237" s="63"/>
      <c r="AD237" s="63"/>
      <c r="AE237" s="63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10" s="11" customFormat="1" collapsed="1" x14ac:dyDescent="0.2">
      <c r="AB238" s="63"/>
      <c r="AC238" s="63"/>
      <c r="AD238" s="63"/>
      <c r="AE238" s="63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10" s="83" customFormat="1" x14ac:dyDescent="0.2">
      <c r="A239" s="82" t="s">
        <v>101</v>
      </c>
      <c r="AB239" s="72"/>
      <c r="AC239" s="72"/>
      <c r="AD239" s="72"/>
      <c r="AE239" s="72"/>
      <c r="CK239" s="30"/>
      <c r="CM239" s="30"/>
      <c r="CN239" s="30"/>
      <c r="CO239" s="30"/>
      <c r="CP239" s="30"/>
      <c r="CQ239" s="30"/>
      <c r="CR239" s="30"/>
      <c r="CS239" s="30"/>
      <c r="CT239" s="30"/>
      <c r="CU239" s="30"/>
      <c r="CV239" s="30"/>
      <c r="CW239" s="30"/>
      <c r="CX239" s="30"/>
      <c r="CY239" s="30"/>
      <c r="CZ239" s="30"/>
      <c r="DA239" s="30"/>
      <c r="DB239" s="30"/>
      <c r="DE239" s="139"/>
    </row>
    <row r="240" spans="1:110" s="66" customFormat="1" x14ac:dyDescent="0.2">
      <c r="A240" s="66" t="s">
        <v>471</v>
      </c>
      <c r="AB240" s="50"/>
      <c r="AC240" s="50"/>
      <c r="AD240" s="50"/>
      <c r="AE240" s="50"/>
      <c r="AL240" s="66" t="e">
        <f t="shared" ref="AL240:BQ240" ca="1" si="2073">SUM(AI25:AL25)</f>
        <v>#NAME?</v>
      </c>
      <c r="AM240" s="66" t="e">
        <f t="shared" ca="1" si="2073"/>
        <v>#NAME?</v>
      </c>
      <c r="AN240" s="66" t="e">
        <f t="shared" ca="1" si="2073"/>
        <v>#NAME?</v>
      </c>
      <c r="AO240" s="66" t="e">
        <f t="shared" ca="1" si="2073"/>
        <v>#NAME?</v>
      </c>
      <c r="AP240" s="66" t="e">
        <f t="shared" ca="1" si="2073"/>
        <v>#NAME?</v>
      </c>
      <c r="AQ240" s="66" t="e">
        <f t="shared" ca="1" si="2073"/>
        <v>#NAME?</v>
      </c>
      <c r="AR240" s="66" t="e">
        <f t="shared" ca="1" si="2073"/>
        <v>#NAME?</v>
      </c>
      <c r="AS240" s="66" t="e">
        <f t="shared" ca="1" si="2073"/>
        <v>#NAME?</v>
      </c>
      <c r="AT240" s="66" t="e">
        <f t="shared" ca="1" si="2073"/>
        <v>#NAME?</v>
      </c>
      <c r="AU240" s="66" t="e">
        <f t="shared" ca="1" si="2073"/>
        <v>#NAME?</v>
      </c>
      <c r="AV240" s="66" t="e">
        <f t="shared" ca="1" si="2073"/>
        <v>#NAME?</v>
      </c>
      <c r="AW240" s="66" t="e">
        <f t="shared" ca="1" si="2073"/>
        <v>#NAME?</v>
      </c>
      <c r="AX240" s="66" t="e">
        <f t="shared" ca="1" si="2073"/>
        <v>#NAME?</v>
      </c>
      <c r="AY240" s="66" t="e">
        <f t="shared" ca="1" si="2073"/>
        <v>#NAME?</v>
      </c>
      <c r="AZ240" s="66" t="e">
        <f t="shared" ca="1" si="2073"/>
        <v>#NAME?</v>
      </c>
      <c r="BA240" s="66" t="e">
        <f t="shared" ca="1" si="2073"/>
        <v>#NAME?</v>
      </c>
      <c r="BB240" s="66" t="e">
        <f t="shared" ca="1" si="2073"/>
        <v>#NAME?</v>
      </c>
      <c r="BC240" s="66" t="e">
        <f t="shared" ca="1" si="2073"/>
        <v>#NAME?</v>
      </c>
      <c r="BD240" s="66" t="e">
        <f t="shared" ca="1" si="2073"/>
        <v>#NAME?</v>
      </c>
      <c r="BE240" s="66" t="e">
        <f t="shared" ca="1" si="2073"/>
        <v>#NAME?</v>
      </c>
      <c r="BF240" s="66" t="e">
        <f t="shared" ca="1" si="2073"/>
        <v>#NAME?</v>
      </c>
      <c r="BG240" s="66" t="e">
        <f t="shared" ca="1" si="2073"/>
        <v>#NAME?</v>
      </c>
      <c r="BH240" s="66" t="e">
        <f t="shared" ca="1" si="2073"/>
        <v>#NAME?</v>
      </c>
      <c r="BI240" s="66" t="e">
        <f t="shared" ca="1" si="2073"/>
        <v>#NAME?</v>
      </c>
      <c r="BJ240" s="66" t="e">
        <f t="shared" ca="1" si="2073"/>
        <v>#NAME?</v>
      </c>
      <c r="BK240" s="66" t="e">
        <f t="shared" ca="1" si="2073"/>
        <v>#NAME?</v>
      </c>
      <c r="BL240" s="66" t="e">
        <f t="shared" ca="1" si="2073"/>
        <v>#NAME?</v>
      </c>
      <c r="BM240" s="66" t="e">
        <f t="shared" ca="1" si="2073"/>
        <v>#NAME?</v>
      </c>
      <c r="BN240" s="66" t="e">
        <f t="shared" ca="1" si="2073"/>
        <v>#NAME?</v>
      </c>
      <c r="BO240" s="66" t="e">
        <f t="shared" ca="1" si="2073"/>
        <v>#NAME?</v>
      </c>
      <c r="BP240" s="66" t="e">
        <f t="shared" ca="1" si="2073"/>
        <v>#NAME?</v>
      </c>
      <c r="BQ240" s="66" t="e">
        <f t="shared" ca="1" si="2073"/>
        <v>#NAME?</v>
      </c>
      <c r="BR240" s="66" t="e">
        <f t="shared" ref="BR240:CW240" ca="1" si="2074">SUM(BO25:BR25)</f>
        <v>#NAME?</v>
      </c>
      <c r="BS240" s="66" t="e">
        <f t="shared" ca="1" si="2074"/>
        <v>#NAME?</v>
      </c>
      <c r="BT240" s="66" t="e">
        <f t="shared" ca="1" si="2074"/>
        <v>#NAME?</v>
      </c>
      <c r="BU240" s="66" t="e">
        <f t="shared" ca="1" si="2074"/>
        <v>#NAME?</v>
      </c>
      <c r="BV240" s="66" t="e">
        <f t="shared" ca="1" si="2074"/>
        <v>#NAME?</v>
      </c>
      <c r="BW240" s="66" t="e">
        <f t="shared" ca="1" si="2074"/>
        <v>#NAME?</v>
      </c>
      <c r="BX240" s="66" t="e">
        <f t="shared" ca="1" si="2074"/>
        <v>#NAME?</v>
      </c>
      <c r="BY240" s="66" t="e">
        <f t="shared" ca="1" si="2074"/>
        <v>#NAME?</v>
      </c>
      <c r="BZ240" s="66" t="e">
        <f t="shared" ca="1" si="2074"/>
        <v>#NAME?</v>
      </c>
      <c r="CA240" s="66" t="e">
        <f t="shared" ca="1" si="2074"/>
        <v>#NAME?</v>
      </c>
      <c r="CB240" s="66" t="e">
        <f t="shared" ca="1" si="2074"/>
        <v>#NAME?</v>
      </c>
      <c r="CC240" s="66" t="e">
        <f t="shared" ca="1" si="2074"/>
        <v>#NAME?</v>
      </c>
      <c r="CD240" s="66" t="e">
        <f t="shared" ca="1" si="2074"/>
        <v>#NAME?</v>
      </c>
      <c r="CE240" s="66" t="e">
        <f t="shared" ca="1" si="2074"/>
        <v>#NAME?</v>
      </c>
      <c r="CF240" s="66" t="e">
        <f t="shared" ca="1" si="2074"/>
        <v>#NAME?</v>
      </c>
      <c r="CG240" s="66" t="e">
        <f t="shared" ca="1" si="2074"/>
        <v>#NAME?</v>
      </c>
      <c r="CH240" s="66" t="e">
        <f t="shared" ca="1" si="2074"/>
        <v>#NAME?</v>
      </c>
      <c r="CI240" s="66" t="e">
        <f t="shared" ca="1" si="2074"/>
        <v>#NAME?</v>
      </c>
      <c r="CJ240" s="66" t="e">
        <f t="shared" ca="1" si="2074"/>
        <v>#NAME?</v>
      </c>
      <c r="CK240" s="50" t="e">
        <f t="shared" ca="1" si="2074"/>
        <v>#NAME?</v>
      </c>
      <c r="CL240" s="66" t="e">
        <f t="shared" ca="1" si="2074"/>
        <v>#NAME?</v>
      </c>
      <c r="CM240" s="50" t="e">
        <f t="shared" ca="1" si="2074"/>
        <v>#NAME?</v>
      </c>
      <c r="CN240" s="50" t="e">
        <f t="shared" ca="1" si="2074"/>
        <v>#NAME?</v>
      </c>
      <c r="CO240" s="50" t="e">
        <f t="shared" ca="1" si="2074"/>
        <v>#NAME?</v>
      </c>
      <c r="CP240" s="50">
        <f t="shared" si="2074"/>
        <v>259.06727999999998</v>
      </c>
      <c r="CQ240" s="50">
        <f t="shared" si="2074"/>
        <v>268.02506199999993</v>
      </c>
      <c r="CR240" s="50">
        <f t="shared" si="2074"/>
        <v>277.72323099999994</v>
      </c>
      <c r="CS240" s="50">
        <f t="shared" si="2074"/>
        <v>286.68608199999994</v>
      </c>
      <c r="CT240" s="50">
        <f t="shared" si="2074"/>
        <v>297.83818399999996</v>
      </c>
      <c r="CU240" s="50">
        <f t="shared" si="2074"/>
        <v>308.1392229999999</v>
      </c>
      <c r="CV240" s="50">
        <f t="shared" si="2074"/>
        <v>319.29049869999989</v>
      </c>
      <c r="CW240" s="50">
        <f t="shared" si="2074"/>
        <v>329.59518849999989</v>
      </c>
      <c r="CX240" s="50">
        <f t="shared" ref="CX240:DB240" si="2075">SUM(CU25:CX25)</f>
        <v>342.41580479999988</v>
      </c>
      <c r="CY240" s="50">
        <f t="shared" si="2075"/>
        <v>354.26154831999986</v>
      </c>
      <c r="CZ240" s="50">
        <f t="shared" si="2075"/>
        <v>367.08373485999982</v>
      </c>
      <c r="DA240" s="50">
        <f t="shared" si="2075"/>
        <v>378.93128039499987</v>
      </c>
      <c r="DB240" s="50">
        <f t="shared" si="2075"/>
        <v>393.67025803999985</v>
      </c>
      <c r="DE240" s="138"/>
    </row>
    <row r="241" spans="1:109" s="66" customFormat="1" x14ac:dyDescent="0.2">
      <c r="A241" s="66" t="s">
        <v>472</v>
      </c>
      <c r="AB241" s="50"/>
      <c r="AC241" s="50"/>
      <c r="AD241" s="50"/>
      <c r="AE241" s="50"/>
      <c r="AL241" s="66" t="e">
        <f t="shared" ref="AL241:BQ241" ca="1" si="2076">SUM(AI43:AL43)</f>
        <v>#NAME?</v>
      </c>
      <c r="AM241" s="66" t="e">
        <f t="shared" ca="1" si="2076"/>
        <v>#NAME?</v>
      </c>
      <c r="AN241" s="66" t="e">
        <f t="shared" ca="1" si="2076"/>
        <v>#NAME?</v>
      </c>
      <c r="AO241" s="66" t="e">
        <f t="shared" ca="1" si="2076"/>
        <v>#NAME?</v>
      </c>
      <c r="AP241" s="66" t="e">
        <f t="shared" ca="1" si="2076"/>
        <v>#NAME?</v>
      </c>
      <c r="AQ241" s="66" t="e">
        <f t="shared" ca="1" si="2076"/>
        <v>#NAME?</v>
      </c>
      <c r="AR241" s="66" t="e">
        <f t="shared" ca="1" si="2076"/>
        <v>#NAME?</v>
      </c>
      <c r="AS241" s="66" t="e">
        <f t="shared" ca="1" si="2076"/>
        <v>#NAME?</v>
      </c>
      <c r="AT241" s="66" t="e">
        <f t="shared" ca="1" si="2076"/>
        <v>#NAME?</v>
      </c>
      <c r="AU241" s="66" t="e">
        <f t="shared" ca="1" si="2076"/>
        <v>#NAME?</v>
      </c>
      <c r="AV241" s="66" t="e">
        <f t="shared" ca="1" si="2076"/>
        <v>#NAME?</v>
      </c>
      <c r="AW241" s="66" t="e">
        <f t="shared" ca="1" si="2076"/>
        <v>#NAME?</v>
      </c>
      <c r="AX241" s="66" t="e">
        <f t="shared" ca="1" si="2076"/>
        <v>#NAME?</v>
      </c>
      <c r="AY241" s="66" t="e">
        <f t="shared" ca="1" si="2076"/>
        <v>#NAME?</v>
      </c>
      <c r="AZ241" s="66" t="e">
        <f t="shared" ca="1" si="2076"/>
        <v>#NAME?</v>
      </c>
      <c r="BA241" s="66" t="e">
        <f t="shared" ca="1" si="2076"/>
        <v>#NAME?</v>
      </c>
      <c r="BB241" s="66" t="e">
        <f t="shared" ca="1" si="2076"/>
        <v>#NAME?</v>
      </c>
      <c r="BC241" s="66" t="e">
        <f t="shared" ca="1" si="2076"/>
        <v>#NAME?</v>
      </c>
      <c r="BD241" s="66" t="e">
        <f t="shared" ca="1" si="2076"/>
        <v>#NAME?</v>
      </c>
      <c r="BE241" s="66" t="e">
        <f t="shared" ca="1" si="2076"/>
        <v>#NAME?</v>
      </c>
      <c r="BF241" s="66" t="e">
        <f t="shared" ca="1" si="2076"/>
        <v>#NAME?</v>
      </c>
      <c r="BG241" s="66" t="e">
        <f t="shared" ca="1" si="2076"/>
        <v>#NAME?</v>
      </c>
      <c r="BH241" s="66" t="e">
        <f t="shared" ca="1" si="2076"/>
        <v>#NAME?</v>
      </c>
      <c r="BI241" s="66" t="e">
        <f t="shared" ca="1" si="2076"/>
        <v>#NAME?</v>
      </c>
      <c r="BJ241" s="66" t="e">
        <f t="shared" ca="1" si="2076"/>
        <v>#NAME?</v>
      </c>
      <c r="BK241" s="66" t="e">
        <f t="shared" ca="1" si="2076"/>
        <v>#NAME?</v>
      </c>
      <c r="BL241" s="66" t="e">
        <f t="shared" ca="1" si="2076"/>
        <v>#NAME?</v>
      </c>
      <c r="BM241" s="66" t="e">
        <f t="shared" ca="1" si="2076"/>
        <v>#NAME?</v>
      </c>
      <c r="BN241" s="66" t="e">
        <f t="shared" ca="1" si="2076"/>
        <v>#NAME?</v>
      </c>
      <c r="BO241" s="66" t="e">
        <f t="shared" ca="1" si="2076"/>
        <v>#NAME?</v>
      </c>
      <c r="BP241" s="66" t="e">
        <f t="shared" ca="1" si="2076"/>
        <v>#NAME?</v>
      </c>
      <c r="BQ241" s="66" t="e">
        <f t="shared" ca="1" si="2076"/>
        <v>#NAME?</v>
      </c>
      <c r="BR241" s="66" t="e">
        <f t="shared" ref="BR241:CW241" ca="1" si="2077">SUM(BO43:BR43)</f>
        <v>#NAME?</v>
      </c>
      <c r="BS241" s="66" t="e">
        <f t="shared" ca="1" si="2077"/>
        <v>#NAME?</v>
      </c>
      <c r="BT241" s="66" t="e">
        <f t="shared" ca="1" si="2077"/>
        <v>#NAME?</v>
      </c>
      <c r="BU241" s="66" t="e">
        <f t="shared" ca="1" si="2077"/>
        <v>#NAME?</v>
      </c>
      <c r="BV241" s="66" t="e">
        <f t="shared" ca="1" si="2077"/>
        <v>#NAME?</v>
      </c>
      <c r="BW241" s="66" t="e">
        <f t="shared" ca="1" si="2077"/>
        <v>#NAME?</v>
      </c>
      <c r="BX241" s="66" t="e">
        <f t="shared" ca="1" si="2077"/>
        <v>#NAME?</v>
      </c>
      <c r="BY241" s="66" t="e">
        <f t="shared" ca="1" si="2077"/>
        <v>#NAME?</v>
      </c>
      <c r="BZ241" s="66" t="e">
        <f t="shared" ca="1" si="2077"/>
        <v>#NAME?</v>
      </c>
      <c r="CA241" s="66" t="e">
        <f t="shared" ca="1" si="2077"/>
        <v>#NAME?</v>
      </c>
      <c r="CB241" s="66" t="e">
        <f t="shared" ca="1" si="2077"/>
        <v>#NAME?</v>
      </c>
      <c r="CC241" s="66" t="e">
        <f t="shared" ca="1" si="2077"/>
        <v>#NAME?</v>
      </c>
      <c r="CD241" s="66" t="e">
        <f t="shared" ca="1" si="2077"/>
        <v>#NAME?</v>
      </c>
      <c r="CE241" s="66" t="e">
        <f t="shared" ca="1" si="2077"/>
        <v>#NAME?</v>
      </c>
      <c r="CF241" s="66" t="e">
        <f t="shared" ca="1" si="2077"/>
        <v>#NAME?</v>
      </c>
      <c r="CG241" s="66" t="e">
        <f t="shared" ca="1" si="2077"/>
        <v>#NAME?</v>
      </c>
      <c r="CH241" s="66" t="e">
        <f t="shared" ca="1" si="2077"/>
        <v>#NAME?</v>
      </c>
      <c r="CI241" s="66" t="e">
        <f t="shared" ca="1" si="2077"/>
        <v>#NAME?</v>
      </c>
      <c r="CJ241" s="66" t="e">
        <f t="shared" ca="1" si="2077"/>
        <v>#NAME?</v>
      </c>
      <c r="CK241" s="50" t="e">
        <f t="shared" ca="1" si="2077"/>
        <v>#NAME?</v>
      </c>
      <c r="CL241" s="66" t="e">
        <f t="shared" ca="1" si="2077"/>
        <v>#NAME?</v>
      </c>
      <c r="CM241" s="50" t="e">
        <f t="shared" ca="1" si="2077"/>
        <v>#NAME?</v>
      </c>
      <c r="CN241" s="50" t="e">
        <f t="shared" ca="1" si="2077"/>
        <v>#NAME?</v>
      </c>
      <c r="CO241" s="50" t="e">
        <f t="shared" ca="1" si="2077"/>
        <v>#NAME?</v>
      </c>
      <c r="CP241" s="50" t="e">
        <f t="shared" ca="1" si="2077"/>
        <v>#NAME?</v>
      </c>
      <c r="CQ241" s="50" t="e">
        <f t="shared" ca="1" si="2077"/>
        <v>#NAME?</v>
      </c>
      <c r="CR241" s="50" t="e">
        <f t="shared" ca="1" si="2077"/>
        <v>#NAME?</v>
      </c>
      <c r="CS241" s="50" t="e">
        <f t="shared" ca="1" si="2077"/>
        <v>#NAME?</v>
      </c>
      <c r="CT241" s="50" t="e">
        <f t="shared" ca="1" si="2077"/>
        <v>#NAME?</v>
      </c>
      <c r="CU241" s="50" t="e">
        <f t="shared" ca="1" si="2077"/>
        <v>#NAME?</v>
      </c>
      <c r="CV241" s="50" t="e">
        <f t="shared" ca="1" si="2077"/>
        <v>#NAME?</v>
      </c>
      <c r="CW241" s="50" t="e">
        <f t="shared" ca="1" si="2077"/>
        <v>#NAME?</v>
      </c>
      <c r="CX241" s="50" t="e">
        <f t="shared" ref="CX241:DB241" ca="1" si="2078">SUM(CU43:CX43)</f>
        <v>#NAME?</v>
      </c>
      <c r="CY241" s="50" t="e">
        <f t="shared" ca="1" si="2078"/>
        <v>#NAME?</v>
      </c>
      <c r="CZ241" s="50" t="e">
        <f t="shared" ca="1" si="2078"/>
        <v>#NAME?</v>
      </c>
      <c r="DA241" s="50" t="e">
        <f t="shared" ca="1" si="2078"/>
        <v>#NAME?</v>
      </c>
      <c r="DB241" s="50" t="e">
        <f t="shared" ca="1" si="2078"/>
        <v>#NAME?</v>
      </c>
      <c r="DE241" s="138"/>
    </row>
    <row r="242" spans="1:109" s="66" customFormat="1" x14ac:dyDescent="0.2">
      <c r="A242" s="66" t="s">
        <v>473</v>
      </c>
      <c r="AB242" s="50"/>
      <c r="AC242" s="50"/>
      <c r="AD242" s="50"/>
      <c r="AE242" s="50"/>
      <c r="AL242" s="66" t="e">
        <f t="shared" ref="AL242:BQ242" ca="1" si="2079">SUM(AI56:AL56)</f>
        <v>#NAME?</v>
      </c>
      <c r="AM242" s="66" t="e">
        <f t="shared" ca="1" si="2079"/>
        <v>#NAME?</v>
      </c>
      <c r="AN242" s="66" t="e">
        <f t="shared" ca="1" si="2079"/>
        <v>#NAME?</v>
      </c>
      <c r="AO242" s="66" t="e">
        <f t="shared" ca="1" si="2079"/>
        <v>#NAME?</v>
      </c>
      <c r="AP242" s="66" t="e">
        <f t="shared" ca="1" si="2079"/>
        <v>#NAME?</v>
      </c>
      <c r="AQ242" s="66" t="e">
        <f t="shared" ca="1" si="2079"/>
        <v>#NAME?</v>
      </c>
      <c r="AR242" s="66" t="e">
        <f t="shared" ca="1" si="2079"/>
        <v>#NAME?</v>
      </c>
      <c r="AS242" s="66" t="e">
        <f t="shared" ca="1" si="2079"/>
        <v>#NAME?</v>
      </c>
      <c r="AT242" s="66" t="e">
        <f t="shared" ca="1" si="2079"/>
        <v>#NAME?</v>
      </c>
      <c r="AU242" s="66" t="e">
        <f t="shared" ca="1" si="2079"/>
        <v>#NAME?</v>
      </c>
      <c r="AV242" s="66" t="e">
        <f t="shared" ca="1" si="2079"/>
        <v>#NAME?</v>
      </c>
      <c r="AW242" s="66" t="e">
        <f t="shared" ca="1" si="2079"/>
        <v>#NAME?</v>
      </c>
      <c r="AX242" s="66" t="e">
        <f t="shared" ca="1" si="2079"/>
        <v>#NAME?</v>
      </c>
      <c r="AY242" s="66" t="e">
        <f t="shared" ca="1" si="2079"/>
        <v>#NAME?</v>
      </c>
      <c r="AZ242" s="66" t="e">
        <f t="shared" ca="1" si="2079"/>
        <v>#NAME?</v>
      </c>
      <c r="BA242" s="66" t="e">
        <f t="shared" ca="1" si="2079"/>
        <v>#NAME?</v>
      </c>
      <c r="BB242" s="66" t="e">
        <f t="shared" ca="1" si="2079"/>
        <v>#NAME?</v>
      </c>
      <c r="BC242" s="66" t="e">
        <f t="shared" ca="1" si="2079"/>
        <v>#NAME?</v>
      </c>
      <c r="BD242" s="66" t="e">
        <f t="shared" ca="1" si="2079"/>
        <v>#NAME?</v>
      </c>
      <c r="BE242" s="66" t="e">
        <f t="shared" ca="1" si="2079"/>
        <v>#NAME?</v>
      </c>
      <c r="BF242" s="66" t="e">
        <f t="shared" ca="1" si="2079"/>
        <v>#NAME?</v>
      </c>
      <c r="BG242" s="66" t="e">
        <f t="shared" ca="1" si="2079"/>
        <v>#NAME?</v>
      </c>
      <c r="BH242" s="66" t="e">
        <f t="shared" ca="1" si="2079"/>
        <v>#NAME?</v>
      </c>
      <c r="BI242" s="66" t="e">
        <f t="shared" ca="1" si="2079"/>
        <v>#NAME?</v>
      </c>
      <c r="BJ242" s="66" t="e">
        <f t="shared" ca="1" si="2079"/>
        <v>#NAME?</v>
      </c>
      <c r="BK242" s="66" t="e">
        <f t="shared" ca="1" si="2079"/>
        <v>#NAME?</v>
      </c>
      <c r="BL242" s="66" t="e">
        <f t="shared" ca="1" si="2079"/>
        <v>#NAME?</v>
      </c>
      <c r="BM242" s="66" t="e">
        <f t="shared" ca="1" si="2079"/>
        <v>#NAME?</v>
      </c>
      <c r="BN242" s="66" t="e">
        <f t="shared" ca="1" si="2079"/>
        <v>#NAME?</v>
      </c>
      <c r="BO242" s="66" t="e">
        <f t="shared" ca="1" si="2079"/>
        <v>#NAME?</v>
      </c>
      <c r="BP242" s="66" t="e">
        <f t="shared" ca="1" si="2079"/>
        <v>#NAME?</v>
      </c>
      <c r="BQ242" s="66" t="e">
        <f t="shared" ca="1" si="2079"/>
        <v>#NAME?</v>
      </c>
      <c r="BR242" s="66" t="e">
        <f t="shared" ref="BR242:CW242" ca="1" si="2080">SUM(BO56:BR56)</f>
        <v>#NAME?</v>
      </c>
      <c r="BS242" s="66" t="e">
        <f t="shared" ca="1" si="2080"/>
        <v>#NAME?</v>
      </c>
      <c r="BT242" s="66" t="e">
        <f t="shared" ca="1" si="2080"/>
        <v>#NAME?</v>
      </c>
      <c r="BU242" s="66" t="e">
        <f t="shared" ca="1" si="2080"/>
        <v>#NAME?</v>
      </c>
      <c r="BV242" s="66" t="e">
        <f t="shared" ca="1" si="2080"/>
        <v>#NAME?</v>
      </c>
      <c r="BW242" s="66" t="e">
        <f t="shared" ca="1" si="2080"/>
        <v>#NAME?</v>
      </c>
      <c r="BX242" s="66" t="e">
        <f t="shared" ca="1" si="2080"/>
        <v>#NAME?</v>
      </c>
      <c r="BY242" s="66" t="e">
        <f t="shared" ca="1" si="2080"/>
        <v>#NAME?</v>
      </c>
      <c r="BZ242" s="66" t="e">
        <f t="shared" ca="1" si="2080"/>
        <v>#NAME?</v>
      </c>
      <c r="CA242" s="66" t="e">
        <f t="shared" ca="1" si="2080"/>
        <v>#NAME?</v>
      </c>
      <c r="CB242" s="66" t="e">
        <f t="shared" ca="1" si="2080"/>
        <v>#NAME?</v>
      </c>
      <c r="CC242" s="66" t="e">
        <f t="shared" ca="1" si="2080"/>
        <v>#NAME?</v>
      </c>
      <c r="CD242" s="66" t="e">
        <f t="shared" ca="1" si="2080"/>
        <v>#NAME?</v>
      </c>
      <c r="CE242" s="66" t="e">
        <f t="shared" ca="1" si="2080"/>
        <v>#NAME?</v>
      </c>
      <c r="CF242" s="66" t="e">
        <f t="shared" ca="1" si="2080"/>
        <v>#NAME?</v>
      </c>
      <c r="CG242" s="66" t="e">
        <f t="shared" ca="1" si="2080"/>
        <v>#NAME?</v>
      </c>
      <c r="CH242" s="66" t="e">
        <f t="shared" ca="1" si="2080"/>
        <v>#NAME?</v>
      </c>
      <c r="CI242" s="66" t="e">
        <f t="shared" ca="1" si="2080"/>
        <v>#NAME?</v>
      </c>
      <c r="CJ242" s="66" t="e">
        <f t="shared" ca="1" si="2080"/>
        <v>#NAME?</v>
      </c>
      <c r="CK242" s="50" t="e">
        <f t="shared" ca="1" si="2080"/>
        <v>#NAME?</v>
      </c>
      <c r="CL242" s="66" t="e">
        <f t="shared" ca="1" si="2080"/>
        <v>#NAME?</v>
      </c>
      <c r="CM242" s="50" t="e">
        <f t="shared" ca="1" si="2080"/>
        <v>#NAME?</v>
      </c>
      <c r="CN242" s="50" t="e">
        <f t="shared" ca="1" si="2080"/>
        <v>#NAME?</v>
      </c>
      <c r="CO242" s="50" t="e">
        <f t="shared" ca="1" si="2080"/>
        <v>#NAME?</v>
      </c>
      <c r="CP242" s="50" t="e">
        <f t="shared" ca="1" si="2080"/>
        <v>#NAME?</v>
      </c>
      <c r="CQ242" s="50" t="e">
        <f t="shared" ca="1" si="2080"/>
        <v>#NAME?</v>
      </c>
      <c r="CR242" s="50" t="e">
        <f t="shared" ca="1" si="2080"/>
        <v>#NAME?</v>
      </c>
      <c r="CS242" s="50" t="e">
        <f t="shared" ca="1" si="2080"/>
        <v>#NAME?</v>
      </c>
      <c r="CT242" s="50" t="e">
        <f t="shared" ca="1" si="2080"/>
        <v>#NAME?</v>
      </c>
      <c r="CU242" s="50" t="e">
        <f t="shared" ca="1" si="2080"/>
        <v>#NAME?</v>
      </c>
      <c r="CV242" s="50" t="e">
        <f t="shared" ca="1" si="2080"/>
        <v>#NAME?</v>
      </c>
      <c r="CW242" s="50" t="e">
        <f t="shared" ca="1" si="2080"/>
        <v>#NAME?</v>
      </c>
      <c r="CX242" s="50" t="e">
        <f t="shared" ref="CX242:DB242" ca="1" si="2081">SUM(CU56:CX56)</f>
        <v>#NAME?</v>
      </c>
      <c r="CY242" s="50" t="e">
        <f t="shared" ca="1" si="2081"/>
        <v>#NAME?</v>
      </c>
      <c r="CZ242" s="50" t="e">
        <f t="shared" ca="1" si="2081"/>
        <v>#NAME?</v>
      </c>
      <c r="DA242" s="50" t="e">
        <f t="shared" ca="1" si="2081"/>
        <v>#NAME?</v>
      </c>
      <c r="DB242" s="50" t="e">
        <f t="shared" ca="1" si="2081"/>
        <v>#NAME?</v>
      </c>
      <c r="DE242" s="138"/>
    </row>
    <row r="243" spans="1:109" s="93" customFormat="1" x14ac:dyDescent="0.2">
      <c r="AB243" s="30"/>
      <c r="AC243" s="30"/>
      <c r="AD243" s="30"/>
      <c r="AE243" s="30"/>
      <c r="CK243" s="3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09" s="11" customFormat="1" x14ac:dyDescent="0.2">
      <c r="AB244" s="63"/>
      <c r="AC244" s="63"/>
      <c r="AD244" s="63"/>
      <c r="AE244" s="63"/>
      <c r="CK244" s="30"/>
      <c r="CM244" s="30"/>
      <c r="CN244" s="30"/>
      <c r="CO244" s="30"/>
      <c r="CP244" s="30"/>
      <c r="CQ244" s="30"/>
      <c r="CR244" s="30"/>
      <c r="CS244" s="30"/>
      <c r="CT244" s="30"/>
      <c r="CU244" s="30"/>
      <c r="CV244" s="30"/>
      <c r="CW244" s="30"/>
      <c r="CX244" s="30"/>
      <c r="CY244" s="30"/>
      <c r="CZ244" s="30"/>
      <c r="DA244" s="30"/>
      <c r="DB244" s="30"/>
      <c r="DE244" s="139"/>
    </row>
    <row r="245" spans="1:109" s="62" customFormat="1" hidden="1" outlineLevel="1" x14ac:dyDescent="0.2">
      <c r="A245" s="61" t="s">
        <v>339</v>
      </c>
      <c r="AB245" s="63"/>
      <c r="AC245" s="63"/>
      <c r="AD245" s="63"/>
      <c r="AE245" s="63"/>
      <c r="CK245" s="30"/>
      <c r="CM245" s="30"/>
      <c r="CN245" s="30"/>
      <c r="CO245" s="30"/>
      <c r="CP245" s="30"/>
      <c r="CQ245" s="30"/>
      <c r="CR245" s="30"/>
      <c r="CS245" s="30"/>
      <c r="CT245" s="30"/>
      <c r="CU245" s="30"/>
      <c r="CV245" s="30"/>
      <c r="CW245" s="30"/>
      <c r="CX245" s="30"/>
      <c r="CY245" s="30"/>
      <c r="CZ245" s="30"/>
      <c r="DA245" s="30"/>
      <c r="DB245" s="30"/>
      <c r="DE245" s="139"/>
    </row>
    <row r="246" spans="1:109" s="64" customFormat="1" hidden="1" outlineLevel="1" x14ac:dyDescent="0.2">
      <c r="A246" s="64" t="s">
        <v>474</v>
      </c>
      <c r="B246" s="64" t="e">
        <f t="shared" ref="B246:Z246" ca="1" si="2082">B23-B252</f>
        <v>#NAME?</v>
      </c>
      <c r="C246" s="64" t="e">
        <f t="shared" ca="1" si="2082"/>
        <v>#NAME?</v>
      </c>
      <c r="D246" s="64" t="e">
        <f t="shared" ca="1" si="2082"/>
        <v>#NAME?</v>
      </c>
      <c r="E246" s="64" t="e">
        <f t="shared" ca="1" si="2082"/>
        <v>#NAME?</v>
      </c>
      <c r="F246" s="64" t="e">
        <f t="shared" ca="1" si="2082"/>
        <v>#NAME?</v>
      </c>
      <c r="G246" s="64" t="e">
        <f t="shared" ca="1" si="2082"/>
        <v>#NAME?</v>
      </c>
      <c r="H246" s="64" t="e">
        <f t="shared" ca="1" si="2082"/>
        <v>#NAME?</v>
      </c>
      <c r="I246" s="64" t="e">
        <f t="shared" ca="1" si="2082"/>
        <v>#NAME?</v>
      </c>
      <c r="J246" s="64" t="e">
        <f t="shared" ca="1" si="2082"/>
        <v>#NAME?</v>
      </c>
      <c r="K246" s="64" t="e">
        <f t="shared" ca="1" si="2082"/>
        <v>#NAME?</v>
      </c>
      <c r="L246" s="64" t="e">
        <f t="shared" ca="1" si="2082"/>
        <v>#NAME?</v>
      </c>
      <c r="M246" s="64" t="e">
        <f t="shared" ca="1" si="2082"/>
        <v>#NAME?</v>
      </c>
      <c r="N246" s="64" t="e">
        <f t="shared" ca="1" si="2082"/>
        <v>#NAME?</v>
      </c>
      <c r="O246" s="64" t="e">
        <f t="shared" ca="1" si="2082"/>
        <v>#NAME?</v>
      </c>
      <c r="P246" s="64" t="e">
        <f t="shared" ca="1" si="2082"/>
        <v>#NAME?</v>
      </c>
      <c r="Q246" s="64" t="e">
        <f t="shared" ca="1" si="2082"/>
        <v>#NAME?</v>
      </c>
      <c r="R246" s="64" t="e">
        <f t="shared" ca="1" si="2082"/>
        <v>#NAME?</v>
      </c>
      <c r="S246" s="64" t="e">
        <f t="shared" ca="1" si="2082"/>
        <v>#NAME?</v>
      </c>
      <c r="T246" s="64" t="e">
        <f t="shared" ca="1" si="2082"/>
        <v>#NAME?</v>
      </c>
      <c r="U246" s="64" t="e">
        <f t="shared" ca="1" si="2082"/>
        <v>#NAME?</v>
      </c>
      <c r="V246" s="64" t="e">
        <f t="shared" ca="1" si="2082"/>
        <v>#NAME?</v>
      </c>
      <c r="W246" s="64" t="e">
        <f t="shared" ca="1" si="2082"/>
        <v>#NAME?</v>
      </c>
      <c r="X246" s="64" t="e">
        <f t="shared" ca="1" si="2082"/>
        <v>#NAME?</v>
      </c>
      <c r="Y246" s="64" t="e">
        <f t="shared" ca="1" si="2082"/>
        <v>#NAME?</v>
      </c>
      <c r="Z246" s="64" t="e">
        <f t="shared" ca="1" si="2082"/>
        <v>#NAME?</v>
      </c>
      <c r="AA246" s="64" t="e">
        <f t="shared" ref="AA246" ca="1" si="2083">AA23-AA252</f>
        <v>#NAME?</v>
      </c>
      <c r="AB246" s="30"/>
      <c r="AC246" s="30"/>
      <c r="AD246" s="30"/>
      <c r="AE246" s="30"/>
      <c r="AI246" s="64" t="e">
        <f t="shared" ref="AI246:BN246" ca="1" si="2084">AI23-AI252</f>
        <v>#NAME?</v>
      </c>
      <c r="AJ246" s="64" t="e">
        <f t="shared" ca="1" si="2084"/>
        <v>#NAME?</v>
      </c>
      <c r="AK246" s="64" t="e">
        <f t="shared" ca="1" si="2084"/>
        <v>#NAME?</v>
      </c>
      <c r="AL246" s="64" t="e">
        <f t="shared" ca="1" si="2084"/>
        <v>#NAME?</v>
      </c>
      <c r="AM246" s="64" t="e">
        <f t="shared" ca="1" si="2084"/>
        <v>#NAME?</v>
      </c>
      <c r="AN246" s="64" t="e">
        <f t="shared" ca="1" si="2084"/>
        <v>#NAME?</v>
      </c>
      <c r="AO246" s="64" t="e">
        <f t="shared" ca="1" si="2084"/>
        <v>#NAME?</v>
      </c>
      <c r="AP246" s="64" t="e">
        <f t="shared" ca="1" si="2084"/>
        <v>#NAME?</v>
      </c>
      <c r="AQ246" s="64" t="e">
        <f t="shared" ca="1" si="2084"/>
        <v>#NAME?</v>
      </c>
      <c r="AR246" s="64" t="e">
        <f t="shared" ca="1" si="2084"/>
        <v>#NAME?</v>
      </c>
      <c r="AS246" s="64" t="e">
        <f t="shared" ca="1" si="2084"/>
        <v>#NAME?</v>
      </c>
      <c r="AT246" s="64" t="e">
        <f t="shared" ca="1" si="2084"/>
        <v>#NAME?</v>
      </c>
      <c r="AU246" s="64" t="e">
        <f t="shared" ca="1" si="2084"/>
        <v>#NAME?</v>
      </c>
      <c r="AV246" s="64" t="e">
        <f t="shared" ca="1" si="2084"/>
        <v>#NAME?</v>
      </c>
      <c r="AW246" s="64" t="e">
        <f t="shared" ca="1" si="2084"/>
        <v>#NAME?</v>
      </c>
      <c r="AX246" s="64" t="e">
        <f t="shared" ca="1" si="2084"/>
        <v>#NAME?</v>
      </c>
      <c r="AY246" s="64" t="e">
        <f t="shared" ca="1" si="2084"/>
        <v>#NAME?</v>
      </c>
      <c r="AZ246" s="64" t="e">
        <f t="shared" ca="1" si="2084"/>
        <v>#NAME?</v>
      </c>
      <c r="BA246" s="64" t="e">
        <f t="shared" ca="1" si="2084"/>
        <v>#NAME?</v>
      </c>
      <c r="BB246" s="64" t="e">
        <f t="shared" ca="1" si="2084"/>
        <v>#NAME?</v>
      </c>
      <c r="BC246" s="64" t="e">
        <f t="shared" ca="1" si="2084"/>
        <v>#NAME?</v>
      </c>
      <c r="BD246" s="64" t="e">
        <f t="shared" ca="1" si="2084"/>
        <v>#NAME?</v>
      </c>
      <c r="BE246" s="64" t="e">
        <f t="shared" ca="1" si="2084"/>
        <v>#NAME?</v>
      </c>
      <c r="BF246" s="64" t="e">
        <f t="shared" ca="1" si="2084"/>
        <v>#NAME?</v>
      </c>
      <c r="BG246" s="64" t="e">
        <f t="shared" ca="1" si="2084"/>
        <v>#NAME?</v>
      </c>
      <c r="BH246" s="64" t="e">
        <f t="shared" ca="1" si="2084"/>
        <v>#NAME?</v>
      </c>
      <c r="BI246" s="64" t="e">
        <f t="shared" ca="1" si="2084"/>
        <v>#NAME?</v>
      </c>
      <c r="BJ246" s="64" t="e">
        <f t="shared" ca="1" si="2084"/>
        <v>#NAME?</v>
      </c>
      <c r="BK246" s="64" t="e">
        <f t="shared" ca="1" si="2084"/>
        <v>#NAME?</v>
      </c>
      <c r="BL246" s="64" t="e">
        <f t="shared" ca="1" si="2084"/>
        <v>#NAME?</v>
      </c>
      <c r="BM246" s="64" t="e">
        <f t="shared" ca="1" si="2084"/>
        <v>#NAME?</v>
      </c>
      <c r="BN246" s="64" t="e">
        <f t="shared" ca="1" si="2084"/>
        <v>#NAME?</v>
      </c>
      <c r="BO246" s="64" t="e">
        <f t="shared" ref="BO246:CT246" ca="1" si="2085">BO23-BO252</f>
        <v>#NAME?</v>
      </c>
      <c r="BP246" s="64" t="e">
        <f t="shared" ca="1" si="2085"/>
        <v>#NAME?</v>
      </c>
      <c r="BQ246" s="64" t="e">
        <f t="shared" ca="1" si="2085"/>
        <v>#NAME?</v>
      </c>
      <c r="BR246" s="64" t="e">
        <f t="shared" ca="1" si="2085"/>
        <v>#NAME?</v>
      </c>
      <c r="BS246" s="64" t="e">
        <f t="shared" ca="1" si="2085"/>
        <v>#NAME?</v>
      </c>
      <c r="BT246" s="64" t="e">
        <f t="shared" ca="1" si="2085"/>
        <v>#NAME?</v>
      </c>
      <c r="BU246" s="64" t="e">
        <f t="shared" ca="1" si="2085"/>
        <v>#NAME?</v>
      </c>
      <c r="BV246" s="64" t="e">
        <f t="shared" ca="1" si="2085"/>
        <v>#NAME?</v>
      </c>
      <c r="BW246" s="64" t="e">
        <f t="shared" ca="1" si="2085"/>
        <v>#NAME?</v>
      </c>
      <c r="BX246" s="64" t="e">
        <f t="shared" ca="1" si="2085"/>
        <v>#NAME?</v>
      </c>
      <c r="BY246" s="64" t="e">
        <f t="shared" ca="1" si="2085"/>
        <v>#NAME?</v>
      </c>
      <c r="BZ246" s="64" t="e">
        <f t="shared" ca="1" si="2085"/>
        <v>#NAME?</v>
      </c>
      <c r="CA246" s="64" t="e">
        <f t="shared" ca="1" si="2085"/>
        <v>#NAME?</v>
      </c>
      <c r="CB246" s="64" t="e">
        <f t="shared" ca="1" si="2085"/>
        <v>#NAME?</v>
      </c>
      <c r="CC246" s="64" t="e">
        <f t="shared" ca="1" si="2085"/>
        <v>#NAME?</v>
      </c>
      <c r="CD246" s="64" t="e">
        <f t="shared" ca="1" si="2085"/>
        <v>#NAME?</v>
      </c>
      <c r="CE246" s="64" t="e">
        <f t="shared" ca="1" si="2085"/>
        <v>#NAME?</v>
      </c>
      <c r="CF246" s="64" t="e">
        <f t="shared" ca="1" si="2085"/>
        <v>#NAME?</v>
      </c>
      <c r="CG246" s="64" t="e">
        <f t="shared" ca="1" si="2085"/>
        <v>#NAME?</v>
      </c>
      <c r="CH246" s="64" t="e">
        <f t="shared" ca="1" si="2085"/>
        <v>#NAME?</v>
      </c>
      <c r="CI246" s="64" t="e">
        <f t="shared" ca="1" si="2085"/>
        <v>#NAME?</v>
      </c>
      <c r="CJ246" s="64" t="e">
        <f t="shared" ca="1" si="2085"/>
        <v>#NAME?</v>
      </c>
      <c r="CK246" s="30" t="e">
        <f t="shared" ca="1" si="2085"/>
        <v>#NAME?</v>
      </c>
      <c r="CL246" s="64" t="e">
        <f t="shared" ref="CL246" ca="1" si="2086">CL23-CL252</f>
        <v>#NAME?</v>
      </c>
      <c r="CM246" s="30">
        <f t="shared" si="2085"/>
        <v>59.745899999999992</v>
      </c>
      <c r="CN246" s="30">
        <f t="shared" si="2085"/>
        <v>64.76236999999999</v>
      </c>
      <c r="CO246" s="30">
        <f t="shared" si="2085"/>
        <v>59.924929999999996</v>
      </c>
      <c r="CP246" s="30">
        <f t="shared" si="2085"/>
        <v>74.634079999999997</v>
      </c>
      <c r="CQ246" s="30">
        <f t="shared" si="2085"/>
        <v>68.703681999999986</v>
      </c>
      <c r="CR246" s="30">
        <f t="shared" si="2085"/>
        <v>74.460538999999983</v>
      </c>
      <c r="CS246" s="30">
        <f t="shared" si="2085"/>
        <v>68.88778099999999</v>
      </c>
      <c r="CT246" s="30">
        <f t="shared" si="2085"/>
        <v>85.786181999999982</v>
      </c>
      <c r="CU246" s="30">
        <f t="shared" ref="CU246:DB246" si="2087">CU23-CU252</f>
        <v>79.004720999999975</v>
      </c>
      <c r="CV246" s="30">
        <f t="shared" si="2087"/>
        <v>85.611814699999968</v>
      </c>
      <c r="CW246" s="30">
        <f t="shared" si="2087"/>
        <v>79.192470799999981</v>
      </c>
      <c r="CX246" s="30">
        <f t="shared" si="2087"/>
        <v>98.60679829999998</v>
      </c>
      <c r="CY246" s="30">
        <f t="shared" si="2087"/>
        <v>90.850464519999974</v>
      </c>
      <c r="CZ246" s="30">
        <f t="shared" si="2087"/>
        <v>98.434001239999944</v>
      </c>
      <c r="DA246" s="30">
        <f t="shared" si="2087"/>
        <v>91.040016334999962</v>
      </c>
      <c r="DB246" s="30">
        <f t="shared" si="2087"/>
        <v>113.34577594499997</v>
      </c>
      <c r="DE246" s="139"/>
    </row>
    <row r="247" spans="1:109" s="64" customFormat="1" hidden="1" outlineLevel="1" x14ac:dyDescent="0.2">
      <c r="A247" s="64" t="s">
        <v>475</v>
      </c>
      <c r="B247" s="64" t="e">
        <f t="shared" ref="B247:Z247" ca="1" si="2088">B43-B253</f>
        <v>#NAME?</v>
      </c>
      <c r="C247" s="64" t="e">
        <f t="shared" ca="1" si="2088"/>
        <v>#NAME?</v>
      </c>
      <c r="D247" s="64" t="e">
        <f t="shared" ca="1" si="2088"/>
        <v>#NAME?</v>
      </c>
      <c r="E247" s="64" t="e">
        <f t="shared" ca="1" si="2088"/>
        <v>#NAME?</v>
      </c>
      <c r="F247" s="64" t="e">
        <f t="shared" ca="1" si="2088"/>
        <v>#NAME?</v>
      </c>
      <c r="G247" s="64" t="e">
        <f t="shared" ca="1" si="2088"/>
        <v>#NAME?</v>
      </c>
      <c r="H247" s="64" t="e">
        <f t="shared" ca="1" si="2088"/>
        <v>#NAME?</v>
      </c>
      <c r="I247" s="64" t="e">
        <f t="shared" ca="1" si="2088"/>
        <v>#NAME?</v>
      </c>
      <c r="J247" s="64" t="e">
        <f t="shared" ca="1" si="2088"/>
        <v>#NAME?</v>
      </c>
      <c r="K247" s="64" t="e">
        <f t="shared" ca="1" si="2088"/>
        <v>#NAME?</v>
      </c>
      <c r="L247" s="64" t="e">
        <f t="shared" ca="1" si="2088"/>
        <v>#NAME?</v>
      </c>
      <c r="M247" s="64" t="e">
        <f t="shared" ca="1" si="2088"/>
        <v>#NAME?</v>
      </c>
      <c r="N247" s="64" t="e">
        <f t="shared" ca="1" si="2088"/>
        <v>#NAME?</v>
      </c>
      <c r="O247" s="64" t="e">
        <f t="shared" ca="1" si="2088"/>
        <v>#NAME?</v>
      </c>
      <c r="P247" s="64" t="e">
        <f t="shared" ca="1" si="2088"/>
        <v>#NAME?</v>
      </c>
      <c r="Q247" s="64" t="e">
        <f t="shared" ca="1" si="2088"/>
        <v>#NAME?</v>
      </c>
      <c r="R247" s="64" t="e">
        <f t="shared" ca="1" si="2088"/>
        <v>#NAME?</v>
      </c>
      <c r="S247" s="64" t="e">
        <f t="shared" ca="1" si="2088"/>
        <v>#NAME?</v>
      </c>
      <c r="T247" s="64" t="e">
        <f t="shared" ca="1" si="2088"/>
        <v>#NAME?</v>
      </c>
      <c r="U247" s="64" t="e">
        <f t="shared" ca="1" si="2088"/>
        <v>#NAME?</v>
      </c>
      <c r="V247" s="64" t="e">
        <f t="shared" ca="1" si="2088"/>
        <v>#NAME?</v>
      </c>
      <c r="W247" s="64" t="e">
        <f t="shared" ca="1" si="2088"/>
        <v>#NAME?</v>
      </c>
      <c r="X247" s="64" t="e">
        <f t="shared" ca="1" si="2088"/>
        <v>#NAME?</v>
      </c>
      <c r="Y247" s="64" t="e">
        <f t="shared" ca="1" si="2088"/>
        <v>#NAME?</v>
      </c>
      <c r="Z247" s="64" t="e">
        <f t="shared" ca="1" si="2088"/>
        <v>#NAME?</v>
      </c>
      <c r="AA247" s="64" t="e">
        <f t="shared" ref="AA247" ca="1" si="2089">AA43-AA253</f>
        <v>#NAME?</v>
      </c>
      <c r="AB247" s="30"/>
      <c r="AC247" s="30"/>
      <c r="AD247" s="30"/>
      <c r="AE247" s="30"/>
      <c r="AI247" s="64" t="e">
        <f t="shared" ref="AI247:BN247" ca="1" si="2090">AI43-AI253</f>
        <v>#NAME?</v>
      </c>
      <c r="AJ247" s="64" t="e">
        <f t="shared" ca="1" si="2090"/>
        <v>#NAME?</v>
      </c>
      <c r="AK247" s="64" t="e">
        <f t="shared" ca="1" si="2090"/>
        <v>#NAME?</v>
      </c>
      <c r="AL247" s="64" t="e">
        <f t="shared" ca="1" si="2090"/>
        <v>#NAME?</v>
      </c>
      <c r="AM247" s="64" t="e">
        <f t="shared" ca="1" si="2090"/>
        <v>#NAME?</v>
      </c>
      <c r="AN247" s="64" t="e">
        <f t="shared" ca="1" si="2090"/>
        <v>#NAME?</v>
      </c>
      <c r="AO247" s="64" t="e">
        <f t="shared" ca="1" si="2090"/>
        <v>#NAME?</v>
      </c>
      <c r="AP247" s="64" t="e">
        <f t="shared" ca="1" si="2090"/>
        <v>#NAME?</v>
      </c>
      <c r="AQ247" s="64" t="e">
        <f t="shared" ca="1" si="2090"/>
        <v>#NAME?</v>
      </c>
      <c r="AR247" s="64" t="e">
        <f t="shared" ca="1" si="2090"/>
        <v>#NAME?</v>
      </c>
      <c r="AS247" s="64" t="e">
        <f t="shared" ca="1" si="2090"/>
        <v>#NAME?</v>
      </c>
      <c r="AT247" s="64" t="e">
        <f t="shared" ca="1" si="2090"/>
        <v>#NAME?</v>
      </c>
      <c r="AU247" s="64" t="e">
        <f t="shared" ca="1" si="2090"/>
        <v>#NAME?</v>
      </c>
      <c r="AV247" s="64" t="e">
        <f t="shared" ca="1" si="2090"/>
        <v>#NAME?</v>
      </c>
      <c r="AW247" s="64" t="e">
        <f t="shared" ca="1" si="2090"/>
        <v>#NAME?</v>
      </c>
      <c r="AX247" s="64" t="e">
        <f t="shared" ca="1" si="2090"/>
        <v>#NAME?</v>
      </c>
      <c r="AY247" s="64" t="e">
        <f t="shared" ca="1" si="2090"/>
        <v>#NAME?</v>
      </c>
      <c r="AZ247" s="64" t="e">
        <f t="shared" ca="1" si="2090"/>
        <v>#NAME?</v>
      </c>
      <c r="BA247" s="64" t="e">
        <f t="shared" ca="1" si="2090"/>
        <v>#NAME?</v>
      </c>
      <c r="BB247" s="64" t="e">
        <f t="shared" ca="1" si="2090"/>
        <v>#NAME?</v>
      </c>
      <c r="BC247" s="64" t="e">
        <f t="shared" ca="1" si="2090"/>
        <v>#NAME?</v>
      </c>
      <c r="BD247" s="64" t="e">
        <f t="shared" ca="1" si="2090"/>
        <v>#NAME?</v>
      </c>
      <c r="BE247" s="64" t="e">
        <f t="shared" ca="1" si="2090"/>
        <v>#NAME?</v>
      </c>
      <c r="BF247" s="64" t="e">
        <f t="shared" ca="1" si="2090"/>
        <v>#NAME?</v>
      </c>
      <c r="BG247" s="64" t="e">
        <f t="shared" ca="1" si="2090"/>
        <v>#NAME?</v>
      </c>
      <c r="BH247" s="64" t="e">
        <f t="shared" ca="1" si="2090"/>
        <v>#NAME?</v>
      </c>
      <c r="BI247" s="64" t="e">
        <f t="shared" ca="1" si="2090"/>
        <v>#NAME?</v>
      </c>
      <c r="BJ247" s="64" t="e">
        <f t="shared" ca="1" si="2090"/>
        <v>#NAME?</v>
      </c>
      <c r="BK247" s="64" t="e">
        <f t="shared" ca="1" si="2090"/>
        <v>#NAME?</v>
      </c>
      <c r="BL247" s="64" t="e">
        <f t="shared" ca="1" si="2090"/>
        <v>#NAME?</v>
      </c>
      <c r="BM247" s="64" t="e">
        <f t="shared" ca="1" si="2090"/>
        <v>#NAME?</v>
      </c>
      <c r="BN247" s="64" t="e">
        <f t="shared" ca="1" si="2090"/>
        <v>#NAME?</v>
      </c>
      <c r="BO247" s="64" t="e">
        <f t="shared" ref="BO247:CT247" ca="1" si="2091">BO43-BO253</f>
        <v>#NAME?</v>
      </c>
      <c r="BP247" s="64" t="e">
        <f t="shared" ca="1" si="2091"/>
        <v>#NAME?</v>
      </c>
      <c r="BQ247" s="64" t="e">
        <f t="shared" ca="1" si="2091"/>
        <v>#NAME?</v>
      </c>
      <c r="BR247" s="64" t="e">
        <f t="shared" ca="1" si="2091"/>
        <v>#NAME?</v>
      </c>
      <c r="BS247" s="64" t="e">
        <f t="shared" ca="1" si="2091"/>
        <v>#NAME?</v>
      </c>
      <c r="BT247" s="64" t="e">
        <f t="shared" ca="1" si="2091"/>
        <v>#NAME?</v>
      </c>
      <c r="BU247" s="64" t="e">
        <f t="shared" ca="1" si="2091"/>
        <v>#NAME?</v>
      </c>
      <c r="BV247" s="64" t="e">
        <f t="shared" ca="1" si="2091"/>
        <v>#NAME?</v>
      </c>
      <c r="BW247" s="64" t="e">
        <f t="shared" ca="1" si="2091"/>
        <v>#NAME?</v>
      </c>
      <c r="BX247" s="64" t="e">
        <f t="shared" ca="1" si="2091"/>
        <v>#NAME?</v>
      </c>
      <c r="BY247" s="64" t="e">
        <f t="shared" ca="1" si="2091"/>
        <v>#NAME?</v>
      </c>
      <c r="BZ247" s="64" t="e">
        <f t="shared" ca="1" si="2091"/>
        <v>#NAME?</v>
      </c>
      <c r="CA247" s="64" t="e">
        <f t="shared" ca="1" si="2091"/>
        <v>#NAME?</v>
      </c>
      <c r="CB247" s="64" t="e">
        <f t="shared" ca="1" si="2091"/>
        <v>#NAME?</v>
      </c>
      <c r="CC247" s="64" t="e">
        <f t="shared" ca="1" si="2091"/>
        <v>#NAME?</v>
      </c>
      <c r="CD247" s="64" t="e">
        <f t="shared" ca="1" si="2091"/>
        <v>#NAME?</v>
      </c>
      <c r="CE247" s="64" t="e">
        <f t="shared" ca="1" si="2091"/>
        <v>#NAME?</v>
      </c>
      <c r="CF247" s="64" t="e">
        <f t="shared" ca="1" si="2091"/>
        <v>#NAME?</v>
      </c>
      <c r="CG247" s="64" t="e">
        <f t="shared" ca="1" si="2091"/>
        <v>#NAME?</v>
      </c>
      <c r="CH247" s="64" t="e">
        <f t="shared" ca="1" si="2091"/>
        <v>#NAME?</v>
      </c>
      <c r="CI247" s="64" t="e">
        <f t="shared" ca="1" si="2091"/>
        <v>#NAME?</v>
      </c>
      <c r="CJ247" s="64" t="e">
        <f t="shared" ca="1" si="2091"/>
        <v>#NAME?</v>
      </c>
      <c r="CK247" s="30" t="e">
        <f t="shared" ca="1" si="2091"/>
        <v>#NAME?</v>
      </c>
      <c r="CL247" s="64" t="e">
        <f t="shared" ref="CL247" ca="1" si="2092">CL43-CL253</f>
        <v>#NAME?</v>
      </c>
      <c r="CM247" s="30" t="e">
        <f t="shared" ca="1" si="2091"/>
        <v>#NAME?</v>
      </c>
      <c r="CN247" s="30" t="e">
        <f t="shared" ca="1" si="2091"/>
        <v>#NAME?</v>
      </c>
      <c r="CO247" s="30" t="e">
        <f t="shared" ca="1" si="2091"/>
        <v>#NAME?</v>
      </c>
      <c r="CP247" s="30" t="e">
        <f t="shared" ca="1" si="2091"/>
        <v>#NAME?</v>
      </c>
      <c r="CQ247" s="30" t="e">
        <f t="shared" ca="1" si="2091"/>
        <v>#NAME?</v>
      </c>
      <c r="CR247" s="30" t="e">
        <f t="shared" ca="1" si="2091"/>
        <v>#NAME?</v>
      </c>
      <c r="CS247" s="30" t="e">
        <f t="shared" ca="1" si="2091"/>
        <v>#NAME?</v>
      </c>
      <c r="CT247" s="30" t="e">
        <f t="shared" ca="1" si="2091"/>
        <v>#NAME?</v>
      </c>
      <c r="CU247" s="30" t="e">
        <f t="shared" ref="CU247:DB247" ca="1" si="2093">CU43-CU253</f>
        <v>#NAME?</v>
      </c>
      <c r="CV247" s="30" t="e">
        <f t="shared" ca="1" si="2093"/>
        <v>#NAME?</v>
      </c>
      <c r="CW247" s="30" t="e">
        <f t="shared" ca="1" si="2093"/>
        <v>#NAME?</v>
      </c>
      <c r="CX247" s="30" t="e">
        <f t="shared" ca="1" si="2093"/>
        <v>#NAME?</v>
      </c>
      <c r="CY247" s="30" t="e">
        <f t="shared" ca="1" si="2093"/>
        <v>#NAME?</v>
      </c>
      <c r="CZ247" s="30" t="e">
        <f t="shared" ca="1" si="2093"/>
        <v>#NAME?</v>
      </c>
      <c r="DA247" s="30" t="e">
        <f t="shared" ca="1" si="2093"/>
        <v>#NAME?</v>
      </c>
      <c r="DB247" s="30" t="e">
        <f t="shared" ca="1" si="2093"/>
        <v>#NAME?</v>
      </c>
      <c r="DE247" s="139"/>
    </row>
    <row r="248" spans="1:109" s="89" customFormat="1" hidden="1" outlineLevel="1" x14ac:dyDescent="0.2">
      <c r="A248" s="86" t="s">
        <v>476</v>
      </c>
      <c r="B248" s="86" t="e">
        <f ca="1">+B247/B246</f>
        <v>#NAME?</v>
      </c>
      <c r="C248" s="86" t="e">
        <f t="shared" ref="C248" ca="1" si="2094">+C247/C246</f>
        <v>#NAME?</v>
      </c>
      <c r="D248" s="86" t="e">
        <f t="shared" ref="D248" ca="1" si="2095">+D247/D246</f>
        <v>#NAME?</v>
      </c>
      <c r="E248" s="86" t="e">
        <f t="shared" ref="E248" ca="1" si="2096">+E247/E246</f>
        <v>#NAME?</v>
      </c>
      <c r="F248" s="86" t="e">
        <f t="shared" ref="F248" ca="1" si="2097">+F247/F246</f>
        <v>#NAME?</v>
      </c>
      <c r="G248" s="86" t="e">
        <f t="shared" ref="G248" ca="1" si="2098">+G247/G246</f>
        <v>#NAME?</v>
      </c>
      <c r="H248" s="86" t="e">
        <f t="shared" ref="H248" ca="1" si="2099">+H247/H246</f>
        <v>#NAME?</v>
      </c>
      <c r="I248" s="86" t="e">
        <f t="shared" ref="I248" ca="1" si="2100">+I247/I246</f>
        <v>#NAME?</v>
      </c>
      <c r="J248" s="86" t="e">
        <f t="shared" ref="J248" ca="1" si="2101">+J247/J246</f>
        <v>#NAME?</v>
      </c>
      <c r="K248" s="86" t="e">
        <f t="shared" ref="K248" ca="1" si="2102">+K247/K246</f>
        <v>#NAME?</v>
      </c>
      <c r="L248" s="86" t="e">
        <f t="shared" ref="L248" ca="1" si="2103">+L247/L246</f>
        <v>#NAME?</v>
      </c>
      <c r="M248" s="86" t="e">
        <f t="shared" ref="M248" ca="1" si="2104">+M247/M246</f>
        <v>#NAME?</v>
      </c>
      <c r="N248" s="86" t="e">
        <f t="shared" ref="N248" ca="1" si="2105">+N247/N246</f>
        <v>#NAME?</v>
      </c>
      <c r="O248" s="86" t="e">
        <f t="shared" ref="O248" ca="1" si="2106">+O247/O246</f>
        <v>#NAME?</v>
      </c>
      <c r="P248" s="86" t="e">
        <f t="shared" ref="P248" ca="1" si="2107">+P247/P246</f>
        <v>#NAME?</v>
      </c>
      <c r="Q248" s="86" t="e">
        <f t="shared" ref="Q248" ca="1" si="2108">+Q247/Q246</f>
        <v>#NAME?</v>
      </c>
      <c r="R248" s="86" t="e">
        <f t="shared" ref="R248" ca="1" si="2109">+R247/R246</f>
        <v>#NAME?</v>
      </c>
      <c r="S248" s="86" t="e">
        <f t="shared" ref="S248" ca="1" si="2110">+S247/S246</f>
        <v>#NAME?</v>
      </c>
      <c r="T248" s="86" t="e">
        <f t="shared" ref="T248" ca="1" si="2111">+T247/T246</f>
        <v>#NAME?</v>
      </c>
      <c r="U248" s="86" t="e">
        <f t="shared" ref="U248" ca="1" si="2112">+U247/U246</f>
        <v>#NAME?</v>
      </c>
      <c r="V248" s="86" t="e">
        <f t="shared" ref="V248" ca="1" si="2113">+V247/V246</f>
        <v>#NAME?</v>
      </c>
      <c r="W248" s="86" t="e">
        <f t="shared" ref="W248" ca="1" si="2114">+W247/W246</f>
        <v>#NAME?</v>
      </c>
      <c r="X248" s="86" t="e">
        <f t="shared" ref="X248:Y248" ca="1" si="2115">+X247/X246</f>
        <v>#NAME?</v>
      </c>
      <c r="Y248" s="86" t="e">
        <f t="shared" ca="1" si="2115"/>
        <v>#NAME?</v>
      </c>
      <c r="Z248" s="86" t="e">
        <f t="shared" ref="Z248:AA248" ca="1" si="2116">+Z247/Z246</f>
        <v>#NAME?</v>
      </c>
      <c r="AA248" s="86" t="e">
        <f t="shared" ca="1" si="2116"/>
        <v>#NAME?</v>
      </c>
      <c r="AB248" s="87"/>
      <c r="AC248" s="87"/>
      <c r="AD248" s="87"/>
      <c r="AE248" s="87"/>
      <c r="AF248" s="86"/>
      <c r="AG248" s="86"/>
      <c r="AH248" s="86"/>
      <c r="AI248" s="86" t="e">
        <f t="shared" ref="AI248" ca="1" si="2117">+AI247/AI246</f>
        <v>#NAME?</v>
      </c>
      <c r="AJ248" s="86" t="e">
        <f t="shared" ref="AJ248" ca="1" si="2118">+AJ247/AJ246</f>
        <v>#NAME?</v>
      </c>
      <c r="AK248" s="86" t="e">
        <f t="shared" ref="AK248" ca="1" si="2119">+AK247/AK246</f>
        <v>#NAME?</v>
      </c>
      <c r="AL248" s="86" t="e">
        <f t="shared" ref="AL248" ca="1" si="2120">+AL247/AL246</f>
        <v>#NAME?</v>
      </c>
      <c r="AM248" s="86" t="e">
        <f t="shared" ref="AM248" ca="1" si="2121">+AM247/AM246</f>
        <v>#NAME?</v>
      </c>
      <c r="AN248" s="86" t="e">
        <f t="shared" ref="AN248" ca="1" si="2122">+AN247/AN246</f>
        <v>#NAME?</v>
      </c>
      <c r="AO248" s="86" t="e">
        <f t="shared" ref="AO248" ca="1" si="2123">+AO247/AO246</f>
        <v>#NAME?</v>
      </c>
      <c r="AP248" s="86" t="e">
        <f t="shared" ref="AP248" ca="1" si="2124">+AP247/AP246</f>
        <v>#NAME?</v>
      </c>
      <c r="AQ248" s="86" t="e">
        <f t="shared" ref="AQ248" ca="1" si="2125">+AQ247/AQ246</f>
        <v>#NAME?</v>
      </c>
      <c r="AR248" s="86" t="e">
        <f t="shared" ref="AR248" ca="1" si="2126">+AR247/AR246</f>
        <v>#NAME?</v>
      </c>
      <c r="AS248" s="86" t="e">
        <f t="shared" ref="AS248" ca="1" si="2127">+AS247/AS246</f>
        <v>#NAME?</v>
      </c>
      <c r="AT248" s="86" t="e">
        <f t="shared" ref="AT248" ca="1" si="2128">+AT247/AT246</f>
        <v>#NAME?</v>
      </c>
      <c r="AU248" s="86" t="e">
        <f t="shared" ref="AU248" ca="1" si="2129">+AU247/AU246</f>
        <v>#NAME?</v>
      </c>
      <c r="AV248" s="86" t="e">
        <f t="shared" ref="AV248" ca="1" si="2130">+AV247/AV246</f>
        <v>#NAME?</v>
      </c>
      <c r="AW248" s="86" t="e">
        <f t="shared" ref="AW248" ca="1" si="2131">+AW247/AW246</f>
        <v>#NAME?</v>
      </c>
      <c r="AX248" s="86" t="e">
        <f t="shared" ref="AX248" ca="1" si="2132">+AX247/AX246</f>
        <v>#NAME?</v>
      </c>
      <c r="AY248" s="86" t="e">
        <f t="shared" ref="AY248" ca="1" si="2133">+AY247/AY246</f>
        <v>#NAME?</v>
      </c>
      <c r="AZ248" s="86" t="e">
        <f t="shared" ref="AZ248" ca="1" si="2134">+AZ247/AZ246</f>
        <v>#NAME?</v>
      </c>
      <c r="BA248" s="86" t="e">
        <f t="shared" ref="BA248" ca="1" si="2135">+BA247/BA246</f>
        <v>#NAME?</v>
      </c>
      <c r="BB248" s="86" t="e">
        <f t="shared" ref="BB248" ca="1" si="2136">+BB247/BB246</f>
        <v>#NAME?</v>
      </c>
      <c r="BC248" s="86" t="e">
        <f t="shared" ref="BC248" ca="1" si="2137">+BC247/BC246</f>
        <v>#NAME?</v>
      </c>
      <c r="BD248" s="86" t="e">
        <f t="shared" ref="BD248" ca="1" si="2138">+BD247/BD246</f>
        <v>#NAME?</v>
      </c>
      <c r="BE248" s="86" t="e">
        <f t="shared" ref="BE248" ca="1" si="2139">+BE247/BE246</f>
        <v>#NAME?</v>
      </c>
      <c r="BF248" s="86" t="e">
        <f t="shared" ref="BF248" ca="1" si="2140">+BF247/BF246</f>
        <v>#NAME?</v>
      </c>
      <c r="BG248" s="86" t="e">
        <f t="shared" ref="BG248" ca="1" si="2141">+BG247/BG246</f>
        <v>#NAME?</v>
      </c>
      <c r="BH248" s="86" t="e">
        <f t="shared" ref="BH248" ca="1" si="2142">+BH247/BH246</f>
        <v>#NAME?</v>
      </c>
      <c r="BI248" s="86" t="e">
        <f t="shared" ref="BI248" ca="1" si="2143">+BI247/BI246</f>
        <v>#NAME?</v>
      </c>
      <c r="BJ248" s="86" t="e">
        <f t="shared" ref="BJ248" ca="1" si="2144">+BJ247/BJ246</f>
        <v>#NAME?</v>
      </c>
      <c r="BK248" s="86" t="e">
        <f t="shared" ref="BK248" ca="1" si="2145">+BK247/BK246</f>
        <v>#NAME?</v>
      </c>
      <c r="BL248" s="86" t="e">
        <f t="shared" ref="BL248" ca="1" si="2146">+BL247/BL246</f>
        <v>#NAME?</v>
      </c>
      <c r="BM248" s="86" t="e">
        <f t="shared" ref="BM248" ca="1" si="2147">+BM247/BM246</f>
        <v>#NAME?</v>
      </c>
      <c r="BN248" s="86" t="e">
        <f t="shared" ref="BN248" ca="1" si="2148">+BN247/BN246</f>
        <v>#NAME?</v>
      </c>
      <c r="BO248" s="86" t="e">
        <f t="shared" ref="BO248" ca="1" si="2149">+BO247/BO246</f>
        <v>#NAME?</v>
      </c>
      <c r="BP248" s="86" t="e">
        <f t="shared" ref="BP248" ca="1" si="2150">+BP247/BP246</f>
        <v>#NAME?</v>
      </c>
      <c r="BQ248" s="86" t="e">
        <f t="shared" ref="BQ248" ca="1" si="2151">+BQ247/BQ246</f>
        <v>#NAME?</v>
      </c>
      <c r="BR248" s="86" t="e">
        <f t="shared" ref="BR248" ca="1" si="2152">+BR247/BR246</f>
        <v>#NAME?</v>
      </c>
      <c r="BS248" s="86" t="e">
        <f t="shared" ref="BS248" ca="1" si="2153">+BS247/BS246</f>
        <v>#NAME?</v>
      </c>
      <c r="BT248" s="86" t="e">
        <f t="shared" ref="BT248" ca="1" si="2154">+BT247/BT246</f>
        <v>#NAME?</v>
      </c>
      <c r="BU248" s="86" t="e">
        <f t="shared" ref="BU248" ca="1" si="2155">+BU247/BU246</f>
        <v>#NAME?</v>
      </c>
      <c r="BV248" s="86" t="e">
        <f t="shared" ref="BV248" ca="1" si="2156">+BV247/BV246</f>
        <v>#NAME?</v>
      </c>
      <c r="BW248" s="86" t="e">
        <f t="shared" ref="BW248" ca="1" si="2157">+BW247/BW246</f>
        <v>#NAME?</v>
      </c>
      <c r="BX248" s="86" t="e">
        <f t="shared" ref="BX248" ca="1" si="2158">+BX247/BX246</f>
        <v>#NAME?</v>
      </c>
      <c r="BY248" s="86" t="e">
        <f t="shared" ref="BY248" ca="1" si="2159">+BY247/BY246</f>
        <v>#NAME?</v>
      </c>
      <c r="BZ248" s="86" t="e">
        <f t="shared" ref="BZ248" ca="1" si="2160">+BZ247/BZ246</f>
        <v>#NAME?</v>
      </c>
      <c r="CA248" s="86" t="e">
        <f t="shared" ref="CA248" ca="1" si="2161">+CA247/CA246</f>
        <v>#NAME?</v>
      </c>
      <c r="CB248" s="86" t="e">
        <f t="shared" ref="CB248:CC248" ca="1" si="2162">+CB247/CB246</f>
        <v>#NAME?</v>
      </c>
      <c r="CC248" s="86" t="e">
        <f t="shared" ca="1" si="2162"/>
        <v>#NAME?</v>
      </c>
      <c r="CD248" s="86" t="e">
        <f t="shared" ref="CD248" ca="1" si="2163">+CD247/CD246</f>
        <v>#NAME?</v>
      </c>
      <c r="CE248" s="86" t="e">
        <f t="shared" ref="CE248:CF248" ca="1" si="2164">+CE247/CE246</f>
        <v>#NAME?</v>
      </c>
      <c r="CF248" s="86" t="e">
        <f t="shared" ca="1" si="2164"/>
        <v>#NAME?</v>
      </c>
      <c r="CG248" s="86" t="e">
        <f t="shared" ref="CG248:CH248" ca="1" si="2165">+CG247/CG246</f>
        <v>#NAME?</v>
      </c>
      <c r="CH248" s="86" t="e">
        <f t="shared" ca="1" si="2165"/>
        <v>#NAME?</v>
      </c>
      <c r="CI248" s="86" t="e">
        <f t="shared" ref="CI248:CJ248" ca="1" si="2166">+CI247/CI246</f>
        <v>#NAME?</v>
      </c>
      <c r="CJ248" s="86" t="e">
        <f t="shared" ca="1" si="2166"/>
        <v>#NAME?</v>
      </c>
      <c r="CK248" s="47" t="e">
        <f t="shared" ref="CK248:DB248" ca="1" si="2167">+CK247/CK246</f>
        <v>#NAME?</v>
      </c>
      <c r="CL248" s="86" t="e">
        <f t="shared" ca="1" si="2167"/>
        <v>#NAME?</v>
      </c>
      <c r="CM248" s="47" t="e">
        <f t="shared" ca="1" si="2167"/>
        <v>#NAME?</v>
      </c>
      <c r="CN248" s="47" t="e">
        <f t="shared" ca="1" si="2167"/>
        <v>#NAME?</v>
      </c>
      <c r="CO248" s="47" t="e">
        <f t="shared" ca="1" si="2167"/>
        <v>#NAME?</v>
      </c>
      <c r="CP248" s="47" t="e">
        <f t="shared" ca="1" si="2167"/>
        <v>#NAME?</v>
      </c>
      <c r="CQ248" s="47" t="e">
        <f t="shared" ca="1" si="2167"/>
        <v>#NAME?</v>
      </c>
      <c r="CR248" s="47" t="e">
        <f t="shared" ca="1" si="2167"/>
        <v>#NAME?</v>
      </c>
      <c r="CS248" s="47" t="e">
        <f t="shared" ca="1" si="2167"/>
        <v>#NAME?</v>
      </c>
      <c r="CT248" s="47" t="e">
        <f t="shared" ca="1" si="2167"/>
        <v>#NAME?</v>
      </c>
      <c r="CU248" s="47" t="e">
        <f t="shared" ca="1" si="2167"/>
        <v>#NAME?</v>
      </c>
      <c r="CV248" s="47" t="e">
        <f t="shared" ca="1" si="2167"/>
        <v>#NAME?</v>
      </c>
      <c r="CW248" s="47" t="e">
        <f t="shared" ca="1" si="2167"/>
        <v>#NAME?</v>
      </c>
      <c r="CX248" s="47" t="e">
        <f t="shared" ca="1" si="2167"/>
        <v>#NAME?</v>
      </c>
      <c r="CY248" s="47" t="e">
        <f t="shared" ca="1" si="2167"/>
        <v>#NAME?</v>
      </c>
      <c r="CZ248" s="47" t="e">
        <f t="shared" ca="1" si="2167"/>
        <v>#NAME?</v>
      </c>
      <c r="DA248" s="47" t="e">
        <f t="shared" ca="1" si="2167"/>
        <v>#NAME?</v>
      </c>
      <c r="DB248" s="47" t="e">
        <f t="shared" ca="1" si="2167"/>
        <v>#NAME?</v>
      </c>
      <c r="DE248" s="130"/>
    </row>
    <row r="249" spans="1:109" s="64" customFormat="1" hidden="1" outlineLevel="1" x14ac:dyDescent="0.2">
      <c r="A249" s="64" t="s">
        <v>477</v>
      </c>
      <c r="B249" s="64" t="e">
        <f t="shared" ref="B249:Z249" ca="1" si="2168">B56-B255</f>
        <v>#NAME?</v>
      </c>
      <c r="C249" s="64" t="e">
        <f t="shared" ca="1" si="2168"/>
        <v>#NAME?</v>
      </c>
      <c r="D249" s="64" t="e">
        <f t="shared" ca="1" si="2168"/>
        <v>#NAME?</v>
      </c>
      <c r="E249" s="64" t="e">
        <f t="shared" ca="1" si="2168"/>
        <v>#NAME?</v>
      </c>
      <c r="F249" s="64" t="e">
        <f t="shared" ca="1" si="2168"/>
        <v>#NAME?</v>
      </c>
      <c r="G249" s="64" t="e">
        <f t="shared" ca="1" si="2168"/>
        <v>#NAME?</v>
      </c>
      <c r="H249" s="64" t="e">
        <f t="shared" ca="1" si="2168"/>
        <v>#NAME?</v>
      </c>
      <c r="I249" s="64" t="e">
        <f t="shared" ca="1" si="2168"/>
        <v>#NAME?</v>
      </c>
      <c r="J249" s="64" t="e">
        <f t="shared" ca="1" si="2168"/>
        <v>#NAME?</v>
      </c>
      <c r="K249" s="64" t="e">
        <f t="shared" ca="1" si="2168"/>
        <v>#NAME?</v>
      </c>
      <c r="L249" s="64" t="e">
        <f t="shared" ca="1" si="2168"/>
        <v>#NAME?</v>
      </c>
      <c r="M249" s="64" t="e">
        <f t="shared" ca="1" si="2168"/>
        <v>#NAME?</v>
      </c>
      <c r="N249" s="64" t="e">
        <f t="shared" ca="1" si="2168"/>
        <v>#NAME?</v>
      </c>
      <c r="O249" s="64" t="e">
        <f t="shared" ca="1" si="2168"/>
        <v>#NAME?</v>
      </c>
      <c r="P249" s="64" t="e">
        <f t="shared" ca="1" si="2168"/>
        <v>#NAME?</v>
      </c>
      <c r="Q249" s="64" t="e">
        <f t="shared" ca="1" si="2168"/>
        <v>#NAME?</v>
      </c>
      <c r="R249" s="64" t="e">
        <f t="shared" ca="1" si="2168"/>
        <v>#NAME?</v>
      </c>
      <c r="S249" s="64" t="e">
        <f t="shared" ca="1" si="2168"/>
        <v>#NAME?</v>
      </c>
      <c r="T249" s="64" t="e">
        <f t="shared" ca="1" si="2168"/>
        <v>#NAME?</v>
      </c>
      <c r="U249" s="64" t="e">
        <f t="shared" ca="1" si="2168"/>
        <v>#NAME?</v>
      </c>
      <c r="V249" s="64" t="e">
        <f t="shared" ca="1" si="2168"/>
        <v>#NAME?</v>
      </c>
      <c r="W249" s="64" t="e">
        <f t="shared" ca="1" si="2168"/>
        <v>#NAME?</v>
      </c>
      <c r="X249" s="64" t="e">
        <f t="shared" ca="1" si="2168"/>
        <v>#NAME?</v>
      </c>
      <c r="Y249" s="64" t="e">
        <f t="shared" ca="1" si="2168"/>
        <v>#NAME?</v>
      </c>
      <c r="Z249" s="64" t="e">
        <f t="shared" ca="1" si="2168"/>
        <v>#NAME?</v>
      </c>
      <c r="AA249" s="64" t="e">
        <f t="shared" ref="AA249" ca="1" si="2169">AA56-AA255</f>
        <v>#NAME?</v>
      </c>
      <c r="AB249" s="30"/>
      <c r="AC249" s="30"/>
      <c r="AD249" s="30"/>
      <c r="AE249" s="30"/>
      <c r="AI249" s="64" t="e">
        <f t="shared" ref="AI249:BN249" ca="1" si="2170">AI56-AI255</f>
        <v>#NAME?</v>
      </c>
      <c r="AJ249" s="64" t="e">
        <f t="shared" ca="1" si="2170"/>
        <v>#NAME?</v>
      </c>
      <c r="AK249" s="64" t="e">
        <f t="shared" ca="1" si="2170"/>
        <v>#NAME?</v>
      </c>
      <c r="AL249" s="64" t="e">
        <f t="shared" ca="1" si="2170"/>
        <v>#NAME?</v>
      </c>
      <c r="AM249" s="64" t="e">
        <f t="shared" ca="1" si="2170"/>
        <v>#NAME?</v>
      </c>
      <c r="AN249" s="64" t="e">
        <f t="shared" ca="1" si="2170"/>
        <v>#NAME?</v>
      </c>
      <c r="AO249" s="64" t="e">
        <f t="shared" ca="1" si="2170"/>
        <v>#NAME?</v>
      </c>
      <c r="AP249" s="64" t="e">
        <f t="shared" ca="1" si="2170"/>
        <v>#NAME?</v>
      </c>
      <c r="AQ249" s="64" t="e">
        <f t="shared" ca="1" si="2170"/>
        <v>#NAME?</v>
      </c>
      <c r="AR249" s="64" t="e">
        <f t="shared" ca="1" si="2170"/>
        <v>#NAME?</v>
      </c>
      <c r="AS249" s="64" t="e">
        <f t="shared" ca="1" si="2170"/>
        <v>#NAME?</v>
      </c>
      <c r="AT249" s="64" t="e">
        <f t="shared" ca="1" si="2170"/>
        <v>#NAME?</v>
      </c>
      <c r="AU249" s="64" t="e">
        <f t="shared" ca="1" si="2170"/>
        <v>#NAME?</v>
      </c>
      <c r="AV249" s="64" t="e">
        <f t="shared" ca="1" si="2170"/>
        <v>#NAME?</v>
      </c>
      <c r="AW249" s="64" t="e">
        <f t="shared" ca="1" si="2170"/>
        <v>#NAME?</v>
      </c>
      <c r="AX249" s="64" t="e">
        <f t="shared" ca="1" si="2170"/>
        <v>#NAME?</v>
      </c>
      <c r="AY249" s="64" t="e">
        <f t="shared" ca="1" si="2170"/>
        <v>#NAME?</v>
      </c>
      <c r="AZ249" s="64" t="e">
        <f t="shared" ca="1" si="2170"/>
        <v>#NAME?</v>
      </c>
      <c r="BA249" s="64" t="e">
        <f t="shared" ca="1" si="2170"/>
        <v>#NAME?</v>
      </c>
      <c r="BB249" s="64" t="e">
        <f t="shared" ca="1" si="2170"/>
        <v>#NAME?</v>
      </c>
      <c r="BC249" s="64" t="e">
        <f t="shared" ca="1" si="2170"/>
        <v>#NAME?</v>
      </c>
      <c r="BD249" s="64" t="e">
        <f t="shared" ca="1" si="2170"/>
        <v>#NAME?</v>
      </c>
      <c r="BE249" s="64" t="e">
        <f t="shared" ca="1" si="2170"/>
        <v>#NAME?</v>
      </c>
      <c r="BF249" s="64" t="e">
        <f t="shared" ca="1" si="2170"/>
        <v>#NAME?</v>
      </c>
      <c r="BG249" s="64" t="e">
        <f t="shared" ca="1" si="2170"/>
        <v>#NAME?</v>
      </c>
      <c r="BH249" s="64" t="e">
        <f t="shared" ca="1" si="2170"/>
        <v>#NAME?</v>
      </c>
      <c r="BI249" s="64" t="e">
        <f t="shared" ca="1" si="2170"/>
        <v>#NAME?</v>
      </c>
      <c r="BJ249" s="64" t="e">
        <f t="shared" ca="1" si="2170"/>
        <v>#NAME?</v>
      </c>
      <c r="BK249" s="64" t="e">
        <f t="shared" ca="1" si="2170"/>
        <v>#NAME?</v>
      </c>
      <c r="BL249" s="64" t="e">
        <f t="shared" ca="1" si="2170"/>
        <v>#NAME?</v>
      </c>
      <c r="BM249" s="64" t="e">
        <f t="shared" ca="1" si="2170"/>
        <v>#NAME?</v>
      </c>
      <c r="BN249" s="64" t="e">
        <f t="shared" ca="1" si="2170"/>
        <v>#NAME?</v>
      </c>
      <c r="BO249" s="64" t="e">
        <f t="shared" ref="BO249:CT249" ca="1" si="2171">BO56-BO255</f>
        <v>#NAME?</v>
      </c>
      <c r="BP249" s="64" t="e">
        <f t="shared" ca="1" si="2171"/>
        <v>#NAME?</v>
      </c>
      <c r="BQ249" s="64" t="e">
        <f t="shared" ca="1" si="2171"/>
        <v>#NAME?</v>
      </c>
      <c r="BR249" s="64" t="e">
        <f t="shared" ca="1" si="2171"/>
        <v>#NAME?</v>
      </c>
      <c r="BS249" s="64" t="e">
        <f t="shared" ca="1" si="2171"/>
        <v>#NAME?</v>
      </c>
      <c r="BT249" s="64" t="e">
        <f t="shared" ca="1" si="2171"/>
        <v>#NAME?</v>
      </c>
      <c r="BU249" s="64" t="e">
        <f t="shared" ca="1" si="2171"/>
        <v>#NAME?</v>
      </c>
      <c r="BV249" s="64" t="e">
        <f t="shared" ca="1" si="2171"/>
        <v>#NAME?</v>
      </c>
      <c r="BW249" s="64" t="e">
        <f t="shared" ca="1" si="2171"/>
        <v>#NAME?</v>
      </c>
      <c r="BX249" s="64" t="e">
        <f t="shared" ca="1" si="2171"/>
        <v>#NAME?</v>
      </c>
      <c r="BY249" s="64" t="e">
        <f t="shared" ca="1" si="2171"/>
        <v>#NAME?</v>
      </c>
      <c r="BZ249" s="64" t="e">
        <f t="shared" ca="1" si="2171"/>
        <v>#NAME?</v>
      </c>
      <c r="CA249" s="64" t="e">
        <f t="shared" ca="1" si="2171"/>
        <v>#NAME?</v>
      </c>
      <c r="CB249" s="64" t="e">
        <f t="shared" ca="1" si="2171"/>
        <v>#NAME?</v>
      </c>
      <c r="CC249" s="64" t="e">
        <f t="shared" ca="1" si="2171"/>
        <v>#NAME?</v>
      </c>
      <c r="CD249" s="64" t="e">
        <f t="shared" ca="1" si="2171"/>
        <v>#NAME?</v>
      </c>
      <c r="CE249" s="64" t="e">
        <f t="shared" ca="1" si="2171"/>
        <v>#NAME?</v>
      </c>
      <c r="CF249" s="64" t="e">
        <f t="shared" ca="1" si="2171"/>
        <v>#NAME?</v>
      </c>
      <c r="CG249" s="64" t="e">
        <f t="shared" ca="1" si="2171"/>
        <v>#NAME?</v>
      </c>
      <c r="CH249" s="64" t="e">
        <f t="shared" ca="1" si="2171"/>
        <v>#NAME?</v>
      </c>
      <c r="CI249" s="64" t="e">
        <f t="shared" ca="1" si="2171"/>
        <v>#NAME?</v>
      </c>
      <c r="CJ249" s="64" t="e">
        <f t="shared" ca="1" si="2171"/>
        <v>#NAME?</v>
      </c>
      <c r="CK249" s="30" t="e">
        <f t="shared" ca="1" si="2171"/>
        <v>#NAME?</v>
      </c>
      <c r="CL249" s="64" t="e">
        <f t="shared" ref="CL249" ca="1" si="2172">CL56-CL255</f>
        <v>#NAME?</v>
      </c>
      <c r="CM249" s="30" t="e">
        <f t="shared" ca="1" si="2171"/>
        <v>#NAME?</v>
      </c>
      <c r="CN249" s="30" t="e">
        <f t="shared" ca="1" si="2171"/>
        <v>#NAME?</v>
      </c>
      <c r="CO249" s="30" t="e">
        <f t="shared" ca="1" si="2171"/>
        <v>#NAME?</v>
      </c>
      <c r="CP249" s="30" t="e">
        <f t="shared" ca="1" si="2171"/>
        <v>#NAME?</v>
      </c>
      <c r="CQ249" s="30" t="e">
        <f t="shared" ca="1" si="2171"/>
        <v>#NAME?</v>
      </c>
      <c r="CR249" s="30" t="e">
        <f t="shared" ca="1" si="2171"/>
        <v>#NAME?</v>
      </c>
      <c r="CS249" s="30" t="e">
        <f t="shared" ca="1" si="2171"/>
        <v>#NAME?</v>
      </c>
      <c r="CT249" s="30" t="e">
        <f t="shared" ca="1" si="2171"/>
        <v>#NAME?</v>
      </c>
      <c r="CU249" s="30" t="e">
        <f t="shared" ref="CU249:DB249" ca="1" si="2173">CU56-CU255</f>
        <v>#NAME?</v>
      </c>
      <c r="CV249" s="30" t="e">
        <f t="shared" ca="1" si="2173"/>
        <v>#NAME?</v>
      </c>
      <c r="CW249" s="30" t="e">
        <f t="shared" ca="1" si="2173"/>
        <v>#NAME?</v>
      </c>
      <c r="CX249" s="30" t="e">
        <f t="shared" ca="1" si="2173"/>
        <v>#NAME?</v>
      </c>
      <c r="CY249" s="30" t="e">
        <f t="shared" ca="1" si="2173"/>
        <v>#NAME?</v>
      </c>
      <c r="CZ249" s="30" t="e">
        <f t="shared" ca="1" si="2173"/>
        <v>#NAME?</v>
      </c>
      <c r="DA249" s="30" t="e">
        <f t="shared" ca="1" si="2173"/>
        <v>#NAME?</v>
      </c>
      <c r="DB249" s="30" t="e">
        <f t="shared" ca="1" si="2173"/>
        <v>#NAME?</v>
      </c>
      <c r="DE249" s="139"/>
    </row>
    <row r="250" spans="1:109" s="64" customFormat="1" hidden="1" outlineLevel="1" x14ac:dyDescent="0.2">
      <c r="AB250" s="30"/>
      <c r="AC250" s="30"/>
      <c r="AD250" s="30"/>
      <c r="AE250" s="30"/>
      <c r="CK250" s="30"/>
      <c r="CM250" s="30"/>
      <c r="CN250" s="30"/>
      <c r="CO250" s="30"/>
      <c r="CP250" s="30"/>
      <c r="CQ250" s="30"/>
      <c r="CR250" s="30"/>
      <c r="CS250" s="30"/>
      <c r="CT250" s="30"/>
      <c r="CU250" s="30"/>
      <c r="CV250" s="30"/>
      <c r="CW250" s="30"/>
      <c r="CX250" s="30"/>
      <c r="CY250" s="30"/>
      <c r="CZ250" s="30"/>
      <c r="DA250" s="30"/>
      <c r="DB250" s="30"/>
      <c r="DE250" s="139"/>
    </row>
    <row r="251" spans="1:109" s="64" customFormat="1" hidden="1" outlineLevel="1" x14ac:dyDescent="0.2">
      <c r="A251" s="65" t="s">
        <v>352</v>
      </c>
      <c r="AB251" s="30"/>
      <c r="AC251" s="30"/>
      <c r="AD251" s="30"/>
      <c r="AE251" s="30"/>
      <c r="CK251" s="30"/>
      <c r="CM251" s="30"/>
      <c r="CN251" s="30"/>
      <c r="CO251" s="30"/>
      <c r="CP251" s="30"/>
      <c r="CQ251" s="30"/>
      <c r="CR251" s="30"/>
      <c r="CS251" s="30"/>
      <c r="CT251" s="30"/>
      <c r="CU251" s="30"/>
      <c r="CV251" s="30"/>
      <c r="CW251" s="30"/>
      <c r="CX251" s="30"/>
      <c r="CY251" s="30"/>
      <c r="CZ251" s="30"/>
      <c r="DA251" s="30"/>
      <c r="DB251" s="30"/>
      <c r="DE251" s="139"/>
    </row>
    <row r="252" spans="1:109" s="64" customFormat="1" hidden="1" outlineLevel="1" x14ac:dyDescent="0.2">
      <c r="A252" s="64" t="s">
        <v>478</v>
      </c>
      <c r="AB252" s="30"/>
      <c r="AC252" s="30"/>
      <c r="AD252" s="30"/>
      <c r="AE252" s="30"/>
      <c r="CK252" s="30"/>
      <c r="CM252" s="30"/>
      <c r="CN252" s="30"/>
      <c r="CO252" s="30"/>
      <c r="CP252" s="30"/>
      <c r="CQ252" s="30"/>
      <c r="CR252" s="30"/>
      <c r="CS252" s="30"/>
      <c r="CT252" s="30"/>
      <c r="CU252" s="30"/>
      <c r="CV252" s="30"/>
      <c r="CW252" s="30"/>
      <c r="CX252" s="30"/>
      <c r="CY252" s="30"/>
      <c r="CZ252" s="30"/>
      <c r="DA252" s="30"/>
      <c r="DB252" s="30"/>
      <c r="DE252" s="139"/>
    </row>
    <row r="253" spans="1:109" s="64" customFormat="1" hidden="1" outlineLevel="1" x14ac:dyDescent="0.2">
      <c r="A253" s="64" t="s">
        <v>479</v>
      </c>
      <c r="AB253" s="30"/>
      <c r="AC253" s="30"/>
      <c r="AD253" s="30"/>
      <c r="AE253" s="30"/>
      <c r="CK253" s="30"/>
      <c r="CM253" s="30"/>
      <c r="CN253" s="30"/>
      <c r="CO253" s="30"/>
      <c r="CP253" s="30"/>
      <c r="CQ253" s="30"/>
      <c r="CR253" s="30"/>
      <c r="CS253" s="30"/>
      <c r="CT253" s="30"/>
      <c r="CU253" s="30"/>
      <c r="CV253" s="30"/>
      <c r="CW253" s="30"/>
      <c r="CX253" s="30"/>
      <c r="CY253" s="30"/>
      <c r="CZ253" s="30"/>
      <c r="DA253" s="30"/>
      <c r="DB253" s="30"/>
      <c r="DE253" s="139"/>
    </row>
    <row r="254" spans="1:109" s="89" customFormat="1" hidden="1" outlineLevel="1" x14ac:dyDescent="0.2">
      <c r="A254" s="86" t="s">
        <v>480</v>
      </c>
      <c r="B254" s="86" t="e">
        <f>+B253/B252</f>
        <v>#DIV/0!</v>
      </c>
      <c r="C254" s="86" t="e">
        <f t="shared" ref="C254:X254" si="2174">+C253/C252</f>
        <v>#DIV/0!</v>
      </c>
      <c r="D254" s="86" t="e">
        <f t="shared" si="2174"/>
        <v>#DIV/0!</v>
      </c>
      <c r="E254" s="86" t="e">
        <f t="shared" si="2174"/>
        <v>#DIV/0!</v>
      </c>
      <c r="F254" s="86" t="e">
        <f t="shared" si="2174"/>
        <v>#DIV/0!</v>
      </c>
      <c r="G254" s="86" t="e">
        <f t="shared" si="2174"/>
        <v>#DIV/0!</v>
      </c>
      <c r="H254" s="86" t="e">
        <f t="shared" si="2174"/>
        <v>#DIV/0!</v>
      </c>
      <c r="I254" s="86" t="e">
        <f t="shared" si="2174"/>
        <v>#DIV/0!</v>
      </c>
      <c r="J254" s="86" t="e">
        <f t="shared" si="2174"/>
        <v>#DIV/0!</v>
      </c>
      <c r="K254" s="86" t="e">
        <f t="shared" si="2174"/>
        <v>#DIV/0!</v>
      </c>
      <c r="L254" s="86" t="e">
        <f t="shared" si="2174"/>
        <v>#DIV/0!</v>
      </c>
      <c r="M254" s="86" t="e">
        <f t="shared" si="2174"/>
        <v>#DIV/0!</v>
      </c>
      <c r="N254" s="86" t="e">
        <f t="shared" si="2174"/>
        <v>#DIV/0!</v>
      </c>
      <c r="O254" s="86" t="e">
        <f t="shared" si="2174"/>
        <v>#DIV/0!</v>
      </c>
      <c r="P254" s="86" t="e">
        <f t="shared" si="2174"/>
        <v>#DIV/0!</v>
      </c>
      <c r="Q254" s="86" t="e">
        <f t="shared" si="2174"/>
        <v>#DIV/0!</v>
      </c>
      <c r="R254" s="86" t="e">
        <f t="shared" si="2174"/>
        <v>#DIV/0!</v>
      </c>
      <c r="S254" s="86" t="e">
        <f t="shared" si="2174"/>
        <v>#DIV/0!</v>
      </c>
      <c r="T254" s="86" t="e">
        <f t="shared" si="2174"/>
        <v>#DIV/0!</v>
      </c>
      <c r="U254" s="86" t="e">
        <f t="shared" si="2174"/>
        <v>#DIV/0!</v>
      </c>
      <c r="V254" s="86" t="e">
        <f t="shared" si="2174"/>
        <v>#DIV/0!</v>
      </c>
      <c r="W254" s="86" t="e">
        <f t="shared" si="2174"/>
        <v>#DIV/0!</v>
      </c>
      <c r="X254" s="86" t="e">
        <f t="shared" si="2174"/>
        <v>#DIV/0!</v>
      </c>
      <c r="Y254" s="86" t="e">
        <f t="shared" ref="Y254:Z254" si="2175">+Y253/Y252</f>
        <v>#DIV/0!</v>
      </c>
      <c r="Z254" s="86" t="e">
        <f t="shared" si="2175"/>
        <v>#DIV/0!</v>
      </c>
      <c r="AA254" s="86" t="e">
        <f t="shared" ref="AA254" si="2176">+AA253/AA252</f>
        <v>#DIV/0!</v>
      </c>
      <c r="AB254" s="87"/>
      <c r="AC254" s="87"/>
      <c r="AD254" s="87"/>
      <c r="AE254" s="87"/>
      <c r="AF254" s="86"/>
      <c r="AG254" s="86"/>
      <c r="AH254" s="86"/>
      <c r="AI254" s="86" t="e">
        <f t="shared" ref="AI254" si="2177">+AI253/AI252</f>
        <v>#DIV/0!</v>
      </c>
      <c r="AJ254" s="86" t="e">
        <f t="shared" ref="AJ254" si="2178">+AJ253/AJ252</f>
        <v>#DIV/0!</v>
      </c>
      <c r="AK254" s="86" t="e">
        <f t="shared" ref="AK254" si="2179">+AK253/AK252</f>
        <v>#DIV/0!</v>
      </c>
      <c r="AL254" s="86" t="e">
        <f t="shared" ref="AL254" si="2180">+AL253/AL252</f>
        <v>#DIV/0!</v>
      </c>
      <c r="AM254" s="86" t="e">
        <f t="shared" ref="AM254" si="2181">+AM253/AM252</f>
        <v>#DIV/0!</v>
      </c>
      <c r="AN254" s="86" t="e">
        <f t="shared" ref="AN254" si="2182">+AN253/AN252</f>
        <v>#DIV/0!</v>
      </c>
      <c r="AO254" s="86" t="e">
        <f t="shared" ref="AO254" si="2183">+AO253/AO252</f>
        <v>#DIV/0!</v>
      </c>
      <c r="AP254" s="86" t="e">
        <f t="shared" ref="AP254" si="2184">+AP253/AP252</f>
        <v>#DIV/0!</v>
      </c>
      <c r="AQ254" s="86" t="e">
        <f t="shared" ref="AQ254" si="2185">+AQ253/AQ252</f>
        <v>#DIV/0!</v>
      </c>
      <c r="AR254" s="86" t="e">
        <f t="shared" ref="AR254" si="2186">+AR253/AR252</f>
        <v>#DIV/0!</v>
      </c>
      <c r="AS254" s="86" t="e">
        <f t="shared" ref="AS254" si="2187">+AS253/AS252</f>
        <v>#DIV/0!</v>
      </c>
      <c r="AT254" s="86" t="e">
        <f t="shared" ref="AT254" si="2188">+AT253/AT252</f>
        <v>#DIV/0!</v>
      </c>
      <c r="AU254" s="86" t="e">
        <f t="shared" ref="AU254" si="2189">+AU253/AU252</f>
        <v>#DIV/0!</v>
      </c>
      <c r="AV254" s="86" t="e">
        <f t="shared" ref="AV254" si="2190">+AV253/AV252</f>
        <v>#DIV/0!</v>
      </c>
      <c r="AW254" s="86" t="e">
        <f t="shared" ref="AW254" si="2191">+AW253/AW252</f>
        <v>#DIV/0!</v>
      </c>
      <c r="AX254" s="86" t="e">
        <f t="shared" ref="AX254" si="2192">+AX253/AX252</f>
        <v>#DIV/0!</v>
      </c>
      <c r="AY254" s="86" t="e">
        <f t="shared" ref="AY254" si="2193">+AY253/AY252</f>
        <v>#DIV/0!</v>
      </c>
      <c r="AZ254" s="86" t="e">
        <f t="shared" ref="AZ254" si="2194">+AZ253/AZ252</f>
        <v>#DIV/0!</v>
      </c>
      <c r="BA254" s="86" t="e">
        <f t="shared" ref="BA254" si="2195">+BA253/BA252</f>
        <v>#DIV/0!</v>
      </c>
      <c r="BB254" s="86" t="e">
        <f t="shared" ref="BB254" si="2196">+BB253/BB252</f>
        <v>#DIV/0!</v>
      </c>
      <c r="BC254" s="86" t="e">
        <f t="shared" ref="BC254" si="2197">+BC253/BC252</f>
        <v>#DIV/0!</v>
      </c>
      <c r="BD254" s="86" t="e">
        <f t="shared" ref="BD254" si="2198">+BD253/BD252</f>
        <v>#DIV/0!</v>
      </c>
      <c r="BE254" s="86" t="e">
        <f t="shared" ref="BE254" si="2199">+BE253/BE252</f>
        <v>#DIV/0!</v>
      </c>
      <c r="BF254" s="86" t="e">
        <f t="shared" ref="BF254" si="2200">+BF253/BF252</f>
        <v>#DIV/0!</v>
      </c>
      <c r="BG254" s="86" t="e">
        <f t="shared" ref="BG254" si="2201">+BG253/BG252</f>
        <v>#DIV/0!</v>
      </c>
      <c r="BH254" s="86" t="e">
        <f t="shared" ref="BH254" si="2202">+BH253/BH252</f>
        <v>#DIV/0!</v>
      </c>
      <c r="BI254" s="86" t="e">
        <f t="shared" ref="BI254" si="2203">+BI253/BI252</f>
        <v>#DIV/0!</v>
      </c>
      <c r="BJ254" s="86" t="e">
        <f t="shared" ref="BJ254" si="2204">+BJ253/BJ252</f>
        <v>#DIV/0!</v>
      </c>
      <c r="BK254" s="86" t="e">
        <f t="shared" ref="BK254" si="2205">+BK253/BK252</f>
        <v>#DIV/0!</v>
      </c>
      <c r="BL254" s="86" t="e">
        <f t="shared" ref="BL254" si="2206">+BL253/BL252</f>
        <v>#DIV/0!</v>
      </c>
      <c r="BM254" s="86" t="e">
        <f t="shared" ref="BM254" si="2207">+BM253/BM252</f>
        <v>#DIV/0!</v>
      </c>
      <c r="BN254" s="86" t="e">
        <f t="shared" ref="BN254" si="2208">+BN253/BN252</f>
        <v>#DIV/0!</v>
      </c>
      <c r="BO254" s="86" t="e">
        <f t="shared" ref="BO254" si="2209">+BO253/BO252</f>
        <v>#DIV/0!</v>
      </c>
      <c r="BP254" s="86" t="e">
        <f t="shared" ref="BP254" si="2210">+BP253/BP252</f>
        <v>#DIV/0!</v>
      </c>
      <c r="BQ254" s="86" t="e">
        <f t="shared" ref="BQ254" si="2211">+BQ253/BQ252</f>
        <v>#DIV/0!</v>
      </c>
      <c r="BR254" s="86" t="e">
        <f t="shared" ref="BR254" si="2212">+BR253/BR252</f>
        <v>#DIV/0!</v>
      </c>
      <c r="BS254" s="86" t="e">
        <f t="shared" ref="BS254" si="2213">+BS253/BS252</f>
        <v>#DIV/0!</v>
      </c>
      <c r="BT254" s="86" t="e">
        <f t="shared" ref="BT254" si="2214">+BT253/BT252</f>
        <v>#DIV/0!</v>
      </c>
      <c r="BU254" s="86" t="e">
        <f t="shared" ref="BU254" si="2215">+BU253/BU252</f>
        <v>#DIV/0!</v>
      </c>
      <c r="BV254" s="86" t="e">
        <f t="shared" ref="BV254" si="2216">+BV253/BV252</f>
        <v>#DIV/0!</v>
      </c>
      <c r="BW254" s="86" t="e">
        <f t="shared" ref="BW254" si="2217">+BW253/BW252</f>
        <v>#DIV/0!</v>
      </c>
      <c r="BX254" s="86" t="e">
        <f t="shared" ref="BX254" si="2218">+BX253/BX252</f>
        <v>#DIV/0!</v>
      </c>
      <c r="BY254" s="86" t="e">
        <f t="shared" ref="BY254" si="2219">+BY253/BY252</f>
        <v>#DIV/0!</v>
      </c>
      <c r="BZ254" s="86" t="e">
        <f t="shared" ref="BZ254" si="2220">+BZ253/BZ252</f>
        <v>#DIV/0!</v>
      </c>
      <c r="CA254" s="86" t="e">
        <f t="shared" ref="CA254" si="2221">+CA253/CA252</f>
        <v>#DIV/0!</v>
      </c>
      <c r="CB254" s="86" t="e">
        <f t="shared" ref="CB254:CC254" si="2222">+CB253/CB252</f>
        <v>#DIV/0!</v>
      </c>
      <c r="CC254" s="86" t="e">
        <f t="shared" si="2222"/>
        <v>#DIV/0!</v>
      </c>
      <c r="CD254" s="86" t="e">
        <f t="shared" ref="CD254" si="2223">+CD253/CD252</f>
        <v>#DIV/0!</v>
      </c>
      <c r="CE254" s="86" t="e">
        <f t="shared" ref="CE254:CF254" si="2224">+CE253/CE252</f>
        <v>#DIV/0!</v>
      </c>
      <c r="CF254" s="86" t="e">
        <f t="shared" si="2224"/>
        <v>#DIV/0!</v>
      </c>
      <c r="CG254" s="86" t="e">
        <f t="shared" ref="CG254:CH254" si="2225">+CG253/CG252</f>
        <v>#DIV/0!</v>
      </c>
      <c r="CH254" s="86" t="e">
        <f t="shared" si="2225"/>
        <v>#DIV/0!</v>
      </c>
      <c r="CI254" s="86" t="e">
        <f t="shared" ref="CI254:CJ254" si="2226">+CI253/CI252</f>
        <v>#DIV/0!</v>
      </c>
      <c r="CJ254" s="86" t="e">
        <f t="shared" si="2226"/>
        <v>#DIV/0!</v>
      </c>
      <c r="CK254" s="47" t="e">
        <f t="shared" ref="CK254:DB254" si="2227">+CK253/CK252</f>
        <v>#DIV/0!</v>
      </c>
      <c r="CL254" s="86" t="e">
        <f t="shared" si="2227"/>
        <v>#DIV/0!</v>
      </c>
      <c r="CM254" s="47" t="e">
        <f t="shared" si="2227"/>
        <v>#DIV/0!</v>
      </c>
      <c r="CN254" s="47" t="e">
        <f t="shared" si="2227"/>
        <v>#DIV/0!</v>
      </c>
      <c r="CO254" s="47" t="e">
        <f t="shared" si="2227"/>
        <v>#DIV/0!</v>
      </c>
      <c r="CP254" s="47" t="e">
        <f t="shared" si="2227"/>
        <v>#DIV/0!</v>
      </c>
      <c r="CQ254" s="47" t="e">
        <f t="shared" si="2227"/>
        <v>#DIV/0!</v>
      </c>
      <c r="CR254" s="47" t="e">
        <f t="shared" si="2227"/>
        <v>#DIV/0!</v>
      </c>
      <c r="CS254" s="47" t="e">
        <f t="shared" si="2227"/>
        <v>#DIV/0!</v>
      </c>
      <c r="CT254" s="47" t="e">
        <f t="shared" si="2227"/>
        <v>#DIV/0!</v>
      </c>
      <c r="CU254" s="47" t="e">
        <f t="shared" si="2227"/>
        <v>#DIV/0!</v>
      </c>
      <c r="CV254" s="47" t="e">
        <f t="shared" si="2227"/>
        <v>#DIV/0!</v>
      </c>
      <c r="CW254" s="47" t="e">
        <f t="shared" si="2227"/>
        <v>#DIV/0!</v>
      </c>
      <c r="CX254" s="47" t="e">
        <f t="shared" si="2227"/>
        <v>#DIV/0!</v>
      </c>
      <c r="CY254" s="47" t="e">
        <f t="shared" si="2227"/>
        <v>#DIV/0!</v>
      </c>
      <c r="CZ254" s="47" t="e">
        <f t="shared" si="2227"/>
        <v>#DIV/0!</v>
      </c>
      <c r="DA254" s="47" t="e">
        <f t="shared" si="2227"/>
        <v>#DIV/0!</v>
      </c>
      <c r="DB254" s="47" t="e">
        <f t="shared" si="2227"/>
        <v>#DIV/0!</v>
      </c>
      <c r="DE254" s="130"/>
    </row>
    <row r="255" spans="1:109" s="64" customFormat="1" hidden="1" outlineLevel="1" x14ac:dyDescent="0.2">
      <c r="A255" s="64" t="s">
        <v>481</v>
      </c>
      <c r="AB255" s="30"/>
      <c r="AC255" s="30"/>
      <c r="AD255" s="30"/>
      <c r="AE255" s="30"/>
      <c r="CK255" s="30"/>
      <c r="CM255" s="30"/>
      <c r="CN255" s="30"/>
      <c r="CO255" s="30"/>
      <c r="CP255" s="30"/>
      <c r="CQ255" s="30"/>
      <c r="CR255" s="30"/>
      <c r="CS255" s="30"/>
      <c r="CT255" s="30"/>
      <c r="CU255" s="30"/>
      <c r="CV255" s="30"/>
      <c r="CW255" s="30"/>
      <c r="CX255" s="30"/>
      <c r="CY255" s="30"/>
      <c r="CZ255" s="30"/>
      <c r="DA255" s="30"/>
      <c r="DB255" s="30"/>
      <c r="DE255" s="139"/>
    </row>
    <row r="256" spans="1:109" s="62" customFormat="1" hidden="1" outlineLevel="1" x14ac:dyDescent="0.2">
      <c r="AB256" s="63"/>
      <c r="AC256" s="63"/>
      <c r="AD256" s="63"/>
      <c r="AE256" s="63"/>
      <c r="CK256" s="30"/>
      <c r="CM256" s="30"/>
      <c r="CN256" s="30"/>
      <c r="CO256" s="30"/>
      <c r="CP256" s="30"/>
      <c r="CQ256" s="30"/>
      <c r="CR256" s="30"/>
      <c r="CS256" s="30"/>
      <c r="CT256" s="30"/>
      <c r="CU256" s="30"/>
      <c r="CV256" s="30"/>
      <c r="CW256" s="30"/>
      <c r="CX256" s="30"/>
      <c r="CY256" s="30"/>
      <c r="CZ256" s="30"/>
      <c r="DA256" s="30"/>
      <c r="DB256" s="30"/>
      <c r="DE256" s="139"/>
    </row>
    <row r="257" spans="1:110" s="11" customFormat="1" collapsed="1" x14ac:dyDescent="0.2">
      <c r="AB257" s="63"/>
      <c r="AC257" s="63"/>
      <c r="AD257" s="63"/>
      <c r="AE257" s="63"/>
      <c r="CK257" s="30"/>
      <c r="CM257" s="30"/>
      <c r="CN257" s="30"/>
      <c r="CO257" s="30"/>
      <c r="CP257" s="30"/>
      <c r="CQ257" s="30"/>
      <c r="CR257" s="30"/>
      <c r="CS257" s="30"/>
      <c r="CT257" s="30"/>
      <c r="CU257" s="30"/>
      <c r="CV257" s="30"/>
      <c r="CW257" s="30"/>
      <c r="CX257" s="30"/>
      <c r="CY257" s="30"/>
      <c r="CZ257" s="30"/>
      <c r="DA257" s="30"/>
      <c r="DB257" s="30"/>
      <c r="DE257" s="139"/>
    </row>
    <row r="258" spans="1:110" s="62" customFormat="1" x14ac:dyDescent="0.2">
      <c r="A258" s="154" t="s">
        <v>497</v>
      </c>
      <c r="G258" s="180"/>
      <c r="H258" s="180"/>
      <c r="I258" s="180"/>
      <c r="J258" s="180"/>
      <c r="K258" s="180"/>
      <c r="L258" s="180"/>
      <c r="M258" s="180"/>
      <c r="N258" s="180"/>
      <c r="O258" s="180"/>
      <c r="P258" s="180"/>
      <c r="Q258" s="180"/>
      <c r="R258" s="180"/>
      <c r="S258" s="180"/>
      <c r="T258" s="180"/>
      <c r="U258" s="180"/>
      <c r="V258" s="180"/>
      <c r="W258" s="180"/>
      <c r="X258" s="180"/>
      <c r="Y258" s="180"/>
      <c r="Z258" s="180"/>
      <c r="AA258" s="180"/>
      <c r="AB258" s="63"/>
      <c r="AC258" s="63"/>
      <c r="AD258" s="63"/>
      <c r="AE258" s="63"/>
      <c r="AL258" s="180"/>
      <c r="CF258" s="180"/>
      <c r="CG258" s="180"/>
      <c r="CH258" s="180"/>
      <c r="CI258" s="180"/>
      <c r="CJ258" s="180"/>
      <c r="CK258" s="30"/>
      <c r="CL258" s="180"/>
      <c r="CM258" s="30"/>
      <c r="CN258" s="30"/>
      <c r="CO258" s="30"/>
      <c r="CP258" s="30"/>
      <c r="CQ258" s="30"/>
      <c r="CR258" s="30"/>
      <c r="CS258" s="30"/>
      <c r="CT258" s="30"/>
      <c r="CU258" s="30"/>
      <c r="CV258" s="30"/>
      <c r="CW258" s="30"/>
      <c r="CX258" s="30"/>
      <c r="CY258" s="30"/>
      <c r="CZ258" s="30"/>
      <c r="DA258" s="30"/>
      <c r="DB258" s="30"/>
      <c r="DE258" s="139"/>
    </row>
    <row r="259" spans="1:110" s="84" customFormat="1" x14ac:dyDescent="0.2">
      <c r="A259" s="84" t="s">
        <v>512</v>
      </c>
      <c r="B259" s="84" t="e">
        <f ca="1">B23/B180</f>
        <v>#NAME?</v>
      </c>
      <c r="C259" s="84" t="e">
        <f ca="1">C23/C180</f>
        <v>#NAME?</v>
      </c>
      <c r="D259" s="84" t="e">
        <f ca="1">D23/D180</f>
        <v>#NAME?</v>
      </c>
      <c r="E259" s="84" t="e">
        <f t="shared" ref="E259:Y259" ca="1" si="2228">E25/(E176+E163+E153)</f>
        <v>#NAME?</v>
      </c>
      <c r="F259" s="84" t="e">
        <f t="shared" ca="1" si="2228"/>
        <v>#NAME?</v>
      </c>
      <c r="G259" s="84" t="e">
        <f t="shared" ca="1" si="2228"/>
        <v>#NAME?</v>
      </c>
      <c r="H259" s="84" t="e">
        <f t="shared" ca="1" si="2228"/>
        <v>#NAME?</v>
      </c>
      <c r="I259" s="84" t="e">
        <f t="shared" ca="1" si="2228"/>
        <v>#NAME?</v>
      </c>
      <c r="J259" s="84" t="e">
        <f t="shared" ca="1" si="2228"/>
        <v>#NAME?</v>
      </c>
      <c r="K259" s="84" t="e">
        <f t="shared" ca="1" si="2228"/>
        <v>#NAME?</v>
      </c>
      <c r="L259" s="84" t="e">
        <f t="shared" ca="1" si="2228"/>
        <v>#NAME?</v>
      </c>
      <c r="M259" s="84" t="e">
        <f t="shared" ca="1" si="2228"/>
        <v>#NAME?</v>
      </c>
      <c r="N259" s="84" t="e">
        <f t="shared" ca="1" si="2228"/>
        <v>#NAME?</v>
      </c>
      <c r="O259" s="84" t="e">
        <f t="shared" ca="1" si="2228"/>
        <v>#NAME?</v>
      </c>
      <c r="P259" s="84" t="e">
        <f t="shared" ca="1" si="2228"/>
        <v>#NAME?</v>
      </c>
      <c r="Q259" s="84" t="e">
        <f t="shared" ca="1" si="2228"/>
        <v>#NAME?</v>
      </c>
      <c r="R259" s="84" t="e">
        <f t="shared" ca="1" si="2228"/>
        <v>#NAME?</v>
      </c>
      <c r="S259" s="84" t="e">
        <f t="shared" ca="1" si="2228"/>
        <v>#NAME?</v>
      </c>
      <c r="T259" s="84" t="e">
        <f t="shared" ca="1" si="2228"/>
        <v>#NAME?</v>
      </c>
      <c r="U259" s="84" t="e">
        <f t="shared" ca="1" si="2228"/>
        <v>#NAME?</v>
      </c>
      <c r="V259" s="84" t="e">
        <f t="shared" ca="1" si="2228"/>
        <v>#NAME?</v>
      </c>
      <c r="W259" s="84" t="e">
        <f t="shared" ca="1" si="2228"/>
        <v>#NAME?</v>
      </c>
      <c r="X259" s="84" t="e">
        <f t="shared" ca="1" si="2228"/>
        <v>#NAME?</v>
      </c>
      <c r="Y259" s="84" t="e">
        <f t="shared" ca="1" si="2228"/>
        <v>#NAME?</v>
      </c>
      <c r="Z259" s="84" t="e">
        <f ca="1">Z25/(Z176+Z163+Z153)</f>
        <v>#NAME?</v>
      </c>
      <c r="AA259" s="84" t="e">
        <f ca="1">AA25/(AA176+AA163+AA153)</f>
        <v>#NAME?</v>
      </c>
      <c r="AB259" s="50" t="e">
        <f t="shared" ref="AA259:AE259" ca="1" si="2229">AB25/(AB176+AB163+AB153)</f>
        <v>#NAME?</v>
      </c>
      <c r="AC259" s="50" t="e">
        <f t="shared" ca="1" si="2229"/>
        <v>#NAME?</v>
      </c>
      <c r="AD259" s="50" t="e">
        <f t="shared" ca="1" si="2229"/>
        <v>#NAME?</v>
      </c>
      <c r="AE259" s="50" t="e">
        <f t="shared" ca="1" si="2229"/>
        <v>#NAME?</v>
      </c>
      <c r="AL259" s="84" t="e">
        <f ca="1">SUM(AI25:AL25)/(AL176+AL163+AL153)</f>
        <v>#NAME?</v>
      </c>
      <c r="AM259" s="84" t="e">
        <f t="shared" ref="AM259:CL259" ca="1" si="2230">SUM(AJ25:AM25)/(AM176+AM163+AM153)</f>
        <v>#NAME?</v>
      </c>
      <c r="AN259" s="84" t="e">
        <f t="shared" ca="1" si="2230"/>
        <v>#NAME?</v>
      </c>
      <c r="AO259" s="84" t="e">
        <f t="shared" ca="1" si="2230"/>
        <v>#NAME?</v>
      </c>
      <c r="AP259" s="84" t="e">
        <f t="shared" ca="1" si="2230"/>
        <v>#NAME?</v>
      </c>
      <c r="AQ259" s="84" t="e">
        <f t="shared" ca="1" si="2230"/>
        <v>#NAME?</v>
      </c>
      <c r="AR259" s="84" t="e">
        <f t="shared" ca="1" si="2230"/>
        <v>#NAME?</v>
      </c>
      <c r="AS259" s="84" t="e">
        <f t="shared" ca="1" si="2230"/>
        <v>#NAME?</v>
      </c>
      <c r="AT259" s="84" t="e">
        <f t="shared" ca="1" si="2230"/>
        <v>#NAME?</v>
      </c>
      <c r="AU259" s="84" t="e">
        <f t="shared" ca="1" si="2230"/>
        <v>#NAME?</v>
      </c>
      <c r="AV259" s="84" t="e">
        <f t="shared" ca="1" si="2230"/>
        <v>#NAME?</v>
      </c>
      <c r="AW259" s="84" t="e">
        <f t="shared" ca="1" si="2230"/>
        <v>#NAME?</v>
      </c>
      <c r="AX259" s="84" t="e">
        <f t="shared" ca="1" si="2230"/>
        <v>#NAME?</v>
      </c>
      <c r="AY259" s="84" t="e">
        <f t="shared" ca="1" si="2230"/>
        <v>#NAME?</v>
      </c>
      <c r="AZ259" s="84" t="e">
        <f t="shared" ca="1" si="2230"/>
        <v>#NAME?</v>
      </c>
      <c r="BA259" s="84" t="e">
        <f t="shared" ca="1" si="2230"/>
        <v>#NAME?</v>
      </c>
      <c r="BB259" s="84" t="e">
        <f t="shared" ca="1" si="2230"/>
        <v>#NAME?</v>
      </c>
      <c r="BC259" s="84" t="e">
        <f t="shared" ca="1" si="2230"/>
        <v>#NAME?</v>
      </c>
      <c r="BD259" s="84" t="e">
        <f t="shared" ca="1" si="2230"/>
        <v>#NAME?</v>
      </c>
      <c r="BE259" s="84" t="e">
        <f t="shared" ca="1" si="2230"/>
        <v>#NAME?</v>
      </c>
      <c r="BF259" s="84" t="e">
        <f t="shared" ca="1" si="2230"/>
        <v>#NAME?</v>
      </c>
      <c r="BG259" s="84" t="e">
        <f t="shared" ca="1" si="2230"/>
        <v>#NAME?</v>
      </c>
      <c r="BH259" s="84" t="e">
        <f t="shared" ca="1" si="2230"/>
        <v>#NAME?</v>
      </c>
      <c r="BI259" s="84" t="e">
        <f t="shared" ca="1" si="2230"/>
        <v>#NAME?</v>
      </c>
      <c r="BJ259" s="84" t="e">
        <f t="shared" ca="1" si="2230"/>
        <v>#NAME?</v>
      </c>
      <c r="BK259" s="84" t="e">
        <f t="shared" ca="1" si="2230"/>
        <v>#NAME?</v>
      </c>
      <c r="BL259" s="84" t="e">
        <f t="shared" ca="1" si="2230"/>
        <v>#NAME?</v>
      </c>
      <c r="BM259" s="84" t="e">
        <f t="shared" ca="1" si="2230"/>
        <v>#NAME?</v>
      </c>
      <c r="BN259" s="84" t="e">
        <f t="shared" ca="1" si="2230"/>
        <v>#NAME?</v>
      </c>
      <c r="BO259" s="84" t="e">
        <f t="shared" ca="1" si="2230"/>
        <v>#NAME?</v>
      </c>
      <c r="BP259" s="84" t="e">
        <f t="shared" ca="1" si="2230"/>
        <v>#NAME?</v>
      </c>
      <c r="BQ259" s="84" t="e">
        <f t="shared" ca="1" si="2230"/>
        <v>#NAME?</v>
      </c>
      <c r="BR259" s="84" t="e">
        <f t="shared" ca="1" si="2230"/>
        <v>#NAME?</v>
      </c>
      <c r="BS259" s="84" t="e">
        <f t="shared" ca="1" si="2230"/>
        <v>#NAME?</v>
      </c>
      <c r="BT259" s="84" t="e">
        <f t="shared" ca="1" si="2230"/>
        <v>#NAME?</v>
      </c>
      <c r="BU259" s="84" t="e">
        <f t="shared" ca="1" si="2230"/>
        <v>#NAME?</v>
      </c>
      <c r="BV259" s="84" t="e">
        <f t="shared" ca="1" si="2230"/>
        <v>#NAME?</v>
      </c>
      <c r="BW259" s="84" t="e">
        <f t="shared" ca="1" si="2230"/>
        <v>#NAME?</v>
      </c>
      <c r="BX259" s="84" t="e">
        <f t="shared" ca="1" si="2230"/>
        <v>#NAME?</v>
      </c>
      <c r="BY259" s="84" t="e">
        <f t="shared" ca="1" si="2230"/>
        <v>#NAME?</v>
      </c>
      <c r="BZ259" s="84" t="e">
        <f t="shared" ca="1" si="2230"/>
        <v>#NAME?</v>
      </c>
      <c r="CA259" s="84" t="e">
        <f t="shared" ca="1" si="2230"/>
        <v>#NAME?</v>
      </c>
      <c r="CB259" s="84" t="e">
        <f t="shared" ca="1" si="2230"/>
        <v>#NAME?</v>
      </c>
      <c r="CC259" s="84" t="e">
        <f t="shared" ca="1" si="2230"/>
        <v>#NAME?</v>
      </c>
      <c r="CD259" s="84" t="e">
        <f t="shared" ca="1" si="2230"/>
        <v>#NAME?</v>
      </c>
      <c r="CE259" s="84" t="e">
        <f t="shared" ca="1" si="2230"/>
        <v>#NAME?</v>
      </c>
      <c r="CF259" s="84" t="e">
        <f t="shared" ca="1" si="2230"/>
        <v>#NAME?</v>
      </c>
      <c r="CG259" s="84" t="e">
        <f t="shared" ca="1" si="2230"/>
        <v>#NAME?</v>
      </c>
      <c r="CH259" s="84" t="e">
        <f t="shared" ca="1" si="2230"/>
        <v>#NAME?</v>
      </c>
      <c r="CI259" s="84" t="e">
        <f t="shared" ca="1" si="2230"/>
        <v>#NAME?</v>
      </c>
      <c r="CJ259" s="84" t="e">
        <f t="shared" ca="1" si="2230"/>
        <v>#NAME?</v>
      </c>
      <c r="CK259" s="50" t="e">
        <f t="shared" ref="CK259" ca="1" si="2231">SUM(CH25:CK25)/(CK176+CK163+CK153)</f>
        <v>#NAME?</v>
      </c>
      <c r="CL259" s="84" t="e">
        <f t="shared" ca="1" si="2230"/>
        <v>#NAME?</v>
      </c>
      <c r="CM259" s="50" t="e">
        <f t="shared" ref="CM259:DB259" ca="1" si="2232">SUM(CJ25:CM25)/(CM176+CM163+CM153)</f>
        <v>#NAME?</v>
      </c>
      <c r="CN259" s="50" t="e">
        <f t="shared" ca="1" si="2232"/>
        <v>#NAME?</v>
      </c>
      <c r="CO259" s="50" t="e">
        <f t="shared" ca="1" si="2232"/>
        <v>#NAME?</v>
      </c>
      <c r="CP259" s="50" t="e">
        <f t="shared" ca="1" si="2232"/>
        <v>#NAME?</v>
      </c>
      <c r="CQ259" s="50" t="e">
        <f t="shared" ca="1" si="2232"/>
        <v>#NAME?</v>
      </c>
      <c r="CR259" s="50" t="e">
        <f t="shared" ca="1" si="2232"/>
        <v>#NAME?</v>
      </c>
      <c r="CS259" s="50" t="e">
        <f t="shared" ca="1" si="2232"/>
        <v>#NAME?</v>
      </c>
      <c r="CT259" s="50" t="e">
        <f t="shared" ca="1" si="2232"/>
        <v>#NAME?</v>
      </c>
      <c r="CU259" s="50" t="e">
        <f t="shared" ca="1" si="2232"/>
        <v>#NAME?</v>
      </c>
      <c r="CV259" s="50" t="e">
        <f t="shared" ca="1" si="2232"/>
        <v>#NAME?</v>
      </c>
      <c r="CW259" s="50" t="e">
        <f t="shared" ca="1" si="2232"/>
        <v>#NAME?</v>
      </c>
      <c r="CX259" s="50" t="e">
        <f t="shared" ca="1" si="2232"/>
        <v>#NAME?</v>
      </c>
      <c r="CY259" s="50" t="e">
        <f t="shared" ca="1" si="2232"/>
        <v>#NAME?</v>
      </c>
      <c r="CZ259" s="50" t="e">
        <f t="shared" ca="1" si="2232"/>
        <v>#NAME?</v>
      </c>
      <c r="DA259" s="50" t="e">
        <f t="shared" ca="1" si="2232"/>
        <v>#NAME?</v>
      </c>
      <c r="DB259" s="50" t="e">
        <f t="shared" ca="1" si="2232"/>
        <v>#NAME?</v>
      </c>
      <c r="DE259" s="138"/>
      <c r="DF259" s="84">
        <v>0.54380224574348168</v>
      </c>
    </row>
    <row r="260" spans="1:110" s="84" customFormat="1" x14ac:dyDescent="0.2">
      <c r="A260" s="84" t="s">
        <v>513</v>
      </c>
      <c r="E260" s="181" t="e">
        <f ca="1">+E57</f>
        <v>#NAME?</v>
      </c>
      <c r="F260" s="181" t="e">
        <f t="shared" ref="F260:AE260" ca="1" si="2233">+F57</f>
        <v>#NAME?</v>
      </c>
      <c r="G260" s="181" t="e">
        <f t="shared" ca="1" si="2233"/>
        <v>#NAME?</v>
      </c>
      <c r="H260" s="181" t="e">
        <f t="shared" ca="1" si="2233"/>
        <v>#NAME?</v>
      </c>
      <c r="I260" s="181" t="e">
        <f t="shared" ca="1" si="2233"/>
        <v>#NAME?</v>
      </c>
      <c r="J260" s="181" t="e">
        <f t="shared" ca="1" si="2233"/>
        <v>#NAME?</v>
      </c>
      <c r="K260" s="181" t="e">
        <f t="shared" ca="1" si="2233"/>
        <v>#NAME?</v>
      </c>
      <c r="L260" s="181" t="e">
        <f t="shared" ca="1" si="2233"/>
        <v>#NAME?</v>
      </c>
      <c r="M260" s="181" t="e">
        <f t="shared" ca="1" si="2233"/>
        <v>#NAME?</v>
      </c>
      <c r="N260" s="181" t="e">
        <f t="shared" ca="1" si="2233"/>
        <v>#NAME?</v>
      </c>
      <c r="O260" s="181" t="e">
        <f t="shared" ca="1" si="2233"/>
        <v>#NAME?</v>
      </c>
      <c r="P260" s="181" t="e">
        <f t="shared" ca="1" si="2233"/>
        <v>#NAME?</v>
      </c>
      <c r="Q260" s="181" t="e">
        <f t="shared" ca="1" si="2233"/>
        <v>#NAME?</v>
      </c>
      <c r="R260" s="181" t="e">
        <f t="shared" ca="1" si="2233"/>
        <v>#NAME?</v>
      </c>
      <c r="S260" s="181" t="e">
        <f t="shared" ca="1" si="2233"/>
        <v>#NAME?</v>
      </c>
      <c r="T260" s="181" t="e">
        <f t="shared" ca="1" si="2233"/>
        <v>#NAME?</v>
      </c>
      <c r="U260" s="181" t="e">
        <f t="shared" ca="1" si="2233"/>
        <v>#NAME?</v>
      </c>
      <c r="V260" s="181" t="e">
        <f t="shared" ca="1" si="2233"/>
        <v>#NAME?</v>
      </c>
      <c r="W260" s="181" t="e">
        <f t="shared" ca="1" si="2233"/>
        <v>#NAME?</v>
      </c>
      <c r="X260" s="181" t="e">
        <f t="shared" ca="1" si="2233"/>
        <v>#NAME?</v>
      </c>
      <c r="Y260" s="181" t="e">
        <f t="shared" ca="1" si="2233"/>
        <v>#NAME?</v>
      </c>
      <c r="Z260" s="181" t="e">
        <f t="shared" ca="1" si="2233"/>
        <v>#NAME?</v>
      </c>
      <c r="AA260" s="181" t="e">
        <f t="shared" ref="AA260" ca="1" si="2234">+AA57</f>
        <v>#NAME?</v>
      </c>
      <c r="AB260" s="182" t="e">
        <f t="shared" ca="1" si="2233"/>
        <v>#NAME?</v>
      </c>
      <c r="AC260" s="182" t="e">
        <f t="shared" ca="1" si="2233"/>
        <v>#NAME?</v>
      </c>
      <c r="AD260" s="182" t="e">
        <f t="shared" ca="1" si="2233"/>
        <v>#NAME?</v>
      </c>
      <c r="AE260" s="182" t="e">
        <f t="shared" ca="1" si="2233"/>
        <v>#NAME?</v>
      </c>
      <c r="AL260" s="181" t="e">
        <f t="shared" ref="AL260:CW260" ca="1" si="2235">+AL57</f>
        <v>#NAME?</v>
      </c>
      <c r="AM260" s="181" t="e">
        <f t="shared" ca="1" si="2235"/>
        <v>#NAME?</v>
      </c>
      <c r="AN260" s="181" t="e">
        <f t="shared" ca="1" si="2235"/>
        <v>#NAME?</v>
      </c>
      <c r="AO260" s="181" t="e">
        <f t="shared" ca="1" si="2235"/>
        <v>#NAME?</v>
      </c>
      <c r="AP260" s="181" t="e">
        <f t="shared" ca="1" si="2235"/>
        <v>#NAME?</v>
      </c>
      <c r="AQ260" s="181" t="e">
        <f t="shared" ca="1" si="2235"/>
        <v>#NAME?</v>
      </c>
      <c r="AR260" s="181" t="e">
        <f t="shared" ca="1" si="2235"/>
        <v>#NAME?</v>
      </c>
      <c r="AS260" s="181" t="e">
        <f t="shared" ca="1" si="2235"/>
        <v>#NAME?</v>
      </c>
      <c r="AT260" s="181" t="e">
        <f t="shared" ca="1" si="2235"/>
        <v>#NAME?</v>
      </c>
      <c r="AU260" s="181" t="e">
        <f t="shared" ca="1" si="2235"/>
        <v>#NAME?</v>
      </c>
      <c r="AV260" s="181" t="e">
        <f t="shared" ca="1" si="2235"/>
        <v>#NAME?</v>
      </c>
      <c r="AW260" s="181" t="e">
        <f t="shared" ca="1" si="2235"/>
        <v>#NAME?</v>
      </c>
      <c r="AX260" s="181" t="e">
        <f t="shared" ca="1" si="2235"/>
        <v>#NAME?</v>
      </c>
      <c r="AY260" s="181" t="e">
        <f t="shared" ca="1" si="2235"/>
        <v>#NAME?</v>
      </c>
      <c r="AZ260" s="181" t="e">
        <f t="shared" ca="1" si="2235"/>
        <v>#NAME?</v>
      </c>
      <c r="BA260" s="181" t="e">
        <f t="shared" ca="1" si="2235"/>
        <v>#NAME?</v>
      </c>
      <c r="BB260" s="181" t="e">
        <f t="shared" ca="1" si="2235"/>
        <v>#NAME?</v>
      </c>
      <c r="BC260" s="181" t="e">
        <f t="shared" ca="1" si="2235"/>
        <v>#NAME?</v>
      </c>
      <c r="BD260" s="181" t="e">
        <f t="shared" ca="1" si="2235"/>
        <v>#NAME?</v>
      </c>
      <c r="BE260" s="181" t="e">
        <f t="shared" ca="1" si="2235"/>
        <v>#NAME?</v>
      </c>
      <c r="BF260" s="181" t="e">
        <f t="shared" ca="1" si="2235"/>
        <v>#NAME?</v>
      </c>
      <c r="BG260" s="181" t="e">
        <f t="shared" ca="1" si="2235"/>
        <v>#NAME?</v>
      </c>
      <c r="BH260" s="181" t="e">
        <f t="shared" ca="1" si="2235"/>
        <v>#NAME?</v>
      </c>
      <c r="BI260" s="181" t="e">
        <f t="shared" ca="1" si="2235"/>
        <v>#NAME?</v>
      </c>
      <c r="BJ260" s="181" t="e">
        <f t="shared" ca="1" si="2235"/>
        <v>#NAME?</v>
      </c>
      <c r="BK260" s="181" t="e">
        <f t="shared" ca="1" si="2235"/>
        <v>#NAME?</v>
      </c>
      <c r="BL260" s="181" t="e">
        <f t="shared" ca="1" si="2235"/>
        <v>#NAME?</v>
      </c>
      <c r="BM260" s="181" t="e">
        <f t="shared" ca="1" si="2235"/>
        <v>#NAME?</v>
      </c>
      <c r="BN260" s="181" t="e">
        <f t="shared" ca="1" si="2235"/>
        <v>#NAME?</v>
      </c>
      <c r="BO260" s="181" t="e">
        <f t="shared" ca="1" si="2235"/>
        <v>#NAME?</v>
      </c>
      <c r="BP260" s="181" t="e">
        <f t="shared" ca="1" si="2235"/>
        <v>#NAME?</v>
      </c>
      <c r="BQ260" s="181" t="e">
        <f t="shared" ca="1" si="2235"/>
        <v>#NAME?</v>
      </c>
      <c r="BR260" s="181" t="e">
        <f t="shared" ca="1" si="2235"/>
        <v>#NAME?</v>
      </c>
      <c r="BS260" s="181" t="e">
        <f t="shared" ca="1" si="2235"/>
        <v>#NAME?</v>
      </c>
      <c r="BT260" s="181" t="e">
        <f t="shared" ca="1" si="2235"/>
        <v>#NAME?</v>
      </c>
      <c r="BU260" s="181" t="e">
        <f t="shared" ca="1" si="2235"/>
        <v>#NAME?</v>
      </c>
      <c r="BV260" s="181" t="e">
        <f t="shared" ca="1" si="2235"/>
        <v>#NAME?</v>
      </c>
      <c r="BW260" s="181" t="e">
        <f t="shared" ca="1" si="2235"/>
        <v>#NAME?</v>
      </c>
      <c r="BX260" s="181" t="e">
        <f t="shared" ca="1" si="2235"/>
        <v>#NAME?</v>
      </c>
      <c r="BY260" s="181" t="e">
        <f t="shared" ca="1" si="2235"/>
        <v>#NAME?</v>
      </c>
      <c r="BZ260" s="181" t="e">
        <f t="shared" ca="1" si="2235"/>
        <v>#NAME?</v>
      </c>
      <c r="CA260" s="181" t="e">
        <f t="shared" ca="1" si="2235"/>
        <v>#NAME?</v>
      </c>
      <c r="CB260" s="181" t="e">
        <f t="shared" ca="1" si="2235"/>
        <v>#NAME?</v>
      </c>
      <c r="CC260" s="181" t="e">
        <f t="shared" ca="1" si="2235"/>
        <v>#NAME?</v>
      </c>
      <c r="CD260" s="181" t="e">
        <f t="shared" ca="1" si="2235"/>
        <v>#NAME?</v>
      </c>
      <c r="CE260" s="181" t="e">
        <f t="shared" ca="1" si="2235"/>
        <v>#NAME?</v>
      </c>
      <c r="CF260" s="181" t="e">
        <f t="shared" ca="1" si="2235"/>
        <v>#NAME?</v>
      </c>
      <c r="CG260" s="181" t="e">
        <f t="shared" ca="1" si="2235"/>
        <v>#NAME?</v>
      </c>
      <c r="CH260" s="181" t="e">
        <f t="shared" ca="1" si="2235"/>
        <v>#NAME?</v>
      </c>
      <c r="CI260" s="181" t="e">
        <f t="shared" ca="1" si="2235"/>
        <v>#NAME?</v>
      </c>
      <c r="CJ260" s="181" t="e">
        <f t="shared" ca="1" si="2235"/>
        <v>#NAME?</v>
      </c>
      <c r="CK260" s="182" t="e">
        <f t="shared" ca="1" si="2235"/>
        <v>#NAME?</v>
      </c>
      <c r="CL260" s="181" t="e">
        <f t="shared" ref="CL260" ca="1" si="2236">+CL57</f>
        <v>#NAME?</v>
      </c>
      <c r="CM260" s="182" t="e">
        <f t="shared" ca="1" si="2235"/>
        <v>#NAME?</v>
      </c>
      <c r="CN260" s="182" t="e">
        <f t="shared" ca="1" si="2235"/>
        <v>#NAME?</v>
      </c>
      <c r="CO260" s="182" t="e">
        <f t="shared" ca="1" si="2235"/>
        <v>#NAME?</v>
      </c>
      <c r="CP260" s="182" t="e">
        <f t="shared" ca="1" si="2235"/>
        <v>#NAME?</v>
      </c>
      <c r="CQ260" s="182" t="e">
        <f t="shared" ca="1" si="2235"/>
        <v>#NAME?</v>
      </c>
      <c r="CR260" s="182" t="e">
        <f t="shared" ca="1" si="2235"/>
        <v>#NAME?</v>
      </c>
      <c r="CS260" s="182" t="e">
        <f t="shared" ca="1" si="2235"/>
        <v>#NAME?</v>
      </c>
      <c r="CT260" s="182" t="e">
        <f t="shared" ca="1" si="2235"/>
        <v>#NAME?</v>
      </c>
      <c r="CU260" s="182" t="e">
        <f t="shared" ca="1" si="2235"/>
        <v>#NAME?</v>
      </c>
      <c r="CV260" s="182" t="e">
        <f t="shared" ca="1" si="2235"/>
        <v>#NAME?</v>
      </c>
      <c r="CW260" s="182" t="e">
        <f t="shared" ca="1" si="2235"/>
        <v>#NAME?</v>
      </c>
      <c r="CX260" s="182" t="e">
        <f t="shared" ref="CX260:DB260" ca="1" si="2237">+CX57</f>
        <v>#NAME?</v>
      </c>
      <c r="CY260" s="182" t="e">
        <f t="shared" ca="1" si="2237"/>
        <v>#NAME?</v>
      </c>
      <c r="CZ260" s="182" t="e">
        <f t="shared" ca="1" si="2237"/>
        <v>#NAME?</v>
      </c>
      <c r="DA260" s="182" t="e">
        <f t="shared" ca="1" si="2237"/>
        <v>#NAME?</v>
      </c>
      <c r="DB260" s="182" t="e">
        <f t="shared" ca="1" si="2237"/>
        <v>#NAME?</v>
      </c>
      <c r="DE260" s="138"/>
      <c r="DF260" s="84">
        <v>6.7338798329093355E-2</v>
      </c>
    </row>
    <row r="261" spans="1:110" s="84" customFormat="1" x14ac:dyDescent="0.2">
      <c r="A261" s="84" t="s">
        <v>514</v>
      </c>
      <c r="E261" s="84" t="e">
        <f ca="1">(E176+E163+E153+E155)/E135</f>
        <v>#NAME?</v>
      </c>
      <c r="F261" s="84" t="e">
        <f t="shared" ref="F261:AE261" ca="1" si="2238">(F176+F163+F153+F155)/F135</f>
        <v>#NAME?</v>
      </c>
      <c r="G261" s="84" t="e">
        <f t="shared" ca="1" si="2238"/>
        <v>#NAME?</v>
      </c>
      <c r="H261" s="84" t="e">
        <f t="shared" ca="1" si="2238"/>
        <v>#NAME?</v>
      </c>
      <c r="I261" s="84" t="e">
        <f t="shared" ca="1" si="2238"/>
        <v>#NAME?</v>
      </c>
      <c r="J261" s="84" t="e">
        <f t="shared" ca="1" si="2238"/>
        <v>#NAME?</v>
      </c>
      <c r="K261" s="84" t="e">
        <f t="shared" ca="1" si="2238"/>
        <v>#NAME?</v>
      </c>
      <c r="L261" s="84" t="e">
        <f t="shared" ca="1" si="2238"/>
        <v>#NAME?</v>
      </c>
      <c r="M261" s="84" t="e">
        <f t="shared" ca="1" si="2238"/>
        <v>#NAME?</v>
      </c>
      <c r="N261" s="84" t="e">
        <f t="shared" ca="1" si="2238"/>
        <v>#NAME?</v>
      </c>
      <c r="O261" s="84" t="e">
        <f t="shared" ca="1" si="2238"/>
        <v>#NAME?</v>
      </c>
      <c r="P261" s="84" t="e">
        <f t="shared" ca="1" si="2238"/>
        <v>#NAME?</v>
      </c>
      <c r="Q261" s="84" t="e">
        <f t="shared" ca="1" si="2238"/>
        <v>#NAME?</v>
      </c>
      <c r="R261" s="84" t="e">
        <f t="shared" ca="1" si="2238"/>
        <v>#NAME?</v>
      </c>
      <c r="S261" s="84" t="e">
        <f t="shared" ca="1" si="2238"/>
        <v>#NAME?</v>
      </c>
      <c r="T261" s="84" t="e">
        <f t="shared" ca="1" si="2238"/>
        <v>#NAME?</v>
      </c>
      <c r="U261" s="84" t="e">
        <f t="shared" ca="1" si="2238"/>
        <v>#NAME?</v>
      </c>
      <c r="V261" s="84" t="e">
        <f t="shared" ca="1" si="2238"/>
        <v>#NAME?</v>
      </c>
      <c r="W261" s="84" t="e">
        <f t="shared" ca="1" si="2238"/>
        <v>#NAME?</v>
      </c>
      <c r="X261" s="84" t="e">
        <f t="shared" ca="1" si="2238"/>
        <v>#NAME?</v>
      </c>
      <c r="Y261" s="84" t="e">
        <f t="shared" ca="1" si="2238"/>
        <v>#NAME?</v>
      </c>
      <c r="Z261" s="84" t="e">
        <f t="shared" ca="1" si="2238"/>
        <v>#NAME?</v>
      </c>
      <c r="AA261" s="84" t="e">
        <f t="shared" ref="AA261" ca="1" si="2239">(AA176+AA163+AA153+AA155)/AA135</f>
        <v>#NAME?</v>
      </c>
      <c r="AB261" s="50" t="e">
        <f t="shared" ca="1" si="2238"/>
        <v>#NAME?</v>
      </c>
      <c r="AC261" s="50" t="e">
        <f t="shared" ca="1" si="2238"/>
        <v>#NAME?</v>
      </c>
      <c r="AD261" s="50" t="e">
        <f t="shared" ca="1" si="2238"/>
        <v>#NAME?</v>
      </c>
      <c r="AE261" s="50" t="e">
        <f t="shared" ca="1" si="2238"/>
        <v>#NAME?</v>
      </c>
      <c r="AL261" s="84" t="e">
        <f t="shared" ref="AL261:CW261" ca="1" si="2240">(AL176+AL163+AL153+AL155)/AL135</f>
        <v>#NAME?</v>
      </c>
      <c r="AM261" s="84" t="e">
        <f t="shared" ca="1" si="2240"/>
        <v>#NAME?</v>
      </c>
      <c r="AN261" s="84" t="e">
        <f t="shared" ca="1" si="2240"/>
        <v>#NAME?</v>
      </c>
      <c r="AO261" s="84" t="e">
        <f t="shared" ca="1" si="2240"/>
        <v>#NAME?</v>
      </c>
      <c r="AP261" s="84" t="e">
        <f t="shared" ca="1" si="2240"/>
        <v>#NAME?</v>
      </c>
      <c r="AQ261" s="84" t="e">
        <f t="shared" ca="1" si="2240"/>
        <v>#NAME?</v>
      </c>
      <c r="AR261" s="84" t="e">
        <f t="shared" ca="1" si="2240"/>
        <v>#NAME?</v>
      </c>
      <c r="AS261" s="84" t="e">
        <f t="shared" ca="1" si="2240"/>
        <v>#NAME?</v>
      </c>
      <c r="AT261" s="84" t="e">
        <f t="shared" ca="1" si="2240"/>
        <v>#NAME?</v>
      </c>
      <c r="AU261" s="84" t="e">
        <f t="shared" ca="1" si="2240"/>
        <v>#NAME?</v>
      </c>
      <c r="AV261" s="84" t="e">
        <f t="shared" ca="1" si="2240"/>
        <v>#NAME?</v>
      </c>
      <c r="AW261" s="84" t="e">
        <f t="shared" ca="1" si="2240"/>
        <v>#NAME?</v>
      </c>
      <c r="AX261" s="84" t="e">
        <f t="shared" ca="1" si="2240"/>
        <v>#NAME?</v>
      </c>
      <c r="AY261" s="84" t="e">
        <f t="shared" ca="1" si="2240"/>
        <v>#NAME?</v>
      </c>
      <c r="AZ261" s="84" t="e">
        <f t="shared" ca="1" si="2240"/>
        <v>#NAME?</v>
      </c>
      <c r="BA261" s="84" t="e">
        <f t="shared" ca="1" si="2240"/>
        <v>#NAME?</v>
      </c>
      <c r="BB261" s="84" t="e">
        <f t="shared" ca="1" si="2240"/>
        <v>#NAME?</v>
      </c>
      <c r="BC261" s="84" t="e">
        <f t="shared" ca="1" si="2240"/>
        <v>#NAME?</v>
      </c>
      <c r="BD261" s="84" t="e">
        <f t="shared" ca="1" si="2240"/>
        <v>#NAME?</v>
      </c>
      <c r="BE261" s="84" t="e">
        <f t="shared" ca="1" si="2240"/>
        <v>#NAME?</v>
      </c>
      <c r="BF261" s="84" t="e">
        <f t="shared" ca="1" si="2240"/>
        <v>#NAME?</v>
      </c>
      <c r="BG261" s="84" t="e">
        <f t="shared" ca="1" si="2240"/>
        <v>#NAME?</v>
      </c>
      <c r="BH261" s="84" t="e">
        <f t="shared" ca="1" si="2240"/>
        <v>#NAME?</v>
      </c>
      <c r="BI261" s="84" t="e">
        <f t="shared" ca="1" si="2240"/>
        <v>#NAME?</v>
      </c>
      <c r="BJ261" s="84" t="e">
        <f t="shared" ca="1" si="2240"/>
        <v>#NAME?</v>
      </c>
      <c r="BK261" s="84" t="e">
        <f t="shared" ca="1" si="2240"/>
        <v>#NAME?</v>
      </c>
      <c r="BL261" s="84" t="e">
        <f t="shared" ca="1" si="2240"/>
        <v>#NAME?</v>
      </c>
      <c r="BM261" s="84" t="e">
        <f t="shared" ca="1" si="2240"/>
        <v>#NAME?</v>
      </c>
      <c r="BN261" s="84" t="e">
        <f t="shared" ca="1" si="2240"/>
        <v>#NAME?</v>
      </c>
      <c r="BO261" s="84" t="e">
        <f t="shared" ca="1" si="2240"/>
        <v>#NAME?</v>
      </c>
      <c r="BP261" s="84" t="e">
        <f t="shared" ca="1" si="2240"/>
        <v>#NAME?</v>
      </c>
      <c r="BQ261" s="84" t="e">
        <f t="shared" ca="1" si="2240"/>
        <v>#NAME?</v>
      </c>
      <c r="BR261" s="84" t="e">
        <f t="shared" ca="1" si="2240"/>
        <v>#NAME?</v>
      </c>
      <c r="BS261" s="84" t="e">
        <f t="shared" ca="1" si="2240"/>
        <v>#NAME?</v>
      </c>
      <c r="BT261" s="84" t="e">
        <f t="shared" ca="1" si="2240"/>
        <v>#NAME?</v>
      </c>
      <c r="BU261" s="84" t="e">
        <f t="shared" ca="1" si="2240"/>
        <v>#NAME?</v>
      </c>
      <c r="BV261" s="84" t="e">
        <f t="shared" ca="1" si="2240"/>
        <v>#NAME?</v>
      </c>
      <c r="BW261" s="84" t="e">
        <f t="shared" ca="1" si="2240"/>
        <v>#NAME?</v>
      </c>
      <c r="BX261" s="84" t="e">
        <f t="shared" ca="1" si="2240"/>
        <v>#NAME?</v>
      </c>
      <c r="BY261" s="84" t="e">
        <f t="shared" ca="1" si="2240"/>
        <v>#NAME?</v>
      </c>
      <c r="BZ261" s="84" t="e">
        <f t="shared" ca="1" si="2240"/>
        <v>#NAME?</v>
      </c>
      <c r="CA261" s="84" t="e">
        <f t="shared" ca="1" si="2240"/>
        <v>#NAME?</v>
      </c>
      <c r="CB261" s="84" t="e">
        <f t="shared" ca="1" si="2240"/>
        <v>#NAME?</v>
      </c>
      <c r="CC261" s="84" t="e">
        <f t="shared" ca="1" si="2240"/>
        <v>#NAME?</v>
      </c>
      <c r="CD261" s="84" t="e">
        <f t="shared" ca="1" si="2240"/>
        <v>#NAME?</v>
      </c>
      <c r="CE261" s="84" t="e">
        <f t="shared" ca="1" si="2240"/>
        <v>#NAME?</v>
      </c>
      <c r="CF261" s="84" t="e">
        <f t="shared" ca="1" si="2240"/>
        <v>#NAME?</v>
      </c>
      <c r="CG261" s="84" t="e">
        <f t="shared" ca="1" si="2240"/>
        <v>#NAME?</v>
      </c>
      <c r="CH261" s="84" t="e">
        <f t="shared" ca="1" si="2240"/>
        <v>#NAME?</v>
      </c>
      <c r="CI261" s="84" t="e">
        <f t="shared" ca="1" si="2240"/>
        <v>#NAME?</v>
      </c>
      <c r="CJ261" s="84" t="e">
        <f t="shared" ca="1" si="2240"/>
        <v>#NAME?</v>
      </c>
      <c r="CK261" s="50" t="e">
        <f t="shared" ca="1" si="2240"/>
        <v>#NAME?</v>
      </c>
      <c r="CL261" s="84" t="e">
        <f t="shared" ref="CL261" ca="1" si="2241">(CL176+CL163+CL153+CL155)/CL135</f>
        <v>#NAME?</v>
      </c>
      <c r="CM261" s="50" t="e">
        <f t="shared" ca="1" si="2240"/>
        <v>#NAME?</v>
      </c>
      <c r="CN261" s="50" t="e">
        <f t="shared" ca="1" si="2240"/>
        <v>#NAME?</v>
      </c>
      <c r="CO261" s="50" t="e">
        <f t="shared" ca="1" si="2240"/>
        <v>#NAME?</v>
      </c>
      <c r="CP261" s="50" t="e">
        <f t="shared" ca="1" si="2240"/>
        <v>#NAME?</v>
      </c>
      <c r="CQ261" s="50" t="e">
        <f t="shared" ca="1" si="2240"/>
        <v>#NAME?</v>
      </c>
      <c r="CR261" s="50" t="e">
        <f t="shared" ca="1" si="2240"/>
        <v>#NAME?</v>
      </c>
      <c r="CS261" s="50" t="e">
        <f t="shared" ca="1" si="2240"/>
        <v>#NAME?</v>
      </c>
      <c r="CT261" s="50" t="e">
        <f t="shared" ca="1" si="2240"/>
        <v>#NAME?</v>
      </c>
      <c r="CU261" s="50" t="e">
        <f t="shared" ca="1" si="2240"/>
        <v>#NAME?</v>
      </c>
      <c r="CV261" s="50" t="e">
        <f t="shared" ca="1" si="2240"/>
        <v>#NAME?</v>
      </c>
      <c r="CW261" s="50" t="e">
        <f t="shared" ca="1" si="2240"/>
        <v>#NAME?</v>
      </c>
      <c r="CX261" s="50" t="e">
        <f t="shared" ref="CX261:DB261" ca="1" si="2242">(CX176+CX163+CX153+CX155)/CX135</f>
        <v>#NAME?</v>
      </c>
      <c r="CY261" s="50" t="e">
        <f t="shared" ca="1" si="2242"/>
        <v>#NAME?</v>
      </c>
      <c r="CZ261" s="50" t="e">
        <f t="shared" ca="1" si="2242"/>
        <v>#NAME?</v>
      </c>
      <c r="DA261" s="50" t="e">
        <f t="shared" ca="1" si="2242"/>
        <v>#NAME?</v>
      </c>
      <c r="DB261" s="50" t="e">
        <f t="shared" ca="1" si="2242"/>
        <v>#NAME?</v>
      </c>
      <c r="DE261" s="138"/>
      <c r="DF261" s="84">
        <v>1.2117150011973996</v>
      </c>
    </row>
    <row r="262" spans="1:110" s="84" customFormat="1" x14ac:dyDescent="0.2">
      <c r="A262" s="154" t="s">
        <v>498</v>
      </c>
      <c r="AB262" s="50"/>
      <c r="AC262" s="50"/>
      <c r="AD262" s="50"/>
      <c r="AE262" s="50"/>
      <c r="CK262" s="50"/>
      <c r="CM262" s="50"/>
      <c r="CN262" s="50"/>
      <c r="CO262" s="50"/>
      <c r="CP262" s="50"/>
      <c r="CQ262" s="50"/>
      <c r="CR262" s="50"/>
      <c r="CS262" s="50"/>
      <c r="CT262" s="50"/>
      <c r="CU262" s="50"/>
      <c r="CV262" s="50"/>
      <c r="CW262" s="50"/>
      <c r="CX262" s="50"/>
      <c r="CY262" s="50"/>
      <c r="CZ262" s="50"/>
      <c r="DA262" s="50"/>
      <c r="DB262" s="50"/>
      <c r="DE262" s="138"/>
    </row>
    <row r="263" spans="1:110" s="88" customFormat="1" x14ac:dyDescent="0.2">
      <c r="A263" s="88" t="s">
        <v>102</v>
      </c>
      <c r="B263" s="88" t="e">
        <f t="shared" ref="B263:AE263" ca="1" si="2243">B176/B135</f>
        <v>#NAME?</v>
      </c>
      <c r="C263" s="88" t="e">
        <f t="shared" ca="1" si="2243"/>
        <v>#NAME?</v>
      </c>
      <c r="D263" s="88" t="e">
        <f t="shared" ca="1" si="2243"/>
        <v>#NAME?</v>
      </c>
      <c r="F263" s="88" t="e">
        <f t="shared" ca="1" si="2243"/>
        <v>#NAME?</v>
      </c>
      <c r="G263" s="88" t="e">
        <f t="shared" ca="1" si="2243"/>
        <v>#NAME?</v>
      </c>
      <c r="H263" s="88" t="e">
        <f t="shared" ca="1" si="2243"/>
        <v>#NAME?</v>
      </c>
      <c r="I263" s="88" t="e">
        <f t="shared" ca="1" si="2243"/>
        <v>#NAME?</v>
      </c>
      <c r="J263" s="88" t="e">
        <f t="shared" ca="1" si="2243"/>
        <v>#NAME?</v>
      </c>
      <c r="K263" s="88" t="e">
        <f t="shared" ca="1" si="2243"/>
        <v>#NAME?</v>
      </c>
      <c r="L263" s="88" t="e">
        <f t="shared" ca="1" si="2243"/>
        <v>#NAME?</v>
      </c>
      <c r="M263" s="88" t="e">
        <f t="shared" ca="1" si="2243"/>
        <v>#NAME?</v>
      </c>
      <c r="N263" s="88" t="e">
        <f t="shared" ca="1" si="2243"/>
        <v>#NAME?</v>
      </c>
      <c r="O263" s="88" t="e">
        <f t="shared" ca="1" si="2243"/>
        <v>#NAME?</v>
      </c>
      <c r="P263" s="88" t="e">
        <f t="shared" ca="1" si="2243"/>
        <v>#NAME?</v>
      </c>
      <c r="Q263" s="88" t="e">
        <f t="shared" ca="1" si="2243"/>
        <v>#NAME?</v>
      </c>
      <c r="R263" s="88" t="e">
        <f t="shared" ca="1" si="2243"/>
        <v>#NAME?</v>
      </c>
      <c r="S263" s="88" t="e">
        <f t="shared" ca="1" si="2243"/>
        <v>#NAME?</v>
      </c>
      <c r="T263" s="88" t="e">
        <f t="shared" ca="1" si="2243"/>
        <v>#NAME?</v>
      </c>
      <c r="U263" s="88" t="e">
        <f t="shared" ca="1" si="2243"/>
        <v>#NAME?</v>
      </c>
      <c r="V263" s="88" t="e">
        <f t="shared" ca="1" si="2243"/>
        <v>#NAME?</v>
      </c>
      <c r="W263" s="88" t="e">
        <f t="shared" ca="1" si="2243"/>
        <v>#NAME?</v>
      </c>
      <c r="X263" s="88" t="e">
        <f t="shared" ca="1" si="2243"/>
        <v>#NAME?</v>
      </c>
      <c r="Y263" s="88" t="e">
        <f t="shared" ca="1" si="2243"/>
        <v>#NAME?</v>
      </c>
      <c r="Z263" s="88" t="e">
        <f t="shared" ca="1" si="2243"/>
        <v>#NAME?</v>
      </c>
      <c r="AA263" s="88" t="e">
        <f t="shared" ref="AA263" ca="1" si="2244">AA176/AA135</f>
        <v>#NAME?</v>
      </c>
      <c r="AB263" s="42" t="e">
        <f t="shared" ca="1" si="2243"/>
        <v>#NAME?</v>
      </c>
      <c r="AC263" s="42" t="e">
        <f t="shared" ca="1" si="2243"/>
        <v>#NAME?</v>
      </c>
      <c r="AD263" s="42" t="e">
        <f t="shared" ca="1" si="2243"/>
        <v>#NAME?</v>
      </c>
      <c r="AE263" s="42" t="e">
        <f t="shared" ca="1" si="2243"/>
        <v>#NAME?</v>
      </c>
      <c r="AL263" s="88" t="e">
        <f t="shared" ref="AL263:CW263" ca="1" si="2245">AL176/AL135</f>
        <v>#NAME?</v>
      </c>
      <c r="AM263" s="88" t="e">
        <f t="shared" ca="1" si="2245"/>
        <v>#NAME?</v>
      </c>
      <c r="AN263" s="88" t="e">
        <f t="shared" ca="1" si="2245"/>
        <v>#NAME?</v>
      </c>
      <c r="AO263" s="88" t="e">
        <f t="shared" ca="1" si="2245"/>
        <v>#NAME?</v>
      </c>
      <c r="AP263" s="88" t="e">
        <f t="shared" ca="1" si="2245"/>
        <v>#NAME?</v>
      </c>
      <c r="AQ263" s="88" t="e">
        <f t="shared" ca="1" si="2245"/>
        <v>#NAME?</v>
      </c>
      <c r="AR263" s="88" t="e">
        <f t="shared" ca="1" si="2245"/>
        <v>#NAME?</v>
      </c>
      <c r="AS263" s="88" t="e">
        <f t="shared" ca="1" si="2245"/>
        <v>#NAME?</v>
      </c>
      <c r="AT263" s="88" t="e">
        <f t="shared" ca="1" si="2245"/>
        <v>#NAME?</v>
      </c>
      <c r="AU263" s="88" t="e">
        <f t="shared" ca="1" si="2245"/>
        <v>#NAME?</v>
      </c>
      <c r="AV263" s="88" t="e">
        <f t="shared" ca="1" si="2245"/>
        <v>#NAME?</v>
      </c>
      <c r="AW263" s="88" t="e">
        <f t="shared" ca="1" si="2245"/>
        <v>#NAME?</v>
      </c>
      <c r="AX263" s="88" t="e">
        <f t="shared" ca="1" si="2245"/>
        <v>#NAME?</v>
      </c>
      <c r="AY263" s="88" t="e">
        <f t="shared" ca="1" si="2245"/>
        <v>#NAME?</v>
      </c>
      <c r="AZ263" s="88" t="e">
        <f t="shared" ca="1" si="2245"/>
        <v>#NAME?</v>
      </c>
      <c r="BA263" s="88" t="e">
        <f t="shared" ca="1" si="2245"/>
        <v>#NAME?</v>
      </c>
      <c r="BB263" s="88" t="e">
        <f t="shared" ca="1" si="2245"/>
        <v>#NAME?</v>
      </c>
      <c r="BC263" s="88" t="e">
        <f t="shared" ca="1" si="2245"/>
        <v>#NAME?</v>
      </c>
      <c r="BD263" s="88" t="e">
        <f t="shared" ca="1" si="2245"/>
        <v>#NAME?</v>
      </c>
      <c r="BE263" s="88" t="e">
        <f t="shared" ca="1" si="2245"/>
        <v>#NAME?</v>
      </c>
      <c r="BF263" s="88" t="e">
        <f t="shared" ca="1" si="2245"/>
        <v>#NAME?</v>
      </c>
      <c r="BG263" s="88" t="e">
        <f t="shared" ca="1" si="2245"/>
        <v>#NAME?</v>
      </c>
      <c r="BH263" s="88" t="e">
        <f t="shared" ca="1" si="2245"/>
        <v>#NAME?</v>
      </c>
      <c r="BI263" s="88" t="e">
        <f t="shared" ca="1" si="2245"/>
        <v>#NAME?</v>
      </c>
      <c r="BJ263" s="88" t="e">
        <f t="shared" ca="1" si="2245"/>
        <v>#NAME?</v>
      </c>
      <c r="BK263" s="88" t="e">
        <f t="shared" ca="1" si="2245"/>
        <v>#NAME?</v>
      </c>
      <c r="BL263" s="88" t="e">
        <f t="shared" ca="1" si="2245"/>
        <v>#NAME?</v>
      </c>
      <c r="BM263" s="88" t="e">
        <f t="shared" ca="1" si="2245"/>
        <v>#NAME?</v>
      </c>
      <c r="BN263" s="88" t="e">
        <f t="shared" ca="1" si="2245"/>
        <v>#NAME?</v>
      </c>
      <c r="BO263" s="88" t="e">
        <f t="shared" ca="1" si="2245"/>
        <v>#NAME?</v>
      </c>
      <c r="BP263" s="88" t="e">
        <f t="shared" ca="1" si="2245"/>
        <v>#NAME?</v>
      </c>
      <c r="BQ263" s="88" t="e">
        <f t="shared" ca="1" si="2245"/>
        <v>#NAME?</v>
      </c>
      <c r="BR263" s="88" t="e">
        <f t="shared" ca="1" si="2245"/>
        <v>#NAME?</v>
      </c>
      <c r="BS263" s="88" t="e">
        <f t="shared" ca="1" si="2245"/>
        <v>#NAME?</v>
      </c>
      <c r="BT263" s="88" t="e">
        <f t="shared" ca="1" si="2245"/>
        <v>#NAME?</v>
      </c>
      <c r="BU263" s="88" t="e">
        <f t="shared" ca="1" si="2245"/>
        <v>#NAME?</v>
      </c>
      <c r="BV263" s="88" t="e">
        <f t="shared" ca="1" si="2245"/>
        <v>#NAME?</v>
      </c>
      <c r="BW263" s="88" t="e">
        <f t="shared" ca="1" si="2245"/>
        <v>#NAME?</v>
      </c>
      <c r="BX263" s="88" t="e">
        <f t="shared" ca="1" si="2245"/>
        <v>#NAME?</v>
      </c>
      <c r="BY263" s="88" t="e">
        <f t="shared" ca="1" si="2245"/>
        <v>#NAME?</v>
      </c>
      <c r="BZ263" s="88" t="e">
        <f t="shared" ca="1" si="2245"/>
        <v>#NAME?</v>
      </c>
      <c r="CA263" s="88" t="e">
        <f t="shared" ca="1" si="2245"/>
        <v>#NAME?</v>
      </c>
      <c r="CB263" s="88" t="e">
        <f t="shared" ca="1" si="2245"/>
        <v>#NAME?</v>
      </c>
      <c r="CC263" s="88" t="e">
        <f t="shared" ca="1" si="2245"/>
        <v>#NAME?</v>
      </c>
      <c r="CD263" s="88" t="e">
        <f t="shared" ca="1" si="2245"/>
        <v>#NAME?</v>
      </c>
      <c r="CE263" s="88" t="e">
        <f t="shared" ca="1" si="2245"/>
        <v>#NAME?</v>
      </c>
      <c r="CF263" s="88" t="e">
        <f t="shared" ca="1" si="2245"/>
        <v>#NAME?</v>
      </c>
      <c r="CG263" s="88" t="e">
        <f t="shared" ca="1" si="2245"/>
        <v>#NAME?</v>
      </c>
      <c r="CH263" s="88" t="e">
        <f t="shared" ca="1" si="2245"/>
        <v>#NAME?</v>
      </c>
      <c r="CI263" s="88" t="e">
        <f t="shared" ca="1" si="2245"/>
        <v>#NAME?</v>
      </c>
      <c r="CJ263" s="88" t="e">
        <f t="shared" ca="1" si="2245"/>
        <v>#NAME?</v>
      </c>
      <c r="CK263" s="42" t="e">
        <f t="shared" ca="1" si="2245"/>
        <v>#NAME?</v>
      </c>
      <c r="CL263" s="88" t="e">
        <f t="shared" ref="CL263" ca="1" si="2246">CL176/CL135</f>
        <v>#NAME?</v>
      </c>
      <c r="CM263" s="42" t="e">
        <f t="shared" ca="1" si="2245"/>
        <v>#NAME?</v>
      </c>
      <c r="CN263" s="42" t="e">
        <f t="shared" ca="1" si="2245"/>
        <v>#NAME?</v>
      </c>
      <c r="CO263" s="42" t="e">
        <f t="shared" ca="1" si="2245"/>
        <v>#NAME?</v>
      </c>
      <c r="CP263" s="42" t="e">
        <f t="shared" ca="1" si="2245"/>
        <v>#NAME?</v>
      </c>
      <c r="CQ263" s="42" t="e">
        <f t="shared" ca="1" si="2245"/>
        <v>#NAME?</v>
      </c>
      <c r="CR263" s="42" t="e">
        <f t="shared" ca="1" si="2245"/>
        <v>#NAME?</v>
      </c>
      <c r="CS263" s="42" t="e">
        <f t="shared" ca="1" si="2245"/>
        <v>#NAME?</v>
      </c>
      <c r="CT263" s="42" t="e">
        <f t="shared" ca="1" si="2245"/>
        <v>#NAME?</v>
      </c>
      <c r="CU263" s="42" t="e">
        <f t="shared" ca="1" si="2245"/>
        <v>#NAME?</v>
      </c>
      <c r="CV263" s="42" t="e">
        <f t="shared" ca="1" si="2245"/>
        <v>#NAME?</v>
      </c>
      <c r="CW263" s="42" t="e">
        <f t="shared" ca="1" si="2245"/>
        <v>#NAME?</v>
      </c>
      <c r="CX263" s="42" t="e">
        <f t="shared" ref="CX263:DB263" ca="1" si="2247">CX176/CX135</f>
        <v>#NAME?</v>
      </c>
      <c r="CY263" s="42" t="e">
        <f t="shared" ca="1" si="2247"/>
        <v>#NAME?</v>
      </c>
      <c r="CZ263" s="42" t="e">
        <f t="shared" ca="1" si="2247"/>
        <v>#NAME?</v>
      </c>
      <c r="DA263" s="42" t="e">
        <f t="shared" ca="1" si="2247"/>
        <v>#NAME?</v>
      </c>
      <c r="DB263" s="42" t="e">
        <f t="shared" ca="1" si="2247"/>
        <v>#NAME?</v>
      </c>
      <c r="DE263" s="125"/>
      <c r="DF263" s="88">
        <v>3.2666830261979168E-2</v>
      </c>
    </row>
    <row r="264" spans="1:110" s="89" customFormat="1" x14ac:dyDescent="0.2">
      <c r="A264" s="89" t="s">
        <v>103</v>
      </c>
      <c r="C264" s="89" t="e">
        <f t="shared" ref="C264:AE264" ca="1" si="2248">C143/B143-1</f>
        <v>#NAME?</v>
      </c>
      <c r="D264" s="89" t="e">
        <f t="shared" ca="1" si="2248"/>
        <v>#NAME?</v>
      </c>
      <c r="F264" s="89" t="e">
        <f t="shared" ca="1" si="2248"/>
        <v>#NAME?</v>
      </c>
      <c r="G264" s="89" t="e">
        <f t="shared" ca="1" si="2248"/>
        <v>#NAME?</v>
      </c>
      <c r="H264" s="89" t="e">
        <f t="shared" ca="1" si="2248"/>
        <v>#NAME?</v>
      </c>
      <c r="I264" s="89" t="e">
        <f t="shared" ca="1" si="2248"/>
        <v>#NAME?</v>
      </c>
      <c r="J264" s="89" t="e">
        <f t="shared" ca="1" si="2248"/>
        <v>#NAME?</v>
      </c>
      <c r="K264" s="89" t="e">
        <f ca="1">K143/J143-1</f>
        <v>#NAME?</v>
      </c>
      <c r="L264" s="89" t="e">
        <f t="shared" ca="1" si="2248"/>
        <v>#NAME?</v>
      </c>
      <c r="M264" s="89" t="e">
        <f t="shared" ca="1" si="2248"/>
        <v>#NAME?</v>
      </c>
      <c r="N264" s="89" t="e">
        <f t="shared" ca="1" si="2248"/>
        <v>#NAME?</v>
      </c>
      <c r="O264" s="89" t="e">
        <f t="shared" ca="1" si="2248"/>
        <v>#NAME?</v>
      </c>
      <c r="P264" s="89" t="e">
        <f t="shared" ca="1" si="2248"/>
        <v>#NAME?</v>
      </c>
      <c r="Q264" s="89" t="e">
        <f t="shared" ca="1" si="2248"/>
        <v>#NAME?</v>
      </c>
      <c r="R264" s="89" t="e">
        <f t="shared" ca="1" si="2248"/>
        <v>#NAME?</v>
      </c>
      <c r="S264" s="89" t="e">
        <f t="shared" ca="1" si="2248"/>
        <v>#NAME?</v>
      </c>
      <c r="T264" s="89" t="e">
        <f t="shared" ca="1" si="2248"/>
        <v>#NAME?</v>
      </c>
      <c r="U264" s="89" t="e">
        <f t="shared" ca="1" si="2248"/>
        <v>#NAME?</v>
      </c>
      <c r="V264" s="89" t="e">
        <f t="shared" ca="1" si="2248"/>
        <v>#NAME?</v>
      </c>
      <c r="W264" s="89" t="e">
        <f t="shared" ca="1" si="2248"/>
        <v>#NAME?</v>
      </c>
      <c r="X264" s="89" t="e">
        <f t="shared" ca="1" si="2248"/>
        <v>#NAME?</v>
      </c>
      <c r="Y264" s="89" t="e">
        <f t="shared" ca="1" si="2248"/>
        <v>#NAME?</v>
      </c>
      <c r="Z264" s="89" t="e">
        <f t="shared" ca="1" si="2248"/>
        <v>#NAME?</v>
      </c>
      <c r="AA264" s="89" t="e">
        <f t="shared" ca="1" si="2248"/>
        <v>#NAME?</v>
      </c>
      <c r="AB264" s="47" t="e">
        <f t="shared" ca="1" si="2248"/>
        <v>#NAME?</v>
      </c>
      <c r="AC264" s="47" t="e">
        <f t="shared" ca="1" si="2248"/>
        <v>#NAME?</v>
      </c>
      <c r="AD264" s="47" t="e">
        <f t="shared" ca="1" si="2248"/>
        <v>#NAME?</v>
      </c>
      <c r="AE264" s="47" t="e">
        <f t="shared" ca="1" si="2248"/>
        <v>#NAME?</v>
      </c>
      <c r="AL264" s="89" t="e">
        <f t="shared" ref="AL264:CW264" ca="1" si="2249">AL143/AK143-1</f>
        <v>#NAME?</v>
      </c>
      <c r="AM264" s="89" t="e">
        <f t="shared" ca="1" si="2249"/>
        <v>#NAME?</v>
      </c>
      <c r="AN264" s="89" t="e">
        <f t="shared" ca="1" si="2249"/>
        <v>#NAME?</v>
      </c>
      <c r="AO264" s="89" t="e">
        <f t="shared" ca="1" si="2249"/>
        <v>#NAME?</v>
      </c>
      <c r="AP264" s="89" t="e">
        <f t="shared" ca="1" si="2249"/>
        <v>#NAME?</v>
      </c>
      <c r="AQ264" s="89" t="e">
        <f t="shared" ca="1" si="2249"/>
        <v>#NAME?</v>
      </c>
      <c r="AR264" s="89" t="e">
        <f t="shared" ca="1" si="2249"/>
        <v>#NAME?</v>
      </c>
      <c r="AS264" s="89" t="e">
        <f t="shared" ca="1" si="2249"/>
        <v>#NAME?</v>
      </c>
      <c r="AT264" s="89" t="e">
        <f t="shared" ca="1" si="2249"/>
        <v>#NAME?</v>
      </c>
      <c r="AU264" s="89" t="e">
        <f t="shared" ca="1" si="2249"/>
        <v>#NAME?</v>
      </c>
      <c r="AV264" s="89" t="e">
        <f t="shared" ca="1" si="2249"/>
        <v>#NAME?</v>
      </c>
      <c r="AW264" s="89" t="e">
        <f t="shared" ca="1" si="2249"/>
        <v>#NAME?</v>
      </c>
      <c r="AX264" s="89" t="e">
        <f t="shared" ca="1" si="2249"/>
        <v>#NAME?</v>
      </c>
      <c r="AY264" s="89" t="e">
        <f t="shared" ca="1" si="2249"/>
        <v>#NAME?</v>
      </c>
      <c r="AZ264" s="89" t="e">
        <f t="shared" ca="1" si="2249"/>
        <v>#NAME?</v>
      </c>
      <c r="BA264" s="89" t="e">
        <f t="shared" ca="1" si="2249"/>
        <v>#NAME?</v>
      </c>
      <c r="BB264" s="89" t="e">
        <f t="shared" ca="1" si="2249"/>
        <v>#NAME?</v>
      </c>
      <c r="BC264" s="89" t="e">
        <f t="shared" ca="1" si="2249"/>
        <v>#NAME?</v>
      </c>
      <c r="BD264" s="89" t="e">
        <f t="shared" ca="1" si="2249"/>
        <v>#NAME?</v>
      </c>
      <c r="BE264" s="89" t="e">
        <f t="shared" ca="1" si="2249"/>
        <v>#NAME?</v>
      </c>
      <c r="BF264" s="89" t="e">
        <f t="shared" ca="1" si="2249"/>
        <v>#NAME?</v>
      </c>
      <c r="BG264" s="89" t="e">
        <f t="shared" ca="1" si="2249"/>
        <v>#NAME?</v>
      </c>
      <c r="BH264" s="89" t="e">
        <f t="shared" ca="1" si="2249"/>
        <v>#NAME?</v>
      </c>
      <c r="BI264" s="89" t="e">
        <f t="shared" ca="1" si="2249"/>
        <v>#NAME?</v>
      </c>
      <c r="BJ264" s="89" t="e">
        <f t="shared" ca="1" si="2249"/>
        <v>#NAME?</v>
      </c>
      <c r="BK264" s="89" t="e">
        <f t="shared" ca="1" si="2249"/>
        <v>#NAME?</v>
      </c>
      <c r="BL264" s="89" t="e">
        <f t="shared" ca="1" si="2249"/>
        <v>#NAME?</v>
      </c>
      <c r="BM264" s="89" t="e">
        <f t="shared" ca="1" si="2249"/>
        <v>#NAME?</v>
      </c>
      <c r="BN264" s="89" t="e">
        <f t="shared" ca="1" si="2249"/>
        <v>#NAME?</v>
      </c>
      <c r="BO264" s="89" t="e">
        <f t="shared" ca="1" si="2249"/>
        <v>#NAME?</v>
      </c>
      <c r="BP264" s="89" t="e">
        <f t="shared" ca="1" si="2249"/>
        <v>#NAME?</v>
      </c>
      <c r="BQ264" s="89" t="e">
        <f t="shared" ca="1" si="2249"/>
        <v>#NAME?</v>
      </c>
      <c r="BR264" s="89" t="e">
        <f t="shared" ca="1" si="2249"/>
        <v>#NAME?</v>
      </c>
      <c r="BS264" s="89" t="e">
        <f t="shared" ca="1" si="2249"/>
        <v>#NAME?</v>
      </c>
      <c r="BT264" s="89" t="e">
        <f t="shared" ca="1" si="2249"/>
        <v>#NAME?</v>
      </c>
      <c r="BU264" s="89" t="e">
        <f t="shared" ca="1" si="2249"/>
        <v>#NAME?</v>
      </c>
      <c r="BV264" s="89" t="e">
        <f t="shared" ca="1" si="2249"/>
        <v>#NAME?</v>
      </c>
      <c r="BW264" s="89" t="e">
        <f t="shared" ca="1" si="2249"/>
        <v>#NAME?</v>
      </c>
      <c r="BX264" s="89" t="e">
        <f t="shared" ca="1" si="2249"/>
        <v>#NAME?</v>
      </c>
      <c r="BY264" s="89" t="e">
        <f t="shared" ca="1" si="2249"/>
        <v>#NAME?</v>
      </c>
      <c r="BZ264" s="89" t="e">
        <f t="shared" ca="1" si="2249"/>
        <v>#NAME?</v>
      </c>
      <c r="CA264" s="89" t="e">
        <f t="shared" ca="1" si="2249"/>
        <v>#NAME?</v>
      </c>
      <c r="CB264" s="89" t="e">
        <f t="shared" ca="1" si="2249"/>
        <v>#NAME?</v>
      </c>
      <c r="CC264" s="89" t="e">
        <f t="shared" ca="1" si="2249"/>
        <v>#NAME?</v>
      </c>
      <c r="CD264" s="89" t="e">
        <f t="shared" ca="1" si="2249"/>
        <v>#NAME?</v>
      </c>
      <c r="CE264" s="89" t="e">
        <f t="shared" ca="1" si="2249"/>
        <v>#NAME?</v>
      </c>
      <c r="CF264" s="89" t="e">
        <f t="shared" ca="1" si="2249"/>
        <v>#NAME?</v>
      </c>
      <c r="CG264" s="89" t="e">
        <f t="shared" ca="1" si="2249"/>
        <v>#NAME?</v>
      </c>
      <c r="CH264" s="89" t="e">
        <f t="shared" ca="1" si="2249"/>
        <v>#NAME?</v>
      </c>
      <c r="CI264" s="89" t="e">
        <f t="shared" ca="1" si="2249"/>
        <v>#NAME?</v>
      </c>
      <c r="CJ264" s="89" t="e">
        <f t="shared" ca="1" si="2249"/>
        <v>#NAME?</v>
      </c>
      <c r="CK264" s="47" t="e">
        <f t="shared" ca="1" si="2249"/>
        <v>#NAME?</v>
      </c>
      <c r="CL264" s="89" t="e">
        <f t="shared" ca="1" si="2249"/>
        <v>#NAME?</v>
      </c>
      <c r="CM264" s="47" t="e">
        <f t="shared" ca="1" si="2249"/>
        <v>#NAME?</v>
      </c>
      <c r="CN264" s="47" t="e">
        <f t="shared" ca="1" si="2249"/>
        <v>#NAME?</v>
      </c>
      <c r="CO264" s="47" t="e">
        <f t="shared" ca="1" si="2249"/>
        <v>#NAME?</v>
      </c>
      <c r="CP264" s="47" t="e">
        <f t="shared" ca="1" si="2249"/>
        <v>#NAME?</v>
      </c>
      <c r="CQ264" s="47" t="e">
        <f t="shared" ca="1" si="2249"/>
        <v>#NAME?</v>
      </c>
      <c r="CR264" s="47" t="e">
        <f t="shared" ca="1" si="2249"/>
        <v>#NAME?</v>
      </c>
      <c r="CS264" s="47" t="e">
        <f t="shared" ca="1" si="2249"/>
        <v>#NAME?</v>
      </c>
      <c r="CT264" s="47" t="e">
        <f t="shared" ca="1" si="2249"/>
        <v>#NAME?</v>
      </c>
      <c r="CU264" s="47" t="e">
        <f t="shared" ca="1" si="2249"/>
        <v>#NAME?</v>
      </c>
      <c r="CV264" s="47" t="e">
        <f t="shared" ca="1" si="2249"/>
        <v>#NAME?</v>
      </c>
      <c r="CW264" s="47" t="e">
        <f t="shared" ca="1" si="2249"/>
        <v>#NAME?</v>
      </c>
      <c r="CX264" s="47" t="e">
        <f t="shared" ref="CX264:DB264" ca="1" si="2250">CX143/CW143-1</f>
        <v>#NAME?</v>
      </c>
      <c r="CY264" s="47" t="e">
        <f t="shared" ca="1" si="2250"/>
        <v>#NAME?</v>
      </c>
      <c r="CZ264" s="47" t="e">
        <f t="shared" ca="1" si="2250"/>
        <v>#NAME?</v>
      </c>
      <c r="DA264" s="47" t="e">
        <f t="shared" ca="1" si="2250"/>
        <v>#NAME?</v>
      </c>
      <c r="DB264" s="47" t="e">
        <f t="shared" ca="1" si="2250"/>
        <v>#NAME?</v>
      </c>
      <c r="DE264" s="130"/>
      <c r="DF264" s="89">
        <v>0.62861866570658442</v>
      </c>
    </row>
    <row r="265" spans="1:110" s="89" customFormat="1" x14ac:dyDescent="0.2">
      <c r="A265" s="89" t="s">
        <v>104</v>
      </c>
      <c r="C265" s="89" t="e">
        <f ca="1">C43/B43-1</f>
        <v>#NAME?</v>
      </c>
      <c r="D265" s="89" t="e">
        <f ca="1">D43/C43-1</f>
        <v>#NAME?</v>
      </c>
      <c r="F265" s="89" t="e">
        <f t="shared" ref="F265:AE265" ca="1" si="2251">F43/E43-1</f>
        <v>#NAME?</v>
      </c>
      <c r="G265" s="89" t="e">
        <f t="shared" ca="1" si="2251"/>
        <v>#NAME?</v>
      </c>
      <c r="H265" s="89" t="e">
        <f t="shared" ca="1" si="2251"/>
        <v>#NAME?</v>
      </c>
      <c r="I265" s="89" t="e">
        <f t="shared" ca="1" si="2251"/>
        <v>#NAME?</v>
      </c>
      <c r="J265" s="89" t="e">
        <f t="shared" ca="1" si="2251"/>
        <v>#NAME?</v>
      </c>
      <c r="K265" s="89" t="e">
        <f t="shared" ca="1" si="2251"/>
        <v>#NAME?</v>
      </c>
      <c r="L265" s="89" t="e">
        <f t="shared" ca="1" si="2251"/>
        <v>#NAME?</v>
      </c>
      <c r="M265" s="89" t="e">
        <f t="shared" ca="1" si="2251"/>
        <v>#NAME?</v>
      </c>
      <c r="N265" s="89" t="e">
        <f t="shared" ca="1" si="2251"/>
        <v>#NAME?</v>
      </c>
      <c r="O265" s="89" t="e">
        <f t="shared" ca="1" si="2251"/>
        <v>#NAME?</v>
      </c>
      <c r="P265" s="89" t="e">
        <f t="shared" ca="1" si="2251"/>
        <v>#NAME?</v>
      </c>
      <c r="Q265" s="89" t="e">
        <f t="shared" ca="1" si="2251"/>
        <v>#NAME?</v>
      </c>
      <c r="R265" s="89" t="e">
        <f t="shared" ca="1" si="2251"/>
        <v>#NAME?</v>
      </c>
      <c r="S265" s="89" t="e">
        <f t="shared" ca="1" si="2251"/>
        <v>#NAME?</v>
      </c>
      <c r="T265" s="89" t="e">
        <f t="shared" ca="1" si="2251"/>
        <v>#NAME?</v>
      </c>
      <c r="U265" s="89" t="e">
        <f t="shared" ca="1" si="2251"/>
        <v>#NAME?</v>
      </c>
      <c r="V265" s="89" t="e">
        <f t="shared" ca="1" si="2251"/>
        <v>#NAME?</v>
      </c>
      <c r="W265" s="89" t="e">
        <f t="shared" ca="1" si="2251"/>
        <v>#NAME?</v>
      </c>
      <c r="X265" s="89" t="e">
        <f t="shared" ca="1" si="2251"/>
        <v>#NAME?</v>
      </c>
      <c r="Y265" s="89" t="e">
        <f t="shared" ca="1" si="2251"/>
        <v>#NAME?</v>
      </c>
      <c r="Z265" s="89" t="e">
        <f t="shared" ca="1" si="2251"/>
        <v>#NAME?</v>
      </c>
      <c r="AA265" s="89" t="e">
        <f t="shared" ca="1" si="2251"/>
        <v>#NAME?</v>
      </c>
      <c r="AB265" s="47" t="e">
        <f t="shared" ca="1" si="2251"/>
        <v>#NAME?</v>
      </c>
      <c r="AC265" s="47" t="e">
        <f t="shared" ca="1" si="2251"/>
        <v>#NAME?</v>
      </c>
      <c r="AD265" s="47" t="e">
        <f t="shared" ca="1" si="2251"/>
        <v>#NAME?</v>
      </c>
      <c r="AE265" s="47" t="e">
        <f t="shared" ca="1" si="2251"/>
        <v>#NAME?</v>
      </c>
      <c r="AL265" s="89" t="e">
        <f t="shared" ref="AL265:CW265" ca="1" si="2252">AL43/AK43-1</f>
        <v>#NAME?</v>
      </c>
      <c r="AM265" s="89" t="e">
        <f t="shared" ca="1" si="2252"/>
        <v>#NAME?</v>
      </c>
      <c r="AN265" s="89" t="e">
        <f t="shared" ca="1" si="2252"/>
        <v>#NAME?</v>
      </c>
      <c r="AO265" s="89" t="e">
        <f t="shared" ca="1" si="2252"/>
        <v>#NAME?</v>
      </c>
      <c r="AP265" s="89" t="e">
        <f t="shared" ca="1" si="2252"/>
        <v>#NAME?</v>
      </c>
      <c r="AQ265" s="89" t="e">
        <f t="shared" ca="1" si="2252"/>
        <v>#NAME?</v>
      </c>
      <c r="AR265" s="89" t="e">
        <f t="shared" ca="1" si="2252"/>
        <v>#NAME?</v>
      </c>
      <c r="AS265" s="89" t="e">
        <f t="shared" ca="1" si="2252"/>
        <v>#NAME?</v>
      </c>
      <c r="AT265" s="89" t="e">
        <f t="shared" ca="1" si="2252"/>
        <v>#NAME?</v>
      </c>
      <c r="AU265" s="89" t="e">
        <f t="shared" ca="1" si="2252"/>
        <v>#NAME?</v>
      </c>
      <c r="AV265" s="89" t="e">
        <f t="shared" ca="1" si="2252"/>
        <v>#NAME?</v>
      </c>
      <c r="AW265" s="89" t="e">
        <f t="shared" ca="1" si="2252"/>
        <v>#NAME?</v>
      </c>
      <c r="AX265" s="89" t="e">
        <f t="shared" ca="1" si="2252"/>
        <v>#NAME?</v>
      </c>
      <c r="AY265" s="89" t="e">
        <f t="shared" ca="1" si="2252"/>
        <v>#NAME?</v>
      </c>
      <c r="AZ265" s="89" t="e">
        <f t="shared" ca="1" si="2252"/>
        <v>#NAME?</v>
      </c>
      <c r="BA265" s="89" t="e">
        <f t="shared" ca="1" si="2252"/>
        <v>#NAME?</v>
      </c>
      <c r="BB265" s="89" t="e">
        <f t="shared" ca="1" si="2252"/>
        <v>#NAME?</v>
      </c>
      <c r="BC265" s="89" t="e">
        <f t="shared" ca="1" si="2252"/>
        <v>#NAME?</v>
      </c>
      <c r="BD265" s="89" t="e">
        <f t="shared" ca="1" si="2252"/>
        <v>#NAME?</v>
      </c>
      <c r="BE265" s="89" t="e">
        <f t="shared" ca="1" si="2252"/>
        <v>#NAME?</v>
      </c>
      <c r="BF265" s="89" t="e">
        <f t="shared" ca="1" si="2252"/>
        <v>#NAME?</v>
      </c>
      <c r="BG265" s="89" t="e">
        <f t="shared" ca="1" si="2252"/>
        <v>#NAME?</v>
      </c>
      <c r="BH265" s="89" t="e">
        <f t="shared" ca="1" si="2252"/>
        <v>#NAME?</v>
      </c>
      <c r="BI265" s="89" t="e">
        <f t="shared" ca="1" si="2252"/>
        <v>#NAME?</v>
      </c>
      <c r="BJ265" s="89" t="e">
        <f t="shared" ca="1" si="2252"/>
        <v>#NAME?</v>
      </c>
      <c r="BK265" s="89" t="e">
        <f t="shared" ca="1" si="2252"/>
        <v>#NAME?</v>
      </c>
      <c r="BL265" s="89" t="e">
        <f t="shared" ca="1" si="2252"/>
        <v>#NAME?</v>
      </c>
      <c r="BM265" s="89" t="e">
        <f t="shared" ca="1" si="2252"/>
        <v>#NAME?</v>
      </c>
      <c r="BN265" s="89" t="e">
        <f t="shared" ca="1" si="2252"/>
        <v>#NAME?</v>
      </c>
      <c r="BO265" s="89" t="e">
        <f t="shared" ca="1" si="2252"/>
        <v>#NAME?</v>
      </c>
      <c r="BP265" s="89" t="e">
        <f t="shared" ca="1" si="2252"/>
        <v>#NAME?</v>
      </c>
      <c r="BQ265" s="89" t="e">
        <f t="shared" ca="1" si="2252"/>
        <v>#NAME?</v>
      </c>
      <c r="BR265" s="89" t="e">
        <f t="shared" ca="1" si="2252"/>
        <v>#NAME?</v>
      </c>
      <c r="BS265" s="89" t="e">
        <f t="shared" ca="1" si="2252"/>
        <v>#NAME?</v>
      </c>
      <c r="BT265" s="89" t="e">
        <f t="shared" ca="1" si="2252"/>
        <v>#NAME?</v>
      </c>
      <c r="BU265" s="89" t="e">
        <f t="shared" ca="1" si="2252"/>
        <v>#NAME?</v>
      </c>
      <c r="BV265" s="89" t="e">
        <f t="shared" ca="1" si="2252"/>
        <v>#NAME?</v>
      </c>
      <c r="BW265" s="89" t="e">
        <f t="shared" ca="1" si="2252"/>
        <v>#NAME?</v>
      </c>
      <c r="BX265" s="89" t="e">
        <f t="shared" ca="1" si="2252"/>
        <v>#NAME?</v>
      </c>
      <c r="BY265" s="89" t="e">
        <f t="shared" ca="1" si="2252"/>
        <v>#NAME?</v>
      </c>
      <c r="BZ265" s="89" t="e">
        <f t="shared" ca="1" si="2252"/>
        <v>#NAME?</v>
      </c>
      <c r="CA265" s="89" t="e">
        <f t="shared" ca="1" si="2252"/>
        <v>#NAME?</v>
      </c>
      <c r="CB265" s="89" t="e">
        <f t="shared" ca="1" si="2252"/>
        <v>#NAME?</v>
      </c>
      <c r="CC265" s="89" t="e">
        <f t="shared" ca="1" si="2252"/>
        <v>#NAME?</v>
      </c>
      <c r="CD265" s="89" t="e">
        <f t="shared" ca="1" si="2252"/>
        <v>#NAME?</v>
      </c>
      <c r="CE265" s="89" t="e">
        <f t="shared" ca="1" si="2252"/>
        <v>#NAME?</v>
      </c>
      <c r="CF265" s="89" t="e">
        <f t="shared" ca="1" si="2252"/>
        <v>#NAME?</v>
      </c>
      <c r="CG265" s="89" t="e">
        <f t="shared" ca="1" si="2252"/>
        <v>#NAME?</v>
      </c>
      <c r="CH265" s="89" t="e">
        <f t="shared" ca="1" si="2252"/>
        <v>#NAME?</v>
      </c>
      <c r="CI265" s="89" t="e">
        <f t="shared" ca="1" si="2252"/>
        <v>#NAME?</v>
      </c>
      <c r="CJ265" s="89" t="e">
        <f t="shared" ca="1" si="2252"/>
        <v>#NAME?</v>
      </c>
      <c r="CK265" s="47" t="e">
        <f t="shared" ca="1" si="2252"/>
        <v>#NAME?</v>
      </c>
      <c r="CL265" s="89" t="e">
        <f t="shared" ca="1" si="2252"/>
        <v>#NAME?</v>
      </c>
      <c r="CM265" s="47" t="e">
        <f t="shared" ca="1" si="2252"/>
        <v>#NAME?</v>
      </c>
      <c r="CN265" s="47" t="e">
        <f t="shared" ca="1" si="2252"/>
        <v>#NAME?</v>
      </c>
      <c r="CO265" s="47" t="e">
        <f t="shared" ca="1" si="2252"/>
        <v>#NAME?</v>
      </c>
      <c r="CP265" s="47" t="e">
        <f t="shared" ca="1" si="2252"/>
        <v>#NAME?</v>
      </c>
      <c r="CQ265" s="47" t="e">
        <f t="shared" ca="1" si="2252"/>
        <v>#NAME?</v>
      </c>
      <c r="CR265" s="47" t="e">
        <f t="shared" ca="1" si="2252"/>
        <v>#NAME?</v>
      </c>
      <c r="CS265" s="47" t="e">
        <f t="shared" ca="1" si="2252"/>
        <v>#NAME?</v>
      </c>
      <c r="CT265" s="47" t="e">
        <f t="shared" ca="1" si="2252"/>
        <v>#NAME?</v>
      </c>
      <c r="CU265" s="47" t="e">
        <f t="shared" ca="1" si="2252"/>
        <v>#NAME?</v>
      </c>
      <c r="CV265" s="47" t="e">
        <f t="shared" ca="1" si="2252"/>
        <v>#NAME?</v>
      </c>
      <c r="CW265" s="47" t="e">
        <f t="shared" ca="1" si="2252"/>
        <v>#NAME?</v>
      </c>
      <c r="CX265" s="47" t="e">
        <f t="shared" ref="CX265:DB265" ca="1" si="2253">CX43/CW43-1</f>
        <v>#NAME?</v>
      </c>
      <c r="CY265" s="47" t="e">
        <f t="shared" ca="1" si="2253"/>
        <v>#NAME?</v>
      </c>
      <c r="CZ265" s="47" t="e">
        <f t="shared" ca="1" si="2253"/>
        <v>#NAME?</v>
      </c>
      <c r="DA265" s="47" t="e">
        <f t="shared" ca="1" si="2253"/>
        <v>#NAME?</v>
      </c>
      <c r="DB265" s="47" t="e">
        <f t="shared" ca="1" si="2253"/>
        <v>#NAME?</v>
      </c>
      <c r="DE265" s="130"/>
      <c r="DF265" s="89">
        <v>-0.48220131198297933</v>
      </c>
    </row>
    <row r="266" spans="1:110" s="103" customFormat="1" x14ac:dyDescent="0.2">
      <c r="A266" s="147" t="s">
        <v>105</v>
      </c>
      <c r="C266" s="103" t="e">
        <f ca="1">IF(C264&gt;C265,"RF",0)</f>
        <v>#NAME?</v>
      </c>
      <c r="D266" s="103" t="e">
        <f t="shared" ref="D266:U266" ca="1" si="2254">IF(D264&gt;D265,"RF",0)</f>
        <v>#NAME?</v>
      </c>
      <c r="F266" s="103" t="e">
        <f t="shared" ca="1" si="2254"/>
        <v>#NAME?</v>
      </c>
      <c r="G266" s="103" t="e">
        <f t="shared" ca="1" si="2254"/>
        <v>#NAME?</v>
      </c>
      <c r="H266" s="103" t="e">
        <f t="shared" ca="1" si="2254"/>
        <v>#NAME?</v>
      </c>
      <c r="I266" s="103" t="e">
        <f t="shared" ca="1" si="2254"/>
        <v>#NAME?</v>
      </c>
      <c r="J266" s="103" t="e">
        <f t="shared" ca="1" si="2254"/>
        <v>#NAME?</v>
      </c>
      <c r="K266" s="103" t="e">
        <f t="shared" ca="1" si="2254"/>
        <v>#NAME?</v>
      </c>
      <c r="L266" s="103" t="e">
        <f t="shared" ca="1" si="2254"/>
        <v>#NAME?</v>
      </c>
      <c r="M266" s="103" t="e">
        <f t="shared" ca="1" si="2254"/>
        <v>#NAME?</v>
      </c>
      <c r="N266" s="103" t="e">
        <f t="shared" ca="1" si="2254"/>
        <v>#NAME?</v>
      </c>
      <c r="O266" s="103" t="e">
        <f t="shared" ca="1" si="2254"/>
        <v>#NAME?</v>
      </c>
      <c r="P266" s="103" t="e">
        <f t="shared" ca="1" si="2254"/>
        <v>#NAME?</v>
      </c>
      <c r="Q266" s="103" t="e">
        <f t="shared" ca="1" si="2254"/>
        <v>#NAME?</v>
      </c>
      <c r="R266" s="103" t="e">
        <f t="shared" ca="1" si="2254"/>
        <v>#NAME?</v>
      </c>
      <c r="S266" s="103" t="e">
        <f t="shared" ca="1" si="2254"/>
        <v>#NAME?</v>
      </c>
      <c r="T266" s="103" t="e">
        <f t="shared" ca="1" si="2254"/>
        <v>#NAME?</v>
      </c>
      <c r="U266" s="103" t="e">
        <f t="shared" ca="1" si="2254"/>
        <v>#NAME?</v>
      </c>
      <c r="V266" s="103" t="e">
        <f ca="1">IF(V264&gt;V265,"RF",0)</f>
        <v>#NAME?</v>
      </c>
      <c r="W266" s="103" t="e">
        <f t="shared" ref="W266:AE266" ca="1" si="2255">IF(W264&gt;W265,"RF",0)</f>
        <v>#NAME?</v>
      </c>
      <c r="X266" s="103" t="e">
        <f t="shared" ca="1" si="2255"/>
        <v>#NAME?</v>
      </c>
      <c r="Y266" s="103" t="e">
        <f t="shared" ca="1" si="2255"/>
        <v>#NAME?</v>
      </c>
      <c r="Z266" s="103" t="e">
        <f t="shared" ca="1" si="2255"/>
        <v>#NAME?</v>
      </c>
      <c r="AA266" s="103" t="e">
        <f t="shared" ref="AA266" ca="1" si="2256">IF(AA264&gt;AA265,"RF",0)</f>
        <v>#NAME?</v>
      </c>
      <c r="AB266" s="73" t="e">
        <f t="shared" ca="1" si="2255"/>
        <v>#NAME?</v>
      </c>
      <c r="AC266" s="73" t="e">
        <f t="shared" ca="1" si="2255"/>
        <v>#NAME?</v>
      </c>
      <c r="AD266" s="73" t="e">
        <f t="shared" ca="1" si="2255"/>
        <v>#NAME?</v>
      </c>
      <c r="AE266" s="73" t="e">
        <f t="shared" ca="1" si="2255"/>
        <v>#NAME?</v>
      </c>
      <c r="AL266" s="103" t="e">
        <f t="shared" ref="AL266:CW266" ca="1" si="2257">IF(AL264&gt;AL265,"RF",0)</f>
        <v>#NAME?</v>
      </c>
      <c r="AM266" s="103" t="e">
        <f t="shared" ca="1" si="2257"/>
        <v>#NAME?</v>
      </c>
      <c r="AN266" s="103" t="e">
        <f t="shared" ca="1" si="2257"/>
        <v>#NAME?</v>
      </c>
      <c r="AO266" s="103" t="e">
        <f t="shared" ca="1" si="2257"/>
        <v>#NAME?</v>
      </c>
      <c r="AP266" s="103" t="e">
        <f t="shared" ca="1" si="2257"/>
        <v>#NAME?</v>
      </c>
      <c r="AQ266" s="103" t="e">
        <f t="shared" ca="1" si="2257"/>
        <v>#NAME?</v>
      </c>
      <c r="AR266" s="103" t="e">
        <f t="shared" ca="1" si="2257"/>
        <v>#NAME?</v>
      </c>
      <c r="AS266" s="103" t="e">
        <f t="shared" ca="1" si="2257"/>
        <v>#NAME?</v>
      </c>
      <c r="AT266" s="103" t="e">
        <f t="shared" ca="1" si="2257"/>
        <v>#NAME?</v>
      </c>
      <c r="AU266" s="103" t="e">
        <f t="shared" ca="1" si="2257"/>
        <v>#NAME?</v>
      </c>
      <c r="AV266" s="103" t="e">
        <f t="shared" ca="1" si="2257"/>
        <v>#NAME?</v>
      </c>
      <c r="AW266" s="103" t="e">
        <f t="shared" ca="1" si="2257"/>
        <v>#NAME?</v>
      </c>
      <c r="AX266" s="103" t="e">
        <f t="shared" ca="1" si="2257"/>
        <v>#NAME?</v>
      </c>
      <c r="AY266" s="103" t="e">
        <f t="shared" ca="1" si="2257"/>
        <v>#NAME?</v>
      </c>
      <c r="AZ266" s="103" t="e">
        <f t="shared" ca="1" si="2257"/>
        <v>#NAME?</v>
      </c>
      <c r="BA266" s="103" t="e">
        <f t="shared" ca="1" si="2257"/>
        <v>#NAME?</v>
      </c>
      <c r="BB266" s="103" t="e">
        <f t="shared" ca="1" si="2257"/>
        <v>#NAME?</v>
      </c>
      <c r="BC266" s="103" t="e">
        <f t="shared" ca="1" si="2257"/>
        <v>#NAME?</v>
      </c>
      <c r="BD266" s="103" t="e">
        <f t="shared" ca="1" si="2257"/>
        <v>#NAME?</v>
      </c>
      <c r="BE266" s="103" t="e">
        <f t="shared" ca="1" si="2257"/>
        <v>#NAME?</v>
      </c>
      <c r="BF266" s="103" t="e">
        <f t="shared" ca="1" si="2257"/>
        <v>#NAME?</v>
      </c>
      <c r="BG266" s="103" t="e">
        <f t="shared" ca="1" si="2257"/>
        <v>#NAME?</v>
      </c>
      <c r="BH266" s="103" t="e">
        <f t="shared" ca="1" si="2257"/>
        <v>#NAME?</v>
      </c>
      <c r="BI266" s="103" t="e">
        <f t="shared" ca="1" si="2257"/>
        <v>#NAME?</v>
      </c>
      <c r="BJ266" s="103" t="e">
        <f t="shared" ca="1" si="2257"/>
        <v>#NAME?</v>
      </c>
      <c r="BK266" s="103" t="e">
        <f t="shared" ca="1" si="2257"/>
        <v>#NAME?</v>
      </c>
      <c r="BL266" s="103" t="e">
        <f t="shared" ca="1" si="2257"/>
        <v>#NAME?</v>
      </c>
      <c r="BM266" s="103" t="e">
        <f t="shared" ca="1" si="2257"/>
        <v>#NAME?</v>
      </c>
      <c r="BN266" s="103" t="e">
        <f t="shared" ca="1" si="2257"/>
        <v>#NAME?</v>
      </c>
      <c r="BO266" s="103" t="e">
        <f t="shared" ca="1" si="2257"/>
        <v>#NAME?</v>
      </c>
      <c r="BP266" s="103" t="e">
        <f t="shared" ca="1" si="2257"/>
        <v>#NAME?</v>
      </c>
      <c r="BQ266" s="103" t="e">
        <f t="shared" ca="1" si="2257"/>
        <v>#NAME?</v>
      </c>
      <c r="BR266" s="103" t="e">
        <f t="shared" ca="1" si="2257"/>
        <v>#NAME?</v>
      </c>
      <c r="BS266" s="103" t="e">
        <f t="shared" ca="1" si="2257"/>
        <v>#NAME?</v>
      </c>
      <c r="BT266" s="103" t="e">
        <f t="shared" ca="1" si="2257"/>
        <v>#NAME?</v>
      </c>
      <c r="BU266" s="103" t="e">
        <f t="shared" ca="1" si="2257"/>
        <v>#NAME?</v>
      </c>
      <c r="BV266" s="103" t="e">
        <f t="shared" ca="1" si="2257"/>
        <v>#NAME?</v>
      </c>
      <c r="BW266" s="103" t="e">
        <f t="shared" ca="1" si="2257"/>
        <v>#NAME?</v>
      </c>
      <c r="BX266" s="103" t="e">
        <f t="shared" ca="1" si="2257"/>
        <v>#NAME?</v>
      </c>
      <c r="BY266" s="103" t="e">
        <f t="shared" ca="1" si="2257"/>
        <v>#NAME?</v>
      </c>
      <c r="BZ266" s="103" t="e">
        <f t="shared" ca="1" si="2257"/>
        <v>#NAME?</v>
      </c>
      <c r="CA266" s="103" t="e">
        <f t="shared" ca="1" si="2257"/>
        <v>#NAME?</v>
      </c>
      <c r="CB266" s="103" t="e">
        <f t="shared" ca="1" si="2257"/>
        <v>#NAME?</v>
      </c>
      <c r="CC266" s="103" t="e">
        <f t="shared" ca="1" si="2257"/>
        <v>#NAME?</v>
      </c>
      <c r="CD266" s="103" t="e">
        <f t="shared" ca="1" si="2257"/>
        <v>#NAME?</v>
      </c>
      <c r="CE266" s="103" t="e">
        <f t="shared" ca="1" si="2257"/>
        <v>#NAME?</v>
      </c>
      <c r="CF266" s="103" t="e">
        <f t="shared" ca="1" si="2257"/>
        <v>#NAME?</v>
      </c>
      <c r="CG266" s="103" t="e">
        <f t="shared" ca="1" si="2257"/>
        <v>#NAME?</v>
      </c>
      <c r="CH266" s="103" t="e">
        <f t="shared" ca="1" si="2257"/>
        <v>#NAME?</v>
      </c>
      <c r="CI266" s="103" t="e">
        <f t="shared" ca="1" si="2257"/>
        <v>#NAME?</v>
      </c>
      <c r="CJ266" s="103" t="e">
        <f t="shared" ca="1" si="2257"/>
        <v>#NAME?</v>
      </c>
      <c r="CK266" s="73" t="e">
        <f t="shared" ca="1" si="2257"/>
        <v>#NAME?</v>
      </c>
      <c r="CL266" s="103" t="e">
        <f t="shared" ref="CL266" ca="1" si="2258">IF(CL264&gt;CL265,"RF",0)</f>
        <v>#NAME?</v>
      </c>
      <c r="CM266" s="73" t="e">
        <f t="shared" ca="1" si="2257"/>
        <v>#NAME?</v>
      </c>
      <c r="CN266" s="73" t="e">
        <f t="shared" ca="1" si="2257"/>
        <v>#NAME?</v>
      </c>
      <c r="CO266" s="73" t="e">
        <f t="shared" ca="1" si="2257"/>
        <v>#NAME?</v>
      </c>
      <c r="CP266" s="73" t="e">
        <f t="shared" ca="1" si="2257"/>
        <v>#NAME?</v>
      </c>
      <c r="CQ266" s="73" t="e">
        <f t="shared" ca="1" si="2257"/>
        <v>#NAME?</v>
      </c>
      <c r="CR266" s="73" t="e">
        <f t="shared" ca="1" si="2257"/>
        <v>#NAME?</v>
      </c>
      <c r="CS266" s="73" t="e">
        <f t="shared" ca="1" si="2257"/>
        <v>#NAME?</v>
      </c>
      <c r="CT266" s="73" t="e">
        <f t="shared" ca="1" si="2257"/>
        <v>#NAME?</v>
      </c>
      <c r="CU266" s="73" t="e">
        <f t="shared" ca="1" si="2257"/>
        <v>#NAME?</v>
      </c>
      <c r="CV266" s="73" t="e">
        <f t="shared" ca="1" si="2257"/>
        <v>#NAME?</v>
      </c>
      <c r="CW266" s="73" t="e">
        <f t="shared" ca="1" si="2257"/>
        <v>#NAME?</v>
      </c>
      <c r="CX266" s="73" t="e">
        <f t="shared" ref="CX266:DB266" ca="1" si="2259">IF(CX264&gt;CX265,"RF",0)</f>
        <v>#NAME?</v>
      </c>
      <c r="CY266" s="73" t="e">
        <f t="shared" ca="1" si="2259"/>
        <v>#NAME?</v>
      </c>
      <c r="CZ266" s="73" t="e">
        <f t="shared" ca="1" si="2259"/>
        <v>#NAME?</v>
      </c>
      <c r="DA266" s="73" t="e">
        <f t="shared" ca="1" si="2259"/>
        <v>#NAME?</v>
      </c>
      <c r="DB266" s="73" t="e">
        <f t="shared" ca="1" si="2259"/>
        <v>#NAME?</v>
      </c>
      <c r="DE266" s="142"/>
      <c r="DF266" s="103" t="s">
        <v>534</v>
      </c>
    </row>
    <row r="267" spans="1:110" s="86" customFormat="1" x14ac:dyDescent="0.2">
      <c r="A267" s="86" t="s">
        <v>432</v>
      </c>
      <c r="B267" s="86" t="e">
        <f ca="1">B51/B23</f>
        <v>#NAME?</v>
      </c>
      <c r="C267" s="86" t="e">
        <f ca="1">C51/C23</f>
        <v>#NAME?</v>
      </c>
      <c r="D267" s="86" t="e">
        <f ca="1">D51/D23</f>
        <v>#NAME?</v>
      </c>
      <c r="F267" s="86" t="e">
        <f t="shared" ref="F267:AE267" ca="1" si="2260">F51/F23</f>
        <v>#NAME?</v>
      </c>
      <c r="G267" s="86" t="e">
        <f t="shared" ca="1" si="2260"/>
        <v>#NAME?</v>
      </c>
      <c r="H267" s="86" t="e">
        <f t="shared" ca="1" si="2260"/>
        <v>#NAME?</v>
      </c>
      <c r="I267" s="86" t="e">
        <f t="shared" ca="1" si="2260"/>
        <v>#NAME?</v>
      </c>
      <c r="J267" s="86" t="e">
        <f t="shared" ca="1" si="2260"/>
        <v>#NAME?</v>
      </c>
      <c r="K267" s="86" t="e">
        <f t="shared" ca="1" si="2260"/>
        <v>#NAME?</v>
      </c>
      <c r="L267" s="86" t="e">
        <f t="shared" ca="1" si="2260"/>
        <v>#NAME?</v>
      </c>
      <c r="M267" s="86" t="e">
        <f t="shared" ca="1" si="2260"/>
        <v>#NAME?</v>
      </c>
      <c r="N267" s="86" t="e">
        <f t="shared" ca="1" si="2260"/>
        <v>#NAME?</v>
      </c>
      <c r="O267" s="86" t="e">
        <f t="shared" ca="1" si="2260"/>
        <v>#NAME?</v>
      </c>
      <c r="P267" s="86" t="e">
        <f t="shared" ca="1" si="2260"/>
        <v>#NAME?</v>
      </c>
      <c r="Q267" s="86" t="e">
        <f t="shared" ca="1" si="2260"/>
        <v>#NAME?</v>
      </c>
      <c r="R267" s="86" t="e">
        <f t="shared" ca="1" si="2260"/>
        <v>#NAME?</v>
      </c>
      <c r="S267" s="86" t="e">
        <f t="shared" ca="1" si="2260"/>
        <v>#NAME?</v>
      </c>
      <c r="T267" s="86" t="e">
        <f t="shared" ca="1" si="2260"/>
        <v>#NAME?</v>
      </c>
      <c r="U267" s="86" t="e">
        <f t="shared" ca="1" si="2260"/>
        <v>#NAME?</v>
      </c>
      <c r="V267" s="86" t="e">
        <f t="shared" ca="1" si="2260"/>
        <v>#NAME?</v>
      </c>
      <c r="W267" s="86" t="e">
        <f t="shared" ca="1" si="2260"/>
        <v>#NAME?</v>
      </c>
      <c r="X267" s="86" t="e">
        <f t="shared" ca="1" si="2260"/>
        <v>#NAME?</v>
      </c>
      <c r="Y267" s="86" t="e">
        <f t="shared" ca="1" si="2260"/>
        <v>#NAME?</v>
      </c>
      <c r="Z267" s="86" t="e">
        <f t="shared" ca="1" si="2260"/>
        <v>#NAME?</v>
      </c>
      <c r="AA267" s="86" t="e">
        <f t="shared" ref="AA267" ca="1" si="2261">AA51/AA23</f>
        <v>#NAME?</v>
      </c>
      <c r="AB267" s="87" t="e">
        <f t="shared" ca="1" si="2260"/>
        <v>#NAME?</v>
      </c>
      <c r="AC267" s="87" t="e">
        <f t="shared" ca="1" si="2260"/>
        <v>#NAME?</v>
      </c>
      <c r="AD267" s="87" t="e">
        <f t="shared" ca="1" si="2260"/>
        <v>#NAME?</v>
      </c>
      <c r="AE267" s="87" t="e">
        <f t="shared" ca="1" si="2260"/>
        <v>#NAME?</v>
      </c>
      <c r="AL267" s="86" t="e">
        <f t="shared" ref="AL267:CW267" ca="1" si="2262">AL51/AL23</f>
        <v>#NAME?</v>
      </c>
      <c r="AM267" s="86" t="e">
        <f t="shared" ca="1" si="2262"/>
        <v>#NAME?</v>
      </c>
      <c r="AN267" s="86" t="e">
        <f t="shared" ca="1" si="2262"/>
        <v>#NAME?</v>
      </c>
      <c r="AO267" s="86" t="e">
        <f t="shared" ca="1" si="2262"/>
        <v>#NAME?</v>
      </c>
      <c r="AP267" s="86" t="e">
        <f t="shared" ca="1" si="2262"/>
        <v>#NAME?</v>
      </c>
      <c r="AQ267" s="86" t="e">
        <f t="shared" ca="1" si="2262"/>
        <v>#NAME?</v>
      </c>
      <c r="AR267" s="86" t="e">
        <f t="shared" ca="1" si="2262"/>
        <v>#NAME?</v>
      </c>
      <c r="AS267" s="86" t="e">
        <f t="shared" ca="1" si="2262"/>
        <v>#NAME?</v>
      </c>
      <c r="AT267" s="86" t="e">
        <f t="shared" ca="1" si="2262"/>
        <v>#NAME?</v>
      </c>
      <c r="AU267" s="86" t="e">
        <f t="shared" ca="1" si="2262"/>
        <v>#NAME?</v>
      </c>
      <c r="AV267" s="86" t="e">
        <f t="shared" ca="1" si="2262"/>
        <v>#NAME?</v>
      </c>
      <c r="AW267" s="86" t="e">
        <f t="shared" ca="1" si="2262"/>
        <v>#NAME?</v>
      </c>
      <c r="AX267" s="86" t="e">
        <f t="shared" ca="1" si="2262"/>
        <v>#NAME?</v>
      </c>
      <c r="AY267" s="86" t="e">
        <f t="shared" ca="1" si="2262"/>
        <v>#NAME?</v>
      </c>
      <c r="AZ267" s="86" t="e">
        <f t="shared" ca="1" si="2262"/>
        <v>#NAME?</v>
      </c>
      <c r="BA267" s="86" t="e">
        <f t="shared" ca="1" si="2262"/>
        <v>#NAME?</v>
      </c>
      <c r="BB267" s="86" t="e">
        <f t="shared" ca="1" si="2262"/>
        <v>#NAME?</v>
      </c>
      <c r="BC267" s="86" t="e">
        <f t="shared" ca="1" si="2262"/>
        <v>#NAME?</v>
      </c>
      <c r="BD267" s="86" t="e">
        <f t="shared" ca="1" si="2262"/>
        <v>#NAME?</v>
      </c>
      <c r="BE267" s="86" t="e">
        <f t="shared" ca="1" si="2262"/>
        <v>#NAME?</v>
      </c>
      <c r="BF267" s="86" t="e">
        <f t="shared" ca="1" si="2262"/>
        <v>#NAME?</v>
      </c>
      <c r="BG267" s="86" t="e">
        <f t="shared" ca="1" si="2262"/>
        <v>#NAME?</v>
      </c>
      <c r="BH267" s="86" t="e">
        <f t="shared" ca="1" si="2262"/>
        <v>#NAME?</v>
      </c>
      <c r="BI267" s="86" t="e">
        <f t="shared" ca="1" si="2262"/>
        <v>#NAME?</v>
      </c>
      <c r="BJ267" s="86" t="e">
        <f t="shared" ca="1" si="2262"/>
        <v>#NAME?</v>
      </c>
      <c r="BK267" s="86" t="e">
        <f t="shared" ca="1" si="2262"/>
        <v>#NAME?</v>
      </c>
      <c r="BL267" s="86" t="e">
        <f t="shared" ca="1" si="2262"/>
        <v>#NAME?</v>
      </c>
      <c r="BM267" s="86" t="e">
        <f t="shared" ca="1" si="2262"/>
        <v>#NAME?</v>
      </c>
      <c r="BN267" s="86" t="e">
        <f t="shared" ca="1" si="2262"/>
        <v>#NAME?</v>
      </c>
      <c r="BO267" s="86" t="e">
        <f t="shared" ca="1" si="2262"/>
        <v>#NAME?</v>
      </c>
      <c r="BP267" s="86" t="e">
        <f t="shared" ca="1" si="2262"/>
        <v>#NAME?</v>
      </c>
      <c r="BQ267" s="86" t="e">
        <f t="shared" ca="1" si="2262"/>
        <v>#NAME?</v>
      </c>
      <c r="BR267" s="86" t="e">
        <f t="shared" ca="1" si="2262"/>
        <v>#NAME?</v>
      </c>
      <c r="BS267" s="86" t="e">
        <f t="shared" ca="1" si="2262"/>
        <v>#NAME?</v>
      </c>
      <c r="BT267" s="86" t="e">
        <f t="shared" ca="1" si="2262"/>
        <v>#NAME?</v>
      </c>
      <c r="BU267" s="86" t="e">
        <f t="shared" ca="1" si="2262"/>
        <v>#NAME?</v>
      </c>
      <c r="BV267" s="86" t="e">
        <f t="shared" ca="1" si="2262"/>
        <v>#NAME?</v>
      </c>
      <c r="BW267" s="86" t="e">
        <f t="shared" ca="1" si="2262"/>
        <v>#NAME?</v>
      </c>
      <c r="BX267" s="86" t="e">
        <f t="shared" ca="1" si="2262"/>
        <v>#NAME?</v>
      </c>
      <c r="BY267" s="86" t="e">
        <f t="shared" ca="1" si="2262"/>
        <v>#NAME?</v>
      </c>
      <c r="BZ267" s="86" t="e">
        <f t="shared" ca="1" si="2262"/>
        <v>#NAME?</v>
      </c>
      <c r="CA267" s="86" t="e">
        <f t="shared" ca="1" si="2262"/>
        <v>#NAME?</v>
      </c>
      <c r="CB267" s="86" t="e">
        <f t="shared" ca="1" si="2262"/>
        <v>#NAME?</v>
      </c>
      <c r="CC267" s="86" t="e">
        <f t="shared" ca="1" si="2262"/>
        <v>#NAME?</v>
      </c>
      <c r="CD267" s="86" t="e">
        <f t="shared" ca="1" si="2262"/>
        <v>#NAME?</v>
      </c>
      <c r="CE267" s="86" t="e">
        <f t="shared" ca="1" si="2262"/>
        <v>#NAME?</v>
      </c>
      <c r="CF267" s="86" t="e">
        <f t="shared" ca="1" si="2262"/>
        <v>#NAME?</v>
      </c>
      <c r="CG267" s="86" t="e">
        <f t="shared" ca="1" si="2262"/>
        <v>#NAME?</v>
      </c>
      <c r="CH267" s="86" t="e">
        <f t="shared" ca="1" si="2262"/>
        <v>#NAME?</v>
      </c>
      <c r="CI267" s="86" t="e">
        <f t="shared" ca="1" si="2262"/>
        <v>#NAME?</v>
      </c>
      <c r="CJ267" s="86" t="e">
        <f t="shared" ca="1" si="2262"/>
        <v>#NAME?</v>
      </c>
      <c r="CK267" s="87" t="e">
        <f t="shared" ca="1" si="2262"/>
        <v>#NAME?</v>
      </c>
      <c r="CL267" s="86" t="e">
        <f t="shared" ref="CL267" ca="1" si="2263">CL51/CL23</f>
        <v>#NAME?</v>
      </c>
      <c r="CM267" s="87" t="e">
        <f t="shared" ca="1" si="2262"/>
        <v>#NAME?</v>
      </c>
      <c r="CN267" s="87" t="e">
        <f t="shared" ca="1" si="2262"/>
        <v>#NAME?</v>
      </c>
      <c r="CO267" s="87" t="e">
        <f t="shared" ca="1" si="2262"/>
        <v>#NAME?</v>
      </c>
      <c r="CP267" s="87" t="e">
        <f t="shared" ca="1" si="2262"/>
        <v>#NAME?</v>
      </c>
      <c r="CQ267" s="87" t="e">
        <f t="shared" ca="1" si="2262"/>
        <v>#NAME?</v>
      </c>
      <c r="CR267" s="87" t="e">
        <f t="shared" ca="1" si="2262"/>
        <v>#NAME?</v>
      </c>
      <c r="CS267" s="87" t="e">
        <f t="shared" ca="1" si="2262"/>
        <v>#NAME?</v>
      </c>
      <c r="CT267" s="87" t="e">
        <f t="shared" ca="1" si="2262"/>
        <v>#NAME?</v>
      </c>
      <c r="CU267" s="87" t="e">
        <f t="shared" ca="1" si="2262"/>
        <v>#NAME?</v>
      </c>
      <c r="CV267" s="87" t="e">
        <f t="shared" ca="1" si="2262"/>
        <v>#NAME?</v>
      </c>
      <c r="CW267" s="87" t="e">
        <f t="shared" ca="1" si="2262"/>
        <v>#NAME?</v>
      </c>
      <c r="CX267" s="87" t="e">
        <f t="shared" ref="CX267:DB267" ca="1" si="2264">CX51/CX23</f>
        <v>#NAME?</v>
      </c>
      <c r="CY267" s="87" t="e">
        <f t="shared" ca="1" si="2264"/>
        <v>#NAME?</v>
      </c>
      <c r="CZ267" s="87" t="e">
        <f t="shared" ca="1" si="2264"/>
        <v>#NAME?</v>
      </c>
      <c r="DA267" s="87" t="e">
        <f t="shared" ca="1" si="2264"/>
        <v>#NAME?</v>
      </c>
      <c r="DB267" s="87" t="e">
        <f t="shared" ca="1" si="2264"/>
        <v>#NAME?</v>
      </c>
      <c r="DE267" s="141"/>
      <c r="DF267" s="86">
        <v>2.5310378556397589E-2</v>
      </c>
    </row>
    <row r="268" spans="1:110" s="86" customFormat="1" x14ac:dyDescent="0.2">
      <c r="A268" s="86" t="s">
        <v>433</v>
      </c>
      <c r="B268" s="86" t="e">
        <f ca="1">B47/B23</f>
        <v>#NAME?</v>
      </c>
      <c r="C268" s="86" t="e">
        <f ca="1">C47/C23</f>
        <v>#NAME?</v>
      </c>
      <c r="D268" s="86" t="e">
        <f ca="1">D47/D23</f>
        <v>#NAME?</v>
      </c>
      <c r="F268" s="86" t="e">
        <f t="shared" ref="F268:AE268" ca="1" si="2265">F47/F23</f>
        <v>#NAME?</v>
      </c>
      <c r="G268" s="86" t="e">
        <f t="shared" ca="1" si="2265"/>
        <v>#NAME?</v>
      </c>
      <c r="H268" s="86" t="e">
        <f t="shared" ca="1" si="2265"/>
        <v>#NAME?</v>
      </c>
      <c r="I268" s="86" t="e">
        <f t="shared" ca="1" si="2265"/>
        <v>#NAME?</v>
      </c>
      <c r="J268" s="86" t="e">
        <f t="shared" ca="1" si="2265"/>
        <v>#NAME?</v>
      </c>
      <c r="K268" s="86" t="e">
        <f t="shared" ca="1" si="2265"/>
        <v>#NAME?</v>
      </c>
      <c r="L268" s="86" t="e">
        <f t="shared" ca="1" si="2265"/>
        <v>#NAME?</v>
      </c>
      <c r="M268" s="86" t="e">
        <f t="shared" ca="1" si="2265"/>
        <v>#NAME?</v>
      </c>
      <c r="N268" s="86" t="e">
        <f t="shared" ca="1" si="2265"/>
        <v>#NAME?</v>
      </c>
      <c r="O268" s="86" t="e">
        <f t="shared" ca="1" si="2265"/>
        <v>#NAME?</v>
      </c>
      <c r="P268" s="86" t="e">
        <f t="shared" ca="1" si="2265"/>
        <v>#NAME?</v>
      </c>
      <c r="Q268" s="86" t="e">
        <f t="shared" ca="1" si="2265"/>
        <v>#NAME?</v>
      </c>
      <c r="R268" s="86" t="e">
        <f t="shared" ca="1" si="2265"/>
        <v>#NAME?</v>
      </c>
      <c r="S268" s="86" t="e">
        <f t="shared" ca="1" si="2265"/>
        <v>#NAME?</v>
      </c>
      <c r="T268" s="86" t="e">
        <f t="shared" ca="1" si="2265"/>
        <v>#NAME?</v>
      </c>
      <c r="U268" s="86" t="e">
        <f t="shared" ca="1" si="2265"/>
        <v>#NAME?</v>
      </c>
      <c r="V268" s="86" t="e">
        <f t="shared" ca="1" si="2265"/>
        <v>#NAME?</v>
      </c>
      <c r="W268" s="86" t="e">
        <f t="shared" ca="1" si="2265"/>
        <v>#NAME?</v>
      </c>
      <c r="X268" s="86" t="e">
        <f t="shared" ca="1" si="2265"/>
        <v>#NAME?</v>
      </c>
      <c r="Y268" s="86" t="e">
        <f t="shared" ca="1" si="2265"/>
        <v>#NAME?</v>
      </c>
      <c r="Z268" s="86" t="e">
        <f t="shared" ca="1" si="2265"/>
        <v>#NAME?</v>
      </c>
      <c r="AA268" s="86" t="e">
        <f t="shared" ref="AA268" ca="1" si="2266">AA47/AA23</f>
        <v>#NAME?</v>
      </c>
      <c r="AB268" s="87" t="e">
        <f t="shared" ca="1" si="2265"/>
        <v>#NAME?</v>
      </c>
      <c r="AC268" s="87" t="e">
        <f t="shared" ca="1" si="2265"/>
        <v>#NAME?</v>
      </c>
      <c r="AD268" s="87" t="e">
        <f t="shared" ca="1" si="2265"/>
        <v>#NAME?</v>
      </c>
      <c r="AE268" s="87" t="e">
        <f t="shared" ca="1" si="2265"/>
        <v>#NAME?</v>
      </c>
      <c r="AL268" s="86" t="e">
        <f t="shared" ref="AL268:CW268" ca="1" si="2267">AL47/AL23</f>
        <v>#NAME?</v>
      </c>
      <c r="AM268" s="86" t="e">
        <f t="shared" ca="1" si="2267"/>
        <v>#NAME?</v>
      </c>
      <c r="AN268" s="86" t="e">
        <f t="shared" ca="1" si="2267"/>
        <v>#NAME?</v>
      </c>
      <c r="AO268" s="86" t="e">
        <f t="shared" ca="1" si="2267"/>
        <v>#NAME?</v>
      </c>
      <c r="AP268" s="86" t="e">
        <f t="shared" ca="1" si="2267"/>
        <v>#NAME?</v>
      </c>
      <c r="AQ268" s="86" t="e">
        <f t="shared" ca="1" si="2267"/>
        <v>#NAME?</v>
      </c>
      <c r="AR268" s="86" t="e">
        <f t="shared" ca="1" si="2267"/>
        <v>#NAME?</v>
      </c>
      <c r="AS268" s="86" t="e">
        <f t="shared" ca="1" si="2267"/>
        <v>#NAME?</v>
      </c>
      <c r="AT268" s="86" t="e">
        <f t="shared" ca="1" si="2267"/>
        <v>#NAME?</v>
      </c>
      <c r="AU268" s="86" t="e">
        <f t="shared" ca="1" si="2267"/>
        <v>#NAME?</v>
      </c>
      <c r="AV268" s="86" t="e">
        <f t="shared" ca="1" si="2267"/>
        <v>#NAME?</v>
      </c>
      <c r="AW268" s="86" t="e">
        <f t="shared" ca="1" si="2267"/>
        <v>#NAME?</v>
      </c>
      <c r="AX268" s="86" t="e">
        <f t="shared" ca="1" si="2267"/>
        <v>#NAME?</v>
      </c>
      <c r="AY268" s="86" t="e">
        <f t="shared" ca="1" si="2267"/>
        <v>#NAME?</v>
      </c>
      <c r="AZ268" s="86" t="e">
        <f t="shared" ca="1" si="2267"/>
        <v>#NAME?</v>
      </c>
      <c r="BA268" s="86" t="e">
        <f t="shared" ca="1" si="2267"/>
        <v>#NAME?</v>
      </c>
      <c r="BB268" s="86" t="e">
        <f t="shared" ca="1" si="2267"/>
        <v>#NAME?</v>
      </c>
      <c r="BC268" s="86" t="e">
        <f t="shared" ca="1" si="2267"/>
        <v>#NAME?</v>
      </c>
      <c r="BD268" s="86" t="e">
        <f t="shared" ca="1" si="2267"/>
        <v>#NAME?</v>
      </c>
      <c r="BE268" s="86" t="e">
        <f t="shared" ca="1" si="2267"/>
        <v>#NAME?</v>
      </c>
      <c r="BF268" s="86" t="e">
        <f t="shared" ca="1" si="2267"/>
        <v>#NAME?</v>
      </c>
      <c r="BG268" s="86" t="e">
        <f t="shared" ca="1" si="2267"/>
        <v>#NAME?</v>
      </c>
      <c r="BH268" s="86" t="e">
        <f t="shared" ca="1" si="2267"/>
        <v>#NAME?</v>
      </c>
      <c r="BI268" s="86" t="e">
        <f t="shared" ca="1" si="2267"/>
        <v>#NAME?</v>
      </c>
      <c r="BJ268" s="86" t="e">
        <f t="shared" ca="1" si="2267"/>
        <v>#NAME?</v>
      </c>
      <c r="BK268" s="86" t="e">
        <f t="shared" ca="1" si="2267"/>
        <v>#NAME?</v>
      </c>
      <c r="BL268" s="86" t="e">
        <f t="shared" ca="1" si="2267"/>
        <v>#NAME?</v>
      </c>
      <c r="BM268" s="86" t="e">
        <f t="shared" ca="1" si="2267"/>
        <v>#NAME?</v>
      </c>
      <c r="BN268" s="86" t="e">
        <f t="shared" ca="1" si="2267"/>
        <v>#NAME?</v>
      </c>
      <c r="BO268" s="86" t="e">
        <f t="shared" ca="1" si="2267"/>
        <v>#NAME?</v>
      </c>
      <c r="BP268" s="86" t="e">
        <f t="shared" ca="1" si="2267"/>
        <v>#NAME?</v>
      </c>
      <c r="BQ268" s="86" t="e">
        <f t="shared" ca="1" si="2267"/>
        <v>#NAME?</v>
      </c>
      <c r="BR268" s="86" t="e">
        <f t="shared" ca="1" si="2267"/>
        <v>#NAME?</v>
      </c>
      <c r="BS268" s="86" t="e">
        <f t="shared" ca="1" si="2267"/>
        <v>#NAME?</v>
      </c>
      <c r="BT268" s="86" t="e">
        <f t="shared" ca="1" si="2267"/>
        <v>#NAME?</v>
      </c>
      <c r="BU268" s="86" t="e">
        <f t="shared" ca="1" si="2267"/>
        <v>#NAME?</v>
      </c>
      <c r="BV268" s="86" t="e">
        <f t="shared" ca="1" si="2267"/>
        <v>#NAME?</v>
      </c>
      <c r="BW268" s="86" t="e">
        <f t="shared" ca="1" si="2267"/>
        <v>#NAME?</v>
      </c>
      <c r="BX268" s="86" t="e">
        <f t="shared" ca="1" si="2267"/>
        <v>#NAME?</v>
      </c>
      <c r="BY268" s="86" t="e">
        <f t="shared" ca="1" si="2267"/>
        <v>#NAME?</v>
      </c>
      <c r="BZ268" s="86" t="e">
        <f t="shared" ca="1" si="2267"/>
        <v>#NAME?</v>
      </c>
      <c r="CA268" s="86" t="e">
        <f t="shared" ca="1" si="2267"/>
        <v>#NAME?</v>
      </c>
      <c r="CB268" s="86" t="e">
        <f t="shared" ca="1" si="2267"/>
        <v>#NAME?</v>
      </c>
      <c r="CC268" s="86" t="e">
        <f t="shared" ca="1" si="2267"/>
        <v>#NAME?</v>
      </c>
      <c r="CD268" s="86" t="e">
        <f t="shared" ca="1" si="2267"/>
        <v>#NAME?</v>
      </c>
      <c r="CE268" s="86" t="e">
        <f t="shared" ca="1" si="2267"/>
        <v>#NAME?</v>
      </c>
      <c r="CF268" s="86" t="e">
        <f t="shared" ca="1" si="2267"/>
        <v>#NAME?</v>
      </c>
      <c r="CG268" s="86" t="e">
        <f t="shared" ca="1" si="2267"/>
        <v>#NAME?</v>
      </c>
      <c r="CH268" s="86" t="e">
        <f t="shared" ca="1" si="2267"/>
        <v>#NAME?</v>
      </c>
      <c r="CI268" s="86" t="e">
        <f t="shared" ca="1" si="2267"/>
        <v>#NAME?</v>
      </c>
      <c r="CJ268" s="86" t="e">
        <f t="shared" ca="1" si="2267"/>
        <v>#NAME?</v>
      </c>
      <c r="CK268" s="87" t="e">
        <f t="shared" ca="1" si="2267"/>
        <v>#NAME?</v>
      </c>
      <c r="CL268" s="86" t="e">
        <f t="shared" ref="CL268" ca="1" si="2268">CL47/CL23</f>
        <v>#NAME?</v>
      </c>
      <c r="CM268" s="87" t="e">
        <f t="shared" ca="1" si="2267"/>
        <v>#NAME?</v>
      </c>
      <c r="CN268" s="87" t="e">
        <f t="shared" ca="1" si="2267"/>
        <v>#NAME?</v>
      </c>
      <c r="CO268" s="87" t="e">
        <f t="shared" ca="1" si="2267"/>
        <v>#NAME?</v>
      </c>
      <c r="CP268" s="87" t="e">
        <f t="shared" ca="1" si="2267"/>
        <v>#NAME?</v>
      </c>
      <c r="CQ268" s="87" t="e">
        <f t="shared" ca="1" si="2267"/>
        <v>#NAME?</v>
      </c>
      <c r="CR268" s="87" t="e">
        <f t="shared" ca="1" si="2267"/>
        <v>#NAME?</v>
      </c>
      <c r="CS268" s="87" t="e">
        <f t="shared" ca="1" si="2267"/>
        <v>#NAME?</v>
      </c>
      <c r="CT268" s="87" t="e">
        <f t="shared" ca="1" si="2267"/>
        <v>#NAME?</v>
      </c>
      <c r="CU268" s="87" t="e">
        <f t="shared" ca="1" si="2267"/>
        <v>#NAME?</v>
      </c>
      <c r="CV268" s="87" t="e">
        <f t="shared" ca="1" si="2267"/>
        <v>#NAME?</v>
      </c>
      <c r="CW268" s="87" t="e">
        <f t="shared" ca="1" si="2267"/>
        <v>#NAME?</v>
      </c>
      <c r="CX268" s="87" t="e">
        <f t="shared" ref="CX268:DB268" ca="1" si="2269">CX47/CX23</f>
        <v>#NAME?</v>
      </c>
      <c r="CY268" s="87" t="e">
        <f t="shared" ca="1" si="2269"/>
        <v>#NAME?</v>
      </c>
      <c r="CZ268" s="87" t="e">
        <f t="shared" ca="1" si="2269"/>
        <v>#NAME?</v>
      </c>
      <c r="DA268" s="87" t="e">
        <f t="shared" ca="1" si="2269"/>
        <v>#NAME?</v>
      </c>
      <c r="DB268" s="87" t="e">
        <f t="shared" ca="1" si="2269"/>
        <v>#NAME?</v>
      </c>
      <c r="DE268" s="141"/>
      <c r="DF268" s="86">
        <v>9.0078205973805711E-2</v>
      </c>
    </row>
    <row r="269" spans="1:110" s="85" customFormat="1" x14ac:dyDescent="0.2">
      <c r="AB269" s="58"/>
      <c r="AC269" s="58"/>
      <c r="AD269" s="58"/>
      <c r="AE269" s="58"/>
      <c r="CK269" s="72"/>
      <c r="CM269" s="72"/>
      <c r="CN269" s="72"/>
      <c r="CO269" s="72"/>
      <c r="CP269" s="72"/>
      <c r="CQ269" s="72"/>
      <c r="CR269" s="72"/>
      <c r="CS269" s="72"/>
      <c r="CT269" s="72"/>
      <c r="CU269" s="72"/>
      <c r="CV269" s="72"/>
      <c r="CW269" s="72"/>
      <c r="CX269" s="72"/>
      <c r="CY269" s="72"/>
      <c r="CZ269" s="72"/>
      <c r="DA269" s="72"/>
      <c r="DB269" s="72"/>
      <c r="DE269" s="143"/>
    </row>
  </sheetData>
  <sortState xmlns:xlrd2="http://schemas.microsoft.com/office/spreadsheetml/2017/richdata2" ref="A35:DE40">
    <sortCondition ref="A35:A40"/>
  </sortState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132406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e">
        <f ca="1">_xll.EQNXTDZ(A1,B4,C1)</f>
        <v>#NAME?</v>
      </c>
    </row>
    <row r="5" spans="1:74" x14ac:dyDescent="0.25">
      <c r="A5" t="s">
        <v>252</v>
      </c>
      <c r="B5" t="s">
        <v>275</v>
      </c>
      <c r="C5" t="e">
        <f ca="1">_xll.EQNXTDZ($A$1,$B5,C$1,$B$1)</f>
        <v>#NAME?</v>
      </c>
      <c r="D5" t="e">
        <f ca="1">_xll.EQNXTDZ($A$1,$B5,D$1,$B$1)</f>
        <v>#NAME?</v>
      </c>
      <c r="E5" t="e">
        <f ca="1">_xll.EQNXTDZ($A$1,$B5,E$1,$B$1)</f>
        <v>#NAME?</v>
      </c>
      <c r="F5" t="e">
        <f ca="1">_xll.EQNXTDZ($A$1,$B5,F$1,$B$1)</f>
        <v>#NAME?</v>
      </c>
      <c r="G5" t="e">
        <f ca="1">_xll.EQNXTDZ($A$1,$B5,G$1,$B$1)</f>
        <v>#NAME?</v>
      </c>
      <c r="H5" t="e">
        <f ca="1">_xll.EQNXTDZ($A$1,$B5,H$1,$B$1)</f>
        <v>#NAME?</v>
      </c>
      <c r="I5" t="e">
        <f ca="1">_xll.EQNXTDZ($A$1,$B5,I$1,$B$1)</f>
        <v>#NAME?</v>
      </c>
      <c r="J5" t="e">
        <f ca="1">_xll.EQNXTDZ($A$1,$B5,J$1,$B$1)</f>
        <v>#NAME?</v>
      </c>
      <c r="K5" t="e">
        <f ca="1">_xll.EQNXTDZ($A$1,$B5,K$1,$B$1)</f>
        <v>#NAME?</v>
      </c>
      <c r="L5" t="e">
        <f ca="1">_xll.EQNXTDZ($A$1,$B5,L$1,$B$1)</f>
        <v>#NAME?</v>
      </c>
      <c r="M5" t="e">
        <f ca="1">_xll.EQNXTDZ($A$1,$B5,M$1,$B$1)</f>
        <v>#NAME?</v>
      </c>
      <c r="N5" t="e">
        <f ca="1">_xll.EQNXTDZ($A$1,$B5,N$1,$B$1)</f>
        <v>#NAME?</v>
      </c>
      <c r="O5" t="e">
        <f ca="1">_xll.EQNXTDZ($A$1,$B5,O$1,$B$1)</f>
        <v>#NAME?</v>
      </c>
      <c r="P5" t="e">
        <f ca="1">_xll.EQNXTDZ($A$1,$B5,P$1,$B$1)</f>
        <v>#NAME?</v>
      </c>
      <c r="Q5" t="e">
        <f ca="1">_xll.EQNXTDZ($A$1,$B5,Q$1,$B$1)</f>
        <v>#NAME?</v>
      </c>
      <c r="R5" t="e">
        <f ca="1">_xll.EQNXTDZ($A$1,$B5,R$1,$B$1)</f>
        <v>#NAME?</v>
      </c>
      <c r="S5" t="e">
        <f ca="1">_xll.EQNXTDZ($A$1,$B5,S$1,$B$1)</f>
        <v>#NAME?</v>
      </c>
      <c r="T5" t="e">
        <f ca="1">_xll.EQNXTDZ($A$1,$B5,T$1,$B$1)</f>
        <v>#NAME?</v>
      </c>
      <c r="U5" t="e">
        <f ca="1">_xll.EQNXTDZ($A$1,$B5,U$1,$B$1)</f>
        <v>#NAME?</v>
      </c>
      <c r="V5" t="e">
        <f ca="1">_xll.EQNXTDZ($A$1,$B5,V$1,$B$1)</f>
        <v>#NAME?</v>
      </c>
      <c r="W5" t="e">
        <f ca="1">_xll.EQNXTDZ($A$1,$B5,W$1,$B$1)</f>
        <v>#NAME?</v>
      </c>
      <c r="X5" t="e">
        <f ca="1">_xll.EQNXTDZ($A$1,$B5,X$1,$B$1)</f>
        <v>#NAME?</v>
      </c>
      <c r="Y5" t="e">
        <f ca="1">_xll.EQNXTDZ($A$1,$B5,Y$1,$B$1)</f>
        <v>#NAME?</v>
      </c>
      <c r="Z5" t="e">
        <f ca="1">_xll.EQNXTDZ($A$1,$B5,Z$1,$B$1)</f>
        <v>#NAME?</v>
      </c>
      <c r="AA5" t="e">
        <f ca="1">_xll.EQNXTDZ($A$1,$B5,AA$1,$B$1)</f>
        <v>#NAME?</v>
      </c>
      <c r="AB5" t="e">
        <f ca="1">_xll.EQNXTDZ($A$1,$B5,AB$1,$B$1)</f>
        <v>#NAME?</v>
      </c>
      <c r="AC5" t="e">
        <f ca="1">_xll.EQNXTDZ($A$1,$B5,AC$1,$B$1)</f>
        <v>#NAME?</v>
      </c>
      <c r="AD5" t="e">
        <f ca="1">_xll.EQNXTDZ($A$1,$B5,AD$1,$B$1)</f>
        <v>#NAME?</v>
      </c>
      <c r="AE5" t="e">
        <f ca="1">_xll.EQNXTDZ($A$1,$B5,AE$1,$B$1)</f>
        <v>#NAME?</v>
      </c>
      <c r="AF5" t="e">
        <f ca="1">_xll.EQNXTDZ($A$1,$B5,AF$1,$B$1)</f>
        <v>#NAME?</v>
      </c>
      <c r="AG5" t="e">
        <f ca="1">_xll.EQNXTDZ($A$1,$B5,AG$1,$B$1)</f>
        <v>#NAME?</v>
      </c>
      <c r="AH5" t="e">
        <f ca="1">_xll.EQNXTDZ($A$1,$B5,AH$1,$B$1)</f>
        <v>#NAME?</v>
      </c>
      <c r="AI5" t="e">
        <f ca="1">_xll.EQNXTDZ($A$1,$B5,AI$1,$B$1)</f>
        <v>#NAME?</v>
      </c>
      <c r="AJ5" t="e">
        <f ca="1">_xll.EQNXTDZ($A$1,$B5,AJ$1,$B$1)</f>
        <v>#NAME?</v>
      </c>
      <c r="AK5" t="e">
        <f ca="1">_xll.EQNXTDZ($A$1,$B5,AK$1,$B$1)</f>
        <v>#NAME?</v>
      </c>
      <c r="AL5" t="e">
        <f ca="1">_xll.EQNXTDZ($A$1,$B5,AL$1,$B$1)</f>
        <v>#NAME?</v>
      </c>
      <c r="AM5" t="e">
        <f ca="1">_xll.EQNXTDZ($A$1,$B5,AM$1,$B$1)</f>
        <v>#NAME?</v>
      </c>
      <c r="AN5" t="e">
        <f ca="1">_xll.EQNXTDZ($A$1,$B5,AN$1,$B$1)</f>
        <v>#NAME?</v>
      </c>
      <c r="AO5" t="e">
        <f ca="1">_xll.EQNXTDZ($A$1,$B5,AO$1,$B$1)</f>
        <v>#NAME?</v>
      </c>
      <c r="AP5" t="e">
        <f ca="1">_xll.EQNXTDZ($A$1,$B5,AP$1,$B$1)</f>
        <v>#NAME?</v>
      </c>
      <c r="AQ5" t="e">
        <f ca="1">_xll.EQNXTDZ($A$1,$B5,AQ$1,$B$1)</f>
        <v>#NAME?</v>
      </c>
      <c r="AR5" t="e">
        <f ca="1">_xll.EQNXTDZ($A$1,$B5,AR$1,$B$1)</f>
        <v>#NAME?</v>
      </c>
      <c r="AS5" t="e">
        <f ca="1">_xll.EQNXTDZ($A$1,$B5,AS$1,$B$1)</f>
        <v>#NAME?</v>
      </c>
      <c r="AT5" t="e">
        <f ca="1">_xll.EQNXTDZ($A$1,$B5,AT$1,$B$1)</f>
        <v>#NAME?</v>
      </c>
      <c r="AU5" t="e">
        <f ca="1">_xll.EQNXTDZ($A$1,$B5,AU$1,$B$1)</f>
        <v>#NAME?</v>
      </c>
      <c r="AV5" t="e">
        <f ca="1">_xll.EQNXTDZ($A$1,$B5,AV$1,$B$1)</f>
        <v>#NAME?</v>
      </c>
      <c r="AW5" t="e">
        <f ca="1">_xll.EQNXTDZ($A$1,$B5,AW$1,$B$1)</f>
        <v>#NAME?</v>
      </c>
      <c r="AX5" t="e">
        <f ca="1">_xll.EQNXTDZ($A$1,$B5,AX$1,$B$1)</f>
        <v>#NAME?</v>
      </c>
      <c r="AY5" t="e">
        <f ca="1">_xll.EQNXTDZ($A$1,$B5,AY$1,$B$1)</f>
        <v>#NAME?</v>
      </c>
      <c r="AZ5" t="e">
        <f ca="1">_xll.EQNXTDZ($A$1,$B5,AZ$1,$B$1)</f>
        <v>#NAME?</v>
      </c>
      <c r="BA5" t="e">
        <f ca="1">_xll.EQNXTDZ($A$1,$B5,BA$1,$B$1)</f>
        <v>#NAME?</v>
      </c>
      <c r="BB5" t="e">
        <f ca="1">_xll.EQNXTDZ($A$1,$B5,BB$1,$B$1)</f>
        <v>#NAME?</v>
      </c>
      <c r="BC5" t="e">
        <f ca="1">_xll.EQNXTDZ($A$1,$B5,BC$1,$B$1)</f>
        <v>#NAME?</v>
      </c>
      <c r="BD5" t="e">
        <f ca="1">_xll.EQNXTDZ($A$1,$B5,BD$1,$B$1)</f>
        <v>#NAME?</v>
      </c>
      <c r="BE5" t="e">
        <f ca="1">_xll.EQNXTDZ($A$1,$B5,BE$1,$B$1)</f>
        <v>#NAME?</v>
      </c>
      <c r="BF5" t="e">
        <f ca="1">_xll.EQNXTDZ($A$1,$B5,BF$1,$B$1)</f>
        <v>#NAME?</v>
      </c>
      <c r="BG5" t="e">
        <f ca="1">_xll.EQNXTDZ($A$1,$B5,BG$1,$B$1)</f>
        <v>#NAME?</v>
      </c>
      <c r="BH5" t="e">
        <f ca="1">_xll.EQNXTDZ($A$1,$B5,BH$1,$B$1)</f>
        <v>#NAME?</v>
      </c>
      <c r="BI5" t="e">
        <f ca="1">_xll.EQNXTDZ($A$1,$B5,BI$1,$B$1)</f>
        <v>#NAME?</v>
      </c>
      <c r="BJ5" t="e">
        <f ca="1">_xll.EQNXTDZ($A$1,$B5,BJ$1,$B$1)</f>
        <v>#NAME?</v>
      </c>
      <c r="BK5" t="e">
        <f ca="1">_xll.EQNXTDZ($A$1,$B5,BK$1,$B$1)</f>
        <v>#NAME?</v>
      </c>
      <c r="BL5" t="e">
        <f ca="1">_xll.EQNXTDZ($A$1,$B5,BL$1,$B$1)</f>
        <v>#NAME?</v>
      </c>
      <c r="BM5" t="e">
        <f ca="1">_xll.EQNXTDZ($A$1,$B5,BM$1,$B$1)</f>
        <v>#NAME?</v>
      </c>
      <c r="BN5" t="e">
        <f ca="1">_xll.EQNXTDZ($A$1,$B5,BN$1,$B$1)</f>
        <v>#NAME?</v>
      </c>
      <c r="BO5" t="e">
        <f ca="1">_xll.EQNXTDZ($A$1,$B5,BO$1,$B$1)</f>
        <v>#NAME?</v>
      </c>
      <c r="BP5" t="e">
        <f ca="1">_xll.EQNXTDZ($A$1,$B5,BP$1,$B$1)</f>
        <v>#NAME?</v>
      </c>
      <c r="BQ5" t="e">
        <f ca="1">_xll.EQNXTDZ($A$1,$B5,BQ$1,$B$1)</f>
        <v>#NAME?</v>
      </c>
      <c r="BR5" t="e">
        <f ca="1">_xll.EQNXTDZ($A$1,$B5,BR$1,$B$1)</f>
        <v>#NAME?</v>
      </c>
      <c r="BS5" t="e">
        <f ca="1">_xll.EQNXTDZ($A$1,$B5,BS$1,$B$1)</f>
        <v>#NAME?</v>
      </c>
      <c r="BT5" t="e">
        <f ca="1">_xll.EQNXTDZ($A$1,$B5,BT$1,$B$1)</f>
        <v>#NAME?</v>
      </c>
      <c r="BU5" t="e">
        <f ca="1">_xll.EQNXTDZ($A$1,$B5,BU$1,$B$1)</f>
        <v>#NAME?</v>
      </c>
      <c r="BV5" t="e">
        <f ca="1">_xll.EQNXTDZ($A$1,$B5,BV$1,$B$1)</f>
        <v>#NAME?</v>
      </c>
    </row>
    <row r="6" spans="1:74" x14ac:dyDescent="0.25">
      <c r="A6" t="s">
        <v>108</v>
      </c>
      <c r="B6" t="s">
        <v>276</v>
      </c>
      <c r="C6" t="e">
        <f ca="1">_xll.EQNXTDZ($A$1,$B6,C$1,$B$1)</f>
        <v>#NAME?</v>
      </c>
      <c r="D6" t="e">
        <f ca="1">_xll.EQNXTDZ($A$1,$B6,D$1,$B$1)</f>
        <v>#NAME?</v>
      </c>
      <c r="E6" t="e">
        <f ca="1">_xll.EQNXTDZ($A$1,$B6,E$1,$B$1)</f>
        <v>#NAME?</v>
      </c>
      <c r="F6" t="e">
        <f ca="1">_xll.EQNXTDZ($A$1,$B6,F$1,$B$1)</f>
        <v>#NAME?</v>
      </c>
      <c r="G6" t="e">
        <f ca="1">_xll.EQNXTDZ($A$1,$B6,G$1,$B$1)</f>
        <v>#NAME?</v>
      </c>
      <c r="H6" t="e">
        <f ca="1">_xll.EQNXTDZ($A$1,$B6,H$1,$B$1)</f>
        <v>#NAME?</v>
      </c>
      <c r="I6" t="e">
        <f ca="1">_xll.EQNXTDZ($A$1,$B6,I$1,$B$1)</f>
        <v>#NAME?</v>
      </c>
      <c r="J6" t="e">
        <f ca="1">_xll.EQNXTDZ($A$1,$B6,J$1,$B$1)</f>
        <v>#NAME?</v>
      </c>
      <c r="K6" t="e">
        <f ca="1">_xll.EQNXTDZ($A$1,$B6,K$1,$B$1)</f>
        <v>#NAME?</v>
      </c>
      <c r="L6" t="e">
        <f ca="1">_xll.EQNXTDZ($A$1,$B6,L$1,$B$1)</f>
        <v>#NAME?</v>
      </c>
      <c r="M6" t="e">
        <f ca="1">_xll.EQNXTDZ($A$1,$B6,M$1,$B$1)</f>
        <v>#NAME?</v>
      </c>
      <c r="N6" t="e">
        <f ca="1">_xll.EQNXTDZ($A$1,$B6,N$1,$B$1)</f>
        <v>#NAME?</v>
      </c>
      <c r="O6" t="e">
        <f ca="1">_xll.EQNXTDZ($A$1,$B6,O$1,$B$1)</f>
        <v>#NAME?</v>
      </c>
      <c r="P6" t="e">
        <f ca="1">_xll.EQNXTDZ($A$1,$B6,P$1,$B$1)</f>
        <v>#NAME?</v>
      </c>
      <c r="Q6" t="e">
        <f ca="1">_xll.EQNXTDZ($A$1,$B6,Q$1,$B$1)</f>
        <v>#NAME?</v>
      </c>
      <c r="R6" t="e">
        <f ca="1">_xll.EQNXTDZ($A$1,$B6,R$1,$B$1)</f>
        <v>#NAME?</v>
      </c>
      <c r="S6" t="e">
        <f ca="1">_xll.EQNXTDZ($A$1,$B6,S$1,$B$1)</f>
        <v>#NAME?</v>
      </c>
      <c r="T6" t="e">
        <f ca="1">_xll.EQNXTDZ($A$1,$B6,T$1,$B$1)</f>
        <v>#NAME?</v>
      </c>
      <c r="U6" t="e">
        <f ca="1">_xll.EQNXTDZ($A$1,$B6,U$1,$B$1)</f>
        <v>#NAME?</v>
      </c>
      <c r="V6" t="e">
        <f ca="1">_xll.EQNXTDZ($A$1,$B6,V$1,$B$1)</f>
        <v>#NAME?</v>
      </c>
      <c r="W6" t="e">
        <f ca="1">_xll.EQNXTDZ($A$1,$B6,W$1,$B$1)</f>
        <v>#NAME?</v>
      </c>
      <c r="X6" t="e">
        <f ca="1">_xll.EQNXTDZ($A$1,$B6,X$1,$B$1)</f>
        <v>#NAME?</v>
      </c>
      <c r="Y6" t="e">
        <f ca="1">_xll.EQNXTDZ($A$1,$B6,Y$1,$B$1)</f>
        <v>#NAME?</v>
      </c>
      <c r="Z6" t="e">
        <f ca="1">_xll.EQNXTDZ($A$1,$B6,Z$1,$B$1)</f>
        <v>#NAME?</v>
      </c>
      <c r="AA6" t="e">
        <f ca="1">_xll.EQNXTDZ($A$1,$B6,AA$1,$B$1)</f>
        <v>#NAME?</v>
      </c>
      <c r="AB6" t="e">
        <f ca="1">_xll.EQNXTDZ($A$1,$B6,AB$1,$B$1)</f>
        <v>#NAME?</v>
      </c>
      <c r="AC6" t="e">
        <f ca="1">_xll.EQNXTDZ($A$1,$B6,AC$1,$B$1)</f>
        <v>#NAME?</v>
      </c>
      <c r="AD6" t="e">
        <f ca="1">_xll.EQNXTDZ($A$1,$B6,AD$1,$B$1)</f>
        <v>#NAME?</v>
      </c>
      <c r="AE6" t="e">
        <f ca="1">_xll.EQNXTDZ($A$1,$B6,AE$1,$B$1)</f>
        <v>#NAME?</v>
      </c>
      <c r="AF6" t="e">
        <f ca="1">_xll.EQNXTDZ($A$1,$B6,AF$1,$B$1)</f>
        <v>#NAME?</v>
      </c>
      <c r="AG6" t="e">
        <f ca="1">_xll.EQNXTDZ($A$1,$B6,AG$1,$B$1)</f>
        <v>#NAME?</v>
      </c>
      <c r="AH6" t="e">
        <f ca="1">_xll.EQNXTDZ($A$1,$B6,AH$1,$B$1)</f>
        <v>#NAME?</v>
      </c>
      <c r="AI6" t="e">
        <f ca="1">_xll.EQNXTDZ($A$1,$B6,AI$1,$B$1)</f>
        <v>#NAME?</v>
      </c>
      <c r="AJ6" t="e">
        <f ca="1">_xll.EQNXTDZ($A$1,$B6,AJ$1,$B$1)</f>
        <v>#NAME?</v>
      </c>
      <c r="AK6" t="e">
        <f ca="1">_xll.EQNXTDZ($A$1,$B6,AK$1,$B$1)</f>
        <v>#NAME?</v>
      </c>
      <c r="AL6" t="e">
        <f ca="1">_xll.EQNXTDZ($A$1,$B6,AL$1,$B$1)</f>
        <v>#NAME?</v>
      </c>
      <c r="AM6" t="e">
        <f ca="1">_xll.EQNXTDZ($A$1,$B6,AM$1,$B$1)</f>
        <v>#NAME?</v>
      </c>
      <c r="AN6" t="e">
        <f ca="1">_xll.EQNXTDZ($A$1,$B6,AN$1,$B$1)</f>
        <v>#NAME?</v>
      </c>
      <c r="AO6" t="e">
        <f ca="1">_xll.EQNXTDZ($A$1,$B6,AO$1,$B$1)</f>
        <v>#NAME?</v>
      </c>
      <c r="AP6" t="e">
        <f ca="1">_xll.EQNXTDZ($A$1,$B6,AP$1,$B$1)</f>
        <v>#NAME?</v>
      </c>
      <c r="AQ6" t="e">
        <f ca="1">_xll.EQNXTDZ($A$1,$B6,AQ$1,$B$1)</f>
        <v>#NAME?</v>
      </c>
      <c r="AR6" t="e">
        <f ca="1">_xll.EQNXTDZ($A$1,$B6,AR$1,$B$1)</f>
        <v>#NAME?</v>
      </c>
      <c r="AS6" t="e">
        <f ca="1">_xll.EQNXTDZ($A$1,$B6,AS$1,$B$1)</f>
        <v>#NAME?</v>
      </c>
      <c r="AT6" t="e">
        <f ca="1">_xll.EQNXTDZ($A$1,$B6,AT$1,$B$1)</f>
        <v>#NAME?</v>
      </c>
      <c r="AU6" t="e">
        <f ca="1">_xll.EQNXTDZ($A$1,$B6,AU$1,$B$1)</f>
        <v>#NAME?</v>
      </c>
      <c r="AV6" t="e">
        <f ca="1">_xll.EQNXTDZ($A$1,$B6,AV$1,$B$1)</f>
        <v>#NAME?</v>
      </c>
      <c r="AW6" t="e">
        <f ca="1">_xll.EQNXTDZ($A$1,$B6,AW$1,$B$1)</f>
        <v>#NAME?</v>
      </c>
      <c r="AX6" t="e">
        <f ca="1">_xll.EQNXTDZ($A$1,$B6,AX$1,$B$1)</f>
        <v>#NAME?</v>
      </c>
      <c r="AY6" t="e">
        <f ca="1">_xll.EQNXTDZ($A$1,$B6,AY$1,$B$1)</f>
        <v>#NAME?</v>
      </c>
      <c r="AZ6" t="e">
        <f ca="1">_xll.EQNXTDZ($A$1,$B6,AZ$1,$B$1)</f>
        <v>#NAME?</v>
      </c>
      <c r="BA6" t="e">
        <f ca="1">_xll.EQNXTDZ($A$1,$B6,BA$1,$B$1)</f>
        <v>#NAME?</v>
      </c>
      <c r="BB6" t="e">
        <f ca="1">_xll.EQNXTDZ($A$1,$B6,BB$1,$B$1)</f>
        <v>#NAME?</v>
      </c>
      <c r="BC6" t="e">
        <f ca="1">_xll.EQNXTDZ($A$1,$B6,BC$1,$B$1)</f>
        <v>#NAME?</v>
      </c>
      <c r="BD6" t="e">
        <f ca="1">_xll.EQNXTDZ($A$1,$B6,BD$1,$B$1)</f>
        <v>#NAME?</v>
      </c>
      <c r="BE6" t="e">
        <f ca="1">_xll.EQNXTDZ($A$1,$B6,BE$1,$B$1)</f>
        <v>#NAME?</v>
      </c>
      <c r="BF6" t="e">
        <f ca="1">_xll.EQNXTDZ($A$1,$B6,BF$1,$B$1)</f>
        <v>#NAME?</v>
      </c>
      <c r="BG6" t="e">
        <f ca="1">_xll.EQNXTDZ($A$1,$B6,BG$1,$B$1)</f>
        <v>#NAME?</v>
      </c>
      <c r="BH6" t="e">
        <f ca="1">_xll.EQNXTDZ($A$1,$B6,BH$1,$B$1)</f>
        <v>#NAME?</v>
      </c>
      <c r="BI6" t="e">
        <f ca="1">_xll.EQNXTDZ($A$1,$B6,BI$1,$B$1)</f>
        <v>#NAME?</v>
      </c>
      <c r="BJ6" t="e">
        <f ca="1">_xll.EQNXTDZ($A$1,$B6,BJ$1,$B$1)</f>
        <v>#NAME?</v>
      </c>
      <c r="BK6" t="e">
        <f ca="1">_xll.EQNXTDZ($A$1,$B6,BK$1,$B$1)</f>
        <v>#NAME?</v>
      </c>
      <c r="BL6" t="e">
        <f ca="1">_xll.EQNXTDZ($A$1,$B6,BL$1,$B$1)</f>
        <v>#NAME?</v>
      </c>
      <c r="BM6" t="e">
        <f ca="1">_xll.EQNXTDZ($A$1,$B6,BM$1,$B$1)</f>
        <v>#NAME?</v>
      </c>
      <c r="BN6" t="e">
        <f ca="1">_xll.EQNXTDZ($A$1,$B6,BN$1,$B$1)</f>
        <v>#NAME?</v>
      </c>
      <c r="BO6" t="e">
        <f ca="1">_xll.EQNXTDZ($A$1,$B6,BO$1,$B$1)</f>
        <v>#NAME?</v>
      </c>
      <c r="BP6" t="e">
        <f ca="1">_xll.EQNXTDZ($A$1,$B6,BP$1,$B$1)</f>
        <v>#NAME?</v>
      </c>
      <c r="BQ6" t="e">
        <f ca="1">_xll.EQNXTDZ($A$1,$B6,BQ$1,$B$1)</f>
        <v>#NAME?</v>
      </c>
      <c r="BR6" t="e">
        <f ca="1">_xll.EQNXTDZ($A$1,$B6,BR$1,$B$1)</f>
        <v>#NAME?</v>
      </c>
      <c r="BS6" t="e">
        <f ca="1">_xll.EQNXTDZ($A$1,$B6,BS$1,$B$1)</f>
        <v>#NAME?</v>
      </c>
      <c r="BT6" t="e">
        <f ca="1">_xll.EQNXTDZ($A$1,$B6,BT$1,$B$1)</f>
        <v>#NAME?</v>
      </c>
      <c r="BU6" t="e">
        <f ca="1">_xll.EQNXTDZ($A$1,$B6,BU$1,$B$1)</f>
        <v>#NAME?</v>
      </c>
      <c r="BV6" t="e">
        <f ca="1">_xll.EQNXTDZ($A$1,$B6,BV$1,$B$1)</f>
        <v>#NAME?</v>
      </c>
    </row>
    <row r="7" spans="1:74" x14ac:dyDescent="0.25">
      <c r="A7" t="s">
        <v>253</v>
      </c>
      <c r="B7" t="s">
        <v>277</v>
      </c>
      <c r="C7" t="e">
        <f ca="1">_xll.EQNXTDZ($A$1,$B7,C$1,$B$1)</f>
        <v>#NAME?</v>
      </c>
      <c r="D7" t="e">
        <f ca="1">_xll.EQNXTDZ($A$1,$B7,D$1,$B$1)</f>
        <v>#NAME?</v>
      </c>
      <c r="E7" t="e">
        <f ca="1">_xll.EQNXTDZ($A$1,$B7,E$1,$B$1)</f>
        <v>#NAME?</v>
      </c>
      <c r="F7" t="e">
        <f ca="1">_xll.EQNXTDZ($A$1,$B7,F$1,$B$1)</f>
        <v>#NAME?</v>
      </c>
      <c r="G7" t="e">
        <f ca="1">_xll.EQNXTDZ($A$1,$B7,G$1,$B$1)</f>
        <v>#NAME?</v>
      </c>
      <c r="H7" t="e">
        <f ca="1">_xll.EQNXTDZ($A$1,$B7,H$1,$B$1)</f>
        <v>#NAME?</v>
      </c>
      <c r="I7" t="e">
        <f ca="1">_xll.EQNXTDZ($A$1,$B7,I$1,$B$1)</f>
        <v>#NAME?</v>
      </c>
      <c r="J7" t="e">
        <f ca="1">_xll.EQNXTDZ($A$1,$B7,J$1,$B$1)</f>
        <v>#NAME?</v>
      </c>
      <c r="K7" t="e">
        <f ca="1">_xll.EQNXTDZ($A$1,$B7,K$1,$B$1)</f>
        <v>#NAME?</v>
      </c>
      <c r="L7" t="e">
        <f ca="1">_xll.EQNXTDZ($A$1,$B7,L$1,$B$1)</f>
        <v>#NAME?</v>
      </c>
      <c r="M7" t="e">
        <f ca="1">_xll.EQNXTDZ($A$1,$B7,M$1,$B$1)</f>
        <v>#NAME?</v>
      </c>
      <c r="N7" t="e">
        <f ca="1">_xll.EQNXTDZ($A$1,$B7,N$1,$B$1)</f>
        <v>#NAME?</v>
      </c>
      <c r="O7" t="e">
        <f ca="1">_xll.EQNXTDZ($A$1,$B7,O$1,$B$1)</f>
        <v>#NAME?</v>
      </c>
      <c r="P7" t="e">
        <f ca="1">_xll.EQNXTDZ($A$1,$B7,P$1,$B$1)</f>
        <v>#NAME?</v>
      </c>
      <c r="Q7" t="e">
        <f ca="1">_xll.EQNXTDZ($A$1,$B7,Q$1,$B$1)</f>
        <v>#NAME?</v>
      </c>
      <c r="R7" t="e">
        <f ca="1">_xll.EQNXTDZ($A$1,$B7,R$1,$B$1)</f>
        <v>#NAME?</v>
      </c>
      <c r="S7" t="e">
        <f ca="1">_xll.EQNXTDZ($A$1,$B7,S$1,$B$1)</f>
        <v>#NAME?</v>
      </c>
      <c r="T7" t="e">
        <f ca="1">_xll.EQNXTDZ($A$1,$B7,T$1,$B$1)</f>
        <v>#NAME?</v>
      </c>
      <c r="U7" t="e">
        <f ca="1">_xll.EQNXTDZ($A$1,$B7,U$1,$B$1)</f>
        <v>#NAME?</v>
      </c>
      <c r="V7" t="e">
        <f ca="1">_xll.EQNXTDZ($A$1,$B7,V$1,$B$1)</f>
        <v>#NAME?</v>
      </c>
      <c r="W7" t="e">
        <f ca="1">_xll.EQNXTDZ($A$1,$B7,W$1,$B$1)</f>
        <v>#NAME?</v>
      </c>
      <c r="X7" t="e">
        <f ca="1">_xll.EQNXTDZ($A$1,$B7,X$1,$B$1)</f>
        <v>#NAME?</v>
      </c>
      <c r="Y7" t="e">
        <f ca="1">_xll.EQNXTDZ($A$1,$B7,Y$1,$B$1)</f>
        <v>#NAME?</v>
      </c>
      <c r="Z7" t="e">
        <f ca="1">_xll.EQNXTDZ($A$1,$B7,Z$1,$B$1)</f>
        <v>#NAME?</v>
      </c>
      <c r="AA7" t="e">
        <f ca="1">_xll.EQNXTDZ($A$1,$B7,AA$1,$B$1)</f>
        <v>#NAME?</v>
      </c>
      <c r="AB7" t="e">
        <f ca="1">_xll.EQNXTDZ($A$1,$B7,AB$1,$B$1)</f>
        <v>#NAME?</v>
      </c>
      <c r="AC7" t="e">
        <f ca="1">_xll.EQNXTDZ($A$1,$B7,AC$1,$B$1)</f>
        <v>#NAME?</v>
      </c>
      <c r="AD7" t="e">
        <f ca="1">_xll.EQNXTDZ($A$1,$B7,AD$1,$B$1)</f>
        <v>#NAME?</v>
      </c>
      <c r="AE7" t="e">
        <f ca="1">_xll.EQNXTDZ($A$1,$B7,AE$1,$B$1)</f>
        <v>#NAME?</v>
      </c>
      <c r="AF7" t="e">
        <f ca="1">_xll.EQNXTDZ($A$1,$B7,AF$1,$B$1)</f>
        <v>#NAME?</v>
      </c>
      <c r="AG7" t="e">
        <f ca="1">_xll.EQNXTDZ($A$1,$B7,AG$1,$B$1)</f>
        <v>#NAME?</v>
      </c>
      <c r="AH7" t="e">
        <f ca="1">_xll.EQNXTDZ($A$1,$B7,AH$1,$B$1)</f>
        <v>#NAME?</v>
      </c>
      <c r="AI7" t="e">
        <f ca="1">_xll.EQNXTDZ($A$1,$B7,AI$1,$B$1)</f>
        <v>#NAME?</v>
      </c>
      <c r="AJ7" t="e">
        <f ca="1">_xll.EQNXTDZ($A$1,$B7,AJ$1,$B$1)</f>
        <v>#NAME?</v>
      </c>
      <c r="AK7" t="e">
        <f ca="1">_xll.EQNXTDZ($A$1,$B7,AK$1,$B$1)</f>
        <v>#NAME?</v>
      </c>
      <c r="AL7" t="e">
        <f ca="1">_xll.EQNXTDZ($A$1,$B7,AL$1,$B$1)</f>
        <v>#NAME?</v>
      </c>
      <c r="AM7" t="e">
        <f ca="1">_xll.EQNXTDZ($A$1,$B7,AM$1,$B$1)</f>
        <v>#NAME?</v>
      </c>
      <c r="AN7" t="e">
        <f ca="1">_xll.EQNXTDZ($A$1,$B7,AN$1,$B$1)</f>
        <v>#NAME?</v>
      </c>
      <c r="AO7" t="e">
        <f ca="1">_xll.EQNXTDZ($A$1,$B7,AO$1,$B$1)</f>
        <v>#NAME?</v>
      </c>
      <c r="AP7" t="e">
        <f ca="1">_xll.EQNXTDZ($A$1,$B7,AP$1,$B$1)</f>
        <v>#NAME?</v>
      </c>
      <c r="AQ7" t="e">
        <f ca="1">_xll.EQNXTDZ($A$1,$B7,AQ$1,$B$1)</f>
        <v>#NAME?</v>
      </c>
      <c r="AR7" t="e">
        <f ca="1">_xll.EQNXTDZ($A$1,$B7,AR$1,$B$1)</f>
        <v>#NAME?</v>
      </c>
      <c r="AS7" t="e">
        <f ca="1">_xll.EQNXTDZ($A$1,$B7,AS$1,$B$1)</f>
        <v>#NAME?</v>
      </c>
      <c r="AT7" t="e">
        <f ca="1">_xll.EQNXTDZ($A$1,$B7,AT$1,$B$1)</f>
        <v>#NAME?</v>
      </c>
      <c r="AU7" t="e">
        <f ca="1">_xll.EQNXTDZ($A$1,$B7,AU$1,$B$1)</f>
        <v>#NAME?</v>
      </c>
      <c r="AV7" t="e">
        <f ca="1">_xll.EQNXTDZ($A$1,$B7,AV$1,$B$1)</f>
        <v>#NAME?</v>
      </c>
      <c r="AW7" t="e">
        <f ca="1">_xll.EQNXTDZ($A$1,$B7,AW$1,$B$1)</f>
        <v>#NAME?</v>
      </c>
      <c r="AX7" t="e">
        <f ca="1">_xll.EQNXTDZ($A$1,$B7,AX$1,$B$1)</f>
        <v>#NAME?</v>
      </c>
      <c r="AY7" t="e">
        <f ca="1">_xll.EQNXTDZ($A$1,$B7,AY$1,$B$1)</f>
        <v>#NAME?</v>
      </c>
      <c r="AZ7" t="e">
        <f ca="1">_xll.EQNXTDZ($A$1,$B7,AZ$1,$B$1)</f>
        <v>#NAME?</v>
      </c>
      <c r="BA7" t="e">
        <f ca="1">_xll.EQNXTDZ($A$1,$B7,BA$1,$B$1)</f>
        <v>#NAME?</v>
      </c>
      <c r="BB7" t="e">
        <f ca="1">_xll.EQNXTDZ($A$1,$B7,BB$1,$B$1)</f>
        <v>#NAME?</v>
      </c>
      <c r="BC7" t="e">
        <f ca="1">_xll.EQNXTDZ($A$1,$B7,BC$1,$B$1)</f>
        <v>#NAME?</v>
      </c>
      <c r="BD7" t="e">
        <f ca="1">_xll.EQNXTDZ($A$1,$B7,BD$1,$B$1)</f>
        <v>#NAME?</v>
      </c>
      <c r="BE7" t="e">
        <f ca="1">_xll.EQNXTDZ($A$1,$B7,BE$1,$B$1)</f>
        <v>#NAME?</v>
      </c>
      <c r="BF7" t="e">
        <f ca="1">_xll.EQNXTDZ($A$1,$B7,BF$1,$B$1)</f>
        <v>#NAME?</v>
      </c>
      <c r="BG7" t="e">
        <f ca="1">_xll.EQNXTDZ($A$1,$B7,BG$1,$B$1)</f>
        <v>#NAME?</v>
      </c>
      <c r="BH7" t="e">
        <f ca="1">_xll.EQNXTDZ($A$1,$B7,BH$1,$B$1)</f>
        <v>#NAME?</v>
      </c>
      <c r="BI7" t="e">
        <f ca="1">_xll.EQNXTDZ($A$1,$B7,BI$1,$B$1)</f>
        <v>#NAME?</v>
      </c>
      <c r="BJ7" t="e">
        <f ca="1">_xll.EQNXTDZ($A$1,$B7,BJ$1,$B$1)</f>
        <v>#NAME?</v>
      </c>
      <c r="BK7" t="e">
        <f ca="1">_xll.EQNXTDZ($A$1,$B7,BK$1,$B$1)</f>
        <v>#NAME?</v>
      </c>
      <c r="BL7" t="e">
        <f ca="1">_xll.EQNXTDZ($A$1,$B7,BL$1,$B$1)</f>
        <v>#NAME?</v>
      </c>
      <c r="BM7" t="e">
        <f ca="1">_xll.EQNXTDZ($A$1,$B7,BM$1,$B$1)</f>
        <v>#NAME?</v>
      </c>
      <c r="BN7" t="e">
        <f ca="1">_xll.EQNXTDZ($A$1,$B7,BN$1,$B$1)</f>
        <v>#NAME?</v>
      </c>
      <c r="BO7" t="e">
        <f ca="1">_xll.EQNXTDZ($A$1,$B7,BO$1,$B$1)</f>
        <v>#NAME?</v>
      </c>
      <c r="BP7" t="e">
        <f ca="1">_xll.EQNXTDZ($A$1,$B7,BP$1,$B$1)</f>
        <v>#NAME?</v>
      </c>
      <c r="BQ7" t="e">
        <f ca="1">_xll.EQNXTDZ($A$1,$B7,BQ$1,$B$1)</f>
        <v>#NAME?</v>
      </c>
      <c r="BR7" t="e">
        <f ca="1">_xll.EQNXTDZ($A$1,$B7,BR$1,$B$1)</f>
        <v>#NAME?</v>
      </c>
      <c r="BS7" t="e">
        <f ca="1">_xll.EQNXTDZ($A$1,$B7,BS$1,$B$1)</f>
        <v>#NAME?</v>
      </c>
      <c r="BT7" t="e">
        <f ca="1">_xll.EQNXTDZ($A$1,$B7,BT$1,$B$1)</f>
        <v>#NAME?</v>
      </c>
      <c r="BU7" t="e">
        <f ca="1">_xll.EQNXTDZ($A$1,$B7,BU$1,$B$1)</f>
        <v>#NAME?</v>
      </c>
      <c r="BV7" t="e">
        <f ca="1">_xll.EQNXTDZ($A$1,$B7,BV$1,$B$1)</f>
        <v>#NAME?</v>
      </c>
    </row>
    <row r="8" spans="1:74" x14ac:dyDescent="0.25">
      <c r="A8" t="s">
        <v>254</v>
      </c>
      <c r="B8" t="s">
        <v>278</v>
      </c>
      <c r="C8" t="e">
        <f ca="1">_xll.EQNXTDZ($A$1,$B8,C$1,$B$1)</f>
        <v>#NAME?</v>
      </c>
      <c r="D8" t="e">
        <f ca="1">_xll.EQNXTDZ($A$1,$B8,D$1,$B$1)</f>
        <v>#NAME?</v>
      </c>
      <c r="E8" t="e">
        <f ca="1">_xll.EQNXTDZ($A$1,$B8,E$1,$B$1)</f>
        <v>#NAME?</v>
      </c>
      <c r="F8" t="e">
        <f ca="1">_xll.EQNXTDZ($A$1,$B8,F$1,$B$1)</f>
        <v>#NAME?</v>
      </c>
      <c r="G8" t="e">
        <f ca="1">_xll.EQNXTDZ($A$1,$B8,G$1,$B$1)</f>
        <v>#NAME?</v>
      </c>
      <c r="H8" t="e">
        <f ca="1">_xll.EQNXTDZ($A$1,$B8,H$1,$B$1)</f>
        <v>#NAME?</v>
      </c>
      <c r="I8" t="e">
        <f ca="1">_xll.EQNXTDZ($A$1,$B8,I$1,$B$1)</f>
        <v>#NAME?</v>
      </c>
      <c r="J8" t="e">
        <f ca="1">_xll.EQNXTDZ($A$1,$B8,J$1,$B$1)</f>
        <v>#NAME?</v>
      </c>
      <c r="K8" t="e">
        <f ca="1">_xll.EQNXTDZ($A$1,$B8,K$1,$B$1)</f>
        <v>#NAME?</v>
      </c>
      <c r="L8" t="e">
        <f ca="1">_xll.EQNXTDZ($A$1,$B8,L$1,$B$1)</f>
        <v>#NAME?</v>
      </c>
      <c r="M8" t="e">
        <f ca="1">_xll.EQNXTDZ($A$1,$B8,M$1,$B$1)</f>
        <v>#NAME?</v>
      </c>
      <c r="N8" t="e">
        <f ca="1">_xll.EQNXTDZ($A$1,$B8,N$1,$B$1)</f>
        <v>#NAME?</v>
      </c>
      <c r="O8" t="e">
        <f ca="1">_xll.EQNXTDZ($A$1,$B8,O$1,$B$1)</f>
        <v>#NAME?</v>
      </c>
      <c r="P8" t="e">
        <f ca="1">_xll.EQNXTDZ($A$1,$B8,P$1,$B$1)</f>
        <v>#NAME?</v>
      </c>
      <c r="Q8" t="e">
        <f ca="1">_xll.EQNXTDZ($A$1,$B8,Q$1,$B$1)</f>
        <v>#NAME?</v>
      </c>
      <c r="R8" t="e">
        <f ca="1">_xll.EQNXTDZ($A$1,$B8,R$1,$B$1)</f>
        <v>#NAME?</v>
      </c>
      <c r="S8" t="e">
        <f ca="1">_xll.EQNXTDZ($A$1,$B8,S$1,$B$1)</f>
        <v>#NAME?</v>
      </c>
      <c r="T8" t="e">
        <f ca="1">_xll.EQNXTDZ($A$1,$B8,T$1,$B$1)</f>
        <v>#NAME?</v>
      </c>
      <c r="U8" t="e">
        <f ca="1">_xll.EQNXTDZ($A$1,$B8,U$1,$B$1)</f>
        <v>#NAME?</v>
      </c>
      <c r="V8" t="e">
        <f ca="1">_xll.EQNXTDZ($A$1,$B8,V$1,$B$1)</f>
        <v>#NAME?</v>
      </c>
      <c r="W8" t="e">
        <f ca="1">_xll.EQNXTDZ($A$1,$B8,W$1,$B$1)</f>
        <v>#NAME?</v>
      </c>
      <c r="X8" t="e">
        <f ca="1">_xll.EQNXTDZ($A$1,$B8,X$1,$B$1)</f>
        <v>#NAME?</v>
      </c>
      <c r="Y8" t="e">
        <f ca="1">_xll.EQNXTDZ($A$1,$B8,Y$1,$B$1)</f>
        <v>#NAME?</v>
      </c>
      <c r="Z8" t="e">
        <f ca="1">_xll.EQNXTDZ($A$1,$B8,Z$1,$B$1)</f>
        <v>#NAME?</v>
      </c>
      <c r="AA8" t="e">
        <f ca="1">_xll.EQNXTDZ($A$1,$B8,AA$1,$B$1)</f>
        <v>#NAME?</v>
      </c>
      <c r="AB8" t="e">
        <f ca="1">_xll.EQNXTDZ($A$1,$B8,AB$1,$B$1)</f>
        <v>#NAME?</v>
      </c>
      <c r="AC8" t="e">
        <f ca="1">_xll.EQNXTDZ($A$1,$B8,AC$1,$B$1)</f>
        <v>#NAME?</v>
      </c>
      <c r="AD8" t="e">
        <f ca="1">_xll.EQNXTDZ($A$1,$B8,AD$1,$B$1)</f>
        <v>#NAME?</v>
      </c>
      <c r="AE8" t="e">
        <f ca="1">_xll.EQNXTDZ($A$1,$B8,AE$1,$B$1)</f>
        <v>#NAME?</v>
      </c>
      <c r="AF8" t="e">
        <f ca="1">_xll.EQNXTDZ($A$1,$B8,AF$1,$B$1)</f>
        <v>#NAME?</v>
      </c>
      <c r="AG8" t="e">
        <f ca="1">_xll.EQNXTDZ($A$1,$B8,AG$1,$B$1)</f>
        <v>#NAME?</v>
      </c>
      <c r="AH8" t="e">
        <f ca="1">_xll.EQNXTDZ($A$1,$B8,AH$1,$B$1)</f>
        <v>#NAME?</v>
      </c>
      <c r="AI8" t="e">
        <f ca="1">_xll.EQNXTDZ($A$1,$B8,AI$1,$B$1)</f>
        <v>#NAME?</v>
      </c>
      <c r="AJ8" t="e">
        <f ca="1">_xll.EQNXTDZ($A$1,$B8,AJ$1,$B$1)</f>
        <v>#NAME?</v>
      </c>
      <c r="AK8" t="e">
        <f ca="1">_xll.EQNXTDZ($A$1,$B8,AK$1,$B$1)</f>
        <v>#NAME?</v>
      </c>
      <c r="AL8" t="e">
        <f ca="1">_xll.EQNXTDZ($A$1,$B8,AL$1,$B$1)</f>
        <v>#NAME?</v>
      </c>
      <c r="AM8" t="e">
        <f ca="1">_xll.EQNXTDZ($A$1,$B8,AM$1,$B$1)</f>
        <v>#NAME?</v>
      </c>
      <c r="AN8" t="e">
        <f ca="1">_xll.EQNXTDZ($A$1,$B8,AN$1,$B$1)</f>
        <v>#NAME?</v>
      </c>
      <c r="AO8" t="e">
        <f ca="1">_xll.EQNXTDZ($A$1,$B8,AO$1,$B$1)</f>
        <v>#NAME?</v>
      </c>
      <c r="AP8" t="e">
        <f ca="1">_xll.EQNXTDZ($A$1,$B8,AP$1,$B$1)</f>
        <v>#NAME?</v>
      </c>
      <c r="AQ8" t="e">
        <f ca="1">_xll.EQNXTDZ($A$1,$B8,AQ$1,$B$1)</f>
        <v>#NAME?</v>
      </c>
      <c r="AR8" t="e">
        <f ca="1">_xll.EQNXTDZ($A$1,$B8,AR$1,$B$1)</f>
        <v>#NAME?</v>
      </c>
      <c r="AS8" t="e">
        <f ca="1">_xll.EQNXTDZ($A$1,$B8,AS$1,$B$1)</f>
        <v>#NAME?</v>
      </c>
      <c r="AT8" t="e">
        <f ca="1">_xll.EQNXTDZ($A$1,$B8,AT$1,$B$1)</f>
        <v>#NAME?</v>
      </c>
      <c r="AU8" t="e">
        <f ca="1">_xll.EQNXTDZ($A$1,$B8,AU$1,$B$1)</f>
        <v>#NAME?</v>
      </c>
      <c r="AV8" t="e">
        <f ca="1">_xll.EQNXTDZ($A$1,$B8,AV$1,$B$1)</f>
        <v>#NAME?</v>
      </c>
      <c r="AW8" t="e">
        <f ca="1">_xll.EQNXTDZ($A$1,$B8,AW$1,$B$1)</f>
        <v>#NAME?</v>
      </c>
      <c r="AX8" t="e">
        <f ca="1">_xll.EQNXTDZ($A$1,$B8,AX$1,$B$1)</f>
        <v>#NAME?</v>
      </c>
      <c r="AY8" t="e">
        <f ca="1">_xll.EQNXTDZ($A$1,$B8,AY$1,$B$1)</f>
        <v>#NAME?</v>
      </c>
      <c r="AZ8" t="e">
        <f ca="1">_xll.EQNXTDZ($A$1,$B8,AZ$1,$B$1)</f>
        <v>#NAME?</v>
      </c>
      <c r="BA8" t="e">
        <f ca="1">_xll.EQNXTDZ($A$1,$B8,BA$1,$B$1)</f>
        <v>#NAME?</v>
      </c>
      <c r="BB8" t="e">
        <f ca="1">_xll.EQNXTDZ($A$1,$B8,BB$1,$B$1)</f>
        <v>#NAME?</v>
      </c>
      <c r="BC8" t="e">
        <f ca="1">_xll.EQNXTDZ($A$1,$B8,BC$1,$B$1)</f>
        <v>#NAME?</v>
      </c>
      <c r="BD8" t="e">
        <f ca="1">_xll.EQNXTDZ($A$1,$B8,BD$1,$B$1)</f>
        <v>#NAME?</v>
      </c>
      <c r="BE8" t="e">
        <f ca="1">_xll.EQNXTDZ($A$1,$B8,BE$1,$B$1)</f>
        <v>#NAME?</v>
      </c>
      <c r="BF8" t="e">
        <f ca="1">_xll.EQNXTDZ($A$1,$B8,BF$1,$B$1)</f>
        <v>#NAME?</v>
      </c>
      <c r="BG8" t="e">
        <f ca="1">_xll.EQNXTDZ($A$1,$B8,BG$1,$B$1)</f>
        <v>#NAME?</v>
      </c>
      <c r="BH8" t="e">
        <f ca="1">_xll.EQNXTDZ($A$1,$B8,BH$1,$B$1)</f>
        <v>#NAME?</v>
      </c>
      <c r="BI8" t="e">
        <f ca="1">_xll.EQNXTDZ($A$1,$B8,BI$1,$B$1)</f>
        <v>#NAME?</v>
      </c>
      <c r="BJ8" t="e">
        <f ca="1">_xll.EQNXTDZ($A$1,$B8,BJ$1,$B$1)</f>
        <v>#NAME?</v>
      </c>
      <c r="BK8" t="e">
        <f ca="1">_xll.EQNXTDZ($A$1,$B8,BK$1,$B$1)</f>
        <v>#NAME?</v>
      </c>
      <c r="BL8" t="e">
        <f ca="1">_xll.EQNXTDZ($A$1,$B8,BL$1,$B$1)</f>
        <v>#NAME?</v>
      </c>
      <c r="BM8" t="e">
        <f ca="1">_xll.EQNXTDZ($A$1,$B8,BM$1,$B$1)</f>
        <v>#NAME?</v>
      </c>
      <c r="BN8" t="e">
        <f ca="1">_xll.EQNXTDZ($A$1,$B8,BN$1,$B$1)</f>
        <v>#NAME?</v>
      </c>
      <c r="BO8" t="e">
        <f ca="1">_xll.EQNXTDZ($A$1,$B8,BO$1,$B$1)</f>
        <v>#NAME?</v>
      </c>
      <c r="BP8" t="e">
        <f ca="1">_xll.EQNXTDZ($A$1,$B8,BP$1,$B$1)</f>
        <v>#NAME?</v>
      </c>
      <c r="BQ8" t="e">
        <f ca="1">_xll.EQNXTDZ($A$1,$B8,BQ$1,$B$1)</f>
        <v>#NAME?</v>
      </c>
      <c r="BR8" t="e">
        <f ca="1">_xll.EQNXTDZ($A$1,$B8,BR$1,$B$1)</f>
        <v>#NAME?</v>
      </c>
      <c r="BS8" t="e">
        <f ca="1">_xll.EQNXTDZ($A$1,$B8,BS$1,$B$1)</f>
        <v>#NAME?</v>
      </c>
      <c r="BT8" t="e">
        <f ca="1">_xll.EQNXTDZ($A$1,$B8,BT$1,$B$1)</f>
        <v>#NAME?</v>
      </c>
      <c r="BU8" t="e">
        <f ca="1">_xll.EQNXTDZ($A$1,$B8,BU$1,$B$1)</f>
        <v>#NAME?</v>
      </c>
      <c r="BV8" t="e">
        <f ca="1">_xll.EQNXTDZ($A$1,$B8,BV$1,$B$1)</f>
        <v>#NAME?</v>
      </c>
    </row>
    <row r="9" spans="1:74" x14ac:dyDescent="0.25">
      <c r="A9" t="s">
        <v>255</v>
      </c>
      <c r="B9" t="s">
        <v>279</v>
      </c>
      <c r="C9" t="e">
        <f ca="1">_xll.EQNXTDZ($A$1,$B9,C$1,$B$1)</f>
        <v>#NAME?</v>
      </c>
      <c r="D9" t="e">
        <f ca="1">_xll.EQNXTDZ($A$1,$B9,D$1,$B$1)</f>
        <v>#NAME?</v>
      </c>
      <c r="E9" t="e">
        <f ca="1">_xll.EQNXTDZ($A$1,$B9,E$1,$B$1)</f>
        <v>#NAME?</v>
      </c>
      <c r="F9" t="e">
        <f ca="1">_xll.EQNXTDZ($A$1,$B9,F$1,$B$1)</f>
        <v>#NAME?</v>
      </c>
      <c r="G9" t="e">
        <f ca="1">_xll.EQNXTDZ($A$1,$B9,G$1,$B$1)</f>
        <v>#NAME?</v>
      </c>
      <c r="H9" t="e">
        <f ca="1">_xll.EQNXTDZ($A$1,$B9,H$1,$B$1)</f>
        <v>#NAME?</v>
      </c>
      <c r="I9" t="e">
        <f ca="1">_xll.EQNXTDZ($A$1,$B9,I$1,$B$1)</f>
        <v>#NAME?</v>
      </c>
      <c r="J9" t="e">
        <f ca="1">_xll.EQNXTDZ($A$1,$B9,J$1,$B$1)</f>
        <v>#NAME?</v>
      </c>
      <c r="K9" t="e">
        <f ca="1">_xll.EQNXTDZ($A$1,$B9,K$1,$B$1)</f>
        <v>#NAME?</v>
      </c>
      <c r="L9" t="e">
        <f ca="1">_xll.EQNXTDZ($A$1,$B9,L$1,$B$1)</f>
        <v>#NAME?</v>
      </c>
      <c r="M9" t="e">
        <f ca="1">_xll.EQNXTDZ($A$1,$B9,M$1,$B$1)</f>
        <v>#NAME?</v>
      </c>
      <c r="N9" t="e">
        <f ca="1">_xll.EQNXTDZ($A$1,$B9,N$1,$B$1)</f>
        <v>#NAME?</v>
      </c>
      <c r="O9" t="e">
        <f ca="1">_xll.EQNXTDZ($A$1,$B9,O$1,$B$1)</f>
        <v>#NAME?</v>
      </c>
      <c r="P9" t="e">
        <f ca="1">_xll.EQNXTDZ($A$1,$B9,P$1,$B$1)</f>
        <v>#NAME?</v>
      </c>
      <c r="Q9" t="e">
        <f ca="1">_xll.EQNXTDZ($A$1,$B9,Q$1,$B$1)</f>
        <v>#NAME?</v>
      </c>
      <c r="R9" t="e">
        <f ca="1">_xll.EQNXTDZ($A$1,$B9,R$1,$B$1)</f>
        <v>#NAME?</v>
      </c>
      <c r="S9" t="e">
        <f ca="1">_xll.EQNXTDZ($A$1,$B9,S$1,$B$1)</f>
        <v>#NAME?</v>
      </c>
      <c r="T9" t="e">
        <f ca="1">_xll.EQNXTDZ($A$1,$B9,T$1,$B$1)</f>
        <v>#NAME?</v>
      </c>
      <c r="U9" t="e">
        <f ca="1">_xll.EQNXTDZ($A$1,$B9,U$1,$B$1)</f>
        <v>#NAME?</v>
      </c>
      <c r="V9" t="e">
        <f ca="1">_xll.EQNXTDZ($A$1,$B9,V$1,$B$1)</f>
        <v>#NAME?</v>
      </c>
      <c r="W9" t="e">
        <f ca="1">_xll.EQNXTDZ($A$1,$B9,W$1,$B$1)</f>
        <v>#NAME?</v>
      </c>
      <c r="X9" t="e">
        <f ca="1">_xll.EQNXTDZ($A$1,$B9,X$1,$B$1)</f>
        <v>#NAME?</v>
      </c>
      <c r="Y9" t="e">
        <f ca="1">_xll.EQNXTDZ($A$1,$B9,Y$1,$B$1)</f>
        <v>#NAME?</v>
      </c>
      <c r="Z9" t="e">
        <f ca="1">_xll.EQNXTDZ($A$1,$B9,Z$1,$B$1)</f>
        <v>#NAME?</v>
      </c>
      <c r="AA9" t="e">
        <f ca="1">_xll.EQNXTDZ($A$1,$B9,AA$1,$B$1)</f>
        <v>#NAME?</v>
      </c>
      <c r="AB9" t="e">
        <f ca="1">_xll.EQNXTDZ($A$1,$B9,AB$1,$B$1)</f>
        <v>#NAME?</v>
      </c>
      <c r="AC9" t="e">
        <f ca="1">_xll.EQNXTDZ($A$1,$B9,AC$1,$B$1)</f>
        <v>#NAME?</v>
      </c>
      <c r="AD9" t="e">
        <f ca="1">_xll.EQNXTDZ($A$1,$B9,AD$1,$B$1)</f>
        <v>#NAME?</v>
      </c>
      <c r="AE9" t="e">
        <f ca="1">_xll.EQNXTDZ($A$1,$B9,AE$1,$B$1)</f>
        <v>#NAME?</v>
      </c>
      <c r="AF9" t="e">
        <f ca="1">_xll.EQNXTDZ($A$1,$B9,AF$1,$B$1)</f>
        <v>#NAME?</v>
      </c>
      <c r="AG9" t="e">
        <f ca="1">_xll.EQNXTDZ($A$1,$B9,AG$1,$B$1)</f>
        <v>#NAME?</v>
      </c>
      <c r="AH9" t="e">
        <f ca="1">_xll.EQNXTDZ($A$1,$B9,AH$1,$B$1)</f>
        <v>#NAME?</v>
      </c>
      <c r="AI9" t="e">
        <f ca="1">_xll.EQNXTDZ($A$1,$B9,AI$1,$B$1)</f>
        <v>#NAME?</v>
      </c>
      <c r="AJ9" t="e">
        <f ca="1">_xll.EQNXTDZ($A$1,$B9,AJ$1,$B$1)</f>
        <v>#NAME?</v>
      </c>
      <c r="AK9" t="e">
        <f ca="1">_xll.EQNXTDZ($A$1,$B9,AK$1,$B$1)</f>
        <v>#NAME?</v>
      </c>
      <c r="AL9" t="e">
        <f ca="1">_xll.EQNXTDZ($A$1,$B9,AL$1,$B$1)</f>
        <v>#NAME?</v>
      </c>
      <c r="AM9" t="e">
        <f ca="1">_xll.EQNXTDZ($A$1,$B9,AM$1,$B$1)</f>
        <v>#NAME?</v>
      </c>
      <c r="AN9" t="e">
        <f ca="1">_xll.EQNXTDZ($A$1,$B9,AN$1,$B$1)</f>
        <v>#NAME?</v>
      </c>
      <c r="AO9" t="e">
        <f ca="1">_xll.EQNXTDZ($A$1,$B9,AO$1,$B$1)</f>
        <v>#NAME?</v>
      </c>
      <c r="AP9" t="e">
        <f ca="1">_xll.EQNXTDZ($A$1,$B9,AP$1,$B$1)</f>
        <v>#NAME?</v>
      </c>
      <c r="AQ9" t="e">
        <f ca="1">_xll.EQNXTDZ($A$1,$B9,AQ$1,$B$1)</f>
        <v>#NAME?</v>
      </c>
      <c r="AR9" t="e">
        <f ca="1">_xll.EQNXTDZ($A$1,$B9,AR$1,$B$1)</f>
        <v>#NAME?</v>
      </c>
      <c r="AS9" t="e">
        <f ca="1">_xll.EQNXTDZ($A$1,$B9,AS$1,$B$1)</f>
        <v>#NAME?</v>
      </c>
      <c r="AT9" t="e">
        <f ca="1">_xll.EQNXTDZ($A$1,$B9,AT$1,$B$1)</f>
        <v>#NAME?</v>
      </c>
      <c r="AU9" t="e">
        <f ca="1">_xll.EQNXTDZ($A$1,$B9,AU$1,$B$1)</f>
        <v>#NAME?</v>
      </c>
      <c r="AV9" t="e">
        <f ca="1">_xll.EQNXTDZ($A$1,$B9,AV$1,$B$1)</f>
        <v>#NAME?</v>
      </c>
      <c r="AW9" t="e">
        <f ca="1">_xll.EQNXTDZ($A$1,$B9,AW$1,$B$1)</f>
        <v>#NAME?</v>
      </c>
      <c r="AX9" t="e">
        <f ca="1">_xll.EQNXTDZ($A$1,$B9,AX$1,$B$1)</f>
        <v>#NAME?</v>
      </c>
      <c r="AY9" t="e">
        <f ca="1">_xll.EQNXTDZ($A$1,$B9,AY$1,$B$1)</f>
        <v>#NAME?</v>
      </c>
      <c r="AZ9" t="e">
        <f ca="1">_xll.EQNXTDZ($A$1,$B9,AZ$1,$B$1)</f>
        <v>#NAME?</v>
      </c>
      <c r="BA9" t="e">
        <f ca="1">_xll.EQNXTDZ($A$1,$B9,BA$1,$B$1)</f>
        <v>#NAME?</v>
      </c>
      <c r="BB9" t="e">
        <f ca="1">_xll.EQNXTDZ($A$1,$B9,BB$1,$B$1)</f>
        <v>#NAME?</v>
      </c>
      <c r="BC9" t="e">
        <f ca="1">_xll.EQNXTDZ($A$1,$B9,BC$1,$B$1)</f>
        <v>#NAME?</v>
      </c>
      <c r="BD9" t="e">
        <f ca="1">_xll.EQNXTDZ($A$1,$B9,BD$1,$B$1)</f>
        <v>#NAME?</v>
      </c>
      <c r="BE9" t="e">
        <f ca="1">_xll.EQNXTDZ($A$1,$B9,BE$1,$B$1)</f>
        <v>#NAME?</v>
      </c>
      <c r="BF9" t="e">
        <f ca="1">_xll.EQNXTDZ($A$1,$B9,BF$1,$B$1)</f>
        <v>#NAME?</v>
      </c>
      <c r="BG9" t="e">
        <f ca="1">_xll.EQNXTDZ($A$1,$B9,BG$1,$B$1)</f>
        <v>#NAME?</v>
      </c>
      <c r="BH9" t="e">
        <f ca="1">_xll.EQNXTDZ($A$1,$B9,BH$1,$B$1)</f>
        <v>#NAME?</v>
      </c>
      <c r="BI9" t="e">
        <f ca="1">_xll.EQNXTDZ($A$1,$B9,BI$1,$B$1)</f>
        <v>#NAME?</v>
      </c>
      <c r="BJ9" t="e">
        <f ca="1">_xll.EQNXTDZ($A$1,$B9,BJ$1,$B$1)</f>
        <v>#NAME?</v>
      </c>
      <c r="BK9" t="e">
        <f ca="1">_xll.EQNXTDZ($A$1,$B9,BK$1,$B$1)</f>
        <v>#NAME?</v>
      </c>
      <c r="BL9" t="e">
        <f ca="1">_xll.EQNXTDZ($A$1,$B9,BL$1,$B$1)</f>
        <v>#NAME?</v>
      </c>
      <c r="BM9" t="e">
        <f ca="1">_xll.EQNXTDZ($A$1,$B9,BM$1,$B$1)</f>
        <v>#NAME?</v>
      </c>
      <c r="BN9" t="e">
        <f ca="1">_xll.EQNXTDZ($A$1,$B9,BN$1,$B$1)</f>
        <v>#NAME?</v>
      </c>
      <c r="BO9" t="e">
        <f ca="1">_xll.EQNXTDZ($A$1,$B9,BO$1,$B$1)</f>
        <v>#NAME?</v>
      </c>
      <c r="BP9" t="e">
        <f ca="1">_xll.EQNXTDZ($A$1,$B9,BP$1,$B$1)</f>
        <v>#NAME?</v>
      </c>
      <c r="BQ9" t="e">
        <f ca="1">_xll.EQNXTDZ($A$1,$B9,BQ$1,$B$1)</f>
        <v>#NAME?</v>
      </c>
      <c r="BR9" t="e">
        <f ca="1">_xll.EQNXTDZ($A$1,$B9,BR$1,$B$1)</f>
        <v>#NAME?</v>
      </c>
      <c r="BS9" t="e">
        <f ca="1">_xll.EQNXTDZ($A$1,$B9,BS$1,$B$1)</f>
        <v>#NAME?</v>
      </c>
      <c r="BT9" t="e">
        <f ca="1">_xll.EQNXTDZ($A$1,$B9,BT$1,$B$1)</f>
        <v>#NAME?</v>
      </c>
      <c r="BU9" t="e">
        <f ca="1">_xll.EQNXTDZ($A$1,$B9,BU$1,$B$1)</f>
        <v>#NAME?</v>
      </c>
      <c r="BV9" t="e">
        <f ca="1">_xll.EQNXTDZ($A$1,$B9,BV$1,$B$1)</f>
        <v>#NAME?</v>
      </c>
    </row>
    <row r="10" spans="1:74" x14ac:dyDescent="0.25">
      <c r="A10" t="s">
        <v>256</v>
      </c>
      <c r="B10" t="s">
        <v>280</v>
      </c>
      <c r="C10" t="e">
        <f ca="1">_xll.EQNXTDZ($A$1,$B10,C$1,$B$1)</f>
        <v>#NAME?</v>
      </c>
      <c r="D10" t="e">
        <f ca="1">_xll.EQNXTDZ($A$1,$B10,D$1,$B$1)</f>
        <v>#NAME?</v>
      </c>
      <c r="E10" t="e">
        <f ca="1">_xll.EQNXTDZ($A$1,$B10,E$1,$B$1)</f>
        <v>#NAME?</v>
      </c>
      <c r="F10" t="e">
        <f ca="1">_xll.EQNXTDZ($A$1,$B10,F$1,$B$1)</f>
        <v>#NAME?</v>
      </c>
      <c r="G10" t="e">
        <f ca="1">_xll.EQNXTDZ($A$1,$B10,G$1,$B$1)</f>
        <v>#NAME?</v>
      </c>
      <c r="H10" t="e">
        <f ca="1">_xll.EQNXTDZ($A$1,$B10,H$1,$B$1)</f>
        <v>#NAME?</v>
      </c>
      <c r="I10" t="e">
        <f ca="1">_xll.EQNXTDZ($A$1,$B10,I$1,$B$1)</f>
        <v>#NAME?</v>
      </c>
      <c r="J10" t="e">
        <f ca="1">_xll.EQNXTDZ($A$1,$B10,J$1,$B$1)</f>
        <v>#NAME?</v>
      </c>
      <c r="K10" t="e">
        <f ca="1">_xll.EQNXTDZ($A$1,$B10,K$1,$B$1)</f>
        <v>#NAME?</v>
      </c>
      <c r="L10" t="e">
        <f ca="1">_xll.EQNXTDZ($A$1,$B10,L$1,$B$1)</f>
        <v>#NAME?</v>
      </c>
      <c r="M10" t="e">
        <f ca="1">_xll.EQNXTDZ($A$1,$B10,M$1,$B$1)</f>
        <v>#NAME?</v>
      </c>
      <c r="N10" t="e">
        <f ca="1">_xll.EQNXTDZ($A$1,$B10,N$1,$B$1)</f>
        <v>#NAME?</v>
      </c>
      <c r="O10" t="e">
        <f ca="1">_xll.EQNXTDZ($A$1,$B10,O$1,$B$1)</f>
        <v>#NAME?</v>
      </c>
      <c r="P10" t="e">
        <f ca="1">_xll.EQNXTDZ($A$1,$B10,P$1,$B$1)</f>
        <v>#NAME?</v>
      </c>
      <c r="Q10" t="e">
        <f ca="1">_xll.EQNXTDZ($A$1,$B10,Q$1,$B$1)</f>
        <v>#NAME?</v>
      </c>
      <c r="R10" t="e">
        <f ca="1">_xll.EQNXTDZ($A$1,$B10,R$1,$B$1)</f>
        <v>#NAME?</v>
      </c>
      <c r="S10" t="e">
        <f ca="1">_xll.EQNXTDZ($A$1,$B10,S$1,$B$1)</f>
        <v>#NAME?</v>
      </c>
      <c r="T10" t="e">
        <f ca="1">_xll.EQNXTDZ($A$1,$B10,T$1,$B$1)</f>
        <v>#NAME?</v>
      </c>
      <c r="U10" t="e">
        <f ca="1">_xll.EQNXTDZ($A$1,$B10,U$1,$B$1)</f>
        <v>#NAME?</v>
      </c>
      <c r="V10" t="e">
        <f ca="1">_xll.EQNXTDZ($A$1,$B10,V$1,$B$1)</f>
        <v>#NAME?</v>
      </c>
      <c r="W10" t="e">
        <f ca="1">_xll.EQNXTDZ($A$1,$B10,W$1,$B$1)</f>
        <v>#NAME?</v>
      </c>
      <c r="X10" t="e">
        <f ca="1">_xll.EQNXTDZ($A$1,$B10,X$1,$B$1)</f>
        <v>#NAME?</v>
      </c>
      <c r="Y10" t="e">
        <f ca="1">_xll.EQNXTDZ($A$1,$B10,Y$1,$B$1)</f>
        <v>#NAME?</v>
      </c>
      <c r="Z10" t="e">
        <f ca="1">_xll.EQNXTDZ($A$1,$B10,Z$1,$B$1)</f>
        <v>#NAME?</v>
      </c>
      <c r="AA10" t="e">
        <f ca="1">_xll.EQNXTDZ($A$1,$B10,AA$1,$B$1)</f>
        <v>#NAME?</v>
      </c>
      <c r="AB10" t="e">
        <f ca="1">_xll.EQNXTDZ($A$1,$B10,AB$1,$B$1)</f>
        <v>#NAME?</v>
      </c>
      <c r="AC10" t="e">
        <f ca="1">_xll.EQNXTDZ($A$1,$B10,AC$1,$B$1)</f>
        <v>#NAME?</v>
      </c>
      <c r="AD10" t="e">
        <f ca="1">_xll.EQNXTDZ($A$1,$B10,AD$1,$B$1)</f>
        <v>#NAME?</v>
      </c>
      <c r="AE10" t="e">
        <f ca="1">_xll.EQNXTDZ($A$1,$B10,AE$1,$B$1)</f>
        <v>#NAME?</v>
      </c>
      <c r="AF10" t="e">
        <f ca="1">_xll.EQNXTDZ($A$1,$B10,AF$1,$B$1)</f>
        <v>#NAME?</v>
      </c>
      <c r="AG10" t="e">
        <f ca="1">_xll.EQNXTDZ($A$1,$B10,AG$1,$B$1)</f>
        <v>#NAME?</v>
      </c>
      <c r="AH10" t="e">
        <f ca="1">_xll.EQNXTDZ($A$1,$B10,AH$1,$B$1)</f>
        <v>#NAME?</v>
      </c>
      <c r="AI10" t="e">
        <f ca="1">_xll.EQNXTDZ($A$1,$B10,AI$1,$B$1)</f>
        <v>#NAME?</v>
      </c>
      <c r="AJ10" t="e">
        <f ca="1">_xll.EQNXTDZ($A$1,$B10,AJ$1,$B$1)</f>
        <v>#NAME?</v>
      </c>
      <c r="AK10" t="e">
        <f ca="1">_xll.EQNXTDZ($A$1,$B10,AK$1,$B$1)</f>
        <v>#NAME?</v>
      </c>
      <c r="AL10" t="e">
        <f ca="1">_xll.EQNXTDZ($A$1,$B10,AL$1,$B$1)</f>
        <v>#NAME?</v>
      </c>
      <c r="AM10" t="e">
        <f ca="1">_xll.EQNXTDZ($A$1,$B10,AM$1,$B$1)</f>
        <v>#NAME?</v>
      </c>
      <c r="AN10" t="e">
        <f ca="1">_xll.EQNXTDZ($A$1,$B10,AN$1,$B$1)</f>
        <v>#NAME?</v>
      </c>
      <c r="AO10" t="e">
        <f ca="1">_xll.EQNXTDZ($A$1,$B10,AO$1,$B$1)</f>
        <v>#NAME?</v>
      </c>
      <c r="AP10" t="e">
        <f ca="1">_xll.EQNXTDZ($A$1,$B10,AP$1,$B$1)</f>
        <v>#NAME?</v>
      </c>
      <c r="AQ10" t="e">
        <f ca="1">_xll.EQNXTDZ($A$1,$B10,AQ$1,$B$1)</f>
        <v>#NAME?</v>
      </c>
      <c r="AR10" t="e">
        <f ca="1">_xll.EQNXTDZ($A$1,$B10,AR$1,$B$1)</f>
        <v>#NAME?</v>
      </c>
      <c r="AS10" t="e">
        <f ca="1">_xll.EQNXTDZ($A$1,$B10,AS$1,$B$1)</f>
        <v>#NAME?</v>
      </c>
      <c r="AT10" t="e">
        <f ca="1">_xll.EQNXTDZ($A$1,$B10,AT$1,$B$1)</f>
        <v>#NAME?</v>
      </c>
      <c r="AU10" t="e">
        <f ca="1">_xll.EQNXTDZ($A$1,$B10,AU$1,$B$1)</f>
        <v>#NAME?</v>
      </c>
      <c r="AV10" t="e">
        <f ca="1">_xll.EQNXTDZ($A$1,$B10,AV$1,$B$1)</f>
        <v>#NAME?</v>
      </c>
      <c r="AW10" t="e">
        <f ca="1">_xll.EQNXTDZ($A$1,$B10,AW$1,$B$1)</f>
        <v>#NAME?</v>
      </c>
      <c r="AX10" t="e">
        <f ca="1">_xll.EQNXTDZ($A$1,$B10,AX$1,$B$1)</f>
        <v>#NAME?</v>
      </c>
      <c r="AY10" t="e">
        <f ca="1">_xll.EQNXTDZ($A$1,$B10,AY$1,$B$1)</f>
        <v>#NAME?</v>
      </c>
      <c r="AZ10" t="e">
        <f ca="1">_xll.EQNXTDZ($A$1,$B10,AZ$1,$B$1)</f>
        <v>#NAME?</v>
      </c>
      <c r="BA10" t="e">
        <f ca="1">_xll.EQNXTDZ($A$1,$B10,BA$1,$B$1)</f>
        <v>#NAME?</v>
      </c>
      <c r="BB10" t="e">
        <f ca="1">_xll.EQNXTDZ($A$1,$B10,BB$1,$B$1)</f>
        <v>#NAME?</v>
      </c>
      <c r="BC10" t="e">
        <f ca="1">_xll.EQNXTDZ($A$1,$B10,BC$1,$B$1)</f>
        <v>#NAME?</v>
      </c>
      <c r="BD10" t="e">
        <f ca="1">_xll.EQNXTDZ($A$1,$B10,BD$1,$B$1)</f>
        <v>#NAME?</v>
      </c>
      <c r="BE10" t="e">
        <f ca="1">_xll.EQNXTDZ($A$1,$B10,BE$1,$B$1)</f>
        <v>#NAME?</v>
      </c>
      <c r="BF10" t="e">
        <f ca="1">_xll.EQNXTDZ($A$1,$B10,BF$1,$B$1)</f>
        <v>#NAME?</v>
      </c>
      <c r="BG10" t="e">
        <f ca="1">_xll.EQNXTDZ($A$1,$B10,BG$1,$B$1)</f>
        <v>#NAME?</v>
      </c>
      <c r="BH10" t="e">
        <f ca="1">_xll.EQNXTDZ($A$1,$B10,BH$1,$B$1)</f>
        <v>#NAME?</v>
      </c>
      <c r="BI10" t="e">
        <f ca="1">_xll.EQNXTDZ($A$1,$B10,BI$1,$B$1)</f>
        <v>#NAME?</v>
      </c>
      <c r="BJ10" t="e">
        <f ca="1">_xll.EQNXTDZ($A$1,$B10,BJ$1,$B$1)</f>
        <v>#NAME?</v>
      </c>
      <c r="BK10" t="e">
        <f ca="1">_xll.EQNXTDZ($A$1,$B10,BK$1,$B$1)</f>
        <v>#NAME?</v>
      </c>
      <c r="BL10" t="e">
        <f ca="1">_xll.EQNXTDZ($A$1,$B10,BL$1,$B$1)</f>
        <v>#NAME?</v>
      </c>
      <c r="BM10" t="e">
        <f ca="1">_xll.EQNXTDZ($A$1,$B10,BM$1,$B$1)</f>
        <v>#NAME?</v>
      </c>
      <c r="BN10" t="e">
        <f ca="1">_xll.EQNXTDZ($A$1,$B10,BN$1,$B$1)</f>
        <v>#NAME?</v>
      </c>
      <c r="BO10" t="e">
        <f ca="1">_xll.EQNXTDZ($A$1,$B10,BO$1,$B$1)</f>
        <v>#NAME?</v>
      </c>
      <c r="BP10" t="e">
        <f ca="1">_xll.EQNXTDZ($A$1,$B10,BP$1,$B$1)</f>
        <v>#NAME?</v>
      </c>
      <c r="BQ10" t="e">
        <f ca="1">_xll.EQNXTDZ($A$1,$B10,BQ$1,$B$1)</f>
        <v>#NAME?</v>
      </c>
      <c r="BR10" t="e">
        <f ca="1">_xll.EQNXTDZ($A$1,$B10,BR$1,$B$1)</f>
        <v>#NAME?</v>
      </c>
      <c r="BS10" t="e">
        <f ca="1">_xll.EQNXTDZ($A$1,$B10,BS$1,$B$1)</f>
        <v>#NAME?</v>
      </c>
      <c r="BT10" t="e">
        <f ca="1">_xll.EQNXTDZ($A$1,$B10,BT$1,$B$1)</f>
        <v>#NAME?</v>
      </c>
      <c r="BU10" t="e">
        <f ca="1">_xll.EQNXTDZ($A$1,$B10,BU$1,$B$1)</f>
        <v>#NAME?</v>
      </c>
      <c r="BV10" t="e">
        <f ca="1">_xll.EQNXTDZ($A$1,$B10,BV$1,$B$1)</f>
        <v>#NAME?</v>
      </c>
    </row>
    <row r="11" spans="1:74" x14ac:dyDescent="0.25">
      <c r="A11" t="s">
        <v>257</v>
      </c>
      <c r="B11" t="s">
        <v>281</v>
      </c>
      <c r="C11" t="e">
        <f ca="1">_xll.EQNXTDZ($A$1,$B11,C$1,$B$1)</f>
        <v>#NAME?</v>
      </c>
      <c r="D11" t="e">
        <f ca="1">_xll.EQNXTDZ($A$1,$B11,D$1,$B$1)</f>
        <v>#NAME?</v>
      </c>
      <c r="E11" t="e">
        <f ca="1">_xll.EQNXTDZ($A$1,$B11,E$1,$B$1)</f>
        <v>#NAME?</v>
      </c>
      <c r="F11" t="e">
        <f ca="1">_xll.EQNXTDZ($A$1,$B11,F$1,$B$1)</f>
        <v>#NAME?</v>
      </c>
      <c r="G11" t="e">
        <f ca="1">_xll.EQNXTDZ($A$1,$B11,G$1,$B$1)</f>
        <v>#NAME?</v>
      </c>
      <c r="H11" t="e">
        <f ca="1">_xll.EQNXTDZ($A$1,$B11,H$1,$B$1)</f>
        <v>#NAME?</v>
      </c>
      <c r="I11" t="e">
        <f ca="1">_xll.EQNXTDZ($A$1,$B11,I$1,$B$1)</f>
        <v>#NAME?</v>
      </c>
      <c r="J11" t="e">
        <f ca="1">_xll.EQNXTDZ($A$1,$B11,J$1,$B$1)</f>
        <v>#NAME?</v>
      </c>
      <c r="K11" t="e">
        <f ca="1">_xll.EQNXTDZ($A$1,$B11,K$1,$B$1)</f>
        <v>#NAME?</v>
      </c>
      <c r="L11" t="e">
        <f ca="1">_xll.EQNXTDZ($A$1,$B11,L$1,$B$1)</f>
        <v>#NAME?</v>
      </c>
      <c r="M11" t="e">
        <f ca="1">_xll.EQNXTDZ($A$1,$B11,M$1,$B$1)</f>
        <v>#NAME?</v>
      </c>
      <c r="N11" t="e">
        <f ca="1">_xll.EQNXTDZ($A$1,$B11,N$1,$B$1)</f>
        <v>#NAME?</v>
      </c>
      <c r="O11" t="e">
        <f ca="1">_xll.EQNXTDZ($A$1,$B11,O$1,$B$1)</f>
        <v>#NAME?</v>
      </c>
      <c r="P11" t="e">
        <f ca="1">_xll.EQNXTDZ($A$1,$B11,P$1,$B$1)</f>
        <v>#NAME?</v>
      </c>
      <c r="Q11" t="e">
        <f ca="1">_xll.EQNXTDZ($A$1,$B11,Q$1,$B$1)</f>
        <v>#NAME?</v>
      </c>
      <c r="R11" t="e">
        <f ca="1">_xll.EQNXTDZ($A$1,$B11,R$1,$B$1)</f>
        <v>#NAME?</v>
      </c>
      <c r="S11" t="e">
        <f ca="1">_xll.EQNXTDZ($A$1,$B11,S$1,$B$1)</f>
        <v>#NAME?</v>
      </c>
      <c r="T11" t="e">
        <f ca="1">_xll.EQNXTDZ($A$1,$B11,T$1,$B$1)</f>
        <v>#NAME?</v>
      </c>
      <c r="U11" t="e">
        <f ca="1">_xll.EQNXTDZ($A$1,$B11,U$1,$B$1)</f>
        <v>#NAME?</v>
      </c>
      <c r="V11" t="e">
        <f ca="1">_xll.EQNXTDZ($A$1,$B11,V$1,$B$1)</f>
        <v>#NAME?</v>
      </c>
      <c r="W11" t="e">
        <f ca="1">_xll.EQNXTDZ($A$1,$B11,W$1,$B$1)</f>
        <v>#NAME?</v>
      </c>
      <c r="X11" t="e">
        <f ca="1">_xll.EQNXTDZ($A$1,$B11,X$1,$B$1)</f>
        <v>#NAME?</v>
      </c>
      <c r="Y11" t="e">
        <f ca="1">_xll.EQNXTDZ($A$1,$B11,Y$1,$B$1)</f>
        <v>#NAME?</v>
      </c>
      <c r="Z11" t="e">
        <f ca="1">_xll.EQNXTDZ($A$1,$B11,Z$1,$B$1)</f>
        <v>#NAME?</v>
      </c>
      <c r="AA11" t="e">
        <f ca="1">_xll.EQNXTDZ($A$1,$B11,AA$1,$B$1)</f>
        <v>#NAME?</v>
      </c>
      <c r="AB11" t="e">
        <f ca="1">_xll.EQNXTDZ($A$1,$B11,AB$1,$B$1)</f>
        <v>#NAME?</v>
      </c>
      <c r="AC11" t="e">
        <f ca="1">_xll.EQNXTDZ($A$1,$B11,AC$1,$B$1)</f>
        <v>#NAME?</v>
      </c>
      <c r="AD11" t="e">
        <f ca="1">_xll.EQNXTDZ($A$1,$B11,AD$1,$B$1)</f>
        <v>#NAME?</v>
      </c>
      <c r="AE11" t="e">
        <f ca="1">_xll.EQNXTDZ($A$1,$B11,AE$1,$B$1)</f>
        <v>#NAME?</v>
      </c>
      <c r="AF11" t="e">
        <f ca="1">_xll.EQNXTDZ($A$1,$B11,AF$1,$B$1)</f>
        <v>#NAME?</v>
      </c>
      <c r="AG11" t="e">
        <f ca="1">_xll.EQNXTDZ($A$1,$B11,AG$1,$B$1)</f>
        <v>#NAME?</v>
      </c>
      <c r="AH11" t="e">
        <f ca="1">_xll.EQNXTDZ($A$1,$B11,AH$1,$B$1)</f>
        <v>#NAME?</v>
      </c>
      <c r="AI11" t="e">
        <f ca="1">_xll.EQNXTDZ($A$1,$B11,AI$1,$B$1)</f>
        <v>#NAME?</v>
      </c>
      <c r="AJ11" t="e">
        <f ca="1">_xll.EQNXTDZ($A$1,$B11,AJ$1,$B$1)</f>
        <v>#NAME?</v>
      </c>
      <c r="AK11" t="e">
        <f ca="1">_xll.EQNXTDZ($A$1,$B11,AK$1,$B$1)</f>
        <v>#NAME?</v>
      </c>
      <c r="AL11" t="e">
        <f ca="1">_xll.EQNXTDZ($A$1,$B11,AL$1,$B$1)</f>
        <v>#NAME?</v>
      </c>
      <c r="AM11" t="e">
        <f ca="1">_xll.EQNXTDZ($A$1,$B11,AM$1,$B$1)</f>
        <v>#NAME?</v>
      </c>
      <c r="AN11" t="e">
        <f ca="1">_xll.EQNXTDZ($A$1,$B11,AN$1,$B$1)</f>
        <v>#NAME?</v>
      </c>
      <c r="AO11" t="e">
        <f ca="1">_xll.EQNXTDZ($A$1,$B11,AO$1,$B$1)</f>
        <v>#NAME?</v>
      </c>
      <c r="AP11" t="e">
        <f ca="1">_xll.EQNXTDZ($A$1,$B11,AP$1,$B$1)</f>
        <v>#NAME?</v>
      </c>
      <c r="AQ11" t="e">
        <f ca="1">_xll.EQNXTDZ($A$1,$B11,AQ$1,$B$1)</f>
        <v>#NAME?</v>
      </c>
      <c r="AR11" t="e">
        <f ca="1">_xll.EQNXTDZ($A$1,$B11,AR$1,$B$1)</f>
        <v>#NAME?</v>
      </c>
      <c r="AS11" t="e">
        <f ca="1">_xll.EQNXTDZ($A$1,$B11,AS$1,$B$1)</f>
        <v>#NAME?</v>
      </c>
      <c r="AT11" t="e">
        <f ca="1">_xll.EQNXTDZ($A$1,$B11,AT$1,$B$1)</f>
        <v>#NAME?</v>
      </c>
      <c r="AU11" t="e">
        <f ca="1">_xll.EQNXTDZ($A$1,$B11,AU$1,$B$1)</f>
        <v>#NAME?</v>
      </c>
      <c r="AV11" t="e">
        <f ca="1">_xll.EQNXTDZ($A$1,$B11,AV$1,$B$1)</f>
        <v>#NAME?</v>
      </c>
      <c r="AW11" t="e">
        <f ca="1">_xll.EQNXTDZ($A$1,$B11,AW$1,$B$1)</f>
        <v>#NAME?</v>
      </c>
      <c r="AX11" t="e">
        <f ca="1">_xll.EQNXTDZ($A$1,$B11,AX$1,$B$1)</f>
        <v>#NAME?</v>
      </c>
      <c r="AY11" t="e">
        <f ca="1">_xll.EQNXTDZ($A$1,$B11,AY$1,$B$1)</f>
        <v>#NAME?</v>
      </c>
      <c r="AZ11" t="e">
        <f ca="1">_xll.EQNXTDZ($A$1,$B11,AZ$1,$B$1)</f>
        <v>#NAME?</v>
      </c>
      <c r="BA11" t="e">
        <f ca="1">_xll.EQNXTDZ($A$1,$B11,BA$1,$B$1)</f>
        <v>#NAME?</v>
      </c>
      <c r="BB11" t="e">
        <f ca="1">_xll.EQNXTDZ($A$1,$B11,BB$1,$B$1)</f>
        <v>#NAME?</v>
      </c>
      <c r="BC11" t="e">
        <f ca="1">_xll.EQNXTDZ($A$1,$B11,BC$1,$B$1)</f>
        <v>#NAME?</v>
      </c>
      <c r="BD11" t="e">
        <f ca="1">_xll.EQNXTDZ($A$1,$B11,BD$1,$B$1)</f>
        <v>#NAME?</v>
      </c>
      <c r="BE11" t="e">
        <f ca="1">_xll.EQNXTDZ($A$1,$B11,BE$1,$B$1)</f>
        <v>#NAME?</v>
      </c>
      <c r="BF11" t="e">
        <f ca="1">_xll.EQNXTDZ($A$1,$B11,BF$1,$B$1)</f>
        <v>#NAME?</v>
      </c>
      <c r="BG11" t="e">
        <f ca="1">_xll.EQNXTDZ($A$1,$B11,BG$1,$B$1)</f>
        <v>#NAME?</v>
      </c>
      <c r="BH11" t="e">
        <f ca="1">_xll.EQNXTDZ($A$1,$B11,BH$1,$B$1)</f>
        <v>#NAME?</v>
      </c>
      <c r="BI11" t="e">
        <f ca="1">_xll.EQNXTDZ($A$1,$B11,BI$1,$B$1)</f>
        <v>#NAME?</v>
      </c>
      <c r="BJ11" t="e">
        <f ca="1">_xll.EQNXTDZ($A$1,$B11,BJ$1,$B$1)</f>
        <v>#NAME?</v>
      </c>
      <c r="BK11" t="e">
        <f ca="1">_xll.EQNXTDZ($A$1,$B11,BK$1,$B$1)</f>
        <v>#NAME?</v>
      </c>
      <c r="BL11" t="e">
        <f ca="1">_xll.EQNXTDZ($A$1,$B11,BL$1,$B$1)</f>
        <v>#NAME?</v>
      </c>
      <c r="BM11" t="e">
        <f ca="1">_xll.EQNXTDZ($A$1,$B11,BM$1,$B$1)</f>
        <v>#NAME?</v>
      </c>
      <c r="BN11" t="e">
        <f ca="1">_xll.EQNXTDZ($A$1,$B11,BN$1,$B$1)</f>
        <v>#NAME?</v>
      </c>
      <c r="BO11" t="e">
        <f ca="1">_xll.EQNXTDZ($A$1,$B11,BO$1,$B$1)</f>
        <v>#NAME?</v>
      </c>
      <c r="BP11" t="e">
        <f ca="1">_xll.EQNXTDZ($A$1,$B11,BP$1,$B$1)</f>
        <v>#NAME?</v>
      </c>
      <c r="BQ11" t="e">
        <f ca="1">_xll.EQNXTDZ($A$1,$B11,BQ$1,$B$1)</f>
        <v>#NAME?</v>
      </c>
      <c r="BR11" t="e">
        <f ca="1">_xll.EQNXTDZ($A$1,$B11,BR$1,$B$1)</f>
        <v>#NAME?</v>
      </c>
      <c r="BS11" t="e">
        <f ca="1">_xll.EQNXTDZ($A$1,$B11,BS$1,$B$1)</f>
        <v>#NAME?</v>
      </c>
      <c r="BT11" t="e">
        <f ca="1">_xll.EQNXTDZ($A$1,$B11,BT$1,$B$1)</f>
        <v>#NAME?</v>
      </c>
      <c r="BU11" t="e">
        <f ca="1">_xll.EQNXTDZ($A$1,$B11,BU$1,$B$1)</f>
        <v>#NAME?</v>
      </c>
      <c r="BV11" t="e">
        <f ca="1">_xll.EQNXTDZ($A$1,$B11,BV$1,$B$1)</f>
        <v>#NAME?</v>
      </c>
    </row>
    <row r="12" spans="1:74" x14ac:dyDescent="0.25">
      <c r="A12" t="s">
        <v>3</v>
      </c>
      <c r="B12" t="s">
        <v>282</v>
      </c>
      <c r="C12" t="e">
        <f ca="1">_xll.EQNXTDZ($A$1,$B12,C$1,$B$1)</f>
        <v>#NAME?</v>
      </c>
      <c r="D12" t="e">
        <f ca="1">_xll.EQNXTDZ($A$1,$B12,D$1,$B$1)</f>
        <v>#NAME?</v>
      </c>
      <c r="E12" t="e">
        <f ca="1">_xll.EQNXTDZ($A$1,$B12,E$1,$B$1)</f>
        <v>#NAME?</v>
      </c>
      <c r="F12" t="e">
        <f ca="1">_xll.EQNXTDZ($A$1,$B12,F$1,$B$1)</f>
        <v>#NAME?</v>
      </c>
      <c r="G12" t="e">
        <f ca="1">_xll.EQNXTDZ($A$1,$B12,G$1,$B$1)</f>
        <v>#NAME?</v>
      </c>
      <c r="H12" t="e">
        <f ca="1">_xll.EQNXTDZ($A$1,$B12,H$1,$B$1)</f>
        <v>#NAME?</v>
      </c>
      <c r="I12" t="e">
        <f ca="1">_xll.EQNXTDZ($A$1,$B12,I$1,$B$1)</f>
        <v>#NAME?</v>
      </c>
      <c r="J12" t="e">
        <f ca="1">_xll.EQNXTDZ($A$1,$B12,J$1,$B$1)</f>
        <v>#NAME?</v>
      </c>
      <c r="K12" t="e">
        <f ca="1">_xll.EQNXTDZ($A$1,$B12,K$1,$B$1)</f>
        <v>#NAME?</v>
      </c>
      <c r="L12" t="e">
        <f ca="1">_xll.EQNXTDZ($A$1,$B12,L$1,$B$1)</f>
        <v>#NAME?</v>
      </c>
      <c r="M12" t="e">
        <f ca="1">_xll.EQNXTDZ($A$1,$B12,M$1,$B$1)</f>
        <v>#NAME?</v>
      </c>
      <c r="N12" t="e">
        <f ca="1">_xll.EQNXTDZ($A$1,$B12,N$1,$B$1)</f>
        <v>#NAME?</v>
      </c>
      <c r="O12" t="e">
        <f ca="1">_xll.EQNXTDZ($A$1,$B12,O$1,$B$1)</f>
        <v>#NAME?</v>
      </c>
      <c r="P12" t="e">
        <f ca="1">_xll.EQNXTDZ($A$1,$B12,P$1,$B$1)</f>
        <v>#NAME?</v>
      </c>
      <c r="Q12" t="e">
        <f ca="1">_xll.EQNXTDZ($A$1,$B12,Q$1,$B$1)</f>
        <v>#NAME?</v>
      </c>
      <c r="R12" t="e">
        <f ca="1">_xll.EQNXTDZ($A$1,$B12,R$1,$B$1)</f>
        <v>#NAME?</v>
      </c>
      <c r="S12" t="e">
        <f ca="1">_xll.EQNXTDZ($A$1,$B12,S$1,$B$1)</f>
        <v>#NAME?</v>
      </c>
      <c r="T12" t="e">
        <f ca="1">_xll.EQNXTDZ($A$1,$B12,T$1,$B$1)</f>
        <v>#NAME?</v>
      </c>
      <c r="U12" t="e">
        <f ca="1">_xll.EQNXTDZ($A$1,$B12,U$1,$B$1)</f>
        <v>#NAME?</v>
      </c>
      <c r="V12" t="e">
        <f ca="1">_xll.EQNXTDZ($A$1,$B12,V$1,$B$1)</f>
        <v>#NAME?</v>
      </c>
      <c r="W12" t="e">
        <f ca="1">_xll.EQNXTDZ($A$1,$B12,W$1,$B$1)</f>
        <v>#NAME?</v>
      </c>
      <c r="X12" t="e">
        <f ca="1">_xll.EQNXTDZ($A$1,$B12,X$1,$B$1)</f>
        <v>#NAME?</v>
      </c>
      <c r="Y12" t="e">
        <f ca="1">_xll.EQNXTDZ($A$1,$B12,Y$1,$B$1)</f>
        <v>#NAME?</v>
      </c>
      <c r="Z12" t="e">
        <f ca="1">_xll.EQNXTDZ($A$1,$B12,Z$1,$B$1)</f>
        <v>#NAME?</v>
      </c>
      <c r="AA12" t="e">
        <f ca="1">_xll.EQNXTDZ($A$1,$B12,AA$1,$B$1)</f>
        <v>#NAME?</v>
      </c>
      <c r="AB12" t="e">
        <f ca="1">_xll.EQNXTDZ($A$1,$B12,AB$1,$B$1)</f>
        <v>#NAME?</v>
      </c>
      <c r="AC12" t="e">
        <f ca="1">_xll.EQNXTDZ($A$1,$B12,AC$1,$B$1)</f>
        <v>#NAME?</v>
      </c>
      <c r="AD12" t="e">
        <f ca="1">_xll.EQNXTDZ($A$1,$B12,AD$1,$B$1)</f>
        <v>#NAME?</v>
      </c>
      <c r="AE12" t="e">
        <f ca="1">_xll.EQNXTDZ($A$1,$B12,AE$1,$B$1)</f>
        <v>#NAME?</v>
      </c>
      <c r="AF12" t="e">
        <f ca="1">_xll.EQNXTDZ($A$1,$B12,AF$1,$B$1)</f>
        <v>#NAME?</v>
      </c>
      <c r="AG12" t="e">
        <f ca="1">_xll.EQNXTDZ($A$1,$B12,AG$1,$B$1)</f>
        <v>#NAME?</v>
      </c>
      <c r="AH12" t="e">
        <f ca="1">_xll.EQNXTDZ($A$1,$B12,AH$1,$B$1)</f>
        <v>#NAME?</v>
      </c>
      <c r="AI12" t="e">
        <f ca="1">_xll.EQNXTDZ($A$1,$B12,AI$1,$B$1)</f>
        <v>#NAME?</v>
      </c>
      <c r="AJ12" t="e">
        <f ca="1">_xll.EQNXTDZ($A$1,$B12,AJ$1,$B$1)</f>
        <v>#NAME?</v>
      </c>
      <c r="AK12" t="e">
        <f ca="1">_xll.EQNXTDZ($A$1,$B12,AK$1,$B$1)</f>
        <v>#NAME?</v>
      </c>
      <c r="AL12" t="e">
        <f ca="1">_xll.EQNXTDZ($A$1,$B12,AL$1,$B$1)</f>
        <v>#NAME?</v>
      </c>
      <c r="AM12" t="e">
        <f ca="1">_xll.EQNXTDZ($A$1,$B12,AM$1,$B$1)</f>
        <v>#NAME?</v>
      </c>
      <c r="AN12" t="e">
        <f ca="1">_xll.EQNXTDZ($A$1,$B12,AN$1,$B$1)</f>
        <v>#NAME?</v>
      </c>
      <c r="AO12" t="e">
        <f ca="1">_xll.EQNXTDZ($A$1,$B12,AO$1,$B$1)</f>
        <v>#NAME?</v>
      </c>
      <c r="AP12" t="e">
        <f ca="1">_xll.EQNXTDZ($A$1,$B12,AP$1,$B$1)</f>
        <v>#NAME?</v>
      </c>
      <c r="AQ12" t="e">
        <f ca="1">_xll.EQNXTDZ($A$1,$B12,AQ$1,$B$1)</f>
        <v>#NAME?</v>
      </c>
      <c r="AR12" t="e">
        <f ca="1">_xll.EQNXTDZ($A$1,$B12,AR$1,$B$1)</f>
        <v>#NAME?</v>
      </c>
      <c r="AS12" t="e">
        <f ca="1">_xll.EQNXTDZ($A$1,$B12,AS$1,$B$1)</f>
        <v>#NAME?</v>
      </c>
      <c r="AT12" t="e">
        <f ca="1">_xll.EQNXTDZ($A$1,$B12,AT$1,$B$1)</f>
        <v>#NAME?</v>
      </c>
      <c r="AU12" t="e">
        <f ca="1">_xll.EQNXTDZ($A$1,$B12,AU$1,$B$1)</f>
        <v>#NAME?</v>
      </c>
      <c r="AV12" t="e">
        <f ca="1">_xll.EQNXTDZ($A$1,$B12,AV$1,$B$1)</f>
        <v>#NAME?</v>
      </c>
      <c r="AW12" t="e">
        <f ca="1">_xll.EQNXTDZ($A$1,$B12,AW$1,$B$1)</f>
        <v>#NAME?</v>
      </c>
      <c r="AX12" t="e">
        <f ca="1">_xll.EQNXTDZ($A$1,$B12,AX$1,$B$1)</f>
        <v>#NAME?</v>
      </c>
      <c r="AY12" t="e">
        <f ca="1">_xll.EQNXTDZ($A$1,$B12,AY$1,$B$1)</f>
        <v>#NAME?</v>
      </c>
      <c r="AZ12" t="e">
        <f ca="1">_xll.EQNXTDZ($A$1,$B12,AZ$1,$B$1)</f>
        <v>#NAME?</v>
      </c>
      <c r="BA12" t="e">
        <f ca="1">_xll.EQNXTDZ($A$1,$B12,BA$1,$B$1)</f>
        <v>#NAME?</v>
      </c>
      <c r="BB12" t="e">
        <f ca="1">_xll.EQNXTDZ($A$1,$B12,BB$1,$B$1)</f>
        <v>#NAME?</v>
      </c>
      <c r="BC12" t="e">
        <f ca="1">_xll.EQNXTDZ($A$1,$B12,BC$1,$B$1)</f>
        <v>#NAME?</v>
      </c>
      <c r="BD12" t="e">
        <f ca="1">_xll.EQNXTDZ($A$1,$B12,BD$1,$B$1)</f>
        <v>#NAME?</v>
      </c>
      <c r="BE12" t="e">
        <f ca="1">_xll.EQNXTDZ($A$1,$B12,BE$1,$B$1)</f>
        <v>#NAME?</v>
      </c>
      <c r="BF12" t="e">
        <f ca="1">_xll.EQNXTDZ($A$1,$B12,BF$1,$B$1)</f>
        <v>#NAME?</v>
      </c>
      <c r="BG12" t="e">
        <f ca="1">_xll.EQNXTDZ($A$1,$B12,BG$1,$B$1)</f>
        <v>#NAME?</v>
      </c>
      <c r="BH12" t="e">
        <f ca="1">_xll.EQNXTDZ($A$1,$B12,BH$1,$B$1)</f>
        <v>#NAME?</v>
      </c>
      <c r="BI12" t="e">
        <f ca="1">_xll.EQNXTDZ($A$1,$B12,BI$1,$B$1)</f>
        <v>#NAME?</v>
      </c>
      <c r="BJ12" t="e">
        <f ca="1">_xll.EQNXTDZ($A$1,$B12,BJ$1,$B$1)</f>
        <v>#NAME?</v>
      </c>
      <c r="BK12" t="e">
        <f ca="1">_xll.EQNXTDZ($A$1,$B12,BK$1,$B$1)</f>
        <v>#NAME?</v>
      </c>
      <c r="BL12" t="e">
        <f ca="1">_xll.EQNXTDZ($A$1,$B12,BL$1,$B$1)</f>
        <v>#NAME?</v>
      </c>
      <c r="BM12" t="e">
        <f ca="1">_xll.EQNXTDZ($A$1,$B12,BM$1,$B$1)</f>
        <v>#NAME?</v>
      </c>
      <c r="BN12" t="e">
        <f ca="1">_xll.EQNXTDZ($A$1,$B12,BN$1,$B$1)</f>
        <v>#NAME?</v>
      </c>
      <c r="BO12" t="e">
        <f ca="1">_xll.EQNXTDZ($A$1,$B12,BO$1,$B$1)</f>
        <v>#NAME?</v>
      </c>
      <c r="BP12" t="e">
        <f ca="1">_xll.EQNXTDZ($A$1,$B12,BP$1,$B$1)</f>
        <v>#NAME?</v>
      </c>
      <c r="BQ12" t="e">
        <f ca="1">_xll.EQNXTDZ($A$1,$B12,BQ$1,$B$1)</f>
        <v>#NAME?</v>
      </c>
      <c r="BR12" t="e">
        <f ca="1">_xll.EQNXTDZ($A$1,$B12,BR$1,$B$1)</f>
        <v>#NAME?</v>
      </c>
      <c r="BS12" t="e">
        <f ca="1">_xll.EQNXTDZ($A$1,$B12,BS$1,$B$1)</f>
        <v>#NAME?</v>
      </c>
      <c r="BT12" t="e">
        <f ca="1">_xll.EQNXTDZ($A$1,$B12,BT$1,$B$1)</f>
        <v>#NAME?</v>
      </c>
      <c r="BU12" t="e">
        <f ca="1">_xll.EQNXTDZ($A$1,$B12,BU$1,$B$1)</f>
        <v>#NAME?</v>
      </c>
      <c r="BV12" t="e">
        <f ca="1">_xll.EQNXTDZ($A$1,$B12,BV$1,$B$1)</f>
        <v>#NAME?</v>
      </c>
    </row>
    <row r="13" spans="1:74" x14ac:dyDescent="0.25">
      <c r="A13" t="s">
        <v>258</v>
      </c>
      <c r="B13" t="s">
        <v>283</v>
      </c>
      <c r="C13" t="e">
        <f ca="1">_xll.EQNXTDZ($A$1,$B13,C$1,$B$1)</f>
        <v>#NAME?</v>
      </c>
      <c r="D13" t="e">
        <f ca="1">_xll.EQNXTDZ($A$1,$B13,D$1,$B$1)</f>
        <v>#NAME?</v>
      </c>
      <c r="E13" t="e">
        <f ca="1">_xll.EQNXTDZ($A$1,$B13,E$1,$B$1)</f>
        <v>#NAME?</v>
      </c>
      <c r="F13" t="e">
        <f ca="1">_xll.EQNXTDZ($A$1,$B13,F$1,$B$1)</f>
        <v>#NAME?</v>
      </c>
      <c r="G13" t="e">
        <f ca="1">_xll.EQNXTDZ($A$1,$B13,G$1,$B$1)</f>
        <v>#NAME?</v>
      </c>
      <c r="H13" t="e">
        <f ca="1">_xll.EQNXTDZ($A$1,$B13,H$1,$B$1)</f>
        <v>#NAME?</v>
      </c>
      <c r="I13" t="e">
        <f ca="1">_xll.EQNXTDZ($A$1,$B13,I$1,$B$1)</f>
        <v>#NAME?</v>
      </c>
      <c r="J13" t="e">
        <f ca="1">_xll.EQNXTDZ($A$1,$B13,J$1,$B$1)</f>
        <v>#NAME?</v>
      </c>
      <c r="K13" t="e">
        <f ca="1">_xll.EQNXTDZ($A$1,$B13,K$1,$B$1)</f>
        <v>#NAME?</v>
      </c>
      <c r="L13" t="e">
        <f ca="1">_xll.EQNXTDZ($A$1,$B13,L$1,$B$1)</f>
        <v>#NAME?</v>
      </c>
      <c r="M13" t="e">
        <f ca="1">_xll.EQNXTDZ($A$1,$B13,M$1,$B$1)</f>
        <v>#NAME?</v>
      </c>
      <c r="N13" t="e">
        <f ca="1">_xll.EQNXTDZ($A$1,$B13,N$1,$B$1)</f>
        <v>#NAME?</v>
      </c>
      <c r="O13" t="e">
        <f ca="1">_xll.EQNXTDZ($A$1,$B13,O$1,$B$1)</f>
        <v>#NAME?</v>
      </c>
      <c r="P13" t="e">
        <f ca="1">_xll.EQNXTDZ($A$1,$B13,P$1,$B$1)</f>
        <v>#NAME?</v>
      </c>
      <c r="Q13" t="e">
        <f ca="1">_xll.EQNXTDZ($A$1,$B13,Q$1,$B$1)</f>
        <v>#NAME?</v>
      </c>
      <c r="R13" t="e">
        <f ca="1">_xll.EQNXTDZ($A$1,$B13,R$1,$B$1)</f>
        <v>#NAME?</v>
      </c>
      <c r="S13" t="e">
        <f ca="1">_xll.EQNXTDZ($A$1,$B13,S$1,$B$1)</f>
        <v>#NAME?</v>
      </c>
      <c r="T13" t="e">
        <f ca="1">_xll.EQNXTDZ($A$1,$B13,T$1,$B$1)</f>
        <v>#NAME?</v>
      </c>
      <c r="U13" t="e">
        <f ca="1">_xll.EQNXTDZ($A$1,$B13,U$1,$B$1)</f>
        <v>#NAME?</v>
      </c>
      <c r="V13" t="e">
        <f ca="1">_xll.EQNXTDZ($A$1,$B13,V$1,$B$1)</f>
        <v>#NAME?</v>
      </c>
      <c r="W13" t="e">
        <f ca="1">_xll.EQNXTDZ($A$1,$B13,W$1,$B$1)</f>
        <v>#NAME?</v>
      </c>
      <c r="X13" t="e">
        <f ca="1">_xll.EQNXTDZ($A$1,$B13,X$1,$B$1)</f>
        <v>#NAME?</v>
      </c>
      <c r="Y13" t="e">
        <f ca="1">_xll.EQNXTDZ($A$1,$B13,Y$1,$B$1)</f>
        <v>#NAME?</v>
      </c>
      <c r="Z13" t="e">
        <f ca="1">_xll.EQNXTDZ($A$1,$B13,Z$1,$B$1)</f>
        <v>#NAME?</v>
      </c>
      <c r="AA13" t="e">
        <f ca="1">_xll.EQNXTDZ($A$1,$B13,AA$1,$B$1)</f>
        <v>#NAME?</v>
      </c>
      <c r="AB13" t="e">
        <f ca="1">_xll.EQNXTDZ($A$1,$B13,AB$1,$B$1)</f>
        <v>#NAME?</v>
      </c>
      <c r="AC13" t="e">
        <f ca="1">_xll.EQNXTDZ($A$1,$B13,AC$1,$B$1)</f>
        <v>#NAME?</v>
      </c>
      <c r="AD13" t="e">
        <f ca="1">_xll.EQNXTDZ($A$1,$B13,AD$1,$B$1)</f>
        <v>#NAME?</v>
      </c>
      <c r="AE13" t="e">
        <f ca="1">_xll.EQNXTDZ($A$1,$B13,AE$1,$B$1)</f>
        <v>#NAME?</v>
      </c>
      <c r="AF13" t="e">
        <f ca="1">_xll.EQNXTDZ($A$1,$B13,AF$1,$B$1)</f>
        <v>#NAME?</v>
      </c>
      <c r="AG13" t="e">
        <f ca="1">_xll.EQNXTDZ($A$1,$B13,AG$1,$B$1)</f>
        <v>#NAME?</v>
      </c>
      <c r="AH13" t="e">
        <f ca="1">_xll.EQNXTDZ($A$1,$B13,AH$1,$B$1)</f>
        <v>#NAME?</v>
      </c>
      <c r="AI13" t="e">
        <f ca="1">_xll.EQNXTDZ($A$1,$B13,AI$1,$B$1)</f>
        <v>#NAME?</v>
      </c>
      <c r="AJ13" t="e">
        <f ca="1">_xll.EQNXTDZ($A$1,$B13,AJ$1,$B$1)</f>
        <v>#NAME?</v>
      </c>
      <c r="AK13" t="e">
        <f ca="1">_xll.EQNXTDZ($A$1,$B13,AK$1,$B$1)</f>
        <v>#NAME?</v>
      </c>
      <c r="AL13" t="e">
        <f ca="1">_xll.EQNXTDZ($A$1,$B13,AL$1,$B$1)</f>
        <v>#NAME?</v>
      </c>
      <c r="AM13" t="e">
        <f ca="1">_xll.EQNXTDZ($A$1,$B13,AM$1,$B$1)</f>
        <v>#NAME?</v>
      </c>
      <c r="AN13" t="e">
        <f ca="1">_xll.EQNXTDZ($A$1,$B13,AN$1,$B$1)</f>
        <v>#NAME?</v>
      </c>
      <c r="AO13" t="e">
        <f ca="1">_xll.EQNXTDZ($A$1,$B13,AO$1,$B$1)</f>
        <v>#NAME?</v>
      </c>
      <c r="AP13" t="e">
        <f ca="1">_xll.EQNXTDZ($A$1,$B13,AP$1,$B$1)</f>
        <v>#NAME?</v>
      </c>
      <c r="AQ13" t="e">
        <f ca="1">_xll.EQNXTDZ($A$1,$B13,AQ$1,$B$1)</f>
        <v>#NAME?</v>
      </c>
      <c r="AR13" t="e">
        <f ca="1">_xll.EQNXTDZ($A$1,$B13,AR$1,$B$1)</f>
        <v>#NAME?</v>
      </c>
      <c r="AS13" t="e">
        <f ca="1">_xll.EQNXTDZ($A$1,$B13,AS$1,$B$1)</f>
        <v>#NAME?</v>
      </c>
      <c r="AT13" t="e">
        <f ca="1">_xll.EQNXTDZ($A$1,$B13,AT$1,$B$1)</f>
        <v>#NAME?</v>
      </c>
      <c r="AU13" t="e">
        <f ca="1">_xll.EQNXTDZ($A$1,$B13,AU$1,$B$1)</f>
        <v>#NAME?</v>
      </c>
      <c r="AV13" t="e">
        <f ca="1">_xll.EQNXTDZ($A$1,$B13,AV$1,$B$1)</f>
        <v>#NAME?</v>
      </c>
      <c r="AW13" t="e">
        <f ca="1">_xll.EQNXTDZ($A$1,$B13,AW$1,$B$1)</f>
        <v>#NAME?</v>
      </c>
      <c r="AX13" t="e">
        <f ca="1">_xll.EQNXTDZ($A$1,$B13,AX$1,$B$1)</f>
        <v>#NAME?</v>
      </c>
      <c r="AY13" t="e">
        <f ca="1">_xll.EQNXTDZ($A$1,$B13,AY$1,$B$1)</f>
        <v>#NAME?</v>
      </c>
      <c r="AZ13" t="e">
        <f ca="1">_xll.EQNXTDZ($A$1,$B13,AZ$1,$B$1)</f>
        <v>#NAME?</v>
      </c>
      <c r="BA13" t="e">
        <f ca="1">_xll.EQNXTDZ($A$1,$B13,BA$1,$B$1)</f>
        <v>#NAME?</v>
      </c>
      <c r="BB13" t="e">
        <f ca="1">_xll.EQNXTDZ($A$1,$B13,BB$1,$B$1)</f>
        <v>#NAME?</v>
      </c>
      <c r="BC13" t="e">
        <f ca="1">_xll.EQNXTDZ($A$1,$B13,BC$1,$B$1)</f>
        <v>#NAME?</v>
      </c>
      <c r="BD13" t="e">
        <f ca="1">_xll.EQNXTDZ($A$1,$B13,BD$1,$B$1)</f>
        <v>#NAME?</v>
      </c>
      <c r="BE13" t="e">
        <f ca="1">_xll.EQNXTDZ($A$1,$B13,BE$1,$B$1)</f>
        <v>#NAME?</v>
      </c>
      <c r="BF13" t="e">
        <f ca="1">_xll.EQNXTDZ($A$1,$B13,BF$1,$B$1)</f>
        <v>#NAME?</v>
      </c>
      <c r="BG13" t="e">
        <f ca="1">_xll.EQNXTDZ($A$1,$B13,BG$1,$B$1)</f>
        <v>#NAME?</v>
      </c>
      <c r="BH13" t="e">
        <f ca="1">_xll.EQNXTDZ($A$1,$B13,BH$1,$B$1)</f>
        <v>#NAME?</v>
      </c>
      <c r="BI13" t="e">
        <f ca="1">_xll.EQNXTDZ($A$1,$B13,BI$1,$B$1)</f>
        <v>#NAME?</v>
      </c>
      <c r="BJ13" t="e">
        <f ca="1">_xll.EQNXTDZ($A$1,$B13,BJ$1,$B$1)</f>
        <v>#NAME?</v>
      </c>
      <c r="BK13" t="e">
        <f ca="1">_xll.EQNXTDZ($A$1,$B13,BK$1,$B$1)</f>
        <v>#NAME?</v>
      </c>
      <c r="BL13" t="e">
        <f ca="1">_xll.EQNXTDZ($A$1,$B13,BL$1,$B$1)</f>
        <v>#NAME?</v>
      </c>
      <c r="BM13" t="e">
        <f ca="1">_xll.EQNXTDZ($A$1,$B13,BM$1,$B$1)</f>
        <v>#NAME?</v>
      </c>
      <c r="BN13" t="e">
        <f ca="1">_xll.EQNXTDZ($A$1,$B13,BN$1,$B$1)</f>
        <v>#NAME?</v>
      </c>
      <c r="BO13" t="e">
        <f ca="1">_xll.EQNXTDZ($A$1,$B13,BO$1,$B$1)</f>
        <v>#NAME?</v>
      </c>
      <c r="BP13" t="e">
        <f ca="1">_xll.EQNXTDZ($A$1,$B13,BP$1,$B$1)</f>
        <v>#NAME?</v>
      </c>
      <c r="BQ13" t="e">
        <f ca="1">_xll.EQNXTDZ($A$1,$B13,BQ$1,$B$1)</f>
        <v>#NAME?</v>
      </c>
      <c r="BR13" t="e">
        <f ca="1">_xll.EQNXTDZ($A$1,$B13,BR$1,$B$1)</f>
        <v>#NAME?</v>
      </c>
      <c r="BS13" t="e">
        <f ca="1">_xll.EQNXTDZ($A$1,$B13,BS$1,$B$1)</f>
        <v>#NAME?</v>
      </c>
      <c r="BT13" t="e">
        <f ca="1">_xll.EQNXTDZ($A$1,$B13,BT$1,$B$1)</f>
        <v>#NAME?</v>
      </c>
      <c r="BU13" t="e">
        <f ca="1">_xll.EQNXTDZ($A$1,$B13,BU$1,$B$1)</f>
        <v>#NAME?</v>
      </c>
      <c r="BV13" t="e">
        <f ca="1">_xll.EQNXTDZ($A$1,$B13,BV$1,$B$1)</f>
        <v>#NAME?</v>
      </c>
    </row>
    <row r="14" spans="1:74" x14ac:dyDescent="0.25">
      <c r="A14" t="s">
        <v>118</v>
      </c>
      <c r="B14" t="s">
        <v>284</v>
      </c>
      <c r="C14" t="e">
        <f ca="1">_xll.EQNXTDZ($A$1,$B14,C$1,$B$1)</f>
        <v>#NAME?</v>
      </c>
      <c r="D14" t="e">
        <f ca="1">_xll.EQNXTDZ($A$1,$B14,D$1,$B$1)</f>
        <v>#NAME?</v>
      </c>
      <c r="E14" t="e">
        <f ca="1">_xll.EQNXTDZ($A$1,$B14,E$1,$B$1)</f>
        <v>#NAME?</v>
      </c>
      <c r="F14" t="e">
        <f ca="1">_xll.EQNXTDZ($A$1,$B14,F$1,$B$1)</f>
        <v>#NAME?</v>
      </c>
      <c r="G14" t="e">
        <f ca="1">_xll.EQNXTDZ($A$1,$B14,G$1,$B$1)</f>
        <v>#NAME?</v>
      </c>
      <c r="H14" t="e">
        <f ca="1">_xll.EQNXTDZ($A$1,$B14,H$1,$B$1)</f>
        <v>#NAME?</v>
      </c>
      <c r="I14" t="e">
        <f ca="1">_xll.EQNXTDZ($A$1,$B14,I$1,$B$1)</f>
        <v>#NAME?</v>
      </c>
      <c r="J14" t="e">
        <f ca="1">_xll.EQNXTDZ($A$1,$B14,J$1,$B$1)</f>
        <v>#NAME?</v>
      </c>
      <c r="K14" t="e">
        <f ca="1">_xll.EQNXTDZ($A$1,$B14,K$1,$B$1)</f>
        <v>#NAME?</v>
      </c>
      <c r="L14" t="e">
        <f ca="1">_xll.EQNXTDZ($A$1,$B14,L$1,$B$1)</f>
        <v>#NAME?</v>
      </c>
      <c r="M14" t="e">
        <f ca="1">_xll.EQNXTDZ($A$1,$B14,M$1,$B$1)</f>
        <v>#NAME?</v>
      </c>
      <c r="N14" t="e">
        <f ca="1">_xll.EQNXTDZ($A$1,$B14,N$1,$B$1)</f>
        <v>#NAME?</v>
      </c>
      <c r="O14" t="e">
        <f ca="1">_xll.EQNXTDZ($A$1,$B14,O$1,$B$1)</f>
        <v>#NAME?</v>
      </c>
      <c r="P14" t="e">
        <f ca="1">_xll.EQNXTDZ($A$1,$B14,P$1,$B$1)</f>
        <v>#NAME?</v>
      </c>
      <c r="Q14" t="e">
        <f ca="1">_xll.EQNXTDZ($A$1,$B14,Q$1,$B$1)</f>
        <v>#NAME?</v>
      </c>
      <c r="R14" t="e">
        <f ca="1">_xll.EQNXTDZ($A$1,$B14,R$1,$B$1)</f>
        <v>#NAME?</v>
      </c>
      <c r="S14" t="e">
        <f ca="1">_xll.EQNXTDZ($A$1,$B14,S$1,$B$1)</f>
        <v>#NAME?</v>
      </c>
      <c r="T14" t="e">
        <f ca="1">_xll.EQNXTDZ($A$1,$B14,T$1,$B$1)</f>
        <v>#NAME?</v>
      </c>
      <c r="U14" t="e">
        <f ca="1">_xll.EQNXTDZ($A$1,$B14,U$1,$B$1)</f>
        <v>#NAME?</v>
      </c>
      <c r="V14" t="e">
        <f ca="1">_xll.EQNXTDZ($A$1,$B14,V$1,$B$1)</f>
        <v>#NAME?</v>
      </c>
      <c r="W14" t="e">
        <f ca="1">_xll.EQNXTDZ($A$1,$B14,W$1,$B$1)</f>
        <v>#NAME?</v>
      </c>
      <c r="X14" t="e">
        <f ca="1">_xll.EQNXTDZ($A$1,$B14,X$1,$B$1)</f>
        <v>#NAME?</v>
      </c>
      <c r="Y14" t="e">
        <f ca="1">_xll.EQNXTDZ($A$1,$B14,Y$1,$B$1)</f>
        <v>#NAME?</v>
      </c>
      <c r="Z14" t="e">
        <f ca="1">_xll.EQNXTDZ($A$1,$B14,Z$1,$B$1)</f>
        <v>#NAME?</v>
      </c>
      <c r="AA14" t="e">
        <f ca="1">_xll.EQNXTDZ($A$1,$B14,AA$1,$B$1)</f>
        <v>#NAME?</v>
      </c>
      <c r="AB14" t="e">
        <f ca="1">_xll.EQNXTDZ($A$1,$B14,AB$1,$B$1)</f>
        <v>#NAME?</v>
      </c>
      <c r="AC14" t="e">
        <f ca="1">_xll.EQNXTDZ($A$1,$B14,AC$1,$B$1)</f>
        <v>#NAME?</v>
      </c>
      <c r="AD14" t="e">
        <f ca="1">_xll.EQNXTDZ($A$1,$B14,AD$1,$B$1)</f>
        <v>#NAME?</v>
      </c>
      <c r="AE14" t="e">
        <f ca="1">_xll.EQNXTDZ($A$1,$B14,AE$1,$B$1)</f>
        <v>#NAME?</v>
      </c>
      <c r="AF14" t="e">
        <f ca="1">_xll.EQNXTDZ($A$1,$B14,AF$1,$B$1)</f>
        <v>#NAME?</v>
      </c>
      <c r="AG14" t="e">
        <f ca="1">_xll.EQNXTDZ($A$1,$B14,AG$1,$B$1)</f>
        <v>#NAME?</v>
      </c>
      <c r="AH14" t="e">
        <f ca="1">_xll.EQNXTDZ($A$1,$B14,AH$1,$B$1)</f>
        <v>#NAME?</v>
      </c>
      <c r="AI14" t="e">
        <f ca="1">_xll.EQNXTDZ($A$1,$B14,AI$1,$B$1)</f>
        <v>#NAME?</v>
      </c>
      <c r="AJ14" t="e">
        <f ca="1">_xll.EQNXTDZ($A$1,$B14,AJ$1,$B$1)</f>
        <v>#NAME?</v>
      </c>
      <c r="AK14" t="e">
        <f ca="1">_xll.EQNXTDZ($A$1,$B14,AK$1,$B$1)</f>
        <v>#NAME?</v>
      </c>
      <c r="AL14" t="e">
        <f ca="1">_xll.EQNXTDZ($A$1,$B14,AL$1,$B$1)</f>
        <v>#NAME?</v>
      </c>
      <c r="AM14" t="e">
        <f ca="1">_xll.EQNXTDZ($A$1,$B14,AM$1,$B$1)</f>
        <v>#NAME?</v>
      </c>
      <c r="AN14" t="e">
        <f ca="1">_xll.EQNXTDZ($A$1,$B14,AN$1,$B$1)</f>
        <v>#NAME?</v>
      </c>
      <c r="AO14" t="e">
        <f ca="1">_xll.EQNXTDZ($A$1,$B14,AO$1,$B$1)</f>
        <v>#NAME?</v>
      </c>
      <c r="AP14" t="e">
        <f ca="1">_xll.EQNXTDZ($A$1,$B14,AP$1,$B$1)</f>
        <v>#NAME?</v>
      </c>
      <c r="AQ14" t="e">
        <f ca="1">_xll.EQNXTDZ($A$1,$B14,AQ$1,$B$1)</f>
        <v>#NAME?</v>
      </c>
      <c r="AR14" t="e">
        <f ca="1">_xll.EQNXTDZ($A$1,$B14,AR$1,$B$1)</f>
        <v>#NAME?</v>
      </c>
      <c r="AS14" t="e">
        <f ca="1">_xll.EQNXTDZ($A$1,$B14,AS$1,$B$1)</f>
        <v>#NAME?</v>
      </c>
      <c r="AT14" t="e">
        <f ca="1">_xll.EQNXTDZ($A$1,$B14,AT$1,$B$1)</f>
        <v>#NAME?</v>
      </c>
      <c r="AU14" t="e">
        <f ca="1">_xll.EQNXTDZ($A$1,$B14,AU$1,$B$1)</f>
        <v>#NAME?</v>
      </c>
      <c r="AV14" t="e">
        <f ca="1">_xll.EQNXTDZ($A$1,$B14,AV$1,$B$1)</f>
        <v>#NAME?</v>
      </c>
      <c r="AW14" t="e">
        <f ca="1">_xll.EQNXTDZ($A$1,$B14,AW$1,$B$1)</f>
        <v>#NAME?</v>
      </c>
      <c r="AX14" t="e">
        <f ca="1">_xll.EQNXTDZ($A$1,$B14,AX$1,$B$1)</f>
        <v>#NAME?</v>
      </c>
      <c r="AY14" t="e">
        <f ca="1">_xll.EQNXTDZ($A$1,$B14,AY$1,$B$1)</f>
        <v>#NAME?</v>
      </c>
      <c r="AZ14" t="e">
        <f ca="1">_xll.EQNXTDZ($A$1,$B14,AZ$1,$B$1)</f>
        <v>#NAME?</v>
      </c>
      <c r="BA14" t="e">
        <f ca="1">_xll.EQNXTDZ($A$1,$B14,BA$1,$B$1)</f>
        <v>#NAME?</v>
      </c>
      <c r="BB14" t="e">
        <f ca="1">_xll.EQNXTDZ($A$1,$B14,BB$1,$B$1)</f>
        <v>#NAME?</v>
      </c>
      <c r="BC14" t="e">
        <f ca="1">_xll.EQNXTDZ($A$1,$B14,BC$1,$B$1)</f>
        <v>#NAME?</v>
      </c>
      <c r="BD14" t="e">
        <f ca="1">_xll.EQNXTDZ($A$1,$B14,BD$1,$B$1)</f>
        <v>#NAME?</v>
      </c>
      <c r="BE14" t="e">
        <f ca="1">_xll.EQNXTDZ($A$1,$B14,BE$1,$B$1)</f>
        <v>#NAME?</v>
      </c>
      <c r="BF14" t="e">
        <f ca="1">_xll.EQNXTDZ($A$1,$B14,BF$1,$B$1)</f>
        <v>#NAME?</v>
      </c>
      <c r="BG14" t="e">
        <f ca="1">_xll.EQNXTDZ($A$1,$B14,BG$1,$B$1)</f>
        <v>#NAME?</v>
      </c>
      <c r="BH14" t="e">
        <f ca="1">_xll.EQNXTDZ($A$1,$B14,BH$1,$B$1)</f>
        <v>#NAME?</v>
      </c>
      <c r="BI14" t="e">
        <f ca="1">_xll.EQNXTDZ($A$1,$B14,BI$1,$B$1)</f>
        <v>#NAME?</v>
      </c>
      <c r="BJ14" t="e">
        <f ca="1">_xll.EQNXTDZ($A$1,$B14,BJ$1,$B$1)</f>
        <v>#NAME?</v>
      </c>
      <c r="BK14" t="e">
        <f ca="1">_xll.EQNXTDZ($A$1,$B14,BK$1,$B$1)</f>
        <v>#NAME?</v>
      </c>
      <c r="BL14" t="e">
        <f ca="1">_xll.EQNXTDZ($A$1,$B14,BL$1,$B$1)</f>
        <v>#NAME?</v>
      </c>
      <c r="BM14" t="e">
        <f ca="1">_xll.EQNXTDZ($A$1,$B14,BM$1,$B$1)</f>
        <v>#NAME?</v>
      </c>
      <c r="BN14" t="e">
        <f ca="1">_xll.EQNXTDZ($A$1,$B14,BN$1,$B$1)</f>
        <v>#NAME?</v>
      </c>
      <c r="BO14" t="e">
        <f ca="1">_xll.EQNXTDZ($A$1,$B14,BO$1,$B$1)</f>
        <v>#NAME?</v>
      </c>
      <c r="BP14" t="e">
        <f ca="1">_xll.EQNXTDZ($A$1,$B14,BP$1,$B$1)</f>
        <v>#NAME?</v>
      </c>
      <c r="BQ14" t="e">
        <f ca="1">_xll.EQNXTDZ($A$1,$B14,BQ$1,$B$1)</f>
        <v>#NAME?</v>
      </c>
      <c r="BR14" t="e">
        <f ca="1">_xll.EQNXTDZ($A$1,$B14,BR$1,$B$1)</f>
        <v>#NAME?</v>
      </c>
      <c r="BS14" t="e">
        <f ca="1">_xll.EQNXTDZ($A$1,$B14,BS$1,$B$1)</f>
        <v>#NAME?</v>
      </c>
      <c r="BT14" t="e">
        <f ca="1">_xll.EQNXTDZ($A$1,$B14,BT$1,$B$1)</f>
        <v>#NAME?</v>
      </c>
      <c r="BU14" t="e">
        <f ca="1">_xll.EQNXTDZ($A$1,$B14,BU$1,$B$1)</f>
        <v>#NAME?</v>
      </c>
      <c r="BV14" t="e">
        <f ca="1">_xll.EQNXTDZ($A$1,$B14,BV$1,$B$1)</f>
        <v>#NAME?</v>
      </c>
    </row>
    <row r="15" spans="1:74" x14ac:dyDescent="0.25">
      <c r="A15" t="s">
        <v>259</v>
      </c>
      <c r="B15" t="s">
        <v>285</v>
      </c>
      <c r="C15" t="e">
        <f ca="1">_xll.EQNXTDZ($A$1,$B15,C$1,$B$1)</f>
        <v>#NAME?</v>
      </c>
      <c r="D15" t="e">
        <f ca="1">_xll.EQNXTDZ($A$1,$B15,D$1,$B$1)</f>
        <v>#NAME?</v>
      </c>
      <c r="E15" t="e">
        <f ca="1">_xll.EQNXTDZ($A$1,$B15,E$1,$B$1)</f>
        <v>#NAME?</v>
      </c>
      <c r="F15" t="e">
        <f ca="1">_xll.EQNXTDZ($A$1,$B15,F$1,$B$1)</f>
        <v>#NAME?</v>
      </c>
      <c r="G15" t="e">
        <f ca="1">_xll.EQNXTDZ($A$1,$B15,G$1,$B$1)</f>
        <v>#NAME?</v>
      </c>
      <c r="H15" t="e">
        <f ca="1">_xll.EQNXTDZ($A$1,$B15,H$1,$B$1)</f>
        <v>#NAME?</v>
      </c>
      <c r="I15" t="e">
        <f ca="1">_xll.EQNXTDZ($A$1,$B15,I$1,$B$1)</f>
        <v>#NAME?</v>
      </c>
      <c r="J15" t="e">
        <f ca="1">_xll.EQNXTDZ($A$1,$B15,J$1,$B$1)</f>
        <v>#NAME?</v>
      </c>
      <c r="K15" t="e">
        <f ca="1">_xll.EQNXTDZ($A$1,$B15,K$1,$B$1)</f>
        <v>#NAME?</v>
      </c>
      <c r="L15" t="e">
        <f ca="1">_xll.EQNXTDZ($A$1,$B15,L$1,$B$1)</f>
        <v>#NAME?</v>
      </c>
      <c r="M15" t="e">
        <f ca="1">_xll.EQNXTDZ($A$1,$B15,M$1,$B$1)</f>
        <v>#NAME?</v>
      </c>
      <c r="N15" t="e">
        <f ca="1">_xll.EQNXTDZ($A$1,$B15,N$1,$B$1)</f>
        <v>#NAME?</v>
      </c>
      <c r="O15" t="e">
        <f ca="1">_xll.EQNXTDZ($A$1,$B15,O$1,$B$1)</f>
        <v>#NAME?</v>
      </c>
      <c r="P15" t="e">
        <f ca="1">_xll.EQNXTDZ($A$1,$B15,P$1,$B$1)</f>
        <v>#NAME?</v>
      </c>
      <c r="Q15" t="e">
        <f ca="1">_xll.EQNXTDZ($A$1,$B15,Q$1,$B$1)</f>
        <v>#NAME?</v>
      </c>
      <c r="R15" t="e">
        <f ca="1">_xll.EQNXTDZ($A$1,$B15,R$1,$B$1)</f>
        <v>#NAME?</v>
      </c>
      <c r="S15" t="e">
        <f ca="1">_xll.EQNXTDZ($A$1,$B15,S$1,$B$1)</f>
        <v>#NAME?</v>
      </c>
      <c r="T15" t="e">
        <f ca="1">_xll.EQNXTDZ($A$1,$B15,T$1,$B$1)</f>
        <v>#NAME?</v>
      </c>
      <c r="U15" t="e">
        <f ca="1">_xll.EQNXTDZ($A$1,$B15,U$1,$B$1)</f>
        <v>#NAME?</v>
      </c>
      <c r="V15" t="e">
        <f ca="1">_xll.EQNXTDZ($A$1,$B15,V$1,$B$1)</f>
        <v>#NAME?</v>
      </c>
      <c r="W15" t="e">
        <f ca="1">_xll.EQNXTDZ($A$1,$B15,W$1,$B$1)</f>
        <v>#NAME?</v>
      </c>
      <c r="X15" t="e">
        <f ca="1">_xll.EQNXTDZ($A$1,$B15,X$1,$B$1)</f>
        <v>#NAME?</v>
      </c>
      <c r="Y15" t="e">
        <f ca="1">_xll.EQNXTDZ($A$1,$B15,Y$1,$B$1)</f>
        <v>#NAME?</v>
      </c>
      <c r="Z15" t="e">
        <f ca="1">_xll.EQNXTDZ($A$1,$B15,Z$1,$B$1)</f>
        <v>#NAME?</v>
      </c>
      <c r="AA15" t="e">
        <f ca="1">_xll.EQNXTDZ($A$1,$B15,AA$1,$B$1)</f>
        <v>#NAME?</v>
      </c>
      <c r="AB15" t="e">
        <f ca="1">_xll.EQNXTDZ($A$1,$B15,AB$1,$B$1)</f>
        <v>#NAME?</v>
      </c>
      <c r="AC15" t="e">
        <f ca="1">_xll.EQNXTDZ($A$1,$B15,AC$1,$B$1)</f>
        <v>#NAME?</v>
      </c>
      <c r="AD15" t="e">
        <f ca="1">_xll.EQNXTDZ($A$1,$B15,AD$1,$B$1)</f>
        <v>#NAME?</v>
      </c>
      <c r="AE15" t="e">
        <f ca="1">_xll.EQNXTDZ($A$1,$B15,AE$1,$B$1)</f>
        <v>#NAME?</v>
      </c>
      <c r="AF15" t="e">
        <f ca="1">_xll.EQNXTDZ($A$1,$B15,AF$1,$B$1)</f>
        <v>#NAME?</v>
      </c>
      <c r="AG15" t="e">
        <f ca="1">_xll.EQNXTDZ($A$1,$B15,AG$1,$B$1)</f>
        <v>#NAME?</v>
      </c>
      <c r="AH15" t="e">
        <f ca="1">_xll.EQNXTDZ($A$1,$B15,AH$1,$B$1)</f>
        <v>#NAME?</v>
      </c>
      <c r="AI15" t="e">
        <f ca="1">_xll.EQNXTDZ($A$1,$B15,AI$1,$B$1)</f>
        <v>#NAME?</v>
      </c>
      <c r="AJ15" t="e">
        <f ca="1">_xll.EQNXTDZ($A$1,$B15,AJ$1,$B$1)</f>
        <v>#NAME?</v>
      </c>
      <c r="AK15" t="e">
        <f ca="1">_xll.EQNXTDZ($A$1,$B15,AK$1,$B$1)</f>
        <v>#NAME?</v>
      </c>
      <c r="AL15" t="e">
        <f ca="1">_xll.EQNXTDZ($A$1,$B15,AL$1,$B$1)</f>
        <v>#NAME?</v>
      </c>
      <c r="AM15" t="e">
        <f ca="1">_xll.EQNXTDZ($A$1,$B15,AM$1,$B$1)</f>
        <v>#NAME?</v>
      </c>
      <c r="AN15" t="e">
        <f ca="1">_xll.EQNXTDZ($A$1,$B15,AN$1,$B$1)</f>
        <v>#NAME?</v>
      </c>
      <c r="AO15" t="e">
        <f ca="1">_xll.EQNXTDZ($A$1,$B15,AO$1,$B$1)</f>
        <v>#NAME?</v>
      </c>
      <c r="AP15" t="e">
        <f ca="1">_xll.EQNXTDZ($A$1,$B15,AP$1,$B$1)</f>
        <v>#NAME?</v>
      </c>
      <c r="AQ15" t="e">
        <f ca="1">_xll.EQNXTDZ($A$1,$B15,AQ$1,$B$1)</f>
        <v>#NAME?</v>
      </c>
      <c r="AR15" t="e">
        <f ca="1">_xll.EQNXTDZ($A$1,$B15,AR$1,$B$1)</f>
        <v>#NAME?</v>
      </c>
      <c r="AS15" t="e">
        <f ca="1">_xll.EQNXTDZ($A$1,$B15,AS$1,$B$1)</f>
        <v>#NAME?</v>
      </c>
      <c r="AT15" t="e">
        <f ca="1">_xll.EQNXTDZ($A$1,$B15,AT$1,$B$1)</f>
        <v>#NAME?</v>
      </c>
      <c r="AU15" t="e">
        <f ca="1">_xll.EQNXTDZ($A$1,$B15,AU$1,$B$1)</f>
        <v>#NAME?</v>
      </c>
      <c r="AV15" t="e">
        <f ca="1">_xll.EQNXTDZ($A$1,$B15,AV$1,$B$1)</f>
        <v>#NAME?</v>
      </c>
      <c r="AW15" t="e">
        <f ca="1">_xll.EQNXTDZ($A$1,$B15,AW$1,$B$1)</f>
        <v>#NAME?</v>
      </c>
      <c r="AX15" t="e">
        <f ca="1">_xll.EQNXTDZ($A$1,$B15,AX$1,$B$1)</f>
        <v>#NAME?</v>
      </c>
      <c r="AY15" t="e">
        <f ca="1">_xll.EQNXTDZ($A$1,$B15,AY$1,$B$1)</f>
        <v>#NAME?</v>
      </c>
      <c r="AZ15" t="e">
        <f ca="1">_xll.EQNXTDZ($A$1,$B15,AZ$1,$B$1)</f>
        <v>#NAME?</v>
      </c>
      <c r="BA15" t="e">
        <f ca="1">_xll.EQNXTDZ($A$1,$B15,BA$1,$B$1)</f>
        <v>#NAME?</v>
      </c>
      <c r="BB15" t="e">
        <f ca="1">_xll.EQNXTDZ($A$1,$B15,BB$1,$B$1)</f>
        <v>#NAME?</v>
      </c>
      <c r="BC15" t="e">
        <f ca="1">_xll.EQNXTDZ($A$1,$B15,BC$1,$B$1)</f>
        <v>#NAME?</v>
      </c>
      <c r="BD15" t="e">
        <f ca="1">_xll.EQNXTDZ($A$1,$B15,BD$1,$B$1)</f>
        <v>#NAME?</v>
      </c>
      <c r="BE15" t="e">
        <f ca="1">_xll.EQNXTDZ($A$1,$B15,BE$1,$B$1)</f>
        <v>#NAME?</v>
      </c>
      <c r="BF15" t="e">
        <f ca="1">_xll.EQNXTDZ($A$1,$B15,BF$1,$B$1)</f>
        <v>#NAME?</v>
      </c>
      <c r="BG15" t="e">
        <f ca="1">_xll.EQNXTDZ($A$1,$B15,BG$1,$B$1)</f>
        <v>#NAME?</v>
      </c>
      <c r="BH15" t="e">
        <f ca="1">_xll.EQNXTDZ($A$1,$B15,BH$1,$B$1)</f>
        <v>#NAME?</v>
      </c>
      <c r="BI15" t="e">
        <f ca="1">_xll.EQNXTDZ($A$1,$B15,BI$1,$B$1)</f>
        <v>#NAME?</v>
      </c>
      <c r="BJ15" t="e">
        <f ca="1">_xll.EQNXTDZ($A$1,$B15,BJ$1,$B$1)</f>
        <v>#NAME?</v>
      </c>
      <c r="BK15" t="e">
        <f ca="1">_xll.EQNXTDZ($A$1,$B15,BK$1,$B$1)</f>
        <v>#NAME?</v>
      </c>
      <c r="BL15" t="e">
        <f ca="1">_xll.EQNXTDZ($A$1,$B15,BL$1,$B$1)</f>
        <v>#NAME?</v>
      </c>
      <c r="BM15" t="e">
        <f ca="1">_xll.EQNXTDZ($A$1,$B15,BM$1,$B$1)</f>
        <v>#NAME?</v>
      </c>
      <c r="BN15" t="e">
        <f ca="1">_xll.EQNXTDZ($A$1,$B15,BN$1,$B$1)</f>
        <v>#NAME?</v>
      </c>
      <c r="BO15" t="e">
        <f ca="1">_xll.EQNXTDZ($A$1,$B15,BO$1,$B$1)</f>
        <v>#NAME?</v>
      </c>
      <c r="BP15" t="e">
        <f ca="1">_xll.EQNXTDZ($A$1,$B15,BP$1,$B$1)</f>
        <v>#NAME?</v>
      </c>
      <c r="BQ15" t="e">
        <f ca="1">_xll.EQNXTDZ($A$1,$B15,BQ$1,$B$1)</f>
        <v>#NAME?</v>
      </c>
      <c r="BR15" t="e">
        <f ca="1">_xll.EQNXTDZ($A$1,$B15,BR$1,$B$1)</f>
        <v>#NAME?</v>
      </c>
      <c r="BS15" t="e">
        <f ca="1">_xll.EQNXTDZ($A$1,$B15,BS$1,$B$1)</f>
        <v>#NAME?</v>
      </c>
      <c r="BT15" t="e">
        <f ca="1">_xll.EQNXTDZ($A$1,$B15,BT$1,$B$1)</f>
        <v>#NAME?</v>
      </c>
      <c r="BU15" t="e">
        <f ca="1">_xll.EQNXTDZ($A$1,$B15,BU$1,$B$1)</f>
        <v>#NAME?</v>
      </c>
      <c r="BV15" t="e">
        <f ca="1">_xll.EQNXTDZ($A$1,$B15,BV$1,$B$1)</f>
        <v>#NAME?</v>
      </c>
    </row>
    <row r="16" spans="1:74" x14ac:dyDescent="0.25">
      <c r="A16" t="s">
        <v>8</v>
      </c>
      <c r="B16" t="s">
        <v>286</v>
      </c>
      <c r="C16" t="e">
        <f ca="1">_xll.EQNXTDZ($A$1,$B16,C$1,$B$1)</f>
        <v>#NAME?</v>
      </c>
      <c r="D16" t="e">
        <f ca="1">_xll.EQNXTDZ($A$1,$B16,D$1,$B$1)</f>
        <v>#NAME?</v>
      </c>
      <c r="E16" t="e">
        <f ca="1">_xll.EQNXTDZ($A$1,$B16,E$1,$B$1)</f>
        <v>#NAME?</v>
      </c>
      <c r="F16" t="e">
        <f ca="1">_xll.EQNXTDZ($A$1,$B16,F$1,$B$1)</f>
        <v>#NAME?</v>
      </c>
      <c r="G16" t="e">
        <f ca="1">_xll.EQNXTDZ($A$1,$B16,G$1,$B$1)</f>
        <v>#NAME?</v>
      </c>
      <c r="H16" t="e">
        <f ca="1">_xll.EQNXTDZ($A$1,$B16,H$1,$B$1)</f>
        <v>#NAME?</v>
      </c>
      <c r="I16" t="e">
        <f ca="1">_xll.EQNXTDZ($A$1,$B16,I$1,$B$1)</f>
        <v>#NAME?</v>
      </c>
      <c r="J16" t="e">
        <f ca="1">_xll.EQNXTDZ($A$1,$B16,J$1,$B$1)</f>
        <v>#NAME?</v>
      </c>
      <c r="K16" t="e">
        <f ca="1">_xll.EQNXTDZ($A$1,$B16,K$1,$B$1)</f>
        <v>#NAME?</v>
      </c>
      <c r="L16" t="e">
        <f ca="1">_xll.EQNXTDZ($A$1,$B16,L$1,$B$1)</f>
        <v>#NAME?</v>
      </c>
      <c r="M16" t="e">
        <f ca="1">_xll.EQNXTDZ($A$1,$B16,M$1,$B$1)</f>
        <v>#NAME?</v>
      </c>
      <c r="N16" t="e">
        <f ca="1">_xll.EQNXTDZ($A$1,$B16,N$1,$B$1)</f>
        <v>#NAME?</v>
      </c>
      <c r="O16" t="e">
        <f ca="1">_xll.EQNXTDZ($A$1,$B16,O$1,$B$1)</f>
        <v>#NAME?</v>
      </c>
      <c r="P16" t="e">
        <f ca="1">_xll.EQNXTDZ($A$1,$B16,P$1,$B$1)</f>
        <v>#NAME?</v>
      </c>
      <c r="Q16" t="e">
        <f ca="1">_xll.EQNXTDZ($A$1,$B16,Q$1,$B$1)</f>
        <v>#NAME?</v>
      </c>
      <c r="R16" t="e">
        <f ca="1">_xll.EQNXTDZ($A$1,$B16,R$1,$B$1)</f>
        <v>#NAME?</v>
      </c>
      <c r="S16" t="e">
        <f ca="1">_xll.EQNXTDZ($A$1,$B16,S$1,$B$1)</f>
        <v>#NAME?</v>
      </c>
      <c r="T16" t="e">
        <f ca="1">_xll.EQNXTDZ($A$1,$B16,T$1,$B$1)</f>
        <v>#NAME?</v>
      </c>
      <c r="U16" t="e">
        <f ca="1">_xll.EQNXTDZ($A$1,$B16,U$1,$B$1)</f>
        <v>#NAME?</v>
      </c>
      <c r="V16" t="e">
        <f ca="1">_xll.EQNXTDZ($A$1,$B16,V$1,$B$1)</f>
        <v>#NAME?</v>
      </c>
      <c r="W16" t="e">
        <f ca="1">_xll.EQNXTDZ($A$1,$B16,W$1,$B$1)</f>
        <v>#NAME?</v>
      </c>
      <c r="X16" t="e">
        <f ca="1">_xll.EQNXTDZ($A$1,$B16,X$1,$B$1)</f>
        <v>#NAME?</v>
      </c>
      <c r="Y16" t="e">
        <f ca="1">_xll.EQNXTDZ($A$1,$B16,Y$1,$B$1)</f>
        <v>#NAME?</v>
      </c>
      <c r="Z16" t="e">
        <f ca="1">_xll.EQNXTDZ($A$1,$B16,Z$1,$B$1)</f>
        <v>#NAME?</v>
      </c>
      <c r="AA16" t="e">
        <f ca="1">_xll.EQNXTDZ($A$1,$B16,AA$1,$B$1)</f>
        <v>#NAME?</v>
      </c>
      <c r="AB16" t="e">
        <f ca="1">_xll.EQNXTDZ($A$1,$B16,AB$1,$B$1)</f>
        <v>#NAME?</v>
      </c>
      <c r="AC16" t="e">
        <f ca="1">_xll.EQNXTDZ($A$1,$B16,AC$1,$B$1)</f>
        <v>#NAME?</v>
      </c>
      <c r="AD16" t="e">
        <f ca="1">_xll.EQNXTDZ($A$1,$B16,AD$1,$B$1)</f>
        <v>#NAME?</v>
      </c>
      <c r="AE16" t="e">
        <f ca="1">_xll.EQNXTDZ($A$1,$B16,AE$1,$B$1)</f>
        <v>#NAME?</v>
      </c>
      <c r="AF16" t="e">
        <f ca="1">_xll.EQNXTDZ($A$1,$B16,AF$1,$B$1)</f>
        <v>#NAME?</v>
      </c>
      <c r="AG16" t="e">
        <f ca="1">_xll.EQNXTDZ($A$1,$B16,AG$1,$B$1)</f>
        <v>#NAME?</v>
      </c>
      <c r="AH16" t="e">
        <f ca="1">_xll.EQNXTDZ($A$1,$B16,AH$1,$B$1)</f>
        <v>#NAME?</v>
      </c>
      <c r="AI16" t="e">
        <f ca="1">_xll.EQNXTDZ($A$1,$B16,AI$1,$B$1)</f>
        <v>#NAME?</v>
      </c>
      <c r="AJ16" t="e">
        <f ca="1">_xll.EQNXTDZ($A$1,$B16,AJ$1,$B$1)</f>
        <v>#NAME?</v>
      </c>
      <c r="AK16" t="e">
        <f ca="1">_xll.EQNXTDZ($A$1,$B16,AK$1,$B$1)</f>
        <v>#NAME?</v>
      </c>
      <c r="AL16" t="e">
        <f ca="1">_xll.EQNXTDZ($A$1,$B16,AL$1,$B$1)</f>
        <v>#NAME?</v>
      </c>
      <c r="AM16" t="e">
        <f ca="1">_xll.EQNXTDZ($A$1,$B16,AM$1,$B$1)</f>
        <v>#NAME?</v>
      </c>
      <c r="AN16" t="e">
        <f ca="1">_xll.EQNXTDZ($A$1,$B16,AN$1,$B$1)</f>
        <v>#NAME?</v>
      </c>
      <c r="AO16" t="e">
        <f ca="1">_xll.EQNXTDZ($A$1,$B16,AO$1,$B$1)</f>
        <v>#NAME?</v>
      </c>
      <c r="AP16" t="e">
        <f ca="1">_xll.EQNXTDZ($A$1,$B16,AP$1,$B$1)</f>
        <v>#NAME?</v>
      </c>
      <c r="AQ16" t="e">
        <f ca="1">_xll.EQNXTDZ($A$1,$B16,AQ$1,$B$1)</f>
        <v>#NAME?</v>
      </c>
      <c r="AR16" t="e">
        <f ca="1">_xll.EQNXTDZ($A$1,$B16,AR$1,$B$1)</f>
        <v>#NAME?</v>
      </c>
      <c r="AS16" t="e">
        <f ca="1">_xll.EQNXTDZ($A$1,$B16,AS$1,$B$1)</f>
        <v>#NAME?</v>
      </c>
      <c r="AT16" t="e">
        <f ca="1">_xll.EQNXTDZ($A$1,$B16,AT$1,$B$1)</f>
        <v>#NAME?</v>
      </c>
      <c r="AU16" t="e">
        <f ca="1">_xll.EQNXTDZ($A$1,$B16,AU$1,$B$1)</f>
        <v>#NAME?</v>
      </c>
      <c r="AV16" t="e">
        <f ca="1">_xll.EQNXTDZ($A$1,$B16,AV$1,$B$1)</f>
        <v>#NAME?</v>
      </c>
      <c r="AW16" t="e">
        <f ca="1">_xll.EQNXTDZ($A$1,$B16,AW$1,$B$1)</f>
        <v>#NAME?</v>
      </c>
      <c r="AX16" t="e">
        <f ca="1">_xll.EQNXTDZ($A$1,$B16,AX$1,$B$1)</f>
        <v>#NAME?</v>
      </c>
      <c r="AY16" t="e">
        <f ca="1">_xll.EQNXTDZ($A$1,$B16,AY$1,$B$1)</f>
        <v>#NAME?</v>
      </c>
      <c r="AZ16" t="e">
        <f ca="1">_xll.EQNXTDZ($A$1,$B16,AZ$1,$B$1)</f>
        <v>#NAME?</v>
      </c>
      <c r="BA16" t="e">
        <f ca="1">_xll.EQNXTDZ($A$1,$B16,BA$1,$B$1)</f>
        <v>#NAME?</v>
      </c>
      <c r="BB16" t="e">
        <f ca="1">_xll.EQNXTDZ($A$1,$B16,BB$1,$B$1)</f>
        <v>#NAME?</v>
      </c>
      <c r="BC16" t="e">
        <f ca="1">_xll.EQNXTDZ($A$1,$B16,BC$1,$B$1)</f>
        <v>#NAME?</v>
      </c>
      <c r="BD16" t="e">
        <f ca="1">_xll.EQNXTDZ($A$1,$B16,BD$1,$B$1)</f>
        <v>#NAME?</v>
      </c>
      <c r="BE16" t="e">
        <f ca="1">_xll.EQNXTDZ($A$1,$B16,BE$1,$B$1)</f>
        <v>#NAME?</v>
      </c>
      <c r="BF16" t="e">
        <f ca="1">_xll.EQNXTDZ($A$1,$B16,BF$1,$B$1)</f>
        <v>#NAME?</v>
      </c>
      <c r="BG16" t="e">
        <f ca="1">_xll.EQNXTDZ($A$1,$B16,BG$1,$B$1)</f>
        <v>#NAME?</v>
      </c>
      <c r="BH16" t="e">
        <f ca="1">_xll.EQNXTDZ($A$1,$B16,BH$1,$B$1)</f>
        <v>#NAME?</v>
      </c>
      <c r="BI16" t="e">
        <f ca="1">_xll.EQNXTDZ($A$1,$B16,BI$1,$B$1)</f>
        <v>#NAME?</v>
      </c>
      <c r="BJ16" t="e">
        <f ca="1">_xll.EQNXTDZ($A$1,$B16,BJ$1,$B$1)</f>
        <v>#NAME?</v>
      </c>
      <c r="BK16" t="e">
        <f ca="1">_xll.EQNXTDZ($A$1,$B16,BK$1,$B$1)</f>
        <v>#NAME?</v>
      </c>
      <c r="BL16" t="e">
        <f ca="1">_xll.EQNXTDZ($A$1,$B16,BL$1,$B$1)</f>
        <v>#NAME?</v>
      </c>
      <c r="BM16" t="e">
        <f ca="1">_xll.EQNXTDZ($A$1,$B16,BM$1,$B$1)</f>
        <v>#NAME?</v>
      </c>
      <c r="BN16" t="e">
        <f ca="1">_xll.EQNXTDZ($A$1,$B16,BN$1,$B$1)</f>
        <v>#NAME?</v>
      </c>
      <c r="BO16" t="e">
        <f ca="1">_xll.EQNXTDZ($A$1,$B16,BO$1,$B$1)</f>
        <v>#NAME?</v>
      </c>
      <c r="BP16" t="e">
        <f ca="1">_xll.EQNXTDZ($A$1,$B16,BP$1,$B$1)</f>
        <v>#NAME?</v>
      </c>
      <c r="BQ16" t="e">
        <f ca="1">_xll.EQNXTDZ($A$1,$B16,BQ$1,$B$1)</f>
        <v>#NAME?</v>
      </c>
      <c r="BR16" t="e">
        <f ca="1">_xll.EQNXTDZ($A$1,$B16,BR$1,$B$1)</f>
        <v>#NAME?</v>
      </c>
      <c r="BS16" t="e">
        <f ca="1">_xll.EQNXTDZ($A$1,$B16,BS$1,$B$1)</f>
        <v>#NAME?</v>
      </c>
      <c r="BT16" t="e">
        <f ca="1">_xll.EQNXTDZ($A$1,$B16,BT$1,$B$1)</f>
        <v>#NAME?</v>
      </c>
      <c r="BU16" t="e">
        <f ca="1">_xll.EQNXTDZ($A$1,$B16,BU$1,$B$1)</f>
        <v>#NAME?</v>
      </c>
      <c r="BV16" t="e">
        <f ca="1">_xll.EQNXTDZ($A$1,$B16,BV$1,$B$1)</f>
        <v>#NAME?</v>
      </c>
    </row>
    <row r="17" spans="1:74" x14ac:dyDescent="0.25">
      <c r="A17" t="s">
        <v>260</v>
      </c>
      <c r="B17" t="s">
        <v>287</v>
      </c>
      <c r="C17" t="e">
        <f ca="1">_xll.EQNXTDZ($A$1,$B17,C$1,$B$1)</f>
        <v>#NAME?</v>
      </c>
      <c r="D17" t="e">
        <f ca="1">_xll.EQNXTDZ($A$1,$B17,D$1,$B$1)</f>
        <v>#NAME?</v>
      </c>
      <c r="E17" t="e">
        <f ca="1">_xll.EQNXTDZ($A$1,$B17,E$1,$B$1)</f>
        <v>#NAME?</v>
      </c>
      <c r="F17" t="e">
        <f ca="1">_xll.EQNXTDZ($A$1,$B17,F$1,$B$1)</f>
        <v>#NAME?</v>
      </c>
      <c r="G17" t="e">
        <f ca="1">_xll.EQNXTDZ($A$1,$B17,G$1,$B$1)</f>
        <v>#NAME?</v>
      </c>
      <c r="H17" t="e">
        <f ca="1">_xll.EQNXTDZ($A$1,$B17,H$1,$B$1)</f>
        <v>#NAME?</v>
      </c>
      <c r="I17" t="e">
        <f ca="1">_xll.EQNXTDZ($A$1,$B17,I$1,$B$1)</f>
        <v>#NAME?</v>
      </c>
      <c r="J17" t="e">
        <f ca="1">_xll.EQNXTDZ($A$1,$B17,J$1,$B$1)</f>
        <v>#NAME?</v>
      </c>
      <c r="K17" t="e">
        <f ca="1">_xll.EQNXTDZ($A$1,$B17,K$1,$B$1)</f>
        <v>#NAME?</v>
      </c>
      <c r="L17" t="e">
        <f ca="1">_xll.EQNXTDZ($A$1,$B17,L$1,$B$1)</f>
        <v>#NAME?</v>
      </c>
      <c r="M17" t="e">
        <f ca="1">_xll.EQNXTDZ($A$1,$B17,M$1,$B$1)</f>
        <v>#NAME?</v>
      </c>
      <c r="N17" t="e">
        <f ca="1">_xll.EQNXTDZ($A$1,$B17,N$1,$B$1)</f>
        <v>#NAME?</v>
      </c>
      <c r="O17" t="e">
        <f ca="1">_xll.EQNXTDZ($A$1,$B17,O$1,$B$1)</f>
        <v>#NAME?</v>
      </c>
      <c r="P17" t="e">
        <f ca="1">_xll.EQNXTDZ($A$1,$B17,P$1,$B$1)</f>
        <v>#NAME?</v>
      </c>
      <c r="Q17" t="e">
        <f ca="1">_xll.EQNXTDZ($A$1,$B17,Q$1,$B$1)</f>
        <v>#NAME?</v>
      </c>
      <c r="R17" t="e">
        <f ca="1">_xll.EQNXTDZ($A$1,$B17,R$1,$B$1)</f>
        <v>#NAME?</v>
      </c>
      <c r="S17" t="e">
        <f ca="1">_xll.EQNXTDZ($A$1,$B17,S$1,$B$1)</f>
        <v>#NAME?</v>
      </c>
      <c r="T17" t="e">
        <f ca="1">_xll.EQNXTDZ($A$1,$B17,T$1,$B$1)</f>
        <v>#NAME?</v>
      </c>
      <c r="U17" t="e">
        <f ca="1">_xll.EQNXTDZ($A$1,$B17,U$1,$B$1)</f>
        <v>#NAME?</v>
      </c>
      <c r="V17" t="e">
        <f ca="1">_xll.EQNXTDZ($A$1,$B17,V$1,$B$1)</f>
        <v>#NAME?</v>
      </c>
      <c r="W17" t="e">
        <f ca="1">_xll.EQNXTDZ($A$1,$B17,W$1,$B$1)</f>
        <v>#NAME?</v>
      </c>
      <c r="X17" t="e">
        <f ca="1">_xll.EQNXTDZ($A$1,$B17,X$1,$B$1)</f>
        <v>#NAME?</v>
      </c>
      <c r="Y17" t="e">
        <f ca="1">_xll.EQNXTDZ($A$1,$B17,Y$1,$B$1)</f>
        <v>#NAME?</v>
      </c>
      <c r="Z17" t="e">
        <f ca="1">_xll.EQNXTDZ($A$1,$B17,Z$1,$B$1)</f>
        <v>#NAME?</v>
      </c>
      <c r="AA17" t="e">
        <f ca="1">_xll.EQNXTDZ($A$1,$B17,AA$1,$B$1)</f>
        <v>#NAME?</v>
      </c>
      <c r="AB17" t="e">
        <f ca="1">_xll.EQNXTDZ($A$1,$B17,AB$1,$B$1)</f>
        <v>#NAME?</v>
      </c>
      <c r="AC17" t="e">
        <f ca="1">_xll.EQNXTDZ($A$1,$B17,AC$1,$B$1)</f>
        <v>#NAME?</v>
      </c>
      <c r="AD17" t="e">
        <f ca="1">_xll.EQNXTDZ($A$1,$B17,AD$1,$B$1)</f>
        <v>#NAME?</v>
      </c>
      <c r="AE17" t="e">
        <f ca="1">_xll.EQNXTDZ($A$1,$B17,AE$1,$B$1)</f>
        <v>#NAME?</v>
      </c>
      <c r="AF17" t="e">
        <f ca="1">_xll.EQNXTDZ($A$1,$B17,AF$1,$B$1)</f>
        <v>#NAME?</v>
      </c>
      <c r="AG17" t="e">
        <f ca="1">_xll.EQNXTDZ($A$1,$B17,AG$1,$B$1)</f>
        <v>#NAME?</v>
      </c>
      <c r="AH17" t="e">
        <f ca="1">_xll.EQNXTDZ($A$1,$B17,AH$1,$B$1)</f>
        <v>#NAME?</v>
      </c>
      <c r="AI17" t="e">
        <f ca="1">_xll.EQNXTDZ($A$1,$B17,AI$1,$B$1)</f>
        <v>#NAME?</v>
      </c>
      <c r="AJ17" t="e">
        <f ca="1">_xll.EQNXTDZ($A$1,$B17,AJ$1,$B$1)</f>
        <v>#NAME?</v>
      </c>
      <c r="AK17" t="e">
        <f ca="1">_xll.EQNXTDZ($A$1,$B17,AK$1,$B$1)</f>
        <v>#NAME?</v>
      </c>
      <c r="AL17" t="e">
        <f ca="1">_xll.EQNXTDZ($A$1,$B17,AL$1,$B$1)</f>
        <v>#NAME?</v>
      </c>
      <c r="AM17" t="e">
        <f ca="1">_xll.EQNXTDZ($A$1,$B17,AM$1,$B$1)</f>
        <v>#NAME?</v>
      </c>
      <c r="AN17" t="e">
        <f ca="1">_xll.EQNXTDZ($A$1,$B17,AN$1,$B$1)</f>
        <v>#NAME?</v>
      </c>
      <c r="AO17" t="e">
        <f ca="1">_xll.EQNXTDZ($A$1,$B17,AO$1,$B$1)</f>
        <v>#NAME?</v>
      </c>
      <c r="AP17" t="e">
        <f ca="1">_xll.EQNXTDZ($A$1,$B17,AP$1,$B$1)</f>
        <v>#NAME?</v>
      </c>
      <c r="AQ17" t="e">
        <f ca="1">_xll.EQNXTDZ($A$1,$B17,AQ$1,$B$1)</f>
        <v>#NAME?</v>
      </c>
      <c r="AR17" t="e">
        <f ca="1">_xll.EQNXTDZ($A$1,$B17,AR$1,$B$1)</f>
        <v>#NAME?</v>
      </c>
      <c r="AS17" t="e">
        <f ca="1">_xll.EQNXTDZ($A$1,$B17,AS$1,$B$1)</f>
        <v>#NAME?</v>
      </c>
      <c r="AT17" t="e">
        <f ca="1">_xll.EQNXTDZ($A$1,$B17,AT$1,$B$1)</f>
        <v>#NAME?</v>
      </c>
      <c r="AU17" t="e">
        <f ca="1">_xll.EQNXTDZ($A$1,$B17,AU$1,$B$1)</f>
        <v>#NAME?</v>
      </c>
      <c r="AV17" t="e">
        <f ca="1">_xll.EQNXTDZ($A$1,$B17,AV$1,$B$1)</f>
        <v>#NAME?</v>
      </c>
      <c r="AW17" t="e">
        <f ca="1">_xll.EQNXTDZ($A$1,$B17,AW$1,$B$1)</f>
        <v>#NAME?</v>
      </c>
      <c r="AX17" t="e">
        <f ca="1">_xll.EQNXTDZ($A$1,$B17,AX$1,$B$1)</f>
        <v>#NAME?</v>
      </c>
      <c r="AY17" t="e">
        <f ca="1">_xll.EQNXTDZ($A$1,$B17,AY$1,$B$1)</f>
        <v>#NAME?</v>
      </c>
      <c r="AZ17" t="e">
        <f ca="1">_xll.EQNXTDZ($A$1,$B17,AZ$1,$B$1)</f>
        <v>#NAME?</v>
      </c>
      <c r="BA17" t="e">
        <f ca="1">_xll.EQNXTDZ($A$1,$B17,BA$1,$B$1)</f>
        <v>#NAME?</v>
      </c>
      <c r="BB17" t="e">
        <f ca="1">_xll.EQNXTDZ($A$1,$B17,BB$1,$B$1)</f>
        <v>#NAME?</v>
      </c>
      <c r="BC17" t="e">
        <f ca="1">_xll.EQNXTDZ($A$1,$B17,BC$1,$B$1)</f>
        <v>#NAME?</v>
      </c>
      <c r="BD17" t="e">
        <f ca="1">_xll.EQNXTDZ($A$1,$B17,BD$1,$B$1)</f>
        <v>#NAME?</v>
      </c>
      <c r="BE17" t="e">
        <f ca="1">_xll.EQNXTDZ($A$1,$B17,BE$1,$B$1)</f>
        <v>#NAME?</v>
      </c>
      <c r="BF17" t="e">
        <f ca="1">_xll.EQNXTDZ($A$1,$B17,BF$1,$B$1)</f>
        <v>#NAME?</v>
      </c>
      <c r="BG17" t="e">
        <f ca="1">_xll.EQNXTDZ($A$1,$B17,BG$1,$B$1)</f>
        <v>#NAME?</v>
      </c>
      <c r="BH17" t="e">
        <f ca="1">_xll.EQNXTDZ($A$1,$B17,BH$1,$B$1)</f>
        <v>#NAME?</v>
      </c>
      <c r="BI17" t="e">
        <f ca="1">_xll.EQNXTDZ($A$1,$B17,BI$1,$B$1)</f>
        <v>#NAME?</v>
      </c>
      <c r="BJ17" t="e">
        <f ca="1">_xll.EQNXTDZ($A$1,$B17,BJ$1,$B$1)</f>
        <v>#NAME?</v>
      </c>
      <c r="BK17" t="e">
        <f ca="1">_xll.EQNXTDZ($A$1,$B17,BK$1,$B$1)</f>
        <v>#NAME?</v>
      </c>
      <c r="BL17" t="e">
        <f ca="1">_xll.EQNXTDZ($A$1,$B17,BL$1,$B$1)</f>
        <v>#NAME?</v>
      </c>
      <c r="BM17" t="e">
        <f ca="1">_xll.EQNXTDZ($A$1,$B17,BM$1,$B$1)</f>
        <v>#NAME?</v>
      </c>
      <c r="BN17" t="e">
        <f ca="1">_xll.EQNXTDZ($A$1,$B17,BN$1,$B$1)</f>
        <v>#NAME?</v>
      </c>
      <c r="BO17" t="e">
        <f ca="1">_xll.EQNXTDZ($A$1,$B17,BO$1,$B$1)</f>
        <v>#NAME?</v>
      </c>
      <c r="BP17" t="e">
        <f ca="1">_xll.EQNXTDZ($A$1,$B17,BP$1,$B$1)</f>
        <v>#NAME?</v>
      </c>
      <c r="BQ17" t="e">
        <f ca="1">_xll.EQNXTDZ($A$1,$B17,BQ$1,$B$1)</f>
        <v>#NAME?</v>
      </c>
      <c r="BR17" t="e">
        <f ca="1">_xll.EQNXTDZ($A$1,$B17,BR$1,$B$1)</f>
        <v>#NAME?</v>
      </c>
      <c r="BS17" t="e">
        <f ca="1">_xll.EQNXTDZ($A$1,$B17,BS$1,$B$1)</f>
        <v>#NAME?</v>
      </c>
      <c r="BT17" t="e">
        <f ca="1">_xll.EQNXTDZ($A$1,$B17,BT$1,$B$1)</f>
        <v>#NAME?</v>
      </c>
      <c r="BU17" t="e">
        <f ca="1">_xll.EQNXTDZ($A$1,$B17,BU$1,$B$1)</f>
        <v>#NAME?</v>
      </c>
      <c r="BV17" t="e">
        <f ca="1">_xll.EQNXTDZ($A$1,$B17,BV$1,$B$1)</f>
        <v>#NAME?</v>
      </c>
    </row>
    <row r="18" spans="1:74" x14ac:dyDescent="0.25">
      <c r="A18" t="s">
        <v>261</v>
      </c>
      <c r="B18" t="s">
        <v>288</v>
      </c>
      <c r="C18" t="e">
        <f ca="1">_xll.EQNXTDZ($A$1,$B18,C$1,$B$1)</f>
        <v>#NAME?</v>
      </c>
      <c r="D18" t="e">
        <f ca="1">_xll.EQNXTDZ($A$1,$B18,D$1,$B$1)</f>
        <v>#NAME?</v>
      </c>
      <c r="E18" t="e">
        <f ca="1">_xll.EQNXTDZ($A$1,$B18,E$1,$B$1)</f>
        <v>#NAME?</v>
      </c>
      <c r="F18" t="e">
        <f ca="1">_xll.EQNXTDZ($A$1,$B18,F$1,$B$1)</f>
        <v>#NAME?</v>
      </c>
      <c r="G18" t="e">
        <f ca="1">_xll.EQNXTDZ($A$1,$B18,G$1,$B$1)</f>
        <v>#NAME?</v>
      </c>
      <c r="H18" t="e">
        <f ca="1">_xll.EQNXTDZ($A$1,$B18,H$1,$B$1)</f>
        <v>#NAME?</v>
      </c>
      <c r="I18" t="e">
        <f ca="1">_xll.EQNXTDZ($A$1,$B18,I$1,$B$1)</f>
        <v>#NAME?</v>
      </c>
      <c r="J18" t="e">
        <f ca="1">_xll.EQNXTDZ($A$1,$B18,J$1,$B$1)</f>
        <v>#NAME?</v>
      </c>
      <c r="K18" t="e">
        <f ca="1">_xll.EQNXTDZ($A$1,$B18,K$1,$B$1)</f>
        <v>#NAME?</v>
      </c>
      <c r="L18" t="e">
        <f ca="1">_xll.EQNXTDZ($A$1,$B18,L$1,$B$1)</f>
        <v>#NAME?</v>
      </c>
      <c r="M18" t="e">
        <f ca="1">_xll.EQNXTDZ($A$1,$B18,M$1,$B$1)</f>
        <v>#NAME?</v>
      </c>
      <c r="N18" t="e">
        <f ca="1">_xll.EQNXTDZ($A$1,$B18,N$1,$B$1)</f>
        <v>#NAME?</v>
      </c>
      <c r="O18" t="e">
        <f ca="1">_xll.EQNXTDZ($A$1,$B18,O$1,$B$1)</f>
        <v>#NAME?</v>
      </c>
      <c r="P18" t="e">
        <f ca="1">_xll.EQNXTDZ($A$1,$B18,P$1,$B$1)</f>
        <v>#NAME?</v>
      </c>
      <c r="Q18" t="e">
        <f ca="1">_xll.EQNXTDZ($A$1,$B18,Q$1,$B$1)</f>
        <v>#NAME?</v>
      </c>
      <c r="R18" t="e">
        <f ca="1">_xll.EQNXTDZ($A$1,$B18,R$1,$B$1)</f>
        <v>#NAME?</v>
      </c>
      <c r="S18" t="e">
        <f ca="1">_xll.EQNXTDZ($A$1,$B18,S$1,$B$1)</f>
        <v>#NAME?</v>
      </c>
      <c r="T18" t="e">
        <f ca="1">_xll.EQNXTDZ($A$1,$B18,T$1,$B$1)</f>
        <v>#NAME?</v>
      </c>
      <c r="U18" t="e">
        <f ca="1">_xll.EQNXTDZ($A$1,$B18,U$1,$B$1)</f>
        <v>#NAME?</v>
      </c>
      <c r="V18" t="e">
        <f ca="1">_xll.EQNXTDZ($A$1,$B18,V$1,$B$1)</f>
        <v>#NAME?</v>
      </c>
      <c r="W18" t="e">
        <f ca="1">_xll.EQNXTDZ($A$1,$B18,W$1,$B$1)</f>
        <v>#NAME?</v>
      </c>
      <c r="X18" t="e">
        <f ca="1">_xll.EQNXTDZ($A$1,$B18,X$1,$B$1)</f>
        <v>#NAME?</v>
      </c>
      <c r="Y18" t="e">
        <f ca="1">_xll.EQNXTDZ($A$1,$B18,Y$1,$B$1)</f>
        <v>#NAME?</v>
      </c>
      <c r="Z18" t="e">
        <f ca="1">_xll.EQNXTDZ($A$1,$B18,Z$1,$B$1)</f>
        <v>#NAME?</v>
      </c>
      <c r="AA18" t="e">
        <f ca="1">_xll.EQNXTDZ($A$1,$B18,AA$1,$B$1)</f>
        <v>#NAME?</v>
      </c>
      <c r="AB18" t="e">
        <f ca="1">_xll.EQNXTDZ($A$1,$B18,AB$1,$B$1)</f>
        <v>#NAME?</v>
      </c>
      <c r="AC18" t="e">
        <f ca="1">_xll.EQNXTDZ($A$1,$B18,AC$1,$B$1)</f>
        <v>#NAME?</v>
      </c>
      <c r="AD18" t="e">
        <f ca="1">_xll.EQNXTDZ($A$1,$B18,AD$1,$B$1)</f>
        <v>#NAME?</v>
      </c>
      <c r="AE18" t="e">
        <f ca="1">_xll.EQNXTDZ($A$1,$B18,AE$1,$B$1)</f>
        <v>#NAME?</v>
      </c>
      <c r="AF18" t="e">
        <f ca="1">_xll.EQNXTDZ($A$1,$B18,AF$1,$B$1)</f>
        <v>#NAME?</v>
      </c>
      <c r="AG18" t="e">
        <f ca="1">_xll.EQNXTDZ($A$1,$B18,AG$1,$B$1)</f>
        <v>#NAME?</v>
      </c>
      <c r="AH18" t="e">
        <f ca="1">_xll.EQNXTDZ($A$1,$B18,AH$1,$B$1)</f>
        <v>#NAME?</v>
      </c>
      <c r="AI18" t="e">
        <f ca="1">_xll.EQNXTDZ($A$1,$B18,AI$1,$B$1)</f>
        <v>#NAME?</v>
      </c>
      <c r="AJ18" t="e">
        <f ca="1">_xll.EQNXTDZ($A$1,$B18,AJ$1,$B$1)</f>
        <v>#NAME?</v>
      </c>
      <c r="AK18" t="e">
        <f ca="1">_xll.EQNXTDZ($A$1,$B18,AK$1,$B$1)</f>
        <v>#NAME?</v>
      </c>
      <c r="AL18" t="e">
        <f ca="1">_xll.EQNXTDZ($A$1,$B18,AL$1,$B$1)</f>
        <v>#NAME?</v>
      </c>
      <c r="AM18" t="e">
        <f ca="1">_xll.EQNXTDZ($A$1,$B18,AM$1,$B$1)</f>
        <v>#NAME?</v>
      </c>
      <c r="AN18" t="e">
        <f ca="1">_xll.EQNXTDZ($A$1,$B18,AN$1,$B$1)</f>
        <v>#NAME?</v>
      </c>
      <c r="AO18" t="e">
        <f ca="1">_xll.EQNXTDZ($A$1,$B18,AO$1,$B$1)</f>
        <v>#NAME?</v>
      </c>
      <c r="AP18" t="e">
        <f ca="1">_xll.EQNXTDZ($A$1,$B18,AP$1,$B$1)</f>
        <v>#NAME?</v>
      </c>
      <c r="AQ18" t="e">
        <f ca="1">_xll.EQNXTDZ($A$1,$B18,AQ$1,$B$1)</f>
        <v>#NAME?</v>
      </c>
      <c r="AR18" t="e">
        <f ca="1">_xll.EQNXTDZ($A$1,$B18,AR$1,$B$1)</f>
        <v>#NAME?</v>
      </c>
      <c r="AS18" t="e">
        <f ca="1">_xll.EQNXTDZ($A$1,$B18,AS$1,$B$1)</f>
        <v>#NAME?</v>
      </c>
      <c r="AT18" t="e">
        <f ca="1">_xll.EQNXTDZ($A$1,$B18,AT$1,$B$1)</f>
        <v>#NAME?</v>
      </c>
      <c r="AU18" t="e">
        <f ca="1">_xll.EQNXTDZ($A$1,$B18,AU$1,$B$1)</f>
        <v>#NAME?</v>
      </c>
      <c r="AV18" t="e">
        <f ca="1">_xll.EQNXTDZ($A$1,$B18,AV$1,$B$1)</f>
        <v>#NAME?</v>
      </c>
      <c r="AW18" t="e">
        <f ca="1">_xll.EQNXTDZ($A$1,$B18,AW$1,$B$1)</f>
        <v>#NAME?</v>
      </c>
      <c r="AX18" t="e">
        <f ca="1">_xll.EQNXTDZ($A$1,$B18,AX$1,$B$1)</f>
        <v>#NAME?</v>
      </c>
      <c r="AY18" t="e">
        <f ca="1">_xll.EQNXTDZ($A$1,$B18,AY$1,$B$1)</f>
        <v>#NAME?</v>
      </c>
      <c r="AZ18" t="e">
        <f ca="1">_xll.EQNXTDZ($A$1,$B18,AZ$1,$B$1)</f>
        <v>#NAME?</v>
      </c>
      <c r="BA18" t="e">
        <f ca="1">_xll.EQNXTDZ($A$1,$B18,BA$1,$B$1)</f>
        <v>#NAME?</v>
      </c>
      <c r="BB18" t="e">
        <f ca="1">_xll.EQNXTDZ($A$1,$B18,BB$1,$B$1)</f>
        <v>#NAME?</v>
      </c>
      <c r="BC18" t="e">
        <f ca="1">_xll.EQNXTDZ($A$1,$B18,BC$1,$B$1)</f>
        <v>#NAME?</v>
      </c>
      <c r="BD18" t="e">
        <f ca="1">_xll.EQNXTDZ($A$1,$B18,BD$1,$B$1)</f>
        <v>#NAME?</v>
      </c>
      <c r="BE18" t="e">
        <f ca="1">_xll.EQNXTDZ($A$1,$B18,BE$1,$B$1)</f>
        <v>#NAME?</v>
      </c>
      <c r="BF18" t="e">
        <f ca="1">_xll.EQNXTDZ($A$1,$B18,BF$1,$B$1)</f>
        <v>#NAME?</v>
      </c>
      <c r="BG18" t="e">
        <f ca="1">_xll.EQNXTDZ($A$1,$B18,BG$1,$B$1)</f>
        <v>#NAME?</v>
      </c>
      <c r="BH18" t="e">
        <f ca="1">_xll.EQNXTDZ($A$1,$B18,BH$1,$B$1)</f>
        <v>#NAME?</v>
      </c>
      <c r="BI18" t="e">
        <f ca="1">_xll.EQNXTDZ($A$1,$B18,BI$1,$B$1)</f>
        <v>#NAME?</v>
      </c>
      <c r="BJ18" t="e">
        <f ca="1">_xll.EQNXTDZ($A$1,$B18,BJ$1,$B$1)</f>
        <v>#NAME?</v>
      </c>
      <c r="BK18" t="e">
        <f ca="1">_xll.EQNXTDZ($A$1,$B18,BK$1,$B$1)</f>
        <v>#NAME?</v>
      </c>
      <c r="BL18" t="e">
        <f ca="1">_xll.EQNXTDZ($A$1,$B18,BL$1,$B$1)</f>
        <v>#NAME?</v>
      </c>
      <c r="BM18" t="e">
        <f ca="1">_xll.EQNXTDZ($A$1,$B18,BM$1,$B$1)</f>
        <v>#NAME?</v>
      </c>
      <c r="BN18" t="e">
        <f ca="1">_xll.EQNXTDZ($A$1,$B18,BN$1,$B$1)</f>
        <v>#NAME?</v>
      </c>
      <c r="BO18" t="e">
        <f ca="1">_xll.EQNXTDZ($A$1,$B18,BO$1,$B$1)</f>
        <v>#NAME?</v>
      </c>
      <c r="BP18" t="e">
        <f ca="1">_xll.EQNXTDZ($A$1,$B18,BP$1,$B$1)</f>
        <v>#NAME?</v>
      </c>
      <c r="BQ18" t="e">
        <f ca="1">_xll.EQNXTDZ($A$1,$B18,BQ$1,$B$1)</f>
        <v>#NAME?</v>
      </c>
      <c r="BR18" t="e">
        <f ca="1">_xll.EQNXTDZ($A$1,$B18,BR$1,$B$1)</f>
        <v>#NAME?</v>
      </c>
      <c r="BS18" t="e">
        <f ca="1">_xll.EQNXTDZ($A$1,$B18,BS$1,$B$1)</f>
        <v>#NAME?</v>
      </c>
      <c r="BT18" t="e">
        <f ca="1">_xll.EQNXTDZ($A$1,$B18,BT$1,$B$1)</f>
        <v>#NAME?</v>
      </c>
      <c r="BU18" t="e">
        <f ca="1">_xll.EQNXTDZ($A$1,$B18,BU$1,$B$1)</f>
        <v>#NAME?</v>
      </c>
      <c r="BV18" t="e">
        <f ca="1">_xll.EQNXTDZ($A$1,$B18,BV$1,$B$1)</f>
        <v>#NAME?</v>
      </c>
    </row>
    <row r="19" spans="1:74" x14ac:dyDescent="0.25">
      <c r="A19" t="s">
        <v>262</v>
      </c>
      <c r="B19" t="s">
        <v>289</v>
      </c>
      <c r="C19" t="e">
        <f ca="1">_xll.EQNXTDZ($A$1,$B19,C$1,$B$1)</f>
        <v>#NAME?</v>
      </c>
      <c r="D19" t="e">
        <f ca="1">_xll.EQNXTDZ($A$1,$B19,D$1,$B$1)</f>
        <v>#NAME?</v>
      </c>
      <c r="E19" t="e">
        <f ca="1">_xll.EQNXTDZ($A$1,$B19,E$1,$B$1)</f>
        <v>#NAME?</v>
      </c>
      <c r="F19" t="e">
        <f ca="1">_xll.EQNXTDZ($A$1,$B19,F$1,$B$1)</f>
        <v>#NAME?</v>
      </c>
      <c r="G19" t="e">
        <f ca="1">_xll.EQNXTDZ($A$1,$B19,G$1,$B$1)</f>
        <v>#NAME?</v>
      </c>
      <c r="H19" t="e">
        <f ca="1">_xll.EQNXTDZ($A$1,$B19,H$1,$B$1)</f>
        <v>#NAME?</v>
      </c>
      <c r="I19" t="e">
        <f ca="1">_xll.EQNXTDZ($A$1,$B19,I$1,$B$1)</f>
        <v>#NAME?</v>
      </c>
      <c r="J19" t="e">
        <f ca="1">_xll.EQNXTDZ($A$1,$B19,J$1,$B$1)</f>
        <v>#NAME?</v>
      </c>
      <c r="K19" t="e">
        <f ca="1">_xll.EQNXTDZ($A$1,$B19,K$1,$B$1)</f>
        <v>#NAME?</v>
      </c>
      <c r="L19" t="e">
        <f ca="1">_xll.EQNXTDZ($A$1,$B19,L$1,$B$1)</f>
        <v>#NAME?</v>
      </c>
      <c r="M19" t="e">
        <f ca="1">_xll.EQNXTDZ($A$1,$B19,M$1,$B$1)</f>
        <v>#NAME?</v>
      </c>
      <c r="N19" t="e">
        <f ca="1">_xll.EQNXTDZ($A$1,$B19,N$1,$B$1)</f>
        <v>#NAME?</v>
      </c>
      <c r="O19" t="e">
        <f ca="1">_xll.EQNXTDZ($A$1,$B19,O$1,$B$1)</f>
        <v>#NAME?</v>
      </c>
      <c r="P19" t="e">
        <f ca="1">_xll.EQNXTDZ($A$1,$B19,P$1,$B$1)</f>
        <v>#NAME?</v>
      </c>
      <c r="Q19" t="e">
        <f ca="1">_xll.EQNXTDZ($A$1,$B19,Q$1,$B$1)</f>
        <v>#NAME?</v>
      </c>
      <c r="R19" t="e">
        <f ca="1">_xll.EQNXTDZ($A$1,$B19,R$1,$B$1)</f>
        <v>#NAME?</v>
      </c>
      <c r="S19" t="e">
        <f ca="1">_xll.EQNXTDZ($A$1,$B19,S$1,$B$1)</f>
        <v>#NAME?</v>
      </c>
      <c r="T19" t="e">
        <f ca="1">_xll.EQNXTDZ($A$1,$B19,T$1,$B$1)</f>
        <v>#NAME?</v>
      </c>
      <c r="U19" t="e">
        <f ca="1">_xll.EQNXTDZ($A$1,$B19,U$1,$B$1)</f>
        <v>#NAME?</v>
      </c>
      <c r="V19" t="e">
        <f ca="1">_xll.EQNXTDZ($A$1,$B19,V$1,$B$1)</f>
        <v>#NAME?</v>
      </c>
      <c r="W19" t="e">
        <f ca="1">_xll.EQNXTDZ($A$1,$B19,W$1,$B$1)</f>
        <v>#NAME?</v>
      </c>
      <c r="X19" t="e">
        <f ca="1">_xll.EQNXTDZ($A$1,$B19,X$1,$B$1)</f>
        <v>#NAME?</v>
      </c>
      <c r="Y19" t="e">
        <f ca="1">_xll.EQNXTDZ($A$1,$B19,Y$1,$B$1)</f>
        <v>#NAME?</v>
      </c>
      <c r="Z19" t="e">
        <f ca="1">_xll.EQNXTDZ($A$1,$B19,Z$1,$B$1)</f>
        <v>#NAME?</v>
      </c>
      <c r="AA19" t="e">
        <f ca="1">_xll.EQNXTDZ($A$1,$B19,AA$1,$B$1)</f>
        <v>#NAME?</v>
      </c>
      <c r="AB19" t="e">
        <f ca="1">_xll.EQNXTDZ($A$1,$B19,AB$1,$B$1)</f>
        <v>#NAME?</v>
      </c>
      <c r="AC19" t="e">
        <f ca="1">_xll.EQNXTDZ($A$1,$B19,AC$1,$B$1)</f>
        <v>#NAME?</v>
      </c>
      <c r="AD19" t="e">
        <f ca="1">_xll.EQNXTDZ($A$1,$B19,AD$1,$B$1)</f>
        <v>#NAME?</v>
      </c>
      <c r="AE19" t="e">
        <f ca="1">_xll.EQNXTDZ($A$1,$B19,AE$1,$B$1)</f>
        <v>#NAME?</v>
      </c>
      <c r="AF19" t="e">
        <f ca="1">_xll.EQNXTDZ($A$1,$B19,AF$1,$B$1)</f>
        <v>#NAME?</v>
      </c>
      <c r="AG19" t="e">
        <f ca="1">_xll.EQNXTDZ($A$1,$B19,AG$1,$B$1)</f>
        <v>#NAME?</v>
      </c>
      <c r="AH19" t="e">
        <f ca="1">_xll.EQNXTDZ($A$1,$B19,AH$1,$B$1)</f>
        <v>#NAME?</v>
      </c>
      <c r="AI19" t="e">
        <f ca="1">_xll.EQNXTDZ($A$1,$B19,AI$1,$B$1)</f>
        <v>#NAME?</v>
      </c>
      <c r="AJ19" t="e">
        <f ca="1">_xll.EQNXTDZ($A$1,$B19,AJ$1,$B$1)</f>
        <v>#NAME?</v>
      </c>
      <c r="AK19" t="e">
        <f ca="1">_xll.EQNXTDZ($A$1,$B19,AK$1,$B$1)</f>
        <v>#NAME?</v>
      </c>
      <c r="AL19" t="e">
        <f ca="1">_xll.EQNXTDZ($A$1,$B19,AL$1,$B$1)</f>
        <v>#NAME?</v>
      </c>
      <c r="AM19" t="e">
        <f ca="1">_xll.EQNXTDZ($A$1,$B19,AM$1,$B$1)</f>
        <v>#NAME?</v>
      </c>
      <c r="AN19" t="e">
        <f ca="1">_xll.EQNXTDZ($A$1,$B19,AN$1,$B$1)</f>
        <v>#NAME?</v>
      </c>
      <c r="AO19" t="e">
        <f ca="1">_xll.EQNXTDZ($A$1,$B19,AO$1,$B$1)</f>
        <v>#NAME?</v>
      </c>
      <c r="AP19" t="e">
        <f ca="1">_xll.EQNXTDZ($A$1,$B19,AP$1,$B$1)</f>
        <v>#NAME?</v>
      </c>
      <c r="AQ19" t="e">
        <f ca="1">_xll.EQNXTDZ($A$1,$B19,AQ$1,$B$1)</f>
        <v>#NAME?</v>
      </c>
      <c r="AR19" t="e">
        <f ca="1">_xll.EQNXTDZ($A$1,$B19,AR$1,$B$1)</f>
        <v>#NAME?</v>
      </c>
      <c r="AS19" t="e">
        <f ca="1">_xll.EQNXTDZ($A$1,$B19,AS$1,$B$1)</f>
        <v>#NAME?</v>
      </c>
      <c r="AT19" t="e">
        <f ca="1">_xll.EQNXTDZ($A$1,$B19,AT$1,$B$1)</f>
        <v>#NAME?</v>
      </c>
      <c r="AU19" t="e">
        <f ca="1">_xll.EQNXTDZ($A$1,$B19,AU$1,$B$1)</f>
        <v>#NAME?</v>
      </c>
      <c r="AV19" t="e">
        <f ca="1">_xll.EQNXTDZ($A$1,$B19,AV$1,$B$1)</f>
        <v>#NAME?</v>
      </c>
      <c r="AW19" t="e">
        <f ca="1">_xll.EQNXTDZ($A$1,$B19,AW$1,$B$1)</f>
        <v>#NAME?</v>
      </c>
      <c r="AX19" t="e">
        <f ca="1">_xll.EQNXTDZ($A$1,$B19,AX$1,$B$1)</f>
        <v>#NAME?</v>
      </c>
      <c r="AY19" t="e">
        <f ca="1">_xll.EQNXTDZ($A$1,$B19,AY$1,$B$1)</f>
        <v>#NAME?</v>
      </c>
      <c r="AZ19" t="e">
        <f ca="1">_xll.EQNXTDZ($A$1,$B19,AZ$1,$B$1)</f>
        <v>#NAME?</v>
      </c>
      <c r="BA19" t="e">
        <f ca="1">_xll.EQNXTDZ($A$1,$B19,BA$1,$B$1)</f>
        <v>#NAME?</v>
      </c>
      <c r="BB19" t="e">
        <f ca="1">_xll.EQNXTDZ($A$1,$B19,BB$1,$B$1)</f>
        <v>#NAME?</v>
      </c>
      <c r="BC19" t="e">
        <f ca="1">_xll.EQNXTDZ($A$1,$B19,BC$1,$B$1)</f>
        <v>#NAME?</v>
      </c>
      <c r="BD19" t="e">
        <f ca="1">_xll.EQNXTDZ($A$1,$B19,BD$1,$B$1)</f>
        <v>#NAME?</v>
      </c>
      <c r="BE19" t="e">
        <f ca="1">_xll.EQNXTDZ($A$1,$B19,BE$1,$B$1)</f>
        <v>#NAME?</v>
      </c>
      <c r="BF19" t="e">
        <f ca="1">_xll.EQNXTDZ($A$1,$B19,BF$1,$B$1)</f>
        <v>#NAME?</v>
      </c>
      <c r="BG19" t="e">
        <f ca="1">_xll.EQNXTDZ($A$1,$B19,BG$1,$B$1)</f>
        <v>#NAME?</v>
      </c>
      <c r="BH19" t="e">
        <f ca="1">_xll.EQNXTDZ($A$1,$B19,BH$1,$B$1)</f>
        <v>#NAME?</v>
      </c>
      <c r="BI19" t="e">
        <f ca="1">_xll.EQNXTDZ($A$1,$B19,BI$1,$B$1)</f>
        <v>#NAME?</v>
      </c>
      <c r="BJ19" t="e">
        <f ca="1">_xll.EQNXTDZ($A$1,$B19,BJ$1,$B$1)</f>
        <v>#NAME?</v>
      </c>
      <c r="BK19" t="e">
        <f ca="1">_xll.EQNXTDZ($A$1,$B19,BK$1,$B$1)</f>
        <v>#NAME?</v>
      </c>
      <c r="BL19" t="e">
        <f ca="1">_xll.EQNXTDZ($A$1,$B19,BL$1,$B$1)</f>
        <v>#NAME?</v>
      </c>
      <c r="BM19" t="e">
        <f ca="1">_xll.EQNXTDZ($A$1,$B19,BM$1,$B$1)</f>
        <v>#NAME?</v>
      </c>
      <c r="BN19" t="e">
        <f ca="1">_xll.EQNXTDZ($A$1,$B19,BN$1,$B$1)</f>
        <v>#NAME?</v>
      </c>
      <c r="BO19" t="e">
        <f ca="1">_xll.EQNXTDZ($A$1,$B19,BO$1,$B$1)</f>
        <v>#NAME?</v>
      </c>
      <c r="BP19" t="e">
        <f ca="1">_xll.EQNXTDZ($A$1,$B19,BP$1,$B$1)</f>
        <v>#NAME?</v>
      </c>
      <c r="BQ19" t="e">
        <f ca="1">_xll.EQNXTDZ($A$1,$B19,BQ$1,$B$1)</f>
        <v>#NAME?</v>
      </c>
      <c r="BR19" t="e">
        <f ca="1">_xll.EQNXTDZ($A$1,$B19,BR$1,$B$1)</f>
        <v>#NAME?</v>
      </c>
      <c r="BS19" t="e">
        <f ca="1">_xll.EQNXTDZ($A$1,$B19,BS$1,$B$1)</f>
        <v>#NAME?</v>
      </c>
      <c r="BT19" t="e">
        <f ca="1">_xll.EQNXTDZ($A$1,$B19,BT$1,$B$1)</f>
        <v>#NAME?</v>
      </c>
      <c r="BU19" t="e">
        <f ca="1">_xll.EQNXTDZ($A$1,$B19,BU$1,$B$1)</f>
        <v>#NAME?</v>
      </c>
      <c r="BV19" t="e">
        <f ca="1">_xll.EQNXTDZ($A$1,$B19,BV$1,$B$1)</f>
        <v>#NAME?</v>
      </c>
    </row>
    <row r="20" spans="1:74" x14ac:dyDescent="0.25">
      <c r="A20" t="s">
        <v>263</v>
      </c>
      <c r="B20" t="s">
        <v>290</v>
      </c>
      <c r="C20" t="e">
        <f ca="1">_xll.EQNXTDZ($A$1,$B20,C$1,$B$1)</f>
        <v>#NAME?</v>
      </c>
      <c r="D20" t="e">
        <f ca="1">_xll.EQNXTDZ($A$1,$B20,D$1,$B$1)</f>
        <v>#NAME?</v>
      </c>
      <c r="E20" t="e">
        <f ca="1">_xll.EQNXTDZ($A$1,$B20,E$1,$B$1)</f>
        <v>#NAME?</v>
      </c>
      <c r="F20" t="e">
        <f ca="1">_xll.EQNXTDZ($A$1,$B20,F$1,$B$1)</f>
        <v>#NAME?</v>
      </c>
      <c r="G20" t="e">
        <f ca="1">_xll.EQNXTDZ($A$1,$B20,G$1,$B$1)</f>
        <v>#NAME?</v>
      </c>
      <c r="H20" t="e">
        <f ca="1">_xll.EQNXTDZ($A$1,$B20,H$1,$B$1)</f>
        <v>#NAME?</v>
      </c>
      <c r="I20" t="e">
        <f ca="1">_xll.EQNXTDZ($A$1,$B20,I$1,$B$1)</f>
        <v>#NAME?</v>
      </c>
      <c r="J20" t="e">
        <f ca="1">_xll.EQNXTDZ($A$1,$B20,J$1,$B$1)</f>
        <v>#NAME?</v>
      </c>
      <c r="K20" t="e">
        <f ca="1">_xll.EQNXTDZ($A$1,$B20,K$1,$B$1)</f>
        <v>#NAME?</v>
      </c>
      <c r="L20" t="e">
        <f ca="1">_xll.EQNXTDZ($A$1,$B20,L$1,$B$1)</f>
        <v>#NAME?</v>
      </c>
      <c r="M20" t="e">
        <f ca="1">_xll.EQNXTDZ($A$1,$B20,M$1,$B$1)</f>
        <v>#NAME?</v>
      </c>
      <c r="N20" t="e">
        <f ca="1">_xll.EQNXTDZ($A$1,$B20,N$1,$B$1)</f>
        <v>#NAME?</v>
      </c>
      <c r="O20" t="e">
        <f ca="1">_xll.EQNXTDZ($A$1,$B20,O$1,$B$1)</f>
        <v>#NAME?</v>
      </c>
      <c r="P20" t="e">
        <f ca="1">_xll.EQNXTDZ($A$1,$B20,P$1,$B$1)</f>
        <v>#NAME?</v>
      </c>
      <c r="Q20" t="e">
        <f ca="1">_xll.EQNXTDZ($A$1,$B20,Q$1,$B$1)</f>
        <v>#NAME?</v>
      </c>
      <c r="R20" t="e">
        <f ca="1">_xll.EQNXTDZ($A$1,$B20,R$1,$B$1)</f>
        <v>#NAME?</v>
      </c>
      <c r="S20" t="e">
        <f ca="1">_xll.EQNXTDZ($A$1,$B20,S$1,$B$1)</f>
        <v>#NAME?</v>
      </c>
      <c r="T20" t="e">
        <f ca="1">_xll.EQNXTDZ($A$1,$B20,T$1,$B$1)</f>
        <v>#NAME?</v>
      </c>
      <c r="U20" t="e">
        <f ca="1">_xll.EQNXTDZ($A$1,$B20,U$1,$B$1)</f>
        <v>#NAME?</v>
      </c>
      <c r="V20" t="e">
        <f ca="1">_xll.EQNXTDZ($A$1,$B20,V$1,$B$1)</f>
        <v>#NAME?</v>
      </c>
      <c r="W20" t="e">
        <f ca="1">_xll.EQNXTDZ($A$1,$B20,W$1,$B$1)</f>
        <v>#NAME?</v>
      </c>
      <c r="X20" t="e">
        <f ca="1">_xll.EQNXTDZ($A$1,$B20,X$1,$B$1)</f>
        <v>#NAME?</v>
      </c>
      <c r="Y20" t="e">
        <f ca="1">_xll.EQNXTDZ($A$1,$B20,Y$1,$B$1)</f>
        <v>#NAME?</v>
      </c>
      <c r="Z20" t="e">
        <f ca="1">_xll.EQNXTDZ($A$1,$B20,Z$1,$B$1)</f>
        <v>#NAME?</v>
      </c>
      <c r="AA20" t="e">
        <f ca="1">_xll.EQNXTDZ($A$1,$B20,AA$1,$B$1)</f>
        <v>#NAME?</v>
      </c>
      <c r="AB20" t="e">
        <f ca="1">_xll.EQNXTDZ($A$1,$B20,AB$1,$B$1)</f>
        <v>#NAME?</v>
      </c>
      <c r="AC20" t="e">
        <f ca="1">_xll.EQNXTDZ($A$1,$B20,AC$1,$B$1)</f>
        <v>#NAME?</v>
      </c>
      <c r="AD20" t="e">
        <f ca="1">_xll.EQNXTDZ($A$1,$B20,AD$1,$B$1)</f>
        <v>#NAME?</v>
      </c>
      <c r="AE20" t="e">
        <f ca="1">_xll.EQNXTDZ($A$1,$B20,AE$1,$B$1)</f>
        <v>#NAME?</v>
      </c>
      <c r="AF20" t="e">
        <f ca="1">_xll.EQNXTDZ($A$1,$B20,AF$1,$B$1)</f>
        <v>#NAME?</v>
      </c>
      <c r="AG20" t="e">
        <f ca="1">_xll.EQNXTDZ($A$1,$B20,AG$1,$B$1)</f>
        <v>#NAME?</v>
      </c>
      <c r="AH20" t="e">
        <f ca="1">_xll.EQNXTDZ($A$1,$B20,AH$1,$B$1)</f>
        <v>#NAME?</v>
      </c>
      <c r="AI20" t="e">
        <f ca="1">_xll.EQNXTDZ($A$1,$B20,AI$1,$B$1)</f>
        <v>#NAME?</v>
      </c>
      <c r="AJ20" t="e">
        <f ca="1">_xll.EQNXTDZ($A$1,$B20,AJ$1,$B$1)</f>
        <v>#NAME?</v>
      </c>
      <c r="AK20" t="e">
        <f ca="1">_xll.EQNXTDZ($A$1,$B20,AK$1,$B$1)</f>
        <v>#NAME?</v>
      </c>
      <c r="AL20" t="e">
        <f ca="1">_xll.EQNXTDZ($A$1,$B20,AL$1,$B$1)</f>
        <v>#NAME?</v>
      </c>
      <c r="AM20" t="e">
        <f ca="1">_xll.EQNXTDZ($A$1,$B20,AM$1,$B$1)</f>
        <v>#NAME?</v>
      </c>
      <c r="AN20" t="e">
        <f ca="1">_xll.EQNXTDZ($A$1,$B20,AN$1,$B$1)</f>
        <v>#NAME?</v>
      </c>
      <c r="AO20" t="e">
        <f ca="1">_xll.EQNXTDZ($A$1,$B20,AO$1,$B$1)</f>
        <v>#NAME?</v>
      </c>
      <c r="AP20" t="e">
        <f ca="1">_xll.EQNXTDZ($A$1,$B20,AP$1,$B$1)</f>
        <v>#NAME?</v>
      </c>
      <c r="AQ20" t="e">
        <f ca="1">_xll.EQNXTDZ($A$1,$B20,AQ$1,$B$1)</f>
        <v>#NAME?</v>
      </c>
      <c r="AR20" t="e">
        <f ca="1">_xll.EQNXTDZ($A$1,$B20,AR$1,$B$1)</f>
        <v>#NAME?</v>
      </c>
      <c r="AS20" t="e">
        <f ca="1">_xll.EQNXTDZ($A$1,$B20,AS$1,$B$1)</f>
        <v>#NAME?</v>
      </c>
      <c r="AT20" t="e">
        <f ca="1">_xll.EQNXTDZ($A$1,$B20,AT$1,$B$1)</f>
        <v>#NAME?</v>
      </c>
      <c r="AU20" t="e">
        <f ca="1">_xll.EQNXTDZ($A$1,$B20,AU$1,$B$1)</f>
        <v>#NAME?</v>
      </c>
      <c r="AV20" t="e">
        <f ca="1">_xll.EQNXTDZ($A$1,$B20,AV$1,$B$1)</f>
        <v>#NAME?</v>
      </c>
      <c r="AW20" t="e">
        <f ca="1">_xll.EQNXTDZ($A$1,$B20,AW$1,$B$1)</f>
        <v>#NAME?</v>
      </c>
      <c r="AX20" t="e">
        <f ca="1">_xll.EQNXTDZ($A$1,$B20,AX$1,$B$1)</f>
        <v>#NAME?</v>
      </c>
      <c r="AY20" t="e">
        <f ca="1">_xll.EQNXTDZ($A$1,$B20,AY$1,$B$1)</f>
        <v>#NAME?</v>
      </c>
      <c r="AZ20" t="e">
        <f ca="1">_xll.EQNXTDZ($A$1,$B20,AZ$1,$B$1)</f>
        <v>#NAME?</v>
      </c>
      <c r="BA20" t="e">
        <f ca="1">_xll.EQNXTDZ($A$1,$B20,BA$1,$B$1)</f>
        <v>#NAME?</v>
      </c>
      <c r="BB20" t="e">
        <f ca="1">_xll.EQNXTDZ($A$1,$B20,BB$1,$B$1)</f>
        <v>#NAME?</v>
      </c>
      <c r="BC20" t="e">
        <f ca="1">_xll.EQNXTDZ($A$1,$B20,BC$1,$B$1)</f>
        <v>#NAME?</v>
      </c>
      <c r="BD20" t="e">
        <f ca="1">_xll.EQNXTDZ($A$1,$B20,BD$1,$B$1)</f>
        <v>#NAME?</v>
      </c>
      <c r="BE20" t="e">
        <f ca="1">_xll.EQNXTDZ($A$1,$B20,BE$1,$B$1)</f>
        <v>#NAME?</v>
      </c>
      <c r="BF20" t="e">
        <f ca="1">_xll.EQNXTDZ($A$1,$B20,BF$1,$B$1)</f>
        <v>#NAME?</v>
      </c>
      <c r="BG20" t="e">
        <f ca="1">_xll.EQNXTDZ($A$1,$B20,BG$1,$B$1)</f>
        <v>#NAME?</v>
      </c>
      <c r="BH20" t="e">
        <f ca="1">_xll.EQNXTDZ($A$1,$B20,BH$1,$B$1)</f>
        <v>#NAME?</v>
      </c>
      <c r="BI20" t="e">
        <f ca="1">_xll.EQNXTDZ($A$1,$B20,BI$1,$B$1)</f>
        <v>#NAME?</v>
      </c>
      <c r="BJ20" t="e">
        <f ca="1">_xll.EQNXTDZ($A$1,$B20,BJ$1,$B$1)</f>
        <v>#NAME?</v>
      </c>
      <c r="BK20" t="e">
        <f ca="1">_xll.EQNXTDZ($A$1,$B20,BK$1,$B$1)</f>
        <v>#NAME?</v>
      </c>
      <c r="BL20" t="e">
        <f ca="1">_xll.EQNXTDZ($A$1,$B20,BL$1,$B$1)</f>
        <v>#NAME?</v>
      </c>
      <c r="BM20" t="e">
        <f ca="1">_xll.EQNXTDZ($A$1,$B20,BM$1,$B$1)</f>
        <v>#NAME?</v>
      </c>
      <c r="BN20" t="e">
        <f ca="1">_xll.EQNXTDZ($A$1,$B20,BN$1,$B$1)</f>
        <v>#NAME?</v>
      </c>
      <c r="BO20" t="e">
        <f ca="1">_xll.EQNXTDZ($A$1,$B20,BO$1,$B$1)</f>
        <v>#NAME?</v>
      </c>
      <c r="BP20" t="e">
        <f ca="1">_xll.EQNXTDZ($A$1,$B20,BP$1,$B$1)</f>
        <v>#NAME?</v>
      </c>
      <c r="BQ20" t="e">
        <f ca="1">_xll.EQNXTDZ($A$1,$B20,BQ$1,$B$1)</f>
        <v>#NAME?</v>
      </c>
      <c r="BR20" t="e">
        <f ca="1">_xll.EQNXTDZ($A$1,$B20,BR$1,$B$1)</f>
        <v>#NAME?</v>
      </c>
      <c r="BS20" t="e">
        <f ca="1">_xll.EQNXTDZ($A$1,$B20,BS$1,$B$1)</f>
        <v>#NAME?</v>
      </c>
      <c r="BT20" t="e">
        <f ca="1">_xll.EQNXTDZ($A$1,$B20,BT$1,$B$1)</f>
        <v>#NAME?</v>
      </c>
      <c r="BU20" t="e">
        <f ca="1">_xll.EQNXTDZ($A$1,$B20,BU$1,$B$1)</f>
        <v>#NAME?</v>
      </c>
      <c r="BV20" t="e">
        <f ca="1">_xll.EQNXTDZ($A$1,$B20,BV$1,$B$1)</f>
        <v>#NAME?</v>
      </c>
    </row>
    <row r="21" spans="1:74" x14ac:dyDescent="0.25">
      <c r="A21" t="s">
        <v>12</v>
      </c>
      <c r="B21" t="s">
        <v>291</v>
      </c>
      <c r="C21" t="e">
        <f ca="1">_xll.EQNXTDZ($A$1,$B21,C$1,$B$1)</f>
        <v>#NAME?</v>
      </c>
      <c r="D21" t="e">
        <f ca="1">_xll.EQNXTDZ($A$1,$B21,D$1,$B$1)</f>
        <v>#NAME?</v>
      </c>
      <c r="E21" t="e">
        <f ca="1">_xll.EQNXTDZ($A$1,$B21,E$1,$B$1)</f>
        <v>#NAME?</v>
      </c>
      <c r="F21" t="e">
        <f ca="1">_xll.EQNXTDZ($A$1,$B21,F$1,$B$1)</f>
        <v>#NAME?</v>
      </c>
      <c r="G21" t="e">
        <f ca="1">_xll.EQNXTDZ($A$1,$B21,G$1,$B$1)</f>
        <v>#NAME?</v>
      </c>
      <c r="H21" t="e">
        <f ca="1">_xll.EQNXTDZ($A$1,$B21,H$1,$B$1)</f>
        <v>#NAME?</v>
      </c>
      <c r="I21" t="e">
        <f ca="1">_xll.EQNXTDZ($A$1,$B21,I$1,$B$1)</f>
        <v>#NAME?</v>
      </c>
      <c r="J21" t="e">
        <f ca="1">_xll.EQNXTDZ($A$1,$B21,J$1,$B$1)</f>
        <v>#NAME?</v>
      </c>
      <c r="K21" t="e">
        <f ca="1">_xll.EQNXTDZ($A$1,$B21,K$1,$B$1)</f>
        <v>#NAME?</v>
      </c>
      <c r="L21" t="e">
        <f ca="1">_xll.EQNXTDZ($A$1,$B21,L$1,$B$1)</f>
        <v>#NAME?</v>
      </c>
      <c r="M21" t="e">
        <f ca="1">_xll.EQNXTDZ($A$1,$B21,M$1,$B$1)</f>
        <v>#NAME?</v>
      </c>
      <c r="N21" t="e">
        <f ca="1">_xll.EQNXTDZ($A$1,$B21,N$1,$B$1)</f>
        <v>#NAME?</v>
      </c>
      <c r="O21" t="e">
        <f ca="1">_xll.EQNXTDZ($A$1,$B21,O$1,$B$1)</f>
        <v>#NAME?</v>
      </c>
      <c r="P21" t="e">
        <f ca="1">_xll.EQNXTDZ($A$1,$B21,P$1,$B$1)</f>
        <v>#NAME?</v>
      </c>
      <c r="Q21" t="e">
        <f ca="1">_xll.EQNXTDZ($A$1,$B21,Q$1,$B$1)</f>
        <v>#NAME?</v>
      </c>
      <c r="R21" t="e">
        <f ca="1">_xll.EQNXTDZ($A$1,$B21,R$1,$B$1)</f>
        <v>#NAME?</v>
      </c>
      <c r="S21" t="e">
        <f ca="1">_xll.EQNXTDZ($A$1,$B21,S$1,$B$1)</f>
        <v>#NAME?</v>
      </c>
      <c r="T21" t="e">
        <f ca="1">_xll.EQNXTDZ($A$1,$B21,T$1,$B$1)</f>
        <v>#NAME?</v>
      </c>
      <c r="U21" t="e">
        <f ca="1">_xll.EQNXTDZ($A$1,$B21,U$1,$B$1)</f>
        <v>#NAME?</v>
      </c>
      <c r="V21" t="e">
        <f ca="1">_xll.EQNXTDZ($A$1,$B21,V$1,$B$1)</f>
        <v>#NAME?</v>
      </c>
      <c r="W21" t="e">
        <f ca="1">_xll.EQNXTDZ($A$1,$B21,W$1,$B$1)</f>
        <v>#NAME?</v>
      </c>
      <c r="X21" t="e">
        <f ca="1">_xll.EQNXTDZ($A$1,$B21,X$1,$B$1)</f>
        <v>#NAME?</v>
      </c>
      <c r="Y21" t="e">
        <f ca="1">_xll.EQNXTDZ($A$1,$B21,Y$1,$B$1)</f>
        <v>#NAME?</v>
      </c>
      <c r="Z21" t="e">
        <f ca="1">_xll.EQNXTDZ($A$1,$B21,Z$1,$B$1)</f>
        <v>#NAME?</v>
      </c>
      <c r="AA21" t="e">
        <f ca="1">_xll.EQNXTDZ($A$1,$B21,AA$1,$B$1)</f>
        <v>#NAME?</v>
      </c>
      <c r="AB21" t="e">
        <f ca="1">_xll.EQNXTDZ($A$1,$B21,AB$1,$B$1)</f>
        <v>#NAME?</v>
      </c>
      <c r="AC21" t="e">
        <f ca="1">_xll.EQNXTDZ($A$1,$B21,AC$1,$B$1)</f>
        <v>#NAME?</v>
      </c>
      <c r="AD21" t="e">
        <f ca="1">_xll.EQNXTDZ($A$1,$B21,AD$1,$B$1)</f>
        <v>#NAME?</v>
      </c>
      <c r="AE21" t="e">
        <f ca="1">_xll.EQNXTDZ($A$1,$B21,AE$1,$B$1)</f>
        <v>#NAME?</v>
      </c>
      <c r="AF21" t="e">
        <f ca="1">_xll.EQNXTDZ($A$1,$B21,AF$1,$B$1)</f>
        <v>#NAME?</v>
      </c>
      <c r="AG21" t="e">
        <f ca="1">_xll.EQNXTDZ($A$1,$B21,AG$1,$B$1)</f>
        <v>#NAME?</v>
      </c>
      <c r="AH21" t="e">
        <f ca="1">_xll.EQNXTDZ($A$1,$B21,AH$1,$B$1)</f>
        <v>#NAME?</v>
      </c>
      <c r="AI21" t="e">
        <f ca="1">_xll.EQNXTDZ($A$1,$B21,AI$1,$B$1)</f>
        <v>#NAME?</v>
      </c>
      <c r="AJ21" t="e">
        <f ca="1">_xll.EQNXTDZ($A$1,$B21,AJ$1,$B$1)</f>
        <v>#NAME?</v>
      </c>
      <c r="AK21" t="e">
        <f ca="1">_xll.EQNXTDZ($A$1,$B21,AK$1,$B$1)</f>
        <v>#NAME?</v>
      </c>
      <c r="AL21" t="e">
        <f ca="1">_xll.EQNXTDZ($A$1,$B21,AL$1,$B$1)</f>
        <v>#NAME?</v>
      </c>
      <c r="AM21" t="e">
        <f ca="1">_xll.EQNXTDZ($A$1,$B21,AM$1,$B$1)</f>
        <v>#NAME?</v>
      </c>
      <c r="AN21" t="e">
        <f ca="1">_xll.EQNXTDZ($A$1,$B21,AN$1,$B$1)</f>
        <v>#NAME?</v>
      </c>
      <c r="AO21" t="e">
        <f ca="1">_xll.EQNXTDZ($A$1,$B21,AO$1,$B$1)</f>
        <v>#NAME?</v>
      </c>
      <c r="AP21" t="e">
        <f ca="1">_xll.EQNXTDZ($A$1,$B21,AP$1,$B$1)</f>
        <v>#NAME?</v>
      </c>
      <c r="AQ21" t="e">
        <f ca="1">_xll.EQNXTDZ($A$1,$B21,AQ$1,$B$1)</f>
        <v>#NAME?</v>
      </c>
      <c r="AR21" t="e">
        <f ca="1">_xll.EQNXTDZ($A$1,$B21,AR$1,$B$1)</f>
        <v>#NAME?</v>
      </c>
      <c r="AS21" t="e">
        <f ca="1">_xll.EQNXTDZ($A$1,$B21,AS$1,$B$1)</f>
        <v>#NAME?</v>
      </c>
      <c r="AT21" t="e">
        <f ca="1">_xll.EQNXTDZ($A$1,$B21,AT$1,$B$1)</f>
        <v>#NAME?</v>
      </c>
      <c r="AU21" t="e">
        <f ca="1">_xll.EQNXTDZ($A$1,$B21,AU$1,$B$1)</f>
        <v>#NAME?</v>
      </c>
      <c r="AV21" t="e">
        <f ca="1">_xll.EQNXTDZ($A$1,$B21,AV$1,$B$1)</f>
        <v>#NAME?</v>
      </c>
      <c r="AW21" t="e">
        <f ca="1">_xll.EQNXTDZ($A$1,$B21,AW$1,$B$1)</f>
        <v>#NAME?</v>
      </c>
      <c r="AX21" t="e">
        <f ca="1">_xll.EQNXTDZ($A$1,$B21,AX$1,$B$1)</f>
        <v>#NAME?</v>
      </c>
      <c r="AY21" t="e">
        <f ca="1">_xll.EQNXTDZ($A$1,$B21,AY$1,$B$1)</f>
        <v>#NAME?</v>
      </c>
      <c r="AZ21" t="e">
        <f ca="1">_xll.EQNXTDZ($A$1,$B21,AZ$1,$B$1)</f>
        <v>#NAME?</v>
      </c>
      <c r="BA21" t="e">
        <f ca="1">_xll.EQNXTDZ($A$1,$B21,BA$1,$B$1)</f>
        <v>#NAME?</v>
      </c>
      <c r="BB21" t="e">
        <f ca="1">_xll.EQNXTDZ($A$1,$B21,BB$1,$B$1)</f>
        <v>#NAME?</v>
      </c>
      <c r="BC21" t="e">
        <f ca="1">_xll.EQNXTDZ($A$1,$B21,BC$1,$B$1)</f>
        <v>#NAME?</v>
      </c>
      <c r="BD21" t="e">
        <f ca="1">_xll.EQNXTDZ($A$1,$B21,BD$1,$B$1)</f>
        <v>#NAME?</v>
      </c>
      <c r="BE21" t="e">
        <f ca="1">_xll.EQNXTDZ($A$1,$B21,BE$1,$B$1)</f>
        <v>#NAME?</v>
      </c>
      <c r="BF21" t="e">
        <f ca="1">_xll.EQNXTDZ($A$1,$B21,BF$1,$B$1)</f>
        <v>#NAME?</v>
      </c>
      <c r="BG21" t="e">
        <f ca="1">_xll.EQNXTDZ($A$1,$B21,BG$1,$B$1)</f>
        <v>#NAME?</v>
      </c>
      <c r="BH21" t="e">
        <f ca="1">_xll.EQNXTDZ($A$1,$B21,BH$1,$B$1)</f>
        <v>#NAME?</v>
      </c>
      <c r="BI21" t="e">
        <f ca="1">_xll.EQNXTDZ($A$1,$B21,BI$1,$B$1)</f>
        <v>#NAME?</v>
      </c>
      <c r="BJ21" t="e">
        <f ca="1">_xll.EQNXTDZ($A$1,$B21,BJ$1,$B$1)</f>
        <v>#NAME?</v>
      </c>
      <c r="BK21" t="e">
        <f ca="1">_xll.EQNXTDZ($A$1,$B21,BK$1,$B$1)</f>
        <v>#NAME?</v>
      </c>
      <c r="BL21" t="e">
        <f ca="1">_xll.EQNXTDZ($A$1,$B21,BL$1,$B$1)</f>
        <v>#NAME?</v>
      </c>
      <c r="BM21" t="e">
        <f ca="1">_xll.EQNXTDZ($A$1,$B21,BM$1,$B$1)</f>
        <v>#NAME?</v>
      </c>
      <c r="BN21" t="e">
        <f ca="1">_xll.EQNXTDZ($A$1,$B21,BN$1,$B$1)</f>
        <v>#NAME?</v>
      </c>
      <c r="BO21" t="e">
        <f ca="1">_xll.EQNXTDZ($A$1,$B21,BO$1,$B$1)</f>
        <v>#NAME?</v>
      </c>
      <c r="BP21" t="e">
        <f ca="1">_xll.EQNXTDZ($A$1,$B21,BP$1,$B$1)</f>
        <v>#NAME?</v>
      </c>
      <c r="BQ21" t="e">
        <f ca="1">_xll.EQNXTDZ($A$1,$B21,BQ$1,$B$1)</f>
        <v>#NAME?</v>
      </c>
      <c r="BR21" t="e">
        <f ca="1">_xll.EQNXTDZ($A$1,$B21,BR$1,$B$1)</f>
        <v>#NAME?</v>
      </c>
      <c r="BS21" t="e">
        <f ca="1">_xll.EQNXTDZ($A$1,$B21,BS$1,$B$1)</f>
        <v>#NAME?</v>
      </c>
      <c r="BT21" t="e">
        <f ca="1">_xll.EQNXTDZ($A$1,$B21,BT$1,$B$1)</f>
        <v>#NAME?</v>
      </c>
      <c r="BU21" t="e">
        <f ca="1">_xll.EQNXTDZ($A$1,$B21,BU$1,$B$1)</f>
        <v>#NAME?</v>
      </c>
      <c r="BV21" t="e">
        <f ca="1">_xll.EQNXTDZ($A$1,$B21,BV$1,$B$1)</f>
        <v>#NAME?</v>
      </c>
    </row>
    <row r="22" spans="1:74" x14ac:dyDescent="0.25">
      <c r="A22" t="s">
        <v>122</v>
      </c>
      <c r="B22" t="s">
        <v>292</v>
      </c>
      <c r="C22" t="e">
        <f ca="1">_xll.EQNXTDZ($A$1,$B22,C$1,$B$1)</f>
        <v>#NAME?</v>
      </c>
      <c r="D22" t="e">
        <f ca="1">_xll.EQNXTDZ($A$1,$B22,D$1,$B$1)</f>
        <v>#NAME?</v>
      </c>
      <c r="E22" t="e">
        <f ca="1">_xll.EQNXTDZ($A$1,$B22,E$1,$B$1)</f>
        <v>#NAME?</v>
      </c>
      <c r="F22" t="e">
        <f ca="1">_xll.EQNXTDZ($A$1,$B22,F$1,$B$1)</f>
        <v>#NAME?</v>
      </c>
      <c r="G22" t="e">
        <f ca="1">_xll.EQNXTDZ($A$1,$B22,G$1,$B$1)</f>
        <v>#NAME?</v>
      </c>
      <c r="H22" t="e">
        <f ca="1">_xll.EQNXTDZ($A$1,$B22,H$1,$B$1)</f>
        <v>#NAME?</v>
      </c>
      <c r="I22" t="e">
        <f ca="1">_xll.EQNXTDZ($A$1,$B22,I$1,$B$1)</f>
        <v>#NAME?</v>
      </c>
      <c r="J22" t="e">
        <f ca="1">_xll.EQNXTDZ($A$1,$B22,J$1,$B$1)</f>
        <v>#NAME?</v>
      </c>
      <c r="K22" t="e">
        <f ca="1">_xll.EQNXTDZ($A$1,$B22,K$1,$B$1)</f>
        <v>#NAME?</v>
      </c>
      <c r="L22" t="e">
        <f ca="1">_xll.EQNXTDZ($A$1,$B22,L$1,$B$1)</f>
        <v>#NAME?</v>
      </c>
      <c r="M22" t="e">
        <f ca="1">_xll.EQNXTDZ($A$1,$B22,M$1,$B$1)</f>
        <v>#NAME?</v>
      </c>
      <c r="N22" t="e">
        <f ca="1">_xll.EQNXTDZ($A$1,$B22,N$1,$B$1)</f>
        <v>#NAME?</v>
      </c>
      <c r="O22" t="e">
        <f ca="1">_xll.EQNXTDZ($A$1,$B22,O$1,$B$1)</f>
        <v>#NAME?</v>
      </c>
      <c r="P22" t="e">
        <f ca="1">_xll.EQNXTDZ($A$1,$B22,P$1,$B$1)</f>
        <v>#NAME?</v>
      </c>
      <c r="Q22" t="e">
        <f ca="1">_xll.EQNXTDZ($A$1,$B22,Q$1,$B$1)</f>
        <v>#NAME?</v>
      </c>
      <c r="R22" t="e">
        <f ca="1">_xll.EQNXTDZ($A$1,$B22,R$1,$B$1)</f>
        <v>#NAME?</v>
      </c>
      <c r="S22" t="e">
        <f ca="1">_xll.EQNXTDZ($A$1,$B22,S$1,$B$1)</f>
        <v>#NAME?</v>
      </c>
      <c r="T22" t="e">
        <f ca="1">_xll.EQNXTDZ($A$1,$B22,T$1,$B$1)</f>
        <v>#NAME?</v>
      </c>
      <c r="U22" t="e">
        <f ca="1">_xll.EQNXTDZ($A$1,$B22,U$1,$B$1)</f>
        <v>#NAME?</v>
      </c>
      <c r="V22" t="e">
        <f ca="1">_xll.EQNXTDZ($A$1,$B22,V$1,$B$1)</f>
        <v>#NAME?</v>
      </c>
      <c r="W22" t="e">
        <f ca="1">_xll.EQNXTDZ($A$1,$B22,W$1,$B$1)</f>
        <v>#NAME?</v>
      </c>
      <c r="X22" t="e">
        <f ca="1">_xll.EQNXTDZ($A$1,$B22,X$1,$B$1)</f>
        <v>#NAME?</v>
      </c>
      <c r="Y22" t="e">
        <f ca="1">_xll.EQNXTDZ($A$1,$B22,Y$1,$B$1)</f>
        <v>#NAME?</v>
      </c>
      <c r="Z22" t="e">
        <f ca="1">_xll.EQNXTDZ($A$1,$B22,Z$1,$B$1)</f>
        <v>#NAME?</v>
      </c>
      <c r="AA22" t="e">
        <f ca="1">_xll.EQNXTDZ($A$1,$B22,AA$1,$B$1)</f>
        <v>#NAME?</v>
      </c>
      <c r="AB22" t="e">
        <f ca="1">_xll.EQNXTDZ($A$1,$B22,AB$1,$B$1)</f>
        <v>#NAME?</v>
      </c>
      <c r="AC22" t="e">
        <f ca="1">_xll.EQNXTDZ($A$1,$B22,AC$1,$B$1)</f>
        <v>#NAME?</v>
      </c>
      <c r="AD22" t="e">
        <f ca="1">_xll.EQNXTDZ($A$1,$B22,AD$1,$B$1)</f>
        <v>#NAME?</v>
      </c>
      <c r="AE22" t="e">
        <f ca="1">_xll.EQNXTDZ($A$1,$B22,AE$1,$B$1)</f>
        <v>#NAME?</v>
      </c>
      <c r="AF22" t="e">
        <f ca="1">_xll.EQNXTDZ($A$1,$B22,AF$1,$B$1)</f>
        <v>#NAME?</v>
      </c>
      <c r="AG22" t="e">
        <f ca="1">_xll.EQNXTDZ($A$1,$B22,AG$1,$B$1)</f>
        <v>#NAME?</v>
      </c>
      <c r="AH22" t="e">
        <f ca="1">_xll.EQNXTDZ($A$1,$B22,AH$1,$B$1)</f>
        <v>#NAME?</v>
      </c>
      <c r="AI22" t="e">
        <f ca="1">_xll.EQNXTDZ($A$1,$B22,AI$1,$B$1)</f>
        <v>#NAME?</v>
      </c>
      <c r="AJ22" t="e">
        <f ca="1">_xll.EQNXTDZ($A$1,$B22,AJ$1,$B$1)</f>
        <v>#NAME?</v>
      </c>
      <c r="AK22" t="e">
        <f ca="1">_xll.EQNXTDZ($A$1,$B22,AK$1,$B$1)</f>
        <v>#NAME?</v>
      </c>
      <c r="AL22" t="e">
        <f ca="1">_xll.EQNXTDZ($A$1,$B22,AL$1,$B$1)</f>
        <v>#NAME?</v>
      </c>
      <c r="AM22" t="e">
        <f ca="1">_xll.EQNXTDZ($A$1,$B22,AM$1,$B$1)</f>
        <v>#NAME?</v>
      </c>
      <c r="AN22" t="e">
        <f ca="1">_xll.EQNXTDZ($A$1,$B22,AN$1,$B$1)</f>
        <v>#NAME?</v>
      </c>
      <c r="AO22" t="e">
        <f ca="1">_xll.EQNXTDZ($A$1,$B22,AO$1,$B$1)</f>
        <v>#NAME?</v>
      </c>
      <c r="AP22" t="e">
        <f ca="1">_xll.EQNXTDZ($A$1,$B22,AP$1,$B$1)</f>
        <v>#NAME?</v>
      </c>
      <c r="AQ22" t="e">
        <f ca="1">_xll.EQNXTDZ($A$1,$B22,AQ$1,$B$1)</f>
        <v>#NAME?</v>
      </c>
      <c r="AR22" t="e">
        <f ca="1">_xll.EQNXTDZ($A$1,$B22,AR$1,$B$1)</f>
        <v>#NAME?</v>
      </c>
      <c r="AS22" t="e">
        <f ca="1">_xll.EQNXTDZ($A$1,$B22,AS$1,$B$1)</f>
        <v>#NAME?</v>
      </c>
      <c r="AT22" t="e">
        <f ca="1">_xll.EQNXTDZ($A$1,$B22,AT$1,$B$1)</f>
        <v>#NAME?</v>
      </c>
      <c r="AU22" t="e">
        <f ca="1">_xll.EQNXTDZ($A$1,$B22,AU$1,$B$1)</f>
        <v>#NAME?</v>
      </c>
      <c r="AV22" t="e">
        <f ca="1">_xll.EQNXTDZ($A$1,$B22,AV$1,$B$1)</f>
        <v>#NAME?</v>
      </c>
      <c r="AW22" t="e">
        <f ca="1">_xll.EQNXTDZ($A$1,$B22,AW$1,$B$1)</f>
        <v>#NAME?</v>
      </c>
      <c r="AX22" t="e">
        <f ca="1">_xll.EQNXTDZ($A$1,$B22,AX$1,$B$1)</f>
        <v>#NAME?</v>
      </c>
      <c r="AY22" t="e">
        <f ca="1">_xll.EQNXTDZ($A$1,$B22,AY$1,$B$1)</f>
        <v>#NAME?</v>
      </c>
      <c r="AZ22" t="e">
        <f ca="1">_xll.EQNXTDZ($A$1,$B22,AZ$1,$B$1)</f>
        <v>#NAME?</v>
      </c>
      <c r="BA22" t="e">
        <f ca="1">_xll.EQNXTDZ($A$1,$B22,BA$1,$B$1)</f>
        <v>#NAME?</v>
      </c>
      <c r="BB22" t="e">
        <f ca="1">_xll.EQNXTDZ($A$1,$B22,BB$1,$B$1)</f>
        <v>#NAME?</v>
      </c>
      <c r="BC22" t="e">
        <f ca="1">_xll.EQNXTDZ($A$1,$B22,BC$1,$B$1)</f>
        <v>#NAME?</v>
      </c>
      <c r="BD22" t="e">
        <f ca="1">_xll.EQNXTDZ($A$1,$B22,BD$1,$B$1)</f>
        <v>#NAME?</v>
      </c>
      <c r="BE22" t="e">
        <f ca="1">_xll.EQNXTDZ($A$1,$B22,BE$1,$B$1)</f>
        <v>#NAME?</v>
      </c>
      <c r="BF22" t="e">
        <f ca="1">_xll.EQNXTDZ($A$1,$B22,BF$1,$B$1)</f>
        <v>#NAME?</v>
      </c>
      <c r="BG22" t="e">
        <f ca="1">_xll.EQNXTDZ($A$1,$B22,BG$1,$B$1)</f>
        <v>#NAME?</v>
      </c>
      <c r="BH22" t="e">
        <f ca="1">_xll.EQNXTDZ($A$1,$B22,BH$1,$B$1)</f>
        <v>#NAME?</v>
      </c>
      <c r="BI22" t="e">
        <f ca="1">_xll.EQNXTDZ($A$1,$B22,BI$1,$B$1)</f>
        <v>#NAME?</v>
      </c>
      <c r="BJ22" t="e">
        <f ca="1">_xll.EQNXTDZ($A$1,$B22,BJ$1,$B$1)</f>
        <v>#NAME?</v>
      </c>
      <c r="BK22" t="e">
        <f ca="1">_xll.EQNXTDZ($A$1,$B22,BK$1,$B$1)</f>
        <v>#NAME?</v>
      </c>
      <c r="BL22" t="e">
        <f ca="1">_xll.EQNXTDZ($A$1,$B22,BL$1,$B$1)</f>
        <v>#NAME?</v>
      </c>
      <c r="BM22" t="e">
        <f ca="1">_xll.EQNXTDZ($A$1,$B22,BM$1,$B$1)</f>
        <v>#NAME?</v>
      </c>
      <c r="BN22" t="e">
        <f ca="1">_xll.EQNXTDZ($A$1,$B22,BN$1,$B$1)</f>
        <v>#NAME?</v>
      </c>
      <c r="BO22" t="e">
        <f ca="1">_xll.EQNXTDZ($A$1,$B22,BO$1,$B$1)</f>
        <v>#NAME?</v>
      </c>
      <c r="BP22" t="e">
        <f ca="1">_xll.EQNXTDZ($A$1,$B22,BP$1,$B$1)</f>
        <v>#NAME?</v>
      </c>
      <c r="BQ22" t="e">
        <f ca="1">_xll.EQNXTDZ($A$1,$B22,BQ$1,$B$1)</f>
        <v>#NAME?</v>
      </c>
      <c r="BR22" t="e">
        <f ca="1">_xll.EQNXTDZ($A$1,$B22,BR$1,$B$1)</f>
        <v>#NAME?</v>
      </c>
      <c r="BS22" t="e">
        <f ca="1">_xll.EQNXTDZ($A$1,$B22,BS$1,$B$1)</f>
        <v>#NAME?</v>
      </c>
      <c r="BT22" t="e">
        <f ca="1">_xll.EQNXTDZ($A$1,$B22,BT$1,$B$1)</f>
        <v>#NAME?</v>
      </c>
      <c r="BU22" t="e">
        <f ca="1">_xll.EQNXTDZ($A$1,$B22,BU$1,$B$1)</f>
        <v>#NAME?</v>
      </c>
      <c r="BV22" t="e">
        <f ca="1">_xll.EQNXTDZ($A$1,$B22,BV$1,$B$1)</f>
        <v>#NAME?</v>
      </c>
    </row>
    <row r="23" spans="1:74" x14ac:dyDescent="0.25">
      <c r="A23" t="s">
        <v>17</v>
      </c>
      <c r="B23" t="s">
        <v>293</v>
      </c>
      <c r="C23" t="e">
        <f ca="1">_xll.EQNXTDZ($A$1,$B23,C$1,$B$1)</f>
        <v>#NAME?</v>
      </c>
      <c r="D23" t="e">
        <f ca="1">_xll.EQNXTDZ($A$1,$B23,D$1,$B$1)</f>
        <v>#NAME?</v>
      </c>
      <c r="E23" t="e">
        <f ca="1">_xll.EQNXTDZ($A$1,$B23,E$1,$B$1)</f>
        <v>#NAME?</v>
      </c>
      <c r="F23" t="e">
        <f ca="1">_xll.EQNXTDZ($A$1,$B23,F$1,$B$1)</f>
        <v>#NAME?</v>
      </c>
      <c r="G23" t="e">
        <f ca="1">_xll.EQNXTDZ($A$1,$B23,G$1,$B$1)</f>
        <v>#NAME?</v>
      </c>
      <c r="H23" t="e">
        <f ca="1">_xll.EQNXTDZ($A$1,$B23,H$1,$B$1)</f>
        <v>#NAME?</v>
      </c>
      <c r="I23" t="e">
        <f ca="1">_xll.EQNXTDZ($A$1,$B23,I$1,$B$1)</f>
        <v>#NAME?</v>
      </c>
      <c r="J23" t="e">
        <f ca="1">_xll.EQNXTDZ($A$1,$B23,J$1,$B$1)</f>
        <v>#NAME?</v>
      </c>
      <c r="K23" t="e">
        <f ca="1">_xll.EQNXTDZ($A$1,$B23,K$1,$B$1)</f>
        <v>#NAME?</v>
      </c>
      <c r="L23" t="e">
        <f ca="1">_xll.EQNXTDZ($A$1,$B23,L$1,$B$1)</f>
        <v>#NAME?</v>
      </c>
      <c r="M23" t="e">
        <f ca="1">_xll.EQNXTDZ($A$1,$B23,M$1,$B$1)</f>
        <v>#NAME?</v>
      </c>
      <c r="N23" t="e">
        <f ca="1">_xll.EQNXTDZ($A$1,$B23,N$1,$B$1)</f>
        <v>#NAME?</v>
      </c>
      <c r="O23" t="e">
        <f ca="1">_xll.EQNXTDZ($A$1,$B23,O$1,$B$1)</f>
        <v>#NAME?</v>
      </c>
      <c r="P23" t="e">
        <f ca="1">_xll.EQNXTDZ($A$1,$B23,P$1,$B$1)</f>
        <v>#NAME?</v>
      </c>
      <c r="Q23" t="e">
        <f ca="1">_xll.EQNXTDZ($A$1,$B23,Q$1,$B$1)</f>
        <v>#NAME?</v>
      </c>
      <c r="R23" t="e">
        <f ca="1">_xll.EQNXTDZ($A$1,$B23,R$1,$B$1)</f>
        <v>#NAME?</v>
      </c>
      <c r="S23" t="e">
        <f ca="1">_xll.EQNXTDZ($A$1,$B23,S$1,$B$1)</f>
        <v>#NAME?</v>
      </c>
      <c r="T23" t="e">
        <f ca="1">_xll.EQNXTDZ($A$1,$B23,T$1,$B$1)</f>
        <v>#NAME?</v>
      </c>
      <c r="U23" t="e">
        <f ca="1">_xll.EQNXTDZ($A$1,$B23,U$1,$B$1)</f>
        <v>#NAME?</v>
      </c>
      <c r="V23" t="e">
        <f ca="1">_xll.EQNXTDZ($A$1,$B23,V$1,$B$1)</f>
        <v>#NAME?</v>
      </c>
      <c r="W23" t="e">
        <f ca="1">_xll.EQNXTDZ($A$1,$B23,W$1,$B$1)</f>
        <v>#NAME?</v>
      </c>
      <c r="X23" t="e">
        <f ca="1">_xll.EQNXTDZ($A$1,$B23,X$1,$B$1)</f>
        <v>#NAME?</v>
      </c>
      <c r="Y23" t="e">
        <f ca="1">_xll.EQNXTDZ($A$1,$B23,Y$1,$B$1)</f>
        <v>#NAME?</v>
      </c>
      <c r="Z23" t="e">
        <f ca="1">_xll.EQNXTDZ($A$1,$B23,Z$1,$B$1)</f>
        <v>#NAME?</v>
      </c>
      <c r="AA23" t="e">
        <f ca="1">_xll.EQNXTDZ($A$1,$B23,AA$1,$B$1)</f>
        <v>#NAME?</v>
      </c>
      <c r="AB23" t="e">
        <f ca="1">_xll.EQNXTDZ($A$1,$B23,AB$1,$B$1)</f>
        <v>#NAME?</v>
      </c>
      <c r="AC23" t="e">
        <f ca="1">_xll.EQNXTDZ($A$1,$B23,AC$1,$B$1)</f>
        <v>#NAME?</v>
      </c>
      <c r="AD23" t="e">
        <f ca="1">_xll.EQNXTDZ($A$1,$B23,AD$1,$B$1)</f>
        <v>#NAME?</v>
      </c>
      <c r="AE23" t="e">
        <f ca="1">_xll.EQNXTDZ($A$1,$B23,AE$1,$B$1)</f>
        <v>#NAME?</v>
      </c>
      <c r="AF23" t="e">
        <f ca="1">_xll.EQNXTDZ($A$1,$B23,AF$1,$B$1)</f>
        <v>#NAME?</v>
      </c>
      <c r="AG23" t="e">
        <f ca="1">_xll.EQNXTDZ($A$1,$B23,AG$1,$B$1)</f>
        <v>#NAME?</v>
      </c>
      <c r="AH23" t="e">
        <f ca="1">_xll.EQNXTDZ($A$1,$B23,AH$1,$B$1)</f>
        <v>#NAME?</v>
      </c>
      <c r="AI23" t="e">
        <f ca="1">_xll.EQNXTDZ($A$1,$B23,AI$1,$B$1)</f>
        <v>#NAME?</v>
      </c>
      <c r="AJ23" t="e">
        <f ca="1">_xll.EQNXTDZ($A$1,$B23,AJ$1,$B$1)</f>
        <v>#NAME?</v>
      </c>
      <c r="AK23" t="e">
        <f ca="1">_xll.EQNXTDZ($A$1,$B23,AK$1,$B$1)</f>
        <v>#NAME?</v>
      </c>
      <c r="AL23" t="e">
        <f ca="1">_xll.EQNXTDZ($A$1,$B23,AL$1,$B$1)</f>
        <v>#NAME?</v>
      </c>
      <c r="AM23" t="e">
        <f ca="1">_xll.EQNXTDZ($A$1,$B23,AM$1,$B$1)</f>
        <v>#NAME?</v>
      </c>
      <c r="AN23" t="e">
        <f ca="1">_xll.EQNXTDZ($A$1,$B23,AN$1,$B$1)</f>
        <v>#NAME?</v>
      </c>
      <c r="AO23" t="e">
        <f ca="1">_xll.EQNXTDZ($A$1,$B23,AO$1,$B$1)</f>
        <v>#NAME?</v>
      </c>
      <c r="AP23" t="e">
        <f ca="1">_xll.EQNXTDZ($A$1,$B23,AP$1,$B$1)</f>
        <v>#NAME?</v>
      </c>
      <c r="AQ23" t="e">
        <f ca="1">_xll.EQNXTDZ($A$1,$B23,AQ$1,$B$1)</f>
        <v>#NAME?</v>
      </c>
      <c r="AR23" t="e">
        <f ca="1">_xll.EQNXTDZ($A$1,$B23,AR$1,$B$1)</f>
        <v>#NAME?</v>
      </c>
      <c r="AS23" t="e">
        <f ca="1">_xll.EQNXTDZ($A$1,$B23,AS$1,$B$1)</f>
        <v>#NAME?</v>
      </c>
      <c r="AT23" t="e">
        <f ca="1">_xll.EQNXTDZ($A$1,$B23,AT$1,$B$1)</f>
        <v>#NAME?</v>
      </c>
      <c r="AU23" t="e">
        <f ca="1">_xll.EQNXTDZ($A$1,$B23,AU$1,$B$1)</f>
        <v>#NAME?</v>
      </c>
      <c r="AV23" t="e">
        <f ca="1">_xll.EQNXTDZ($A$1,$B23,AV$1,$B$1)</f>
        <v>#NAME?</v>
      </c>
      <c r="AW23" t="e">
        <f ca="1">_xll.EQNXTDZ($A$1,$B23,AW$1,$B$1)</f>
        <v>#NAME?</v>
      </c>
      <c r="AX23" t="e">
        <f ca="1">_xll.EQNXTDZ($A$1,$B23,AX$1,$B$1)</f>
        <v>#NAME?</v>
      </c>
      <c r="AY23" t="e">
        <f ca="1">_xll.EQNXTDZ($A$1,$B23,AY$1,$B$1)</f>
        <v>#NAME?</v>
      </c>
      <c r="AZ23" t="e">
        <f ca="1">_xll.EQNXTDZ($A$1,$B23,AZ$1,$B$1)</f>
        <v>#NAME?</v>
      </c>
      <c r="BA23" t="e">
        <f ca="1">_xll.EQNXTDZ($A$1,$B23,BA$1,$B$1)</f>
        <v>#NAME?</v>
      </c>
      <c r="BB23" t="e">
        <f ca="1">_xll.EQNXTDZ($A$1,$B23,BB$1,$B$1)</f>
        <v>#NAME?</v>
      </c>
      <c r="BC23" t="e">
        <f ca="1">_xll.EQNXTDZ($A$1,$B23,BC$1,$B$1)</f>
        <v>#NAME?</v>
      </c>
      <c r="BD23" t="e">
        <f ca="1">_xll.EQNXTDZ($A$1,$B23,BD$1,$B$1)</f>
        <v>#NAME?</v>
      </c>
      <c r="BE23" t="e">
        <f ca="1">_xll.EQNXTDZ($A$1,$B23,BE$1,$B$1)</f>
        <v>#NAME?</v>
      </c>
      <c r="BF23" t="e">
        <f ca="1">_xll.EQNXTDZ($A$1,$B23,BF$1,$B$1)</f>
        <v>#NAME?</v>
      </c>
      <c r="BG23" t="e">
        <f ca="1">_xll.EQNXTDZ($A$1,$B23,BG$1,$B$1)</f>
        <v>#NAME?</v>
      </c>
      <c r="BH23" t="e">
        <f ca="1">_xll.EQNXTDZ($A$1,$B23,BH$1,$B$1)</f>
        <v>#NAME?</v>
      </c>
      <c r="BI23" t="e">
        <f ca="1">_xll.EQNXTDZ($A$1,$B23,BI$1,$B$1)</f>
        <v>#NAME?</v>
      </c>
      <c r="BJ23" t="e">
        <f ca="1">_xll.EQNXTDZ($A$1,$B23,BJ$1,$B$1)</f>
        <v>#NAME?</v>
      </c>
      <c r="BK23" t="e">
        <f ca="1">_xll.EQNXTDZ($A$1,$B23,BK$1,$B$1)</f>
        <v>#NAME?</v>
      </c>
      <c r="BL23" t="e">
        <f ca="1">_xll.EQNXTDZ($A$1,$B23,BL$1,$B$1)</f>
        <v>#NAME?</v>
      </c>
      <c r="BM23" t="e">
        <f ca="1">_xll.EQNXTDZ($A$1,$B23,BM$1,$B$1)</f>
        <v>#NAME?</v>
      </c>
      <c r="BN23" t="e">
        <f ca="1">_xll.EQNXTDZ($A$1,$B23,BN$1,$B$1)</f>
        <v>#NAME?</v>
      </c>
      <c r="BO23" t="e">
        <f ca="1">_xll.EQNXTDZ($A$1,$B23,BO$1,$B$1)</f>
        <v>#NAME?</v>
      </c>
      <c r="BP23" t="e">
        <f ca="1">_xll.EQNXTDZ($A$1,$B23,BP$1,$B$1)</f>
        <v>#NAME?</v>
      </c>
      <c r="BQ23" t="e">
        <f ca="1">_xll.EQNXTDZ($A$1,$B23,BQ$1,$B$1)</f>
        <v>#NAME?</v>
      </c>
      <c r="BR23" t="e">
        <f ca="1">_xll.EQNXTDZ($A$1,$B23,BR$1,$B$1)</f>
        <v>#NAME?</v>
      </c>
      <c r="BS23" t="e">
        <f ca="1">_xll.EQNXTDZ($A$1,$B23,BS$1,$B$1)</f>
        <v>#NAME?</v>
      </c>
      <c r="BT23" t="e">
        <f ca="1">_xll.EQNXTDZ($A$1,$B23,BT$1,$B$1)</f>
        <v>#NAME?</v>
      </c>
      <c r="BU23" t="e">
        <f ca="1">_xll.EQNXTDZ($A$1,$B23,BU$1,$B$1)</f>
        <v>#NAME?</v>
      </c>
      <c r="BV23" t="e">
        <f ca="1">_xll.EQNXTDZ($A$1,$B23,BV$1,$B$1)</f>
        <v>#NAME?</v>
      </c>
    </row>
    <row r="24" spans="1:74" x14ac:dyDescent="0.25">
      <c r="A24" t="s">
        <v>123</v>
      </c>
      <c r="B24" t="s">
        <v>294</v>
      </c>
      <c r="C24" t="e">
        <f ca="1">_xll.EQNXTDZ($A$1,$B24,C$1,$B$1)</f>
        <v>#NAME?</v>
      </c>
      <c r="D24" t="e">
        <f ca="1">_xll.EQNXTDZ($A$1,$B24,D$1,$B$1)</f>
        <v>#NAME?</v>
      </c>
      <c r="E24" t="e">
        <f ca="1">_xll.EQNXTDZ($A$1,$B24,E$1,$B$1)</f>
        <v>#NAME?</v>
      </c>
      <c r="F24" t="e">
        <f ca="1">_xll.EQNXTDZ($A$1,$B24,F$1,$B$1)</f>
        <v>#NAME?</v>
      </c>
      <c r="G24" t="e">
        <f ca="1">_xll.EQNXTDZ($A$1,$B24,G$1,$B$1)</f>
        <v>#NAME?</v>
      </c>
      <c r="H24" t="e">
        <f ca="1">_xll.EQNXTDZ($A$1,$B24,H$1,$B$1)</f>
        <v>#NAME?</v>
      </c>
      <c r="I24" t="e">
        <f ca="1">_xll.EQNXTDZ($A$1,$B24,I$1,$B$1)</f>
        <v>#NAME?</v>
      </c>
      <c r="J24" t="e">
        <f ca="1">_xll.EQNXTDZ($A$1,$B24,J$1,$B$1)</f>
        <v>#NAME?</v>
      </c>
      <c r="K24" t="e">
        <f ca="1">_xll.EQNXTDZ($A$1,$B24,K$1,$B$1)</f>
        <v>#NAME?</v>
      </c>
      <c r="L24" t="e">
        <f ca="1">_xll.EQNXTDZ($A$1,$B24,L$1,$B$1)</f>
        <v>#NAME?</v>
      </c>
      <c r="M24" t="e">
        <f ca="1">_xll.EQNXTDZ($A$1,$B24,M$1,$B$1)</f>
        <v>#NAME?</v>
      </c>
      <c r="N24" t="e">
        <f ca="1">_xll.EQNXTDZ($A$1,$B24,N$1,$B$1)</f>
        <v>#NAME?</v>
      </c>
      <c r="O24" t="e">
        <f ca="1">_xll.EQNXTDZ($A$1,$B24,O$1,$B$1)</f>
        <v>#NAME?</v>
      </c>
      <c r="P24" t="e">
        <f ca="1">_xll.EQNXTDZ($A$1,$B24,P$1,$B$1)</f>
        <v>#NAME?</v>
      </c>
      <c r="Q24" t="e">
        <f ca="1">_xll.EQNXTDZ($A$1,$B24,Q$1,$B$1)</f>
        <v>#NAME?</v>
      </c>
      <c r="R24" t="e">
        <f ca="1">_xll.EQNXTDZ($A$1,$B24,R$1,$B$1)</f>
        <v>#NAME?</v>
      </c>
      <c r="S24" t="e">
        <f ca="1">_xll.EQNXTDZ($A$1,$B24,S$1,$B$1)</f>
        <v>#NAME?</v>
      </c>
      <c r="T24" t="e">
        <f ca="1">_xll.EQNXTDZ($A$1,$B24,T$1,$B$1)</f>
        <v>#NAME?</v>
      </c>
      <c r="U24" t="e">
        <f ca="1">_xll.EQNXTDZ($A$1,$B24,U$1,$B$1)</f>
        <v>#NAME?</v>
      </c>
      <c r="V24" t="e">
        <f ca="1">_xll.EQNXTDZ($A$1,$B24,V$1,$B$1)</f>
        <v>#NAME?</v>
      </c>
      <c r="W24" t="e">
        <f ca="1">_xll.EQNXTDZ($A$1,$B24,W$1,$B$1)</f>
        <v>#NAME?</v>
      </c>
      <c r="X24" t="e">
        <f ca="1">_xll.EQNXTDZ($A$1,$B24,X$1,$B$1)</f>
        <v>#NAME?</v>
      </c>
      <c r="Y24" t="e">
        <f ca="1">_xll.EQNXTDZ($A$1,$B24,Y$1,$B$1)</f>
        <v>#NAME?</v>
      </c>
      <c r="Z24" t="e">
        <f ca="1">_xll.EQNXTDZ($A$1,$B24,Z$1,$B$1)</f>
        <v>#NAME?</v>
      </c>
      <c r="AA24" t="e">
        <f ca="1">_xll.EQNXTDZ($A$1,$B24,AA$1,$B$1)</f>
        <v>#NAME?</v>
      </c>
      <c r="AB24" t="e">
        <f ca="1">_xll.EQNXTDZ($A$1,$B24,AB$1,$B$1)</f>
        <v>#NAME?</v>
      </c>
      <c r="AC24" t="e">
        <f ca="1">_xll.EQNXTDZ($A$1,$B24,AC$1,$B$1)</f>
        <v>#NAME?</v>
      </c>
      <c r="AD24" t="e">
        <f ca="1">_xll.EQNXTDZ($A$1,$B24,AD$1,$B$1)</f>
        <v>#NAME?</v>
      </c>
      <c r="AE24" t="e">
        <f ca="1">_xll.EQNXTDZ($A$1,$B24,AE$1,$B$1)</f>
        <v>#NAME?</v>
      </c>
      <c r="AF24" t="e">
        <f ca="1">_xll.EQNXTDZ($A$1,$B24,AF$1,$B$1)</f>
        <v>#NAME?</v>
      </c>
      <c r="AG24" t="e">
        <f ca="1">_xll.EQNXTDZ($A$1,$B24,AG$1,$B$1)</f>
        <v>#NAME?</v>
      </c>
      <c r="AH24" t="e">
        <f ca="1">_xll.EQNXTDZ($A$1,$B24,AH$1,$B$1)</f>
        <v>#NAME?</v>
      </c>
      <c r="AI24" t="e">
        <f ca="1">_xll.EQNXTDZ($A$1,$B24,AI$1,$B$1)</f>
        <v>#NAME?</v>
      </c>
      <c r="AJ24" t="e">
        <f ca="1">_xll.EQNXTDZ($A$1,$B24,AJ$1,$B$1)</f>
        <v>#NAME?</v>
      </c>
      <c r="AK24" t="e">
        <f ca="1">_xll.EQNXTDZ($A$1,$B24,AK$1,$B$1)</f>
        <v>#NAME?</v>
      </c>
      <c r="AL24" t="e">
        <f ca="1">_xll.EQNXTDZ($A$1,$B24,AL$1,$B$1)</f>
        <v>#NAME?</v>
      </c>
      <c r="AM24" t="e">
        <f ca="1">_xll.EQNXTDZ($A$1,$B24,AM$1,$B$1)</f>
        <v>#NAME?</v>
      </c>
      <c r="AN24" t="e">
        <f ca="1">_xll.EQNXTDZ($A$1,$B24,AN$1,$B$1)</f>
        <v>#NAME?</v>
      </c>
      <c r="AO24" t="e">
        <f ca="1">_xll.EQNXTDZ($A$1,$B24,AO$1,$B$1)</f>
        <v>#NAME?</v>
      </c>
      <c r="AP24" t="e">
        <f ca="1">_xll.EQNXTDZ($A$1,$B24,AP$1,$B$1)</f>
        <v>#NAME?</v>
      </c>
      <c r="AQ24" t="e">
        <f ca="1">_xll.EQNXTDZ($A$1,$B24,AQ$1,$B$1)</f>
        <v>#NAME?</v>
      </c>
      <c r="AR24" t="e">
        <f ca="1">_xll.EQNXTDZ($A$1,$B24,AR$1,$B$1)</f>
        <v>#NAME?</v>
      </c>
      <c r="AS24" t="e">
        <f ca="1">_xll.EQNXTDZ($A$1,$B24,AS$1,$B$1)</f>
        <v>#NAME?</v>
      </c>
      <c r="AT24" t="e">
        <f ca="1">_xll.EQNXTDZ($A$1,$B24,AT$1,$B$1)</f>
        <v>#NAME?</v>
      </c>
      <c r="AU24" t="e">
        <f ca="1">_xll.EQNXTDZ($A$1,$B24,AU$1,$B$1)</f>
        <v>#NAME?</v>
      </c>
      <c r="AV24" t="e">
        <f ca="1">_xll.EQNXTDZ($A$1,$B24,AV$1,$B$1)</f>
        <v>#NAME?</v>
      </c>
      <c r="AW24" t="e">
        <f ca="1">_xll.EQNXTDZ($A$1,$B24,AW$1,$B$1)</f>
        <v>#NAME?</v>
      </c>
      <c r="AX24" t="e">
        <f ca="1">_xll.EQNXTDZ($A$1,$B24,AX$1,$B$1)</f>
        <v>#NAME?</v>
      </c>
      <c r="AY24" t="e">
        <f ca="1">_xll.EQNXTDZ($A$1,$B24,AY$1,$B$1)</f>
        <v>#NAME?</v>
      </c>
      <c r="AZ24" t="e">
        <f ca="1">_xll.EQNXTDZ($A$1,$B24,AZ$1,$B$1)</f>
        <v>#NAME?</v>
      </c>
      <c r="BA24" t="e">
        <f ca="1">_xll.EQNXTDZ($A$1,$B24,BA$1,$B$1)</f>
        <v>#NAME?</v>
      </c>
      <c r="BB24" t="e">
        <f ca="1">_xll.EQNXTDZ($A$1,$B24,BB$1,$B$1)</f>
        <v>#NAME?</v>
      </c>
      <c r="BC24" t="e">
        <f ca="1">_xll.EQNXTDZ($A$1,$B24,BC$1,$B$1)</f>
        <v>#NAME?</v>
      </c>
      <c r="BD24" t="e">
        <f ca="1">_xll.EQNXTDZ($A$1,$B24,BD$1,$B$1)</f>
        <v>#NAME?</v>
      </c>
      <c r="BE24" t="e">
        <f ca="1">_xll.EQNXTDZ($A$1,$B24,BE$1,$B$1)</f>
        <v>#NAME?</v>
      </c>
      <c r="BF24" t="e">
        <f ca="1">_xll.EQNXTDZ($A$1,$B24,BF$1,$B$1)</f>
        <v>#NAME?</v>
      </c>
      <c r="BG24" t="e">
        <f ca="1">_xll.EQNXTDZ($A$1,$B24,BG$1,$B$1)</f>
        <v>#NAME?</v>
      </c>
      <c r="BH24" t="e">
        <f ca="1">_xll.EQNXTDZ($A$1,$B24,BH$1,$B$1)</f>
        <v>#NAME?</v>
      </c>
      <c r="BI24" t="e">
        <f ca="1">_xll.EQNXTDZ($A$1,$B24,BI$1,$B$1)</f>
        <v>#NAME?</v>
      </c>
      <c r="BJ24" t="e">
        <f ca="1">_xll.EQNXTDZ($A$1,$B24,BJ$1,$B$1)</f>
        <v>#NAME?</v>
      </c>
      <c r="BK24" t="e">
        <f ca="1">_xll.EQNXTDZ($A$1,$B24,BK$1,$B$1)</f>
        <v>#NAME?</v>
      </c>
      <c r="BL24" t="e">
        <f ca="1">_xll.EQNXTDZ($A$1,$B24,BL$1,$B$1)</f>
        <v>#NAME?</v>
      </c>
      <c r="BM24" t="e">
        <f ca="1">_xll.EQNXTDZ($A$1,$B24,BM$1,$B$1)</f>
        <v>#NAME?</v>
      </c>
      <c r="BN24" t="e">
        <f ca="1">_xll.EQNXTDZ($A$1,$B24,BN$1,$B$1)</f>
        <v>#NAME?</v>
      </c>
      <c r="BO24" t="e">
        <f ca="1">_xll.EQNXTDZ($A$1,$B24,BO$1,$B$1)</f>
        <v>#NAME?</v>
      </c>
      <c r="BP24" t="e">
        <f ca="1">_xll.EQNXTDZ($A$1,$B24,BP$1,$B$1)</f>
        <v>#NAME?</v>
      </c>
      <c r="BQ24" t="e">
        <f ca="1">_xll.EQNXTDZ($A$1,$B24,BQ$1,$B$1)</f>
        <v>#NAME?</v>
      </c>
      <c r="BR24" t="e">
        <f ca="1">_xll.EQNXTDZ($A$1,$B24,BR$1,$B$1)</f>
        <v>#NAME?</v>
      </c>
      <c r="BS24" t="e">
        <f ca="1">_xll.EQNXTDZ($A$1,$B24,BS$1,$B$1)</f>
        <v>#NAME?</v>
      </c>
      <c r="BT24" t="e">
        <f ca="1">_xll.EQNXTDZ($A$1,$B24,BT$1,$B$1)</f>
        <v>#NAME?</v>
      </c>
      <c r="BU24" t="e">
        <f ca="1">_xll.EQNXTDZ($A$1,$B24,BU$1,$B$1)</f>
        <v>#NAME?</v>
      </c>
      <c r="BV24" t="e">
        <f ca="1">_xll.EQNXTDZ($A$1,$B24,BV$1,$B$1)</f>
        <v>#NAME?</v>
      </c>
    </row>
    <row r="25" spans="1:74" x14ac:dyDescent="0.25">
      <c r="A25" t="s">
        <v>18</v>
      </c>
      <c r="B25" t="s">
        <v>295</v>
      </c>
      <c r="C25" t="e">
        <f ca="1">_xll.EQNXTDZ($A$1,$B25,C$1,$B$1)</f>
        <v>#NAME?</v>
      </c>
      <c r="D25" t="e">
        <f ca="1">_xll.EQNXTDZ($A$1,$B25,D$1,$B$1)</f>
        <v>#NAME?</v>
      </c>
      <c r="E25" t="e">
        <f ca="1">_xll.EQNXTDZ($A$1,$B25,E$1,$B$1)</f>
        <v>#NAME?</v>
      </c>
      <c r="F25" t="e">
        <f ca="1">_xll.EQNXTDZ($A$1,$B25,F$1,$B$1)</f>
        <v>#NAME?</v>
      </c>
      <c r="G25" t="e">
        <f ca="1">_xll.EQNXTDZ($A$1,$B25,G$1,$B$1)</f>
        <v>#NAME?</v>
      </c>
      <c r="H25" t="e">
        <f ca="1">_xll.EQNXTDZ($A$1,$B25,H$1,$B$1)</f>
        <v>#NAME?</v>
      </c>
      <c r="I25" t="e">
        <f ca="1">_xll.EQNXTDZ($A$1,$B25,I$1,$B$1)</f>
        <v>#NAME?</v>
      </c>
      <c r="J25" t="e">
        <f ca="1">_xll.EQNXTDZ($A$1,$B25,J$1,$B$1)</f>
        <v>#NAME?</v>
      </c>
      <c r="K25" t="e">
        <f ca="1">_xll.EQNXTDZ($A$1,$B25,K$1,$B$1)</f>
        <v>#NAME?</v>
      </c>
      <c r="L25" t="e">
        <f ca="1">_xll.EQNXTDZ($A$1,$B25,L$1,$B$1)</f>
        <v>#NAME?</v>
      </c>
      <c r="M25" t="e">
        <f ca="1">_xll.EQNXTDZ($A$1,$B25,M$1,$B$1)</f>
        <v>#NAME?</v>
      </c>
      <c r="N25" t="e">
        <f ca="1">_xll.EQNXTDZ($A$1,$B25,N$1,$B$1)</f>
        <v>#NAME?</v>
      </c>
      <c r="O25" t="e">
        <f ca="1">_xll.EQNXTDZ($A$1,$B25,O$1,$B$1)</f>
        <v>#NAME?</v>
      </c>
      <c r="P25" t="e">
        <f ca="1">_xll.EQNXTDZ($A$1,$B25,P$1,$B$1)</f>
        <v>#NAME?</v>
      </c>
      <c r="Q25" t="e">
        <f ca="1">_xll.EQNXTDZ($A$1,$B25,Q$1,$B$1)</f>
        <v>#NAME?</v>
      </c>
      <c r="R25" t="e">
        <f ca="1">_xll.EQNXTDZ($A$1,$B25,R$1,$B$1)</f>
        <v>#NAME?</v>
      </c>
      <c r="S25" t="e">
        <f ca="1">_xll.EQNXTDZ($A$1,$B25,S$1,$B$1)</f>
        <v>#NAME?</v>
      </c>
      <c r="T25" t="e">
        <f ca="1">_xll.EQNXTDZ($A$1,$B25,T$1,$B$1)</f>
        <v>#NAME?</v>
      </c>
      <c r="U25" t="e">
        <f ca="1">_xll.EQNXTDZ($A$1,$B25,U$1,$B$1)</f>
        <v>#NAME?</v>
      </c>
      <c r="V25" t="e">
        <f ca="1">_xll.EQNXTDZ($A$1,$B25,V$1,$B$1)</f>
        <v>#NAME?</v>
      </c>
      <c r="W25" t="e">
        <f ca="1">_xll.EQNXTDZ($A$1,$B25,W$1,$B$1)</f>
        <v>#NAME?</v>
      </c>
      <c r="X25" t="e">
        <f ca="1">_xll.EQNXTDZ($A$1,$B25,X$1,$B$1)</f>
        <v>#NAME?</v>
      </c>
      <c r="Y25" t="e">
        <f ca="1">_xll.EQNXTDZ($A$1,$B25,Y$1,$B$1)</f>
        <v>#NAME?</v>
      </c>
      <c r="Z25" t="e">
        <f ca="1">_xll.EQNXTDZ($A$1,$B25,Z$1,$B$1)</f>
        <v>#NAME?</v>
      </c>
      <c r="AA25" t="e">
        <f ca="1">_xll.EQNXTDZ($A$1,$B25,AA$1,$B$1)</f>
        <v>#NAME?</v>
      </c>
      <c r="AB25" t="e">
        <f ca="1">_xll.EQNXTDZ($A$1,$B25,AB$1,$B$1)</f>
        <v>#NAME?</v>
      </c>
      <c r="AC25" t="e">
        <f ca="1">_xll.EQNXTDZ($A$1,$B25,AC$1,$B$1)</f>
        <v>#NAME?</v>
      </c>
      <c r="AD25" t="e">
        <f ca="1">_xll.EQNXTDZ($A$1,$B25,AD$1,$B$1)</f>
        <v>#NAME?</v>
      </c>
      <c r="AE25" t="e">
        <f ca="1">_xll.EQNXTDZ($A$1,$B25,AE$1,$B$1)</f>
        <v>#NAME?</v>
      </c>
      <c r="AF25" t="e">
        <f ca="1">_xll.EQNXTDZ($A$1,$B25,AF$1,$B$1)</f>
        <v>#NAME?</v>
      </c>
      <c r="AG25" t="e">
        <f ca="1">_xll.EQNXTDZ($A$1,$B25,AG$1,$B$1)</f>
        <v>#NAME?</v>
      </c>
      <c r="AH25" t="e">
        <f ca="1">_xll.EQNXTDZ($A$1,$B25,AH$1,$B$1)</f>
        <v>#NAME?</v>
      </c>
      <c r="AI25" t="e">
        <f ca="1">_xll.EQNXTDZ($A$1,$B25,AI$1,$B$1)</f>
        <v>#NAME?</v>
      </c>
      <c r="AJ25" t="e">
        <f ca="1">_xll.EQNXTDZ($A$1,$B25,AJ$1,$B$1)</f>
        <v>#NAME?</v>
      </c>
      <c r="AK25" t="e">
        <f ca="1">_xll.EQNXTDZ($A$1,$B25,AK$1,$B$1)</f>
        <v>#NAME?</v>
      </c>
      <c r="AL25" t="e">
        <f ca="1">_xll.EQNXTDZ($A$1,$B25,AL$1,$B$1)</f>
        <v>#NAME?</v>
      </c>
      <c r="AM25" t="e">
        <f ca="1">_xll.EQNXTDZ($A$1,$B25,AM$1,$B$1)</f>
        <v>#NAME?</v>
      </c>
      <c r="AN25" t="e">
        <f ca="1">_xll.EQNXTDZ($A$1,$B25,AN$1,$B$1)</f>
        <v>#NAME?</v>
      </c>
      <c r="AO25" t="e">
        <f ca="1">_xll.EQNXTDZ($A$1,$B25,AO$1,$B$1)</f>
        <v>#NAME?</v>
      </c>
      <c r="AP25" t="e">
        <f ca="1">_xll.EQNXTDZ($A$1,$B25,AP$1,$B$1)</f>
        <v>#NAME?</v>
      </c>
      <c r="AQ25" t="e">
        <f ca="1">_xll.EQNXTDZ($A$1,$B25,AQ$1,$B$1)</f>
        <v>#NAME?</v>
      </c>
      <c r="AR25" t="e">
        <f ca="1">_xll.EQNXTDZ($A$1,$B25,AR$1,$B$1)</f>
        <v>#NAME?</v>
      </c>
      <c r="AS25" t="e">
        <f ca="1">_xll.EQNXTDZ($A$1,$B25,AS$1,$B$1)</f>
        <v>#NAME?</v>
      </c>
      <c r="AT25" t="e">
        <f ca="1">_xll.EQNXTDZ($A$1,$B25,AT$1,$B$1)</f>
        <v>#NAME?</v>
      </c>
      <c r="AU25" t="e">
        <f ca="1">_xll.EQNXTDZ($A$1,$B25,AU$1,$B$1)</f>
        <v>#NAME?</v>
      </c>
      <c r="AV25" t="e">
        <f ca="1">_xll.EQNXTDZ($A$1,$B25,AV$1,$B$1)</f>
        <v>#NAME?</v>
      </c>
      <c r="AW25" t="e">
        <f ca="1">_xll.EQNXTDZ($A$1,$B25,AW$1,$B$1)</f>
        <v>#NAME?</v>
      </c>
      <c r="AX25" t="e">
        <f ca="1">_xll.EQNXTDZ($A$1,$B25,AX$1,$B$1)</f>
        <v>#NAME?</v>
      </c>
      <c r="AY25" t="e">
        <f ca="1">_xll.EQNXTDZ($A$1,$B25,AY$1,$B$1)</f>
        <v>#NAME?</v>
      </c>
      <c r="AZ25" t="e">
        <f ca="1">_xll.EQNXTDZ($A$1,$B25,AZ$1,$B$1)</f>
        <v>#NAME?</v>
      </c>
      <c r="BA25" t="e">
        <f ca="1">_xll.EQNXTDZ($A$1,$B25,BA$1,$B$1)</f>
        <v>#NAME?</v>
      </c>
      <c r="BB25" t="e">
        <f ca="1">_xll.EQNXTDZ($A$1,$B25,BB$1,$B$1)</f>
        <v>#NAME?</v>
      </c>
      <c r="BC25" t="e">
        <f ca="1">_xll.EQNXTDZ($A$1,$B25,BC$1,$B$1)</f>
        <v>#NAME?</v>
      </c>
      <c r="BD25" t="e">
        <f ca="1">_xll.EQNXTDZ($A$1,$B25,BD$1,$B$1)</f>
        <v>#NAME?</v>
      </c>
      <c r="BE25" t="e">
        <f ca="1">_xll.EQNXTDZ($A$1,$B25,BE$1,$B$1)</f>
        <v>#NAME?</v>
      </c>
      <c r="BF25" t="e">
        <f ca="1">_xll.EQNXTDZ($A$1,$B25,BF$1,$B$1)</f>
        <v>#NAME?</v>
      </c>
      <c r="BG25" t="e">
        <f ca="1">_xll.EQNXTDZ($A$1,$B25,BG$1,$B$1)</f>
        <v>#NAME?</v>
      </c>
      <c r="BH25" t="e">
        <f ca="1">_xll.EQNXTDZ($A$1,$B25,BH$1,$B$1)</f>
        <v>#NAME?</v>
      </c>
      <c r="BI25" t="e">
        <f ca="1">_xll.EQNXTDZ($A$1,$B25,BI$1,$B$1)</f>
        <v>#NAME?</v>
      </c>
      <c r="BJ25" t="e">
        <f ca="1">_xll.EQNXTDZ($A$1,$B25,BJ$1,$B$1)</f>
        <v>#NAME?</v>
      </c>
      <c r="BK25" t="e">
        <f ca="1">_xll.EQNXTDZ($A$1,$B25,BK$1,$B$1)</f>
        <v>#NAME?</v>
      </c>
      <c r="BL25" t="e">
        <f ca="1">_xll.EQNXTDZ($A$1,$B25,BL$1,$B$1)</f>
        <v>#NAME?</v>
      </c>
      <c r="BM25" t="e">
        <f ca="1">_xll.EQNXTDZ($A$1,$B25,BM$1,$B$1)</f>
        <v>#NAME?</v>
      </c>
      <c r="BN25" t="e">
        <f ca="1">_xll.EQNXTDZ($A$1,$B25,BN$1,$B$1)</f>
        <v>#NAME?</v>
      </c>
      <c r="BO25" t="e">
        <f ca="1">_xll.EQNXTDZ($A$1,$B25,BO$1,$B$1)</f>
        <v>#NAME?</v>
      </c>
      <c r="BP25" t="e">
        <f ca="1">_xll.EQNXTDZ($A$1,$B25,BP$1,$B$1)</f>
        <v>#NAME?</v>
      </c>
      <c r="BQ25" t="e">
        <f ca="1">_xll.EQNXTDZ($A$1,$B25,BQ$1,$B$1)</f>
        <v>#NAME?</v>
      </c>
      <c r="BR25" t="e">
        <f ca="1">_xll.EQNXTDZ($A$1,$B25,BR$1,$B$1)</f>
        <v>#NAME?</v>
      </c>
      <c r="BS25" t="e">
        <f ca="1">_xll.EQNXTDZ($A$1,$B25,BS$1,$B$1)</f>
        <v>#NAME?</v>
      </c>
      <c r="BT25" t="e">
        <f ca="1">_xll.EQNXTDZ($A$1,$B25,BT$1,$B$1)</f>
        <v>#NAME?</v>
      </c>
      <c r="BU25" t="e">
        <f ca="1">_xll.EQNXTDZ($A$1,$B25,BU$1,$B$1)</f>
        <v>#NAME?</v>
      </c>
      <c r="BV25" t="e">
        <f ca="1">_xll.EQNXTDZ($A$1,$B25,BV$1,$B$1)</f>
        <v>#NAME?</v>
      </c>
    </row>
    <row r="26" spans="1:74" x14ac:dyDescent="0.25">
      <c r="A26" t="s">
        <v>264</v>
      </c>
      <c r="B26" t="s">
        <v>296</v>
      </c>
      <c r="C26" t="e">
        <f ca="1">_xll.EQNXTDZ($A$1,$B26,C$1,$B$1)</f>
        <v>#NAME?</v>
      </c>
      <c r="D26" t="e">
        <f ca="1">_xll.EQNXTDZ($A$1,$B26,D$1,$B$1)</f>
        <v>#NAME?</v>
      </c>
      <c r="E26" t="e">
        <f ca="1">_xll.EQNXTDZ($A$1,$B26,E$1,$B$1)</f>
        <v>#NAME?</v>
      </c>
      <c r="F26" t="e">
        <f ca="1">_xll.EQNXTDZ($A$1,$B26,F$1,$B$1)</f>
        <v>#NAME?</v>
      </c>
      <c r="G26" t="e">
        <f ca="1">_xll.EQNXTDZ($A$1,$B26,G$1,$B$1)</f>
        <v>#NAME?</v>
      </c>
      <c r="H26" t="e">
        <f ca="1">_xll.EQNXTDZ($A$1,$B26,H$1,$B$1)</f>
        <v>#NAME?</v>
      </c>
      <c r="I26" t="e">
        <f ca="1">_xll.EQNXTDZ($A$1,$B26,I$1,$B$1)</f>
        <v>#NAME?</v>
      </c>
      <c r="J26" t="e">
        <f ca="1">_xll.EQNXTDZ($A$1,$B26,J$1,$B$1)</f>
        <v>#NAME?</v>
      </c>
      <c r="K26" t="e">
        <f ca="1">_xll.EQNXTDZ($A$1,$B26,K$1,$B$1)</f>
        <v>#NAME?</v>
      </c>
      <c r="L26" t="e">
        <f ca="1">_xll.EQNXTDZ($A$1,$B26,L$1,$B$1)</f>
        <v>#NAME?</v>
      </c>
      <c r="M26" t="e">
        <f ca="1">_xll.EQNXTDZ($A$1,$B26,M$1,$B$1)</f>
        <v>#NAME?</v>
      </c>
      <c r="N26" t="e">
        <f ca="1">_xll.EQNXTDZ($A$1,$B26,N$1,$B$1)</f>
        <v>#NAME?</v>
      </c>
      <c r="O26" t="e">
        <f ca="1">_xll.EQNXTDZ($A$1,$B26,O$1,$B$1)</f>
        <v>#NAME?</v>
      </c>
      <c r="P26" t="e">
        <f ca="1">_xll.EQNXTDZ($A$1,$B26,P$1,$B$1)</f>
        <v>#NAME?</v>
      </c>
      <c r="Q26" t="e">
        <f ca="1">_xll.EQNXTDZ($A$1,$B26,Q$1,$B$1)</f>
        <v>#NAME?</v>
      </c>
      <c r="R26" t="e">
        <f ca="1">_xll.EQNXTDZ($A$1,$B26,R$1,$B$1)</f>
        <v>#NAME?</v>
      </c>
      <c r="S26" t="e">
        <f ca="1">_xll.EQNXTDZ($A$1,$B26,S$1,$B$1)</f>
        <v>#NAME?</v>
      </c>
      <c r="T26" t="e">
        <f ca="1">_xll.EQNXTDZ($A$1,$B26,T$1,$B$1)</f>
        <v>#NAME?</v>
      </c>
      <c r="U26" t="e">
        <f ca="1">_xll.EQNXTDZ($A$1,$B26,U$1,$B$1)</f>
        <v>#NAME?</v>
      </c>
      <c r="V26" t="e">
        <f ca="1">_xll.EQNXTDZ($A$1,$B26,V$1,$B$1)</f>
        <v>#NAME?</v>
      </c>
      <c r="W26" t="e">
        <f ca="1">_xll.EQNXTDZ($A$1,$B26,W$1,$B$1)</f>
        <v>#NAME?</v>
      </c>
      <c r="X26" t="e">
        <f ca="1">_xll.EQNXTDZ($A$1,$B26,X$1,$B$1)</f>
        <v>#NAME?</v>
      </c>
      <c r="Y26" t="e">
        <f ca="1">_xll.EQNXTDZ($A$1,$B26,Y$1,$B$1)</f>
        <v>#NAME?</v>
      </c>
      <c r="Z26" t="e">
        <f ca="1">_xll.EQNXTDZ($A$1,$B26,Z$1,$B$1)</f>
        <v>#NAME?</v>
      </c>
      <c r="AA26" t="e">
        <f ca="1">_xll.EQNXTDZ($A$1,$B26,AA$1,$B$1)</f>
        <v>#NAME?</v>
      </c>
      <c r="AB26" t="e">
        <f ca="1">_xll.EQNXTDZ($A$1,$B26,AB$1,$B$1)</f>
        <v>#NAME?</v>
      </c>
      <c r="AC26" t="e">
        <f ca="1">_xll.EQNXTDZ($A$1,$B26,AC$1,$B$1)</f>
        <v>#NAME?</v>
      </c>
      <c r="AD26" t="e">
        <f ca="1">_xll.EQNXTDZ($A$1,$B26,AD$1,$B$1)</f>
        <v>#NAME?</v>
      </c>
      <c r="AE26" t="e">
        <f ca="1">_xll.EQNXTDZ($A$1,$B26,AE$1,$B$1)</f>
        <v>#NAME?</v>
      </c>
      <c r="AF26" t="e">
        <f ca="1">_xll.EQNXTDZ($A$1,$B26,AF$1,$B$1)</f>
        <v>#NAME?</v>
      </c>
      <c r="AG26" t="e">
        <f ca="1">_xll.EQNXTDZ($A$1,$B26,AG$1,$B$1)</f>
        <v>#NAME?</v>
      </c>
      <c r="AH26" t="e">
        <f ca="1">_xll.EQNXTDZ($A$1,$B26,AH$1,$B$1)</f>
        <v>#NAME?</v>
      </c>
      <c r="AI26" t="e">
        <f ca="1">_xll.EQNXTDZ($A$1,$B26,AI$1,$B$1)</f>
        <v>#NAME?</v>
      </c>
      <c r="AJ26" t="e">
        <f ca="1">_xll.EQNXTDZ($A$1,$B26,AJ$1,$B$1)</f>
        <v>#NAME?</v>
      </c>
      <c r="AK26" t="e">
        <f ca="1">_xll.EQNXTDZ($A$1,$B26,AK$1,$B$1)</f>
        <v>#NAME?</v>
      </c>
      <c r="AL26" t="e">
        <f ca="1">_xll.EQNXTDZ($A$1,$B26,AL$1,$B$1)</f>
        <v>#NAME?</v>
      </c>
      <c r="AM26" t="e">
        <f ca="1">_xll.EQNXTDZ($A$1,$B26,AM$1,$B$1)</f>
        <v>#NAME?</v>
      </c>
      <c r="AN26" t="e">
        <f ca="1">_xll.EQNXTDZ($A$1,$B26,AN$1,$B$1)</f>
        <v>#NAME?</v>
      </c>
      <c r="AO26" t="e">
        <f ca="1">_xll.EQNXTDZ($A$1,$B26,AO$1,$B$1)</f>
        <v>#NAME?</v>
      </c>
      <c r="AP26" t="e">
        <f ca="1">_xll.EQNXTDZ($A$1,$B26,AP$1,$B$1)</f>
        <v>#NAME?</v>
      </c>
      <c r="AQ26" t="e">
        <f ca="1">_xll.EQNXTDZ($A$1,$B26,AQ$1,$B$1)</f>
        <v>#NAME?</v>
      </c>
      <c r="AR26" t="e">
        <f ca="1">_xll.EQNXTDZ($A$1,$B26,AR$1,$B$1)</f>
        <v>#NAME?</v>
      </c>
      <c r="AS26" t="e">
        <f ca="1">_xll.EQNXTDZ($A$1,$B26,AS$1,$B$1)</f>
        <v>#NAME?</v>
      </c>
      <c r="AT26" t="e">
        <f ca="1">_xll.EQNXTDZ($A$1,$B26,AT$1,$B$1)</f>
        <v>#NAME?</v>
      </c>
      <c r="AU26" t="e">
        <f ca="1">_xll.EQNXTDZ($A$1,$B26,AU$1,$B$1)</f>
        <v>#NAME?</v>
      </c>
      <c r="AV26" t="e">
        <f ca="1">_xll.EQNXTDZ($A$1,$B26,AV$1,$B$1)</f>
        <v>#NAME?</v>
      </c>
      <c r="AW26" t="e">
        <f ca="1">_xll.EQNXTDZ($A$1,$B26,AW$1,$B$1)</f>
        <v>#NAME?</v>
      </c>
      <c r="AX26" t="e">
        <f ca="1">_xll.EQNXTDZ($A$1,$B26,AX$1,$B$1)</f>
        <v>#NAME?</v>
      </c>
      <c r="AY26" t="e">
        <f ca="1">_xll.EQNXTDZ($A$1,$B26,AY$1,$B$1)</f>
        <v>#NAME?</v>
      </c>
      <c r="AZ26" t="e">
        <f ca="1">_xll.EQNXTDZ($A$1,$B26,AZ$1,$B$1)</f>
        <v>#NAME?</v>
      </c>
      <c r="BA26" t="e">
        <f ca="1">_xll.EQNXTDZ($A$1,$B26,BA$1,$B$1)</f>
        <v>#NAME?</v>
      </c>
      <c r="BB26" t="e">
        <f ca="1">_xll.EQNXTDZ($A$1,$B26,BB$1,$B$1)</f>
        <v>#NAME?</v>
      </c>
      <c r="BC26" t="e">
        <f ca="1">_xll.EQNXTDZ($A$1,$B26,BC$1,$B$1)</f>
        <v>#NAME?</v>
      </c>
      <c r="BD26" t="e">
        <f ca="1">_xll.EQNXTDZ($A$1,$B26,BD$1,$B$1)</f>
        <v>#NAME?</v>
      </c>
      <c r="BE26" t="e">
        <f ca="1">_xll.EQNXTDZ($A$1,$B26,BE$1,$B$1)</f>
        <v>#NAME?</v>
      </c>
      <c r="BF26" t="e">
        <f ca="1">_xll.EQNXTDZ($A$1,$B26,BF$1,$B$1)</f>
        <v>#NAME?</v>
      </c>
      <c r="BG26" t="e">
        <f ca="1">_xll.EQNXTDZ($A$1,$B26,BG$1,$B$1)</f>
        <v>#NAME?</v>
      </c>
      <c r="BH26" t="e">
        <f ca="1">_xll.EQNXTDZ($A$1,$B26,BH$1,$B$1)</f>
        <v>#NAME?</v>
      </c>
      <c r="BI26" t="e">
        <f ca="1">_xll.EQNXTDZ($A$1,$B26,BI$1,$B$1)</f>
        <v>#NAME?</v>
      </c>
      <c r="BJ26" t="e">
        <f ca="1">_xll.EQNXTDZ($A$1,$B26,BJ$1,$B$1)</f>
        <v>#NAME?</v>
      </c>
      <c r="BK26" t="e">
        <f ca="1">_xll.EQNXTDZ($A$1,$B26,BK$1,$B$1)</f>
        <v>#NAME?</v>
      </c>
      <c r="BL26" t="e">
        <f ca="1">_xll.EQNXTDZ($A$1,$B26,BL$1,$B$1)</f>
        <v>#NAME?</v>
      </c>
      <c r="BM26" t="e">
        <f ca="1">_xll.EQNXTDZ($A$1,$B26,BM$1,$B$1)</f>
        <v>#NAME?</v>
      </c>
      <c r="BN26" t="e">
        <f ca="1">_xll.EQNXTDZ($A$1,$B26,BN$1,$B$1)</f>
        <v>#NAME?</v>
      </c>
      <c r="BO26" t="e">
        <f ca="1">_xll.EQNXTDZ($A$1,$B26,BO$1,$B$1)</f>
        <v>#NAME?</v>
      </c>
      <c r="BP26" t="e">
        <f ca="1">_xll.EQNXTDZ($A$1,$B26,BP$1,$B$1)</f>
        <v>#NAME?</v>
      </c>
      <c r="BQ26" t="e">
        <f ca="1">_xll.EQNXTDZ($A$1,$B26,BQ$1,$B$1)</f>
        <v>#NAME?</v>
      </c>
      <c r="BR26" t="e">
        <f ca="1">_xll.EQNXTDZ($A$1,$B26,BR$1,$B$1)</f>
        <v>#NAME?</v>
      </c>
      <c r="BS26" t="e">
        <f ca="1">_xll.EQNXTDZ($A$1,$B26,BS$1,$B$1)</f>
        <v>#NAME?</v>
      </c>
      <c r="BT26" t="e">
        <f ca="1">_xll.EQNXTDZ($A$1,$B26,BT$1,$B$1)</f>
        <v>#NAME?</v>
      </c>
      <c r="BU26" t="e">
        <f ca="1">_xll.EQNXTDZ($A$1,$B26,BU$1,$B$1)</f>
        <v>#NAME?</v>
      </c>
      <c r="BV26" t="e">
        <f ca="1">_xll.EQNXTDZ($A$1,$B26,BV$1,$B$1)</f>
        <v>#NAME?</v>
      </c>
    </row>
    <row r="27" spans="1:74" x14ac:dyDescent="0.25">
      <c r="A27" t="s">
        <v>124</v>
      </c>
      <c r="B27" t="s">
        <v>297</v>
      </c>
      <c r="C27" t="e">
        <f ca="1">_xll.EQNXTDZ($A$1,$B27,C$1,$B$1)</f>
        <v>#NAME?</v>
      </c>
      <c r="D27" t="e">
        <f ca="1">_xll.EQNXTDZ($A$1,$B27,D$1,$B$1)</f>
        <v>#NAME?</v>
      </c>
      <c r="E27" t="e">
        <f ca="1">_xll.EQNXTDZ($A$1,$B27,E$1,$B$1)</f>
        <v>#NAME?</v>
      </c>
      <c r="F27" t="e">
        <f ca="1">_xll.EQNXTDZ($A$1,$B27,F$1,$B$1)</f>
        <v>#NAME?</v>
      </c>
      <c r="G27" t="e">
        <f ca="1">_xll.EQNXTDZ($A$1,$B27,G$1,$B$1)</f>
        <v>#NAME?</v>
      </c>
      <c r="H27" t="e">
        <f ca="1">_xll.EQNXTDZ($A$1,$B27,H$1,$B$1)</f>
        <v>#NAME?</v>
      </c>
      <c r="I27" t="e">
        <f ca="1">_xll.EQNXTDZ($A$1,$B27,I$1,$B$1)</f>
        <v>#NAME?</v>
      </c>
      <c r="J27" t="e">
        <f ca="1">_xll.EQNXTDZ($A$1,$B27,J$1,$B$1)</f>
        <v>#NAME?</v>
      </c>
      <c r="K27" t="e">
        <f ca="1">_xll.EQNXTDZ($A$1,$B27,K$1,$B$1)</f>
        <v>#NAME?</v>
      </c>
      <c r="L27" t="e">
        <f ca="1">_xll.EQNXTDZ($A$1,$B27,L$1,$B$1)</f>
        <v>#NAME?</v>
      </c>
      <c r="M27" t="e">
        <f ca="1">_xll.EQNXTDZ($A$1,$B27,M$1,$B$1)</f>
        <v>#NAME?</v>
      </c>
      <c r="N27" t="e">
        <f ca="1">_xll.EQNXTDZ($A$1,$B27,N$1,$B$1)</f>
        <v>#NAME?</v>
      </c>
      <c r="O27" t="e">
        <f ca="1">_xll.EQNXTDZ($A$1,$B27,O$1,$B$1)</f>
        <v>#NAME?</v>
      </c>
      <c r="P27" t="e">
        <f ca="1">_xll.EQNXTDZ($A$1,$B27,P$1,$B$1)</f>
        <v>#NAME?</v>
      </c>
      <c r="Q27" t="e">
        <f ca="1">_xll.EQNXTDZ($A$1,$B27,Q$1,$B$1)</f>
        <v>#NAME?</v>
      </c>
      <c r="R27" t="e">
        <f ca="1">_xll.EQNXTDZ($A$1,$B27,R$1,$B$1)</f>
        <v>#NAME?</v>
      </c>
      <c r="S27" t="e">
        <f ca="1">_xll.EQNXTDZ($A$1,$B27,S$1,$B$1)</f>
        <v>#NAME?</v>
      </c>
      <c r="T27" t="e">
        <f ca="1">_xll.EQNXTDZ($A$1,$B27,T$1,$B$1)</f>
        <v>#NAME?</v>
      </c>
      <c r="U27" t="e">
        <f ca="1">_xll.EQNXTDZ($A$1,$B27,U$1,$B$1)</f>
        <v>#NAME?</v>
      </c>
      <c r="V27" t="e">
        <f ca="1">_xll.EQNXTDZ($A$1,$B27,V$1,$B$1)</f>
        <v>#NAME?</v>
      </c>
      <c r="W27" t="e">
        <f ca="1">_xll.EQNXTDZ($A$1,$B27,W$1,$B$1)</f>
        <v>#NAME?</v>
      </c>
      <c r="X27" t="e">
        <f ca="1">_xll.EQNXTDZ($A$1,$B27,X$1,$B$1)</f>
        <v>#NAME?</v>
      </c>
      <c r="Y27" t="e">
        <f ca="1">_xll.EQNXTDZ($A$1,$B27,Y$1,$B$1)</f>
        <v>#NAME?</v>
      </c>
      <c r="Z27" t="e">
        <f ca="1">_xll.EQNXTDZ($A$1,$B27,Z$1,$B$1)</f>
        <v>#NAME?</v>
      </c>
      <c r="AA27" t="e">
        <f ca="1">_xll.EQNXTDZ($A$1,$B27,AA$1,$B$1)</f>
        <v>#NAME?</v>
      </c>
      <c r="AB27" t="e">
        <f ca="1">_xll.EQNXTDZ($A$1,$B27,AB$1,$B$1)</f>
        <v>#NAME?</v>
      </c>
      <c r="AC27" t="e">
        <f ca="1">_xll.EQNXTDZ($A$1,$B27,AC$1,$B$1)</f>
        <v>#NAME?</v>
      </c>
      <c r="AD27" t="e">
        <f ca="1">_xll.EQNXTDZ($A$1,$B27,AD$1,$B$1)</f>
        <v>#NAME?</v>
      </c>
      <c r="AE27" t="e">
        <f ca="1">_xll.EQNXTDZ($A$1,$B27,AE$1,$B$1)</f>
        <v>#NAME?</v>
      </c>
      <c r="AF27" t="e">
        <f ca="1">_xll.EQNXTDZ($A$1,$B27,AF$1,$B$1)</f>
        <v>#NAME?</v>
      </c>
      <c r="AG27" t="e">
        <f ca="1">_xll.EQNXTDZ($A$1,$B27,AG$1,$B$1)</f>
        <v>#NAME?</v>
      </c>
      <c r="AH27" t="e">
        <f ca="1">_xll.EQNXTDZ($A$1,$B27,AH$1,$B$1)</f>
        <v>#NAME?</v>
      </c>
      <c r="AI27" t="e">
        <f ca="1">_xll.EQNXTDZ($A$1,$B27,AI$1,$B$1)</f>
        <v>#NAME?</v>
      </c>
      <c r="AJ27" t="e">
        <f ca="1">_xll.EQNXTDZ($A$1,$B27,AJ$1,$B$1)</f>
        <v>#NAME?</v>
      </c>
      <c r="AK27" t="e">
        <f ca="1">_xll.EQNXTDZ($A$1,$B27,AK$1,$B$1)</f>
        <v>#NAME?</v>
      </c>
      <c r="AL27" t="e">
        <f ca="1">_xll.EQNXTDZ($A$1,$B27,AL$1,$B$1)</f>
        <v>#NAME?</v>
      </c>
      <c r="AM27" t="e">
        <f ca="1">_xll.EQNXTDZ($A$1,$B27,AM$1,$B$1)</f>
        <v>#NAME?</v>
      </c>
      <c r="AN27" t="e">
        <f ca="1">_xll.EQNXTDZ($A$1,$B27,AN$1,$B$1)</f>
        <v>#NAME?</v>
      </c>
      <c r="AO27" t="e">
        <f ca="1">_xll.EQNXTDZ($A$1,$B27,AO$1,$B$1)</f>
        <v>#NAME?</v>
      </c>
      <c r="AP27" t="e">
        <f ca="1">_xll.EQNXTDZ($A$1,$B27,AP$1,$B$1)</f>
        <v>#NAME?</v>
      </c>
      <c r="AQ27" t="e">
        <f ca="1">_xll.EQNXTDZ($A$1,$B27,AQ$1,$B$1)</f>
        <v>#NAME?</v>
      </c>
      <c r="AR27" t="e">
        <f ca="1">_xll.EQNXTDZ($A$1,$B27,AR$1,$B$1)</f>
        <v>#NAME?</v>
      </c>
      <c r="AS27" t="e">
        <f ca="1">_xll.EQNXTDZ($A$1,$B27,AS$1,$B$1)</f>
        <v>#NAME?</v>
      </c>
      <c r="AT27" t="e">
        <f ca="1">_xll.EQNXTDZ($A$1,$B27,AT$1,$B$1)</f>
        <v>#NAME?</v>
      </c>
      <c r="AU27" t="e">
        <f ca="1">_xll.EQNXTDZ($A$1,$B27,AU$1,$B$1)</f>
        <v>#NAME?</v>
      </c>
      <c r="AV27" t="e">
        <f ca="1">_xll.EQNXTDZ($A$1,$B27,AV$1,$B$1)</f>
        <v>#NAME?</v>
      </c>
      <c r="AW27" t="e">
        <f ca="1">_xll.EQNXTDZ($A$1,$B27,AW$1,$B$1)</f>
        <v>#NAME?</v>
      </c>
      <c r="AX27" t="e">
        <f ca="1">_xll.EQNXTDZ($A$1,$B27,AX$1,$B$1)</f>
        <v>#NAME?</v>
      </c>
      <c r="AY27" t="e">
        <f ca="1">_xll.EQNXTDZ($A$1,$B27,AY$1,$B$1)</f>
        <v>#NAME?</v>
      </c>
      <c r="AZ27" t="e">
        <f ca="1">_xll.EQNXTDZ($A$1,$B27,AZ$1,$B$1)</f>
        <v>#NAME?</v>
      </c>
      <c r="BA27" t="e">
        <f ca="1">_xll.EQNXTDZ($A$1,$B27,BA$1,$B$1)</f>
        <v>#NAME?</v>
      </c>
      <c r="BB27" t="e">
        <f ca="1">_xll.EQNXTDZ($A$1,$B27,BB$1,$B$1)</f>
        <v>#NAME?</v>
      </c>
      <c r="BC27" t="e">
        <f ca="1">_xll.EQNXTDZ($A$1,$B27,BC$1,$B$1)</f>
        <v>#NAME?</v>
      </c>
      <c r="BD27" t="e">
        <f ca="1">_xll.EQNXTDZ($A$1,$B27,BD$1,$B$1)</f>
        <v>#NAME?</v>
      </c>
      <c r="BE27" t="e">
        <f ca="1">_xll.EQNXTDZ($A$1,$B27,BE$1,$B$1)</f>
        <v>#NAME?</v>
      </c>
      <c r="BF27" t="e">
        <f ca="1">_xll.EQNXTDZ($A$1,$B27,BF$1,$B$1)</f>
        <v>#NAME?</v>
      </c>
      <c r="BG27" t="e">
        <f ca="1">_xll.EQNXTDZ($A$1,$B27,BG$1,$B$1)</f>
        <v>#NAME?</v>
      </c>
      <c r="BH27" t="e">
        <f ca="1">_xll.EQNXTDZ($A$1,$B27,BH$1,$B$1)</f>
        <v>#NAME?</v>
      </c>
      <c r="BI27" t="e">
        <f ca="1">_xll.EQNXTDZ($A$1,$B27,BI$1,$B$1)</f>
        <v>#NAME?</v>
      </c>
      <c r="BJ27" t="e">
        <f ca="1">_xll.EQNXTDZ($A$1,$B27,BJ$1,$B$1)</f>
        <v>#NAME?</v>
      </c>
      <c r="BK27" t="e">
        <f ca="1">_xll.EQNXTDZ($A$1,$B27,BK$1,$B$1)</f>
        <v>#NAME?</v>
      </c>
      <c r="BL27" t="e">
        <f ca="1">_xll.EQNXTDZ($A$1,$B27,BL$1,$B$1)</f>
        <v>#NAME?</v>
      </c>
      <c r="BM27" t="e">
        <f ca="1">_xll.EQNXTDZ($A$1,$B27,BM$1,$B$1)</f>
        <v>#NAME?</v>
      </c>
      <c r="BN27" t="e">
        <f ca="1">_xll.EQNXTDZ($A$1,$B27,BN$1,$B$1)</f>
        <v>#NAME?</v>
      </c>
      <c r="BO27" t="e">
        <f ca="1">_xll.EQNXTDZ($A$1,$B27,BO$1,$B$1)</f>
        <v>#NAME?</v>
      </c>
      <c r="BP27" t="e">
        <f ca="1">_xll.EQNXTDZ($A$1,$B27,BP$1,$B$1)</f>
        <v>#NAME?</v>
      </c>
      <c r="BQ27" t="e">
        <f ca="1">_xll.EQNXTDZ($A$1,$B27,BQ$1,$B$1)</f>
        <v>#NAME?</v>
      </c>
      <c r="BR27" t="e">
        <f ca="1">_xll.EQNXTDZ($A$1,$B27,BR$1,$B$1)</f>
        <v>#NAME?</v>
      </c>
      <c r="BS27" t="e">
        <f ca="1">_xll.EQNXTDZ($A$1,$B27,BS$1,$B$1)</f>
        <v>#NAME?</v>
      </c>
      <c r="BT27" t="e">
        <f ca="1">_xll.EQNXTDZ($A$1,$B27,BT$1,$B$1)</f>
        <v>#NAME?</v>
      </c>
      <c r="BU27" t="e">
        <f ca="1">_xll.EQNXTDZ($A$1,$B27,BU$1,$B$1)</f>
        <v>#NAME?</v>
      </c>
      <c r="BV27" t="e">
        <f ca="1">_xll.EQNXTDZ($A$1,$B27,BV$1,$B$1)</f>
        <v>#NAME?</v>
      </c>
    </row>
    <row r="28" spans="1:74" x14ac:dyDescent="0.25">
      <c r="A28" t="s">
        <v>15</v>
      </c>
      <c r="B28" t="s">
        <v>298</v>
      </c>
      <c r="C28" t="e">
        <f ca="1">_xll.EQNXTDZ($A$1,$B28,C$1,$B$1)</f>
        <v>#NAME?</v>
      </c>
      <c r="D28" t="e">
        <f ca="1">_xll.EQNXTDZ($A$1,$B28,D$1,$B$1)</f>
        <v>#NAME?</v>
      </c>
      <c r="E28" t="e">
        <f ca="1">_xll.EQNXTDZ($A$1,$B28,E$1,$B$1)</f>
        <v>#NAME?</v>
      </c>
      <c r="F28" t="e">
        <f ca="1">_xll.EQNXTDZ($A$1,$B28,F$1,$B$1)</f>
        <v>#NAME?</v>
      </c>
      <c r="G28" t="e">
        <f ca="1">_xll.EQNXTDZ($A$1,$B28,G$1,$B$1)</f>
        <v>#NAME?</v>
      </c>
      <c r="H28" t="e">
        <f ca="1">_xll.EQNXTDZ($A$1,$B28,H$1,$B$1)</f>
        <v>#NAME?</v>
      </c>
      <c r="I28" t="e">
        <f ca="1">_xll.EQNXTDZ($A$1,$B28,I$1,$B$1)</f>
        <v>#NAME?</v>
      </c>
      <c r="J28" t="e">
        <f ca="1">_xll.EQNXTDZ($A$1,$B28,J$1,$B$1)</f>
        <v>#NAME?</v>
      </c>
      <c r="K28" t="e">
        <f ca="1">_xll.EQNXTDZ($A$1,$B28,K$1,$B$1)</f>
        <v>#NAME?</v>
      </c>
      <c r="L28" t="e">
        <f ca="1">_xll.EQNXTDZ($A$1,$B28,L$1,$B$1)</f>
        <v>#NAME?</v>
      </c>
      <c r="M28" t="e">
        <f ca="1">_xll.EQNXTDZ($A$1,$B28,M$1,$B$1)</f>
        <v>#NAME?</v>
      </c>
      <c r="N28" t="e">
        <f ca="1">_xll.EQNXTDZ($A$1,$B28,N$1,$B$1)</f>
        <v>#NAME?</v>
      </c>
      <c r="O28" t="e">
        <f ca="1">_xll.EQNXTDZ($A$1,$B28,O$1,$B$1)</f>
        <v>#NAME?</v>
      </c>
      <c r="P28" t="e">
        <f ca="1">_xll.EQNXTDZ($A$1,$B28,P$1,$B$1)</f>
        <v>#NAME?</v>
      </c>
      <c r="Q28" t="e">
        <f ca="1">_xll.EQNXTDZ($A$1,$B28,Q$1,$B$1)</f>
        <v>#NAME?</v>
      </c>
      <c r="R28" t="e">
        <f ca="1">_xll.EQNXTDZ($A$1,$B28,R$1,$B$1)</f>
        <v>#NAME?</v>
      </c>
      <c r="S28" t="e">
        <f ca="1">_xll.EQNXTDZ($A$1,$B28,S$1,$B$1)</f>
        <v>#NAME?</v>
      </c>
      <c r="T28" t="e">
        <f ca="1">_xll.EQNXTDZ($A$1,$B28,T$1,$B$1)</f>
        <v>#NAME?</v>
      </c>
      <c r="U28" t="e">
        <f ca="1">_xll.EQNXTDZ($A$1,$B28,U$1,$B$1)</f>
        <v>#NAME?</v>
      </c>
      <c r="V28" t="e">
        <f ca="1">_xll.EQNXTDZ($A$1,$B28,V$1,$B$1)</f>
        <v>#NAME?</v>
      </c>
      <c r="W28" t="e">
        <f ca="1">_xll.EQNXTDZ($A$1,$B28,W$1,$B$1)</f>
        <v>#NAME?</v>
      </c>
      <c r="X28" t="e">
        <f ca="1">_xll.EQNXTDZ($A$1,$B28,X$1,$B$1)</f>
        <v>#NAME?</v>
      </c>
      <c r="Y28" t="e">
        <f ca="1">_xll.EQNXTDZ($A$1,$B28,Y$1,$B$1)</f>
        <v>#NAME?</v>
      </c>
      <c r="Z28" t="e">
        <f ca="1">_xll.EQNXTDZ($A$1,$B28,Z$1,$B$1)</f>
        <v>#NAME?</v>
      </c>
      <c r="AA28" t="e">
        <f ca="1">_xll.EQNXTDZ($A$1,$B28,AA$1,$B$1)</f>
        <v>#NAME?</v>
      </c>
      <c r="AB28" t="e">
        <f ca="1">_xll.EQNXTDZ($A$1,$B28,AB$1,$B$1)</f>
        <v>#NAME?</v>
      </c>
      <c r="AC28" t="e">
        <f ca="1">_xll.EQNXTDZ($A$1,$B28,AC$1,$B$1)</f>
        <v>#NAME?</v>
      </c>
      <c r="AD28" t="e">
        <f ca="1">_xll.EQNXTDZ($A$1,$B28,AD$1,$B$1)</f>
        <v>#NAME?</v>
      </c>
      <c r="AE28" t="e">
        <f ca="1">_xll.EQNXTDZ($A$1,$B28,AE$1,$B$1)</f>
        <v>#NAME?</v>
      </c>
      <c r="AF28" t="e">
        <f ca="1">_xll.EQNXTDZ($A$1,$B28,AF$1,$B$1)</f>
        <v>#NAME?</v>
      </c>
      <c r="AG28" t="e">
        <f ca="1">_xll.EQNXTDZ($A$1,$B28,AG$1,$B$1)</f>
        <v>#NAME?</v>
      </c>
      <c r="AH28" t="e">
        <f ca="1">_xll.EQNXTDZ($A$1,$B28,AH$1,$B$1)</f>
        <v>#NAME?</v>
      </c>
      <c r="AI28" t="e">
        <f ca="1">_xll.EQNXTDZ($A$1,$B28,AI$1,$B$1)</f>
        <v>#NAME?</v>
      </c>
      <c r="AJ28" t="e">
        <f ca="1">_xll.EQNXTDZ($A$1,$B28,AJ$1,$B$1)</f>
        <v>#NAME?</v>
      </c>
      <c r="AK28" t="e">
        <f ca="1">_xll.EQNXTDZ($A$1,$B28,AK$1,$B$1)</f>
        <v>#NAME?</v>
      </c>
      <c r="AL28" t="e">
        <f ca="1">_xll.EQNXTDZ($A$1,$B28,AL$1,$B$1)</f>
        <v>#NAME?</v>
      </c>
      <c r="AM28" t="e">
        <f ca="1">_xll.EQNXTDZ($A$1,$B28,AM$1,$B$1)</f>
        <v>#NAME?</v>
      </c>
      <c r="AN28" t="e">
        <f ca="1">_xll.EQNXTDZ($A$1,$B28,AN$1,$B$1)</f>
        <v>#NAME?</v>
      </c>
      <c r="AO28" t="e">
        <f ca="1">_xll.EQNXTDZ($A$1,$B28,AO$1,$B$1)</f>
        <v>#NAME?</v>
      </c>
      <c r="AP28" t="e">
        <f ca="1">_xll.EQNXTDZ($A$1,$B28,AP$1,$B$1)</f>
        <v>#NAME?</v>
      </c>
      <c r="AQ28" t="e">
        <f ca="1">_xll.EQNXTDZ($A$1,$B28,AQ$1,$B$1)</f>
        <v>#NAME?</v>
      </c>
      <c r="AR28" t="e">
        <f ca="1">_xll.EQNXTDZ($A$1,$B28,AR$1,$B$1)</f>
        <v>#NAME?</v>
      </c>
      <c r="AS28" t="e">
        <f ca="1">_xll.EQNXTDZ($A$1,$B28,AS$1,$B$1)</f>
        <v>#NAME?</v>
      </c>
      <c r="AT28" t="e">
        <f ca="1">_xll.EQNXTDZ($A$1,$B28,AT$1,$B$1)</f>
        <v>#NAME?</v>
      </c>
      <c r="AU28" t="e">
        <f ca="1">_xll.EQNXTDZ($A$1,$B28,AU$1,$B$1)</f>
        <v>#NAME?</v>
      </c>
      <c r="AV28" t="e">
        <f ca="1">_xll.EQNXTDZ($A$1,$B28,AV$1,$B$1)</f>
        <v>#NAME?</v>
      </c>
      <c r="AW28" t="e">
        <f ca="1">_xll.EQNXTDZ($A$1,$B28,AW$1,$B$1)</f>
        <v>#NAME?</v>
      </c>
      <c r="AX28" t="e">
        <f ca="1">_xll.EQNXTDZ($A$1,$B28,AX$1,$B$1)</f>
        <v>#NAME?</v>
      </c>
      <c r="AY28" t="e">
        <f ca="1">_xll.EQNXTDZ($A$1,$B28,AY$1,$B$1)</f>
        <v>#NAME?</v>
      </c>
      <c r="AZ28" t="e">
        <f ca="1">_xll.EQNXTDZ($A$1,$B28,AZ$1,$B$1)</f>
        <v>#NAME?</v>
      </c>
      <c r="BA28" t="e">
        <f ca="1">_xll.EQNXTDZ($A$1,$B28,BA$1,$B$1)</f>
        <v>#NAME?</v>
      </c>
      <c r="BB28" t="e">
        <f ca="1">_xll.EQNXTDZ($A$1,$B28,BB$1,$B$1)</f>
        <v>#NAME?</v>
      </c>
      <c r="BC28" t="e">
        <f ca="1">_xll.EQNXTDZ($A$1,$B28,BC$1,$B$1)</f>
        <v>#NAME?</v>
      </c>
      <c r="BD28" t="e">
        <f ca="1">_xll.EQNXTDZ($A$1,$B28,BD$1,$B$1)</f>
        <v>#NAME?</v>
      </c>
      <c r="BE28" t="e">
        <f ca="1">_xll.EQNXTDZ($A$1,$B28,BE$1,$B$1)</f>
        <v>#NAME?</v>
      </c>
      <c r="BF28" t="e">
        <f ca="1">_xll.EQNXTDZ($A$1,$B28,BF$1,$B$1)</f>
        <v>#NAME?</v>
      </c>
      <c r="BG28" t="e">
        <f ca="1">_xll.EQNXTDZ($A$1,$B28,BG$1,$B$1)</f>
        <v>#NAME?</v>
      </c>
      <c r="BH28" t="e">
        <f ca="1">_xll.EQNXTDZ($A$1,$B28,BH$1,$B$1)</f>
        <v>#NAME?</v>
      </c>
      <c r="BI28" t="e">
        <f ca="1">_xll.EQNXTDZ($A$1,$B28,BI$1,$B$1)</f>
        <v>#NAME?</v>
      </c>
      <c r="BJ28" t="e">
        <f ca="1">_xll.EQNXTDZ($A$1,$B28,BJ$1,$B$1)</f>
        <v>#NAME?</v>
      </c>
      <c r="BK28" t="e">
        <f ca="1">_xll.EQNXTDZ($A$1,$B28,BK$1,$B$1)</f>
        <v>#NAME?</v>
      </c>
      <c r="BL28" t="e">
        <f ca="1">_xll.EQNXTDZ($A$1,$B28,BL$1,$B$1)</f>
        <v>#NAME?</v>
      </c>
      <c r="BM28" t="e">
        <f ca="1">_xll.EQNXTDZ($A$1,$B28,BM$1,$B$1)</f>
        <v>#NAME?</v>
      </c>
      <c r="BN28" t="e">
        <f ca="1">_xll.EQNXTDZ($A$1,$B28,BN$1,$B$1)</f>
        <v>#NAME?</v>
      </c>
      <c r="BO28" t="e">
        <f ca="1">_xll.EQNXTDZ($A$1,$B28,BO$1,$B$1)</f>
        <v>#NAME?</v>
      </c>
      <c r="BP28" t="e">
        <f ca="1">_xll.EQNXTDZ($A$1,$B28,BP$1,$B$1)</f>
        <v>#NAME?</v>
      </c>
      <c r="BQ28" t="e">
        <f ca="1">_xll.EQNXTDZ($A$1,$B28,BQ$1,$B$1)</f>
        <v>#NAME?</v>
      </c>
      <c r="BR28" t="e">
        <f ca="1">_xll.EQNXTDZ($A$1,$B28,BR$1,$B$1)</f>
        <v>#NAME?</v>
      </c>
      <c r="BS28" t="e">
        <f ca="1">_xll.EQNXTDZ($A$1,$B28,BS$1,$B$1)</f>
        <v>#NAME?</v>
      </c>
      <c r="BT28" t="e">
        <f ca="1">_xll.EQNXTDZ($A$1,$B28,BT$1,$B$1)</f>
        <v>#NAME?</v>
      </c>
      <c r="BU28" t="e">
        <f ca="1">_xll.EQNXTDZ($A$1,$B28,BU$1,$B$1)</f>
        <v>#NAME?</v>
      </c>
      <c r="BV28" t="e">
        <f ca="1">_xll.EQNXTDZ($A$1,$B28,BV$1,$B$1)</f>
        <v>#NAME?</v>
      </c>
    </row>
    <row r="29" spans="1:74" x14ac:dyDescent="0.25">
      <c r="A29" t="s">
        <v>21</v>
      </c>
      <c r="B29" t="s">
        <v>299</v>
      </c>
      <c r="C29" t="e">
        <f ca="1">_xll.EQNXTDZ($A$1,$B29,C$1,$B$1)</f>
        <v>#NAME?</v>
      </c>
      <c r="D29" t="e">
        <f ca="1">_xll.EQNXTDZ($A$1,$B29,D$1,$B$1)</f>
        <v>#NAME?</v>
      </c>
      <c r="E29" t="e">
        <f ca="1">_xll.EQNXTDZ($A$1,$B29,E$1,$B$1)</f>
        <v>#NAME?</v>
      </c>
      <c r="F29" t="e">
        <f ca="1">_xll.EQNXTDZ($A$1,$B29,F$1,$B$1)</f>
        <v>#NAME?</v>
      </c>
      <c r="G29" t="e">
        <f ca="1">_xll.EQNXTDZ($A$1,$B29,G$1,$B$1)</f>
        <v>#NAME?</v>
      </c>
      <c r="H29" t="e">
        <f ca="1">_xll.EQNXTDZ($A$1,$B29,H$1,$B$1)</f>
        <v>#NAME?</v>
      </c>
      <c r="I29" t="e">
        <f ca="1">_xll.EQNXTDZ($A$1,$B29,I$1,$B$1)</f>
        <v>#NAME?</v>
      </c>
      <c r="J29" t="e">
        <f ca="1">_xll.EQNXTDZ($A$1,$B29,J$1,$B$1)</f>
        <v>#NAME?</v>
      </c>
      <c r="K29" t="e">
        <f ca="1">_xll.EQNXTDZ($A$1,$B29,K$1,$B$1)</f>
        <v>#NAME?</v>
      </c>
      <c r="L29" t="e">
        <f ca="1">_xll.EQNXTDZ($A$1,$B29,L$1,$B$1)</f>
        <v>#NAME?</v>
      </c>
      <c r="M29" t="e">
        <f ca="1">_xll.EQNXTDZ($A$1,$B29,M$1,$B$1)</f>
        <v>#NAME?</v>
      </c>
      <c r="N29" t="e">
        <f ca="1">_xll.EQNXTDZ($A$1,$B29,N$1,$B$1)</f>
        <v>#NAME?</v>
      </c>
      <c r="O29" t="e">
        <f ca="1">_xll.EQNXTDZ($A$1,$B29,O$1,$B$1)</f>
        <v>#NAME?</v>
      </c>
      <c r="P29" t="e">
        <f ca="1">_xll.EQNXTDZ($A$1,$B29,P$1,$B$1)</f>
        <v>#NAME?</v>
      </c>
      <c r="Q29" t="e">
        <f ca="1">_xll.EQNXTDZ($A$1,$B29,Q$1,$B$1)</f>
        <v>#NAME?</v>
      </c>
      <c r="R29" t="e">
        <f ca="1">_xll.EQNXTDZ($A$1,$B29,R$1,$B$1)</f>
        <v>#NAME?</v>
      </c>
      <c r="S29" t="e">
        <f ca="1">_xll.EQNXTDZ($A$1,$B29,S$1,$B$1)</f>
        <v>#NAME?</v>
      </c>
      <c r="T29" t="e">
        <f ca="1">_xll.EQNXTDZ($A$1,$B29,T$1,$B$1)</f>
        <v>#NAME?</v>
      </c>
      <c r="U29" t="e">
        <f ca="1">_xll.EQNXTDZ($A$1,$B29,U$1,$B$1)</f>
        <v>#NAME?</v>
      </c>
      <c r="V29" t="e">
        <f ca="1">_xll.EQNXTDZ($A$1,$B29,V$1,$B$1)</f>
        <v>#NAME?</v>
      </c>
      <c r="W29" t="e">
        <f ca="1">_xll.EQNXTDZ($A$1,$B29,W$1,$B$1)</f>
        <v>#NAME?</v>
      </c>
      <c r="X29" t="e">
        <f ca="1">_xll.EQNXTDZ($A$1,$B29,X$1,$B$1)</f>
        <v>#NAME?</v>
      </c>
      <c r="Y29" t="e">
        <f ca="1">_xll.EQNXTDZ($A$1,$B29,Y$1,$B$1)</f>
        <v>#NAME?</v>
      </c>
      <c r="Z29" t="e">
        <f ca="1">_xll.EQNXTDZ($A$1,$B29,Z$1,$B$1)</f>
        <v>#NAME?</v>
      </c>
      <c r="AA29" t="e">
        <f ca="1">_xll.EQNXTDZ($A$1,$B29,AA$1,$B$1)</f>
        <v>#NAME?</v>
      </c>
      <c r="AB29" t="e">
        <f ca="1">_xll.EQNXTDZ($A$1,$B29,AB$1,$B$1)</f>
        <v>#NAME?</v>
      </c>
      <c r="AC29" t="e">
        <f ca="1">_xll.EQNXTDZ($A$1,$B29,AC$1,$B$1)</f>
        <v>#NAME?</v>
      </c>
      <c r="AD29" t="e">
        <f ca="1">_xll.EQNXTDZ($A$1,$B29,AD$1,$B$1)</f>
        <v>#NAME?</v>
      </c>
      <c r="AE29" t="e">
        <f ca="1">_xll.EQNXTDZ($A$1,$B29,AE$1,$B$1)</f>
        <v>#NAME?</v>
      </c>
      <c r="AF29" t="e">
        <f ca="1">_xll.EQNXTDZ($A$1,$B29,AF$1,$B$1)</f>
        <v>#NAME?</v>
      </c>
      <c r="AG29" t="e">
        <f ca="1">_xll.EQNXTDZ($A$1,$B29,AG$1,$B$1)</f>
        <v>#NAME?</v>
      </c>
      <c r="AH29" t="e">
        <f ca="1">_xll.EQNXTDZ($A$1,$B29,AH$1,$B$1)</f>
        <v>#NAME?</v>
      </c>
      <c r="AI29" t="e">
        <f ca="1">_xll.EQNXTDZ($A$1,$B29,AI$1,$B$1)</f>
        <v>#NAME?</v>
      </c>
      <c r="AJ29" t="e">
        <f ca="1">_xll.EQNXTDZ($A$1,$B29,AJ$1,$B$1)</f>
        <v>#NAME?</v>
      </c>
      <c r="AK29" t="e">
        <f ca="1">_xll.EQNXTDZ($A$1,$B29,AK$1,$B$1)</f>
        <v>#NAME?</v>
      </c>
      <c r="AL29" t="e">
        <f ca="1">_xll.EQNXTDZ($A$1,$B29,AL$1,$B$1)</f>
        <v>#NAME?</v>
      </c>
      <c r="AM29" t="e">
        <f ca="1">_xll.EQNXTDZ($A$1,$B29,AM$1,$B$1)</f>
        <v>#NAME?</v>
      </c>
      <c r="AN29" t="e">
        <f ca="1">_xll.EQNXTDZ($A$1,$B29,AN$1,$B$1)</f>
        <v>#NAME?</v>
      </c>
      <c r="AO29" t="e">
        <f ca="1">_xll.EQNXTDZ($A$1,$B29,AO$1,$B$1)</f>
        <v>#NAME?</v>
      </c>
      <c r="AP29" t="e">
        <f ca="1">_xll.EQNXTDZ($A$1,$B29,AP$1,$B$1)</f>
        <v>#NAME?</v>
      </c>
      <c r="AQ29" t="e">
        <f ca="1">_xll.EQNXTDZ($A$1,$B29,AQ$1,$B$1)</f>
        <v>#NAME?</v>
      </c>
      <c r="AR29" t="e">
        <f ca="1">_xll.EQNXTDZ($A$1,$B29,AR$1,$B$1)</f>
        <v>#NAME?</v>
      </c>
      <c r="AS29" t="e">
        <f ca="1">_xll.EQNXTDZ($A$1,$B29,AS$1,$B$1)</f>
        <v>#NAME?</v>
      </c>
      <c r="AT29" t="e">
        <f ca="1">_xll.EQNXTDZ($A$1,$B29,AT$1,$B$1)</f>
        <v>#NAME?</v>
      </c>
      <c r="AU29" t="e">
        <f ca="1">_xll.EQNXTDZ($A$1,$B29,AU$1,$B$1)</f>
        <v>#NAME?</v>
      </c>
      <c r="AV29" t="e">
        <f ca="1">_xll.EQNXTDZ($A$1,$B29,AV$1,$B$1)</f>
        <v>#NAME?</v>
      </c>
      <c r="AW29" t="e">
        <f ca="1">_xll.EQNXTDZ($A$1,$B29,AW$1,$B$1)</f>
        <v>#NAME?</v>
      </c>
      <c r="AX29" t="e">
        <f ca="1">_xll.EQNXTDZ($A$1,$B29,AX$1,$B$1)</f>
        <v>#NAME?</v>
      </c>
      <c r="AY29" t="e">
        <f ca="1">_xll.EQNXTDZ($A$1,$B29,AY$1,$B$1)</f>
        <v>#NAME?</v>
      </c>
      <c r="AZ29" t="e">
        <f ca="1">_xll.EQNXTDZ($A$1,$B29,AZ$1,$B$1)</f>
        <v>#NAME?</v>
      </c>
      <c r="BA29" t="e">
        <f ca="1">_xll.EQNXTDZ($A$1,$B29,BA$1,$B$1)</f>
        <v>#NAME?</v>
      </c>
      <c r="BB29" t="e">
        <f ca="1">_xll.EQNXTDZ($A$1,$B29,BB$1,$B$1)</f>
        <v>#NAME?</v>
      </c>
      <c r="BC29" t="e">
        <f ca="1">_xll.EQNXTDZ($A$1,$B29,BC$1,$B$1)</f>
        <v>#NAME?</v>
      </c>
      <c r="BD29" t="e">
        <f ca="1">_xll.EQNXTDZ($A$1,$B29,BD$1,$B$1)</f>
        <v>#NAME?</v>
      </c>
      <c r="BE29" t="e">
        <f ca="1">_xll.EQNXTDZ($A$1,$B29,BE$1,$B$1)</f>
        <v>#NAME?</v>
      </c>
      <c r="BF29" t="e">
        <f ca="1">_xll.EQNXTDZ($A$1,$B29,BF$1,$B$1)</f>
        <v>#NAME?</v>
      </c>
      <c r="BG29" t="e">
        <f ca="1">_xll.EQNXTDZ($A$1,$B29,BG$1,$B$1)</f>
        <v>#NAME?</v>
      </c>
      <c r="BH29" t="e">
        <f ca="1">_xll.EQNXTDZ($A$1,$B29,BH$1,$B$1)</f>
        <v>#NAME?</v>
      </c>
      <c r="BI29" t="e">
        <f ca="1">_xll.EQNXTDZ($A$1,$B29,BI$1,$B$1)</f>
        <v>#NAME?</v>
      </c>
      <c r="BJ29" t="e">
        <f ca="1">_xll.EQNXTDZ($A$1,$B29,BJ$1,$B$1)</f>
        <v>#NAME?</v>
      </c>
      <c r="BK29" t="e">
        <f ca="1">_xll.EQNXTDZ($A$1,$B29,BK$1,$B$1)</f>
        <v>#NAME?</v>
      </c>
      <c r="BL29" t="e">
        <f ca="1">_xll.EQNXTDZ($A$1,$B29,BL$1,$B$1)</f>
        <v>#NAME?</v>
      </c>
      <c r="BM29" t="e">
        <f ca="1">_xll.EQNXTDZ($A$1,$B29,BM$1,$B$1)</f>
        <v>#NAME?</v>
      </c>
      <c r="BN29" t="e">
        <f ca="1">_xll.EQNXTDZ($A$1,$B29,BN$1,$B$1)</f>
        <v>#NAME?</v>
      </c>
      <c r="BO29" t="e">
        <f ca="1">_xll.EQNXTDZ($A$1,$B29,BO$1,$B$1)</f>
        <v>#NAME?</v>
      </c>
      <c r="BP29" t="e">
        <f ca="1">_xll.EQNXTDZ($A$1,$B29,BP$1,$B$1)</f>
        <v>#NAME?</v>
      </c>
      <c r="BQ29" t="e">
        <f ca="1">_xll.EQNXTDZ($A$1,$B29,BQ$1,$B$1)</f>
        <v>#NAME?</v>
      </c>
      <c r="BR29" t="e">
        <f ca="1">_xll.EQNXTDZ($A$1,$B29,BR$1,$B$1)</f>
        <v>#NAME?</v>
      </c>
      <c r="BS29" t="e">
        <f ca="1">_xll.EQNXTDZ($A$1,$B29,BS$1,$B$1)</f>
        <v>#NAME?</v>
      </c>
      <c r="BT29" t="e">
        <f ca="1">_xll.EQNXTDZ($A$1,$B29,BT$1,$B$1)</f>
        <v>#NAME?</v>
      </c>
      <c r="BU29" t="e">
        <f ca="1">_xll.EQNXTDZ($A$1,$B29,BU$1,$B$1)</f>
        <v>#NAME?</v>
      </c>
      <c r="BV29" t="e">
        <f ca="1">_xll.EQNXTDZ($A$1,$B29,BV$1,$B$1)</f>
        <v>#NAME?</v>
      </c>
    </row>
    <row r="30" spans="1:74" x14ac:dyDescent="0.25">
      <c r="A30" t="s">
        <v>265</v>
      </c>
      <c r="B30" t="s">
        <v>300</v>
      </c>
      <c r="C30" t="e">
        <f ca="1">_xll.EQNXTDZ($A$1,$B30,C$1,$B$1)</f>
        <v>#NAME?</v>
      </c>
      <c r="D30" t="e">
        <f ca="1">_xll.EQNXTDZ($A$1,$B30,D$1,$B$1)</f>
        <v>#NAME?</v>
      </c>
      <c r="E30" t="e">
        <f ca="1">_xll.EQNXTDZ($A$1,$B30,E$1,$B$1)</f>
        <v>#NAME?</v>
      </c>
      <c r="F30" t="e">
        <f ca="1">_xll.EQNXTDZ($A$1,$B30,F$1,$B$1)</f>
        <v>#NAME?</v>
      </c>
      <c r="G30" t="e">
        <f ca="1">_xll.EQNXTDZ($A$1,$B30,G$1,$B$1)</f>
        <v>#NAME?</v>
      </c>
      <c r="H30" t="e">
        <f ca="1">_xll.EQNXTDZ($A$1,$B30,H$1,$B$1)</f>
        <v>#NAME?</v>
      </c>
      <c r="I30" t="e">
        <f ca="1">_xll.EQNXTDZ($A$1,$B30,I$1,$B$1)</f>
        <v>#NAME?</v>
      </c>
      <c r="J30" t="e">
        <f ca="1">_xll.EQNXTDZ($A$1,$B30,J$1,$B$1)</f>
        <v>#NAME?</v>
      </c>
      <c r="K30" t="e">
        <f ca="1">_xll.EQNXTDZ($A$1,$B30,K$1,$B$1)</f>
        <v>#NAME?</v>
      </c>
      <c r="L30" t="e">
        <f ca="1">_xll.EQNXTDZ($A$1,$B30,L$1,$B$1)</f>
        <v>#NAME?</v>
      </c>
      <c r="M30" t="e">
        <f ca="1">_xll.EQNXTDZ($A$1,$B30,M$1,$B$1)</f>
        <v>#NAME?</v>
      </c>
      <c r="N30" t="e">
        <f ca="1">_xll.EQNXTDZ($A$1,$B30,N$1,$B$1)</f>
        <v>#NAME?</v>
      </c>
      <c r="O30" t="e">
        <f ca="1">_xll.EQNXTDZ($A$1,$B30,O$1,$B$1)</f>
        <v>#NAME?</v>
      </c>
      <c r="P30" t="e">
        <f ca="1">_xll.EQNXTDZ($A$1,$B30,P$1,$B$1)</f>
        <v>#NAME?</v>
      </c>
      <c r="Q30" t="e">
        <f ca="1">_xll.EQNXTDZ($A$1,$B30,Q$1,$B$1)</f>
        <v>#NAME?</v>
      </c>
      <c r="R30" t="e">
        <f ca="1">_xll.EQNXTDZ($A$1,$B30,R$1,$B$1)</f>
        <v>#NAME?</v>
      </c>
      <c r="S30" t="e">
        <f ca="1">_xll.EQNXTDZ($A$1,$B30,S$1,$B$1)</f>
        <v>#NAME?</v>
      </c>
      <c r="T30" t="e">
        <f ca="1">_xll.EQNXTDZ($A$1,$B30,T$1,$B$1)</f>
        <v>#NAME?</v>
      </c>
      <c r="U30" t="e">
        <f ca="1">_xll.EQNXTDZ($A$1,$B30,U$1,$B$1)</f>
        <v>#NAME?</v>
      </c>
      <c r="V30" t="e">
        <f ca="1">_xll.EQNXTDZ($A$1,$B30,V$1,$B$1)</f>
        <v>#NAME?</v>
      </c>
      <c r="W30" t="e">
        <f ca="1">_xll.EQNXTDZ($A$1,$B30,W$1,$B$1)</f>
        <v>#NAME?</v>
      </c>
      <c r="X30" t="e">
        <f ca="1">_xll.EQNXTDZ($A$1,$B30,X$1,$B$1)</f>
        <v>#NAME?</v>
      </c>
      <c r="Y30" t="e">
        <f ca="1">_xll.EQNXTDZ($A$1,$B30,Y$1,$B$1)</f>
        <v>#NAME?</v>
      </c>
      <c r="Z30" t="e">
        <f ca="1">_xll.EQNXTDZ($A$1,$B30,Z$1,$B$1)</f>
        <v>#NAME?</v>
      </c>
      <c r="AA30" t="e">
        <f ca="1">_xll.EQNXTDZ($A$1,$B30,AA$1,$B$1)</f>
        <v>#NAME?</v>
      </c>
      <c r="AB30" t="e">
        <f ca="1">_xll.EQNXTDZ($A$1,$B30,AB$1,$B$1)</f>
        <v>#NAME?</v>
      </c>
      <c r="AC30" t="e">
        <f ca="1">_xll.EQNXTDZ($A$1,$B30,AC$1,$B$1)</f>
        <v>#NAME?</v>
      </c>
      <c r="AD30" t="e">
        <f ca="1">_xll.EQNXTDZ($A$1,$B30,AD$1,$B$1)</f>
        <v>#NAME?</v>
      </c>
      <c r="AE30" t="e">
        <f ca="1">_xll.EQNXTDZ($A$1,$B30,AE$1,$B$1)</f>
        <v>#NAME?</v>
      </c>
      <c r="AF30" t="e">
        <f ca="1">_xll.EQNXTDZ($A$1,$B30,AF$1,$B$1)</f>
        <v>#NAME?</v>
      </c>
      <c r="AG30" t="e">
        <f ca="1">_xll.EQNXTDZ($A$1,$B30,AG$1,$B$1)</f>
        <v>#NAME?</v>
      </c>
      <c r="AH30" t="e">
        <f ca="1">_xll.EQNXTDZ($A$1,$B30,AH$1,$B$1)</f>
        <v>#NAME?</v>
      </c>
      <c r="AI30" t="e">
        <f ca="1">_xll.EQNXTDZ($A$1,$B30,AI$1,$B$1)</f>
        <v>#NAME?</v>
      </c>
      <c r="AJ30" t="e">
        <f ca="1">_xll.EQNXTDZ($A$1,$B30,AJ$1,$B$1)</f>
        <v>#NAME?</v>
      </c>
      <c r="AK30" t="e">
        <f ca="1">_xll.EQNXTDZ($A$1,$B30,AK$1,$B$1)</f>
        <v>#NAME?</v>
      </c>
      <c r="AL30" t="e">
        <f ca="1">_xll.EQNXTDZ($A$1,$B30,AL$1,$B$1)</f>
        <v>#NAME?</v>
      </c>
      <c r="AM30" t="e">
        <f ca="1">_xll.EQNXTDZ($A$1,$B30,AM$1,$B$1)</f>
        <v>#NAME?</v>
      </c>
      <c r="AN30" t="e">
        <f ca="1">_xll.EQNXTDZ($A$1,$B30,AN$1,$B$1)</f>
        <v>#NAME?</v>
      </c>
      <c r="AO30" t="e">
        <f ca="1">_xll.EQNXTDZ($A$1,$B30,AO$1,$B$1)</f>
        <v>#NAME?</v>
      </c>
      <c r="AP30" t="e">
        <f ca="1">_xll.EQNXTDZ($A$1,$B30,AP$1,$B$1)</f>
        <v>#NAME?</v>
      </c>
      <c r="AQ30" t="e">
        <f ca="1">_xll.EQNXTDZ($A$1,$B30,AQ$1,$B$1)</f>
        <v>#NAME?</v>
      </c>
      <c r="AR30" t="e">
        <f ca="1">_xll.EQNXTDZ($A$1,$B30,AR$1,$B$1)</f>
        <v>#NAME?</v>
      </c>
      <c r="AS30" t="e">
        <f ca="1">_xll.EQNXTDZ($A$1,$B30,AS$1,$B$1)</f>
        <v>#NAME?</v>
      </c>
      <c r="AT30" t="e">
        <f ca="1">_xll.EQNXTDZ($A$1,$B30,AT$1,$B$1)</f>
        <v>#NAME?</v>
      </c>
      <c r="AU30" t="e">
        <f ca="1">_xll.EQNXTDZ($A$1,$B30,AU$1,$B$1)</f>
        <v>#NAME?</v>
      </c>
      <c r="AV30" t="e">
        <f ca="1">_xll.EQNXTDZ($A$1,$B30,AV$1,$B$1)</f>
        <v>#NAME?</v>
      </c>
      <c r="AW30" t="e">
        <f ca="1">_xll.EQNXTDZ($A$1,$B30,AW$1,$B$1)</f>
        <v>#NAME?</v>
      </c>
      <c r="AX30" t="e">
        <f ca="1">_xll.EQNXTDZ($A$1,$B30,AX$1,$B$1)</f>
        <v>#NAME?</v>
      </c>
      <c r="AY30" t="e">
        <f ca="1">_xll.EQNXTDZ($A$1,$B30,AY$1,$B$1)</f>
        <v>#NAME?</v>
      </c>
      <c r="AZ30" t="e">
        <f ca="1">_xll.EQNXTDZ($A$1,$B30,AZ$1,$B$1)</f>
        <v>#NAME?</v>
      </c>
      <c r="BA30" t="e">
        <f ca="1">_xll.EQNXTDZ($A$1,$B30,BA$1,$B$1)</f>
        <v>#NAME?</v>
      </c>
      <c r="BB30" t="e">
        <f ca="1">_xll.EQNXTDZ($A$1,$B30,BB$1,$B$1)</f>
        <v>#NAME?</v>
      </c>
      <c r="BC30" t="e">
        <f ca="1">_xll.EQNXTDZ($A$1,$B30,BC$1,$B$1)</f>
        <v>#NAME?</v>
      </c>
      <c r="BD30" t="e">
        <f ca="1">_xll.EQNXTDZ($A$1,$B30,BD$1,$B$1)</f>
        <v>#NAME?</v>
      </c>
      <c r="BE30" t="e">
        <f ca="1">_xll.EQNXTDZ($A$1,$B30,BE$1,$B$1)</f>
        <v>#NAME?</v>
      </c>
      <c r="BF30" t="e">
        <f ca="1">_xll.EQNXTDZ($A$1,$B30,BF$1,$B$1)</f>
        <v>#NAME?</v>
      </c>
      <c r="BG30" t="e">
        <f ca="1">_xll.EQNXTDZ($A$1,$B30,BG$1,$B$1)</f>
        <v>#NAME?</v>
      </c>
      <c r="BH30" t="e">
        <f ca="1">_xll.EQNXTDZ($A$1,$B30,BH$1,$B$1)</f>
        <v>#NAME?</v>
      </c>
      <c r="BI30" t="e">
        <f ca="1">_xll.EQNXTDZ($A$1,$B30,BI$1,$B$1)</f>
        <v>#NAME?</v>
      </c>
      <c r="BJ30" t="e">
        <f ca="1">_xll.EQNXTDZ($A$1,$B30,BJ$1,$B$1)</f>
        <v>#NAME?</v>
      </c>
      <c r="BK30" t="e">
        <f ca="1">_xll.EQNXTDZ($A$1,$B30,BK$1,$B$1)</f>
        <v>#NAME?</v>
      </c>
      <c r="BL30" t="e">
        <f ca="1">_xll.EQNXTDZ($A$1,$B30,BL$1,$B$1)</f>
        <v>#NAME?</v>
      </c>
      <c r="BM30" t="e">
        <f ca="1">_xll.EQNXTDZ($A$1,$B30,BM$1,$B$1)</f>
        <v>#NAME?</v>
      </c>
      <c r="BN30" t="e">
        <f ca="1">_xll.EQNXTDZ($A$1,$B30,BN$1,$B$1)</f>
        <v>#NAME?</v>
      </c>
      <c r="BO30" t="e">
        <f ca="1">_xll.EQNXTDZ($A$1,$B30,BO$1,$B$1)</f>
        <v>#NAME?</v>
      </c>
      <c r="BP30" t="e">
        <f ca="1">_xll.EQNXTDZ($A$1,$B30,BP$1,$B$1)</f>
        <v>#NAME?</v>
      </c>
      <c r="BQ30" t="e">
        <f ca="1">_xll.EQNXTDZ($A$1,$B30,BQ$1,$B$1)</f>
        <v>#NAME?</v>
      </c>
      <c r="BR30" t="e">
        <f ca="1">_xll.EQNXTDZ($A$1,$B30,BR$1,$B$1)</f>
        <v>#NAME?</v>
      </c>
      <c r="BS30" t="e">
        <f ca="1">_xll.EQNXTDZ($A$1,$B30,BS$1,$B$1)</f>
        <v>#NAME?</v>
      </c>
      <c r="BT30" t="e">
        <f ca="1">_xll.EQNXTDZ($A$1,$B30,BT$1,$B$1)</f>
        <v>#NAME?</v>
      </c>
      <c r="BU30" t="e">
        <f ca="1">_xll.EQNXTDZ($A$1,$B30,BU$1,$B$1)</f>
        <v>#NAME?</v>
      </c>
      <c r="BV30" t="e">
        <f ca="1">_xll.EQNXTDZ($A$1,$B30,BV$1,$B$1)</f>
        <v>#NAME?</v>
      </c>
    </row>
    <row r="31" spans="1:74" x14ac:dyDescent="0.25">
      <c r="A31" t="s">
        <v>266</v>
      </c>
      <c r="B31" t="s">
        <v>301</v>
      </c>
      <c r="C31" t="e">
        <f ca="1">_xll.EQNXTDZ($A$1,$B31,C$1,$B$1)</f>
        <v>#NAME?</v>
      </c>
      <c r="D31" t="e">
        <f ca="1">_xll.EQNXTDZ($A$1,$B31,D$1,$B$1)</f>
        <v>#NAME?</v>
      </c>
      <c r="E31" t="e">
        <f ca="1">_xll.EQNXTDZ($A$1,$B31,E$1,$B$1)</f>
        <v>#NAME?</v>
      </c>
      <c r="F31" t="e">
        <f ca="1">_xll.EQNXTDZ($A$1,$B31,F$1,$B$1)</f>
        <v>#NAME?</v>
      </c>
      <c r="G31" t="e">
        <f ca="1">_xll.EQNXTDZ($A$1,$B31,G$1,$B$1)</f>
        <v>#NAME?</v>
      </c>
      <c r="H31" t="e">
        <f ca="1">_xll.EQNXTDZ($A$1,$B31,H$1,$B$1)</f>
        <v>#NAME?</v>
      </c>
      <c r="I31" t="e">
        <f ca="1">_xll.EQNXTDZ($A$1,$B31,I$1,$B$1)</f>
        <v>#NAME?</v>
      </c>
      <c r="J31" t="e">
        <f ca="1">_xll.EQNXTDZ($A$1,$B31,J$1,$B$1)</f>
        <v>#NAME?</v>
      </c>
      <c r="K31" t="e">
        <f ca="1">_xll.EQNXTDZ($A$1,$B31,K$1,$B$1)</f>
        <v>#NAME?</v>
      </c>
      <c r="L31" t="e">
        <f ca="1">_xll.EQNXTDZ($A$1,$B31,L$1,$B$1)</f>
        <v>#NAME?</v>
      </c>
      <c r="M31" t="e">
        <f ca="1">_xll.EQNXTDZ($A$1,$B31,M$1,$B$1)</f>
        <v>#NAME?</v>
      </c>
      <c r="N31" t="e">
        <f ca="1">_xll.EQNXTDZ($A$1,$B31,N$1,$B$1)</f>
        <v>#NAME?</v>
      </c>
      <c r="O31" t="e">
        <f ca="1">_xll.EQNXTDZ($A$1,$B31,O$1,$B$1)</f>
        <v>#NAME?</v>
      </c>
      <c r="P31" t="e">
        <f ca="1">_xll.EQNXTDZ($A$1,$B31,P$1,$B$1)</f>
        <v>#NAME?</v>
      </c>
      <c r="Q31" t="e">
        <f ca="1">_xll.EQNXTDZ($A$1,$B31,Q$1,$B$1)</f>
        <v>#NAME?</v>
      </c>
      <c r="R31" t="e">
        <f ca="1">_xll.EQNXTDZ($A$1,$B31,R$1,$B$1)</f>
        <v>#NAME?</v>
      </c>
      <c r="S31" t="e">
        <f ca="1">_xll.EQNXTDZ($A$1,$B31,S$1,$B$1)</f>
        <v>#NAME?</v>
      </c>
      <c r="T31" t="e">
        <f ca="1">_xll.EQNXTDZ($A$1,$B31,T$1,$B$1)</f>
        <v>#NAME?</v>
      </c>
      <c r="U31" t="e">
        <f ca="1">_xll.EQNXTDZ($A$1,$B31,U$1,$B$1)</f>
        <v>#NAME?</v>
      </c>
      <c r="V31" t="e">
        <f ca="1">_xll.EQNXTDZ($A$1,$B31,V$1,$B$1)</f>
        <v>#NAME?</v>
      </c>
      <c r="W31" t="e">
        <f ca="1">_xll.EQNXTDZ($A$1,$B31,W$1,$B$1)</f>
        <v>#NAME?</v>
      </c>
      <c r="X31" t="e">
        <f ca="1">_xll.EQNXTDZ($A$1,$B31,X$1,$B$1)</f>
        <v>#NAME?</v>
      </c>
      <c r="Y31" t="e">
        <f ca="1">_xll.EQNXTDZ($A$1,$B31,Y$1,$B$1)</f>
        <v>#NAME?</v>
      </c>
      <c r="Z31" t="e">
        <f ca="1">_xll.EQNXTDZ($A$1,$B31,Z$1,$B$1)</f>
        <v>#NAME?</v>
      </c>
      <c r="AA31" t="e">
        <f ca="1">_xll.EQNXTDZ($A$1,$B31,AA$1,$B$1)</f>
        <v>#NAME?</v>
      </c>
      <c r="AB31" t="e">
        <f ca="1">_xll.EQNXTDZ($A$1,$B31,AB$1,$B$1)</f>
        <v>#NAME?</v>
      </c>
      <c r="AC31" t="e">
        <f ca="1">_xll.EQNXTDZ($A$1,$B31,AC$1,$B$1)</f>
        <v>#NAME?</v>
      </c>
      <c r="AD31" t="e">
        <f ca="1">_xll.EQNXTDZ($A$1,$B31,AD$1,$B$1)</f>
        <v>#NAME?</v>
      </c>
      <c r="AE31" t="e">
        <f ca="1">_xll.EQNXTDZ($A$1,$B31,AE$1,$B$1)</f>
        <v>#NAME?</v>
      </c>
      <c r="AF31" t="e">
        <f ca="1">_xll.EQNXTDZ($A$1,$B31,AF$1,$B$1)</f>
        <v>#NAME?</v>
      </c>
      <c r="AG31" t="e">
        <f ca="1">_xll.EQNXTDZ($A$1,$B31,AG$1,$B$1)</f>
        <v>#NAME?</v>
      </c>
      <c r="AH31" t="e">
        <f ca="1">_xll.EQNXTDZ($A$1,$B31,AH$1,$B$1)</f>
        <v>#NAME?</v>
      </c>
      <c r="AI31" t="e">
        <f ca="1">_xll.EQNXTDZ($A$1,$B31,AI$1,$B$1)</f>
        <v>#NAME?</v>
      </c>
      <c r="AJ31" t="e">
        <f ca="1">_xll.EQNXTDZ($A$1,$B31,AJ$1,$B$1)</f>
        <v>#NAME?</v>
      </c>
      <c r="AK31" t="e">
        <f ca="1">_xll.EQNXTDZ($A$1,$B31,AK$1,$B$1)</f>
        <v>#NAME?</v>
      </c>
      <c r="AL31" t="e">
        <f ca="1">_xll.EQNXTDZ($A$1,$B31,AL$1,$B$1)</f>
        <v>#NAME?</v>
      </c>
      <c r="AM31" t="e">
        <f ca="1">_xll.EQNXTDZ($A$1,$B31,AM$1,$B$1)</f>
        <v>#NAME?</v>
      </c>
      <c r="AN31" t="e">
        <f ca="1">_xll.EQNXTDZ($A$1,$B31,AN$1,$B$1)</f>
        <v>#NAME?</v>
      </c>
      <c r="AO31" t="e">
        <f ca="1">_xll.EQNXTDZ($A$1,$B31,AO$1,$B$1)</f>
        <v>#NAME?</v>
      </c>
      <c r="AP31" t="e">
        <f ca="1">_xll.EQNXTDZ($A$1,$B31,AP$1,$B$1)</f>
        <v>#NAME?</v>
      </c>
      <c r="AQ31" t="e">
        <f ca="1">_xll.EQNXTDZ($A$1,$B31,AQ$1,$B$1)</f>
        <v>#NAME?</v>
      </c>
      <c r="AR31" t="e">
        <f ca="1">_xll.EQNXTDZ($A$1,$B31,AR$1,$B$1)</f>
        <v>#NAME?</v>
      </c>
      <c r="AS31" t="e">
        <f ca="1">_xll.EQNXTDZ($A$1,$B31,AS$1,$B$1)</f>
        <v>#NAME?</v>
      </c>
      <c r="AT31" t="e">
        <f ca="1">_xll.EQNXTDZ($A$1,$B31,AT$1,$B$1)</f>
        <v>#NAME?</v>
      </c>
      <c r="AU31" t="e">
        <f ca="1">_xll.EQNXTDZ($A$1,$B31,AU$1,$B$1)</f>
        <v>#NAME?</v>
      </c>
      <c r="AV31" t="e">
        <f ca="1">_xll.EQNXTDZ($A$1,$B31,AV$1,$B$1)</f>
        <v>#NAME?</v>
      </c>
      <c r="AW31" t="e">
        <f ca="1">_xll.EQNXTDZ($A$1,$B31,AW$1,$B$1)</f>
        <v>#NAME?</v>
      </c>
      <c r="AX31" t="e">
        <f ca="1">_xll.EQNXTDZ($A$1,$B31,AX$1,$B$1)</f>
        <v>#NAME?</v>
      </c>
      <c r="AY31" t="e">
        <f ca="1">_xll.EQNXTDZ($A$1,$B31,AY$1,$B$1)</f>
        <v>#NAME?</v>
      </c>
      <c r="AZ31" t="e">
        <f ca="1">_xll.EQNXTDZ($A$1,$B31,AZ$1,$B$1)</f>
        <v>#NAME?</v>
      </c>
      <c r="BA31" t="e">
        <f ca="1">_xll.EQNXTDZ($A$1,$B31,BA$1,$B$1)</f>
        <v>#NAME?</v>
      </c>
      <c r="BB31" t="e">
        <f ca="1">_xll.EQNXTDZ($A$1,$B31,BB$1,$B$1)</f>
        <v>#NAME?</v>
      </c>
      <c r="BC31" t="e">
        <f ca="1">_xll.EQNXTDZ($A$1,$B31,BC$1,$B$1)</f>
        <v>#NAME?</v>
      </c>
      <c r="BD31" t="e">
        <f ca="1">_xll.EQNXTDZ($A$1,$B31,BD$1,$B$1)</f>
        <v>#NAME?</v>
      </c>
      <c r="BE31" t="e">
        <f ca="1">_xll.EQNXTDZ($A$1,$B31,BE$1,$B$1)</f>
        <v>#NAME?</v>
      </c>
      <c r="BF31" t="e">
        <f ca="1">_xll.EQNXTDZ($A$1,$B31,BF$1,$B$1)</f>
        <v>#NAME?</v>
      </c>
      <c r="BG31" t="e">
        <f ca="1">_xll.EQNXTDZ($A$1,$B31,BG$1,$B$1)</f>
        <v>#NAME?</v>
      </c>
      <c r="BH31" t="e">
        <f ca="1">_xll.EQNXTDZ($A$1,$B31,BH$1,$B$1)</f>
        <v>#NAME?</v>
      </c>
      <c r="BI31" t="e">
        <f ca="1">_xll.EQNXTDZ($A$1,$B31,BI$1,$B$1)</f>
        <v>#NAME?</v>
      </c>
      <c r="BJ31" t="e">
        <f ca="1">_xll.EQNXTDZ($A$1,$B31,BJ$1,$B$1)</f>
        <v>#NAME?</v>
      </c>
      <c r="BK31" t="e">
        <f ca="1">_xll.EQNXTDZ($A$1,$B31,BK$1,$B$1)</f>
        <v>#NAME?</v>
      </c>
      <c r="BL31" t="e">
        <f ca="1">_xll.EQNXTDZ($A$1,$B31,BL$1,$B$1)</f>
        <v>#NAME?</v>
      </c>
      <c r="BM31" t="e">
        <f ca="1">_xll.EQNXTDZ($A$1,$B31,BM$1,$B$1)</f>
        <v>#NAME?</v>
      </c>
      <c r="BN31" t="e">
        <f ca="1">_xll.EQNXTDZ($A$1,$B31,BN$1,$B$1)</f>
        <v>#NAME?</v>
      </c>
      <c r="BO31" t="e">
        <f ca="1">_xll.EQNXTDZ($A$1,$B31,BO$1,$B$1)</f>
        <v>#NAME?</v>
      </c>
      <c r="BP31" t="e">
        <f ca="1">_xll.EQNXTDZ($A$1,$B31,BP$1,$B$1)</f>
        <v>#NAME?</v>
      </c>
      <c r="BQ31" t="e">
        <f ca="1">_xll.EQNXTDZ($A$1,$B31,BQ$1,$B$1)</f>
        <v>#NAME?</v>
      </c>
      <c r="BR31" t="e">
        <f ca="1">_xll.EQNXTDZ($A$1,$B31,BR$1,$B$1)</f>
        <v>#NAME?</v>
      </c>
      <c r="BS31" t="e">
        <f ca="1">_xll.EQNXTDZ($A$1,$B31,BS$1,$B$1)</f>
        <v>#NAME?</v>
      </c>
      <c r="BT31" t="e">
        <f ca="1">_xll.EQNXTDZ($A$1,$B31,BT$1,$B$1)</f>
        <v>#NAME?</v>
      </c>
      <c r="BU31" t="e">
        <f ca="1">_xll.EQNXTDZ($A$1,$B31,BU$1,$B$1)</f>
        <v>#NAME?</v>
      </c>
      <c r="BV31" t="e">
        <f ca="1">_xll.EQNXTDZ($A$1,$B31,BV$1,$B$1)</f>
        <v>#NAME?</v>
      </c>
    </row>
    <row r="32" spans="1:74" x14ac:dyDescent="0.25">
      <c r="A32" t="s">
        <v>267</v>
      </c>
      <c r="B32" t="s">
        <v>302</v>
      </c>
      <c r="C32" t="e">
        <f ca="1">_xll.EQNXTDZ($A$1,$B32,C$1,$B$1)</f>
        <v>#NAME?</v>
      </c>
      <c r="D32" t="e">
        <f ca="1">_xll.EQNXTDZ($A$1,$B32,D$1,$B$1)</f>
        <v>#NAME?</v>
      </c>
      <c r="E32" t="e">
        <f ca="1">_xll.EQNXTDZ($A$1,$B32,E$1,$B$1)</f>
        <v>#NAME?</v>
      </c>
      <c r="F32" t="e">
        <f ca="1">_xll.EQNXTDZ($A$1,$B32,F$1,$B$1)</f>
        <v>#NAME?</v>
      </c>
      <c r="G32" t="e">
        <f ca="1">_xll.EQNXTDZ($A$1,$B32,G$1,$B$1)</f>
        <v>#NAME?</v>
      </c>
      <c r="H32" t="e">
        <f ca="1">_xll.EQNXTDZ($A$1,$B32,H$1,$B$1)</f>
        <v>#NAME?</v>
      </c>
      <c r="I32" t="e">
        <f ca="1">_xll.EQNXTDZ($A$1,$B32,I$1,$B$1)</f>
        <v>#NAME?</v>
      </c>
      <c r="J32" t="e">
        <f ca="1">_xll.EQNXTDZ($A$1,$B32,J$1,$B$1)</f>
        <v>#NAME?</v>
      </c>
      <c r="K32" t="e">
        <f ca="1">_xll.EQNXTDZ($A$1,$B32,K$1,$B$1)</f>
        <v>#NAME?</v>
      </c>
      <c r="L32" t="e">
        <f ca="1">_xll.EQNXTDZ($A$1,$B32,L$1,$B$1)</f>
        <v>#NAME?</v>
      </c>
      <c r="M32" t="e">
        <f ca="1">_xll.EQNXTDZ($A$1,$B32,M$1,$B$1)</f>
        <v>#NAME?</v>
      </c>
      <c r="N32" t="e">
        <f ca="1">_xll.EQNXTDZ($A$1,$B32,N$1,$B$1)</f>
        <v>#NAME?</v>
      </c>
      <c r="O32" t="e">
        <f ca="1">_xll.EQNXTDZ($A$1,$B32,O$1,$B$1)</f>
        <v>#NAME?</v>
      </c>
      <c r="P32" t="e">
        <f ca="1">_xll.EQNXTDZ($A$1,$B32,P$1,$B$1)</f>
        <v>#NAME?</v>
      </c>
      <c r="Q32" t="e">
        <f ca="1">_xll.EQNXTDZ($A$1,$B32,Q$1,$B$1)</f>
        <v>#NAME?</v>
      </c>
      <c r="R32" t="e">
        <f ca="1">_xll.EQNXTDZ($A$1,$B32,R$1,$B$1)</f>
        <v>#NAME?</v>
      </c>
      <c r="S32" t="e">
        <f ca="1">_xll.EQNXTDZ($A$1,$B32,S$1,$B$1)</f>
        <v>#NAME?</v>
      </c>
      <c r="T32" t="e">
        <f ca="1">_xll.EQNXTDZ($A$1,$B32,T$1,$B$1)</f>
        <v>#NAME?</v>
      </c>
      <c r="U32" t="e">
        <f ca="1">_xll.EQNXTDZ($A$1,$B32,U$1,$B$1)</f>
        <v>#NAME?</v>
      </c>
      <c r="V32" t="e">
        <f ca="1">_xll.EQNXTDZ($A$1,$B32,V$1,$B$1)</f>
        <v>#NAME?</v>
      </c>
      <c r="W32" t="e">
        <f ca="1">_xll.EQNXTDZ($A$1,$B32,W$1,$B$1)</f>
        <v>#NAME?</v>
      </c>
      <c r="X32" t="e">
        <f ca="1">_xll.EQNXTDZ($A$1,$B32,X$1,$B$1)</f>
        <v>#NAME?</v>
      </c>
      <c r="Y32" t="e">
        <f ca="1">_xll.EQNXTDZ($A$1,$B32,Y$1,$B$1)</f>
        <v>#NAME?</v>
      </c>
      <c r="Z32" t="e">
        <f ca="1">_xll.EQNXTDZ($A$1,$B32,Z$1,$B$1)</f>
        <v>#NAME?</v>
      </c>
      <c r="AA32" t="e">
        <f ca="1">_xll.EQNXTDZ($A$1,$B32,AA$1,$B$1)</f>
        <v>#NAME?</v>
      </c>
      <c r="AB32" t="e">
        <f ca="1">_xll.EQNXTDZ($A$1,$B32,AB$1,$B$1)</f>
        <v>#NAME?</v>
      </c>
      <c r="AC32" t="e">
        <f ca="1">_xll.EQNXTDZ($A$1,$B32,AC$1,$B$1)</f>
        <v>#NAME?</v>
      </c>
      <c r="AD32" t="e">
        <f ca="1">_xll.EQNXTDZ($A$1,$B32,AD$1,$B$1)</f>
        <v>#NAME?</v>
      </c>
      <c r="AE32" t="e">
        <f ca="1">_xll.EQNXTDZ($A$1,$B32,AE$1,$B$1)</f>
        <v>#NAME?</v>
      </c>
      <c r="AF32" t="e">
        <f ca="1">_xll.EQNXTDZ($A$1,$B32,AF$1,$B$1)</f>
        <v>#NAME?</v>
      </c>
      <c r="AG32" t="e">
        <f ca="1">_xll.EQNXTDZ($A$1,$B32,AG$1,$B$1)</f>
        <v>#NAME?</v>
      </c>
      <c r="AH32" t="e">
        <f ca="1">_xll.EQNXTDZ($A$1,$B32,AH$1,$B$1)</f>
        <v>#NAME?</v>
      </c>
      <c r="AI32" t="e">
        <f ca="1">_xll.EQNXTDZ($A$1,$B32,AI$1,$B$1)</f>
        <v>#NAME?</v>
      </c>
      <c r="AJ32" t="e">
        <f ca="1">_xll.EQNXTDZ($A$1,$B32,AJ$1,$B$1)</f>
        <v>#NAME?</v>
      </c>
      <c r="AK32" t="e">
        <f ca="1">_xll.EQNXTDZ($A$1,$B32,AK$1,$B$1)</f>
        <v>#NAME?</v>
      </c>
      <c r="AL32" t="e">
        <f ca="1">_xll.EQNXTDZ($A$1,$B32,AL$1,$B$1)</f>
        <v>#NAME?</v>
      </c>
      <c r="AM32" t="e">
        <f ca="1">_xll.EQNXTDZ($A$1,$B32,AM$1,$B$1)</f>
        <v>#NAME?</v>
      </c>
      <c r="AN32" t="e">
        <f ca="1">_xll.EQNXTDZ($A$1,$B32,AN$1,$B$1)</f>
        <v>#NAME?</v>
      </c>
      <c r="AO32" t="e">
        <f ca="1">_xll.EQNXTDZ($A$1,$B32,AO$1,$B$1)</f>
        <v>#NAME?</v>
      </c>
      <c r="AP32" t="e">
        <f ca="1">_xll.EQNXTDZ($A$1,$B32,AP$1,$B$1)</f>
        <v>#NAME?</v>
      </c>
      <c r="AQ32" t="e">
        <f ca="1">_xll.EQNXTDZ($A$1,$B32,AQ$1,$B$1)</f>
        <v>#NAME?</v>
      </c>
      <c r="AR32" t="e">
        <f ca="1">_xll.EQNXTDZ($A$1,$B32,AR$1,$B$1)</f>
        <v>#NAME?</v>
      </c>
      <c r="AS32" t="e">
        <f ca="1">_xll.EQNXTDZ($A$1,$B32,AS$1,$B$1)</f>
        <v>#NAME?</v>
      </c>
      <c r="AT32" t="e">
        <f ca="1">_xll.EQNXTDZ($A$1,$B32,AT$1,$B$1)</f>
        <v>#NAME?</v>
      </c>
      <c r="AU32" t="e">
        <f ca="1">_xll.EQNXTDZ($A$1,$B32,AU$1,$B$1)</f>
        <v>#NAME?</v>
      </c>
      <c r="AV32" t="e">
        <f ca="1">_xll.EQNXTDZ($A$1,$B32,AV$1,$B$1)</f>
        <v>#NAME?</v>
      </c>
      <c r="AW32" t="e">
        <f ca="1">_xll.EQNXTDZ($A$1,$B32,AW$1,$B$1)</f>
        <v>#NAME?</v>
      </c>
      <c r="AX32" t="e">
        <f ca="1">_xll.EQNXTDZ($A$1,$B32,AX$1,$B$1)</f>
        <v>#NAME?</v>
      </c>
      <c r="AY32" t="e">
        <f ca="1">_xll.EQNXTDZ($A$1,$B32,AY$1,$B$1)</f>
        <v>#NAME?</v>
      </c>
      <c r="AZ32" t="e">
        <f ca="1">_xll.EQNXTDZ($A$1,$B32,AZ$1,$B$1)</f>
        <v>#NAME?</v>
      </c>
      <c r="BA32" t="e">
        <f ca="1">_xll.EQNXTDZ($A$1,$B32,BA$1,$B$1)</f>
        <v>#NAME?</v>
      </c>
      <c r="BB32" t="e">
        <f ca="1">_xll.EQNXTDZ($A$1,$B32,BB$1,$B$1)</f>
        <v>#NAME?</v>
      </c>
      <c r="BC32" t="e">
        <f ca="1">_xll.EQNXTDZ($A$1,$B32,BC$1,$B$1)</f>
        <v>#NAME?</v>
      </c>
      <c r="BD32" t="e">
        <f ca="1">_xll.EQNXTDZ($A$1,$B32,BD$1,$B$1)</f>
        <v>#NAME?</v>
      </c>
      <c r="BE32" t="e">
        <f ca="1">_xll.EQNXTDZ($A$1,$B32,BE$1,$B$1)</f>
        <v>#NAME?</v>
      </c>
      <c r="BF32" t="e">
        <f ca="1">_xll.EQNXTDZ($A$1,$B32,BF$1,$B$1)</f>
        <v>#NAME?</v>
      </c>
      <c r="BG32" t="e">
        <f ca="1">_xll.EQNXTDZ($A$1,$B32,BG$1,$B$1)</f>
        <v>#NAME?</v>
      </c>
      <c r="BH32" t="e">
        <f ca="1">_xll.EQNXTDZ($A$1,$B32,BH$1,$B$1)</f>
        <v>#NAME?</v>
      </c>
      <c r="BI32" t="e">
        <f ca="1">_xll.EQNXTDZ($A$1,$B32,BI$1,$B$1)</f>
        <v>#NAME?</v>
      </c>
      <c r="BJ32" t="e">
        <f ca="1">_xll.EQNXTDZ($A$1,$B32,BJ$1,$B$1)</f>
        <v>#NAME?</v>
      </c>
      <c r="BK32" t="e">
        <f ca="1">_xll.EQNXTDZ($A$1,$B32,BK$1,$B$1)</f>
        <v>#NAME?</v>
      </c>
      <c r="BL32" t="e">
        <f ca="1">_xll.EQNXTDZ($A$1,$B32,BL$1,$B$1)</f>
        <v>#NAME?</v>
      </c>
      <c r="BM32" t="e">
        <f ca="1">_xll.EQNXTDZ($A$1,$B32,BM$1,$B$1)</f>
        <v>#NAME?</v>
      </c>
      <c r="BN32" t="e">
        <f ca="1">_xll.EQNXTDZ($A$1,$B32,BN$1,$B$1)</f>
        <v>#NAME?</v>
      </c>
      <c r="BO32" t="e">
        <f ca="1">_xll.EQNXTDZ($A$1,$B32,BO$1,$B$1)</f>
        <v>#NAME?</v>
      </c>
      <c r="BP32" t="e">
        <f ca="1">_xll.EQNXTDZ($A$1,$B32,BP$1,$B$1)</f>
        <v>#NAME?</v>
      </c>
      <c r="BQ32" t="e">
        <f ca="1">_xll.EQNXTDZ($A$1,$B32,BQ$1,$B$1)</f>
        <v>#NAME?</v>
      </c>
      <c r="BR32" t="e">
        <f ca="1">_xll.EQNXTDZ($A$1,$B32,BR$1,$B$1)</f>
        <v>#NAME?</v>
      </c>
      <c r="BS32" t="e">
        <f ca="1">_xll.EQNXTDZ($A$1,$B32,BS$1,$B$1)</f>
        <v>#NAME?</v>
      </c>
      <c r="BT32" t="e">
        <f ca="1">_xll.EQNXTDZ($A$1,$B32,BT$1,$B$1)</f>
        <v>#NAME?</v>
      </c>
      <c r="BU32" t="e">
        <f ca="1">_xll.EQNXTDZ($A$1,$B32,BU$1,$B$1)</f>
        <v>#NAME?</v>
      </c>
      <c r="BV32" t="e">
        <f ca="1">_xll.EQNXTDZ($A$1,$B32,BV$1,$B$1)</f>
        <v>#NAME?</v>
      </c>
    </row>
    <row r="33" spans="1:74" x14ac:dyDescent="0.25">
      <c r="A33" t="s">
        <v>268</v>
      </c>
      <c r="B33" t="s">
        <v>303</v>
      </c>
      <c r="C33" t="e">
        <f ca="1">_xll.EQNXTDZ($A$1,$B33,C$1,$B$1)</f>
        <v>#NAME?</v>
      </c>
      <c r="D33" t="e">
        <f ca="1">_xll.EQNXTDZ($A$1,$B33,D$1,$B$1)</f>
        <v>#NAME?</v>
      </c>
      <c r="E33" t="e">
        <f ca="1">_xll.EQNXTDZ($A$1,$B33,E$1,$B$1)</f>
        <v>#NAME?</v>
      </c>
      <c r="F33" t="e">
        <f ca="1">_xll.EQNXTDZ($A$1,$B33,F$1,$B$1)</f>
        <v>#NAME?</v>
      </c>
      <c r="G33" t="e">
        <f ca="1">_xll.EQNXTDZ($A$1,$B33,G$1,$B$1)</f>
        <v>#NAME?</v>
      </c>
      <c r="H33" t="e">
        <f ca="1">_xll.EQNXTDZ($A$1,$B33,H$1,$B$1)</f>
        <v>#NAME?</v>
      </c>
      <c r="I33" t="e">
        <f ca="1">_xll.EQNXTDZ($A$1,$B33,I$1,$B$1)</f>
        <v>#NAME?</v>
      </c>
      <c r="J33" t="e">
        <f ca="1">_xll.EQNXTDZ($A$1,$B33,J$1,$B$1)</f>
        <v>#NAME?</v>
      </c>
      <c r="K33" t="e">
        <f ca="1">_xll.EQNXTDZ($A$1,$B33,K$1,$B$1)</f>
        <v>#NAME?</v>
      </c>
      <c r="L33" t="e">
        <f ca="1">_xll.EQNXTDZ($A$1,$B33,L$1,$B$1)</f>
        <v>#NAME?</v>
      </c>
      <c r="M33" t="e">
        <f ca="1">_xll.EQNXTDZ($A$1,$B33,M$1,$B$1)</f>
        <v>#NAME?</v>
      </c>
      <c r="N33" t="e">
        <f ca="1">_xll.EQNXTDZ($A$1,$B33,N$1,$B$1)</f>
        <v>#NAME?</v>
      </c>
      <c r="O33" t="e">
        <f ca="1">_xll.EQNXTDZ($A$1,$B33,O$1,$B$1)</f>
        <v>#NAME?</v>
      </c>
      <c r="P33" t="e">
        <f ca="1">_xll.EQNXTDZ($A$1,$B33,P$1,$B$1)</f>
        <v>#NAME?</v>
      </c>
      <c r="Q33" t="e">
        <f ca="1">_xll.EQNXTDZ($A$1,$B33,Q$1,$B$1)</f>
        <v>#NAME?</v>
      </c>
      <c r="R33" t="e">
        <f ca="1">_xll.EQNXTDZ($A$1,$B33,R$1,$B$1)</f>
        <v>#NAME?</v>
      </c>
      <c r="S33" t="e">
        <f ca="1">_xll.EQNXTDZ($A$1,$B33,S$1,$B$1)</f>
        <v>#NAME?</v>
      </c>
      <c r="T33" t="e">
        <f ca="1">_xll.EQNXTDZ($A$1,$B33,T$1,$B$1)</f>
        <v>#NAME?</v>
      </c>
      <c r="U33" t="e">
        <f ca="1">_xll.EQNXTDZ($A$1,$B33,U$1,$B$1)</f>
        <v>#NAME?</v>
      </c>
      <c r="V33" t="e">
        <f ca="1">_xll.EQNXTDZ($A$1,$B33,V$1,$B$1)</f>
        <v>#NAME?</v>
      </c>
      <c r="W33" t="e">
        <f ca="1">_xll.EQNXTDZ($A$1,$B33,W$1,$B$1)</f>
        <v>#NAME?</v>
      </c>
      <c r="X33" t="e">
        <f ca="1">_xll.EQNXTDZ($A$1,$B33,X$1,$B$1)</f>
        <v>#NAME?</v>
      </c>
      <c r="Y33" t="e">
        <f ca="1">_xll.EQNXTDZ($A$1,$B33,Y$1,$B$1)</f>
        <v>#NAME?</v>
      </c>
      <c r="Z33" t="e">
        <f ca="1">_xll.EQNXTDZ($A$1,$B33,Z$1,$B$1)</f>
        <v>#NAME?</v>
      </c>
      <c r="AA33" t="e">
        <f ca="1">_xll.EQNXTDZ($A$1,$B33,AA$1,$B$1)</f>
        <v>#NAME?</v>
      </c>
      <c r="AB33" t="e">
        <f ca="1">_xll.EQNXTDZ($A$1,$B33,AB$1,$B$1)</f>
        <v>#NAME?</v>
      </c>
      <c r="AC33" t="e">
        <f ca="1">_xll.EQNXTDZ($A$1,$B33,AC$1,$B$1)</f>
        <v>#NAME?</v>
      </c>
      <c r="AD33" t="e">
        <f ca="1">_xll.EQNXTDZ($A$1,$B33,AD$1,$B$1)</f>
        <v>#NAME?</v>
      </c>
      <c r="AE33" t="e">
        <f ca="1">_xll.EQNXTDZ($A$1,$B33,AE$1,$B$1)</f>
        <v>#NAME?</v>
      </c>
      <c r="AF33" t="e">
        <f ca="1">_xll.EQNXTDZ($A$1,$B33,AF$1,$B$1)</f>
        <v>#NAME?</v>
      </c>
      <c r="AG33" t="e">
        <f ca="1">_xll.EQNXTDZ($A$1,$B33,AG$1,$B$1)</f>
        <v>#NAME?</v>
      </c>
      <c r="AH33" t="e">
        <f ca="1">_xll.EQNXTDZ($A$1,$B33,AH$1,$B$1)</f>
        <v>#NAME?</v>
      </c>
      <c r="AI33" t="e">
        <f ca="1">_xll.EQNXTDZ($A$1,$B33,AI$1,$B$1)</f>
        <v>#NAME?</v>
      </c>
      <c r="AJ33" t="e">
        <f ca="1">_xll.EQNXTDZ($A$1,$B33,AJ$1,$B$1)</f>
        <v>#NAME?</v>
      </c>
      <c r="AK33" t="e">
        <f ca="1">_xll.EQNXTDZ($A$1,$B33,AK$1,$B$1)</f>
        <v>#NAME?</v>
      </c>
      <c r="AL33" t="e">
        <f ca="1">_xll.EQNXTDZ($A$1,$B33,AL$1,$B$1)</f>
        <v>#NAME?</v>
      </c>
      <c r="AM33" t="e">
        <f ca="1">_xll.EQNXTDZ($A$1,$B33,AM$1,$B$1)</f>
        <v>#NAME?</v>
      </c>
      <c r="AN33" t="e">
        <f ca="1">_xll.EQNXTDZ($A$1,$B33,AN$1,$B$1)</f>
        <v>#NAME?</v>
      </c>
      <c r="AO33" t="e">
        <f ca="1">_xll.EQNXTDZ($A$1,$B33,AO$1,$B$1)</f>
        <v>#NAME?</v>
      </c>
      <c r="AP33" t="e">
        <f ca="1">_xll.EQNXTDZ($A$1,$B33,AP$1,$B$1)</f>
        <v>#NAME?</v>
      </c>
      <c r="AQ33" t="e">
        <f ca="1">_xll.EQNXTDZ($A$1,$B33,AQ$1,$B$1)</f>
        <v>#NAME?</v>
      </c>
      <c r="AR33" t="e">
        <f ca="1">_xll.EQNXTDZ($A$1,$B33,AR$1,$B$1)</f>
        <v>#NAME?</v>
      </c>
      <c r="AS33" t="e">
        <f ca="1">_xll.EQNXTDZ($A$1,$B33,AS$1,$B$1)</f>
        <v>#NAME?</v>
      </c>
      <c r="AT33" t="e">
        <f ca="1">_xll.EQNXTDZ($A$1,$B33,AT$1,$B$1)</f>
        <v>#NAME?</v>
      </c>
      <c r="AU33" t="e">
        <f ca="1">_xll.EQNXTDZ($A$1,$B33,AU$1,$B$1)</f>
        <v>#NAME?</v>
      </c>
      <c r="AV33" t="e">
        <f ca="1">_xll.EQNXTDZ($A$1,$B33,AV$1,$B$1)</f>
        <v>#NAME?</v>
      </c>
      <c r="AW33" t="e">
        <f ca="1">_xll.EQNXTDZ($A$1,$B33,AW$1,$B$1)</f>
        <v>#NAME?</v>
      </c>
      <c r="AX33" t="e">
        <f ca="1">_xll.EQNXTDZ($A$1,$B33,AX$1,$B$1)</f>
        <v>#NAME?</v>
      </c>
      <c r="AY33" t="e">
        <f ca="1">_xll.EQNXTDZ($A$1,$B33,AY$1,$B$1)</f>
        <v>#NAME?</v>
      </c>
      <c r="AZ33" t="e">
        <f ca="1">_xll.EQNXTDZ($A$1,$B33,AZ$1,$B$1)</f>
        <v>#NAME?</v>
      </c>
      <c r="BA33" t="e">
        <f ca="1">_xll.EQNXTDZ($A$1,$B33,BA$1,$B$1)</f>
        <v>#NAME?</v>
      </c>
      <c r="BB33" t="e">
        <f ca="1">_xll.EQNXTDZ($A$1,$B33,BB$1,$B$1)</f>
        <v>#NAME?</v>
      </c>
      <c r="BC33" t="e">
        <f ca="1">_xll.EQNXTDZ($A$1,$B33,BC$1,$B$1)</f>
        <v>#NAME?</v>
      </c>
      <c r="BD33" t="e">
        <f ca="1">_xll.EQNXTDZ($A$1,$B33,BD$1,$B$1)</f>
        <v>#NAME?</v>
      </c>
      <c r="BE33" t="e">
        <f ca="1">_xll.EQNXTDZ($A$1,$B33,BE$1,$B$1)</f>
        <v>#NAME?</v>
      </c>
      <c r="BF33" t="e">
        <f ca="1">_xll.EQNXTDZ($A$1,$B33,BF$1,$B$1)</f>
        <v>#NAME?</v>
      </c>
      <c r="BG33" t="e">
        <f ca="1">_xll.EQNXTDZ($A$1,$B33,BG$1,$B$1)</f>
        <v>#NAME?</v>
      </c>
      <c r="BH33" t="e">
        <f ca="1">_xll.EQNXTDZ($A$1,$B33,BH$1,$B$1)</f>
        <v>#NAME?</v>
      </c>
      <c r="BI33" t="e">
        <f ca="1">_xll.EQNXTDZ($A$1,$B33,BI$1,$B$1)</f>
        <v>#NAME?</v>
      </c>
      <c r="BJ33" t="e">
        <f ca="1">_xll.EQNXTDZ($A$1,$B33,BJ$1,$B$1)</f>
        <v>#NAME?</v>
      </c>
      <c r="BK33" t="e">
        <f ca="1">_xll.EQNXTDZ($A$1,$B33,BK$1,$B$1)</f>
        <v>#NAME?</v>
      </c>
      <c r="BL33" t="e">
        <f ca="1">_xll.EQNXTDZ($A$1,$B33,BL$1,$B$1)</f>
        <v>#NAME?</v>
      </c>
      <c r="BM33" t="e">
        <f ca="1">_xll.EQNXTDZ($A$1,$B33,BM$1,$B$1)</f>
        <v>#NAME?</v>
      </c>
      <c r="BN33" t="e">
        <f ca="1">_xll.EQNXTDZ($A$1,$B33,BN$1,$B$1)</f>
        <v>#NAME?</v>
      </c>
      <c r="BO33" t="e">
        <f ca="1">_xll.EQNXTDZ($A$1,$B33,BO$1,$B$1)</f>
        <v>#NAME?</v>
      </c>
      <c r="BP33" t="e">
        <f ca="1">_xll.EQNXTDZ($A$1,$B33,BP$1,$B$1)</f>
        <v>#NAME?</v>
      </c>
      <c r="BQ33" t="e">
        <f ca="1">_xll.EQNXTDZ($A$1,$B33,BQ$1,$B$1)</f>
        <v>#NAME?</v>
      </c>
      <c r="BR33" t="e">
        <f ca="1">_xll.EQNXTDZ($A$1,$B33,BR$1,$B$1)</f>
        <v>#NAME?</v>
      </c>
      <c r="BS33" t="e">
        <f ca="1">_xll.EQNXTDZ($A$1,$B33,BS$1,$B$1)</f>
        <v>#NAME?</v>
      </c>
      <c r="BT33" t="e">
        <f ca="1">_xll.EQNXTDZ($A$1,$B33,BT$1,$B$1)</f>
        <v>#NAME?</v>
      </c>
      <c r="BU33" t="e">
        <f ca="1">_xll.EQNXTDZ($A$1,$B33,BU$1,$B$1)</f>
        <v>#NAME?</v>
      </c>
      <c r="BV33" t="e">
        <f ca="1">_xll.EQNXTDZ($A$1,$B33,BV$1,$B$1)</f>
        <v>#NAME?</v>
      </c>
    </row>
    <row r="34" spans="1:74" x14ac:dyDescent="0.25">
      <c r="A34" t="s">
        <v>23</v>
      </c>
      <c r="B34" t="s">
        <v>304</v>
      </c>
      <c r="C34" t="e">
        <f ca="1">_xll.EQNXTDZ($A$1,$B34,C$1,$B$1)</f>
        <v>#NAME?</v>
      </c>
      <c r="D34" t="e">
        <f ca="1">_xll.EQNXTDZ($A$1,$B34,D$1,$B$1)</f>
        <v>#NAME?</v>
      </c>
      <c r="E34" t="e">
        <f ca="1">_xll.EQNXTDZ($A$1,$B34,E$1,$B$1)</f>
        <v>#NAME?</v>
      </c>
      <c r="F34" t="e">
        <f ca="1">_xll.EQNXTDZ($A$1,$B34,F$1,$B$1)</f>
        <v>#NAME?</v>
      </c>
      <c r="G34" t="e">
        <f ca="1">_xll.EQNXTDZ($A$1,$B34,G$1,$B$1)</f>
        <v>#NAME?</v>
      </c>
      <c r="H34" t="e">
        <f ca="1">_xll.EQNXTDZ($A$1,$B34,H$1,$B$1)</f>
        <v>#NAME?</v>
      </c>
      <c r="I34" t="e">
        <f ca="1">_xll.EQNXTDZ($A$1,$B34,I$1,$B$1)</f>
        <v>#NAME?</v>
      </c>
      <c r="J34" t="e">
        <f ca="1">_xll.EQNXTDZ($A$1,$B34,J$1,$B$1)</f>
        <v>#NAME?</v>
      </c>
      <c r="K34" t="e">
        <f ca="1">_xll.EQNXTDZ($A$1,$B34,K$1,$B$1)</f>
        <v>#NAME?</v>
      </c>
      <c r="L34" t="e">
        <f ca="1">_xll.EQNXTDZ($A$1,$B34,L$1,$B$1)</f>
        <v>#NAME?</v>
      </c>
      <c r="M34" t="e">
        <f ca="1">_xll.EQNXTDZ($A$1,$B34,M$1,$B$1)</f>
        <v>#NAME?</v>
      </c>
      <c r="N34" t="e">
        <f ca="1">_xll.EQNXTDZ($A$1,$B34,N$1,$B$1)</f>
        <v>#NAME?</v>
      </c>
      <c r="O34" t="e">
        <f ca="1">_xll.EQNXTDZ($A$1,$B34,O$1,$B$1)</f>
        <v>#NAME?</v>
      </c>
      <c r="P34" t="e">
        <f ca="1">_xll.EQNXTDZ($A$1,$B34,P$1,$B$1)</f>
        <v>#NAME?</v>
      </c>
      <c r="Q34" t="e">
        <f ca="1">_xll.EQNXTDZ($A$1,$B34,Q$1,$B$1)</f>
        <v>#NAME?</v>
      </c>
      <c r="R34" t="e">
        <f ca="1">_xll.EQNXTDZ($A$1,$B34,R$1,$B$1)</f>
        <v>#NAME?</v>
      </c>
      <c r="S34" t="e">
        <f ca="1">_xll.EQNXTDZ($A$1,$B34,S$1,$B$1)</f>
        <v>#NAME?</v>
      </c>
      <c r="T34" t="e">
        <f ca="1">_xll.EQNXTDZ($A$1,$B34,T$1,$B$1)</f>
        <v>#NAME?</v>
      </c>
      <c r="U34" t="e">
        <f ca="1">_xll.EQNXTDZ($A$1,$B34,U$1,$B$1)</f>
        <v>#NAME?</v>
      </c>
      <c r="V34" t="e">
        <f ca="1">_xll.EQNXTDZ($A$1,$B34,V$1,$B$1)</f>
        <v>#NAME?</v>
      </c>
      <c r="W34" t="e">
        <f ca="1">_xll.EQNXTDZ($A$1,$B34,W$1,$B$1)</f>
        <v>#NAME?</v>
      </c>
      <c r="X34" t="e">
        <f ca="1">_xll.EQNXTDZ($A$1,$B34,X$1,$B$1)</f>
        <v>#NAME?</v>
      </c>
      <c r="Y34" t="e">
        <f ca="1">_xll.EQNXTDZ($A$1,$B34,Y$1,$B$1)</f>
        <v>#NAME?</v>
      </c>
      <c r="Z34" t="e">
        <f ca="1">_xll.EQNXTDZ($A$1,$B34,Z$1,$B$1)</f>
        <v>#NAME?</v>
      </c>
      <c r="AA34" t="e">
        <f ca="1">_xll.EQNXTDZ($A$1,$B34,AA$1,$B$1)</f>
        <v>#NAME?</v>
      </c>
      <c r="AB34" t="e">
        <f ca="1">_xll.EQNXTDZ($A$1,$B34,AB$1,$B$1)</f>
        <v>#NAME?</v>
      </c>
      <c r="AC34" t="e">
        <f ca="1">_xll.EQNXTDZ($A$1,$B34,AC$1,$B$1)</f>
        <v>#NAME?</v>
      </c>
      <c r="AD34" t="e">
        <f ca="1">_xll.EQNXTDZ($A$1,$B34,AD$1,$B$1)</f>
        <v>#NAME?</v>
      </c>
      <c r="AE34" t="e">
        <f ca="1">_xll.EQNXTDZ($A$1,$B34,AE$1,$B$1)</f>
        <v>#NAME?</v>
      </c>
      <c r="AF34" t="e">
        <f ca="1">_xll.EQNXTDZ($A$1,$B34,AF$1,$B$1)</f>
        <v>#NAME?</v>
      </c>
      <c r="AG34" t="e">
        <f ca="1">_xll.EQNXTDZ($A$1,$B34,AG$1,$B$1)</f>
        <v>#NAME?</v>
      </c>
      <c r="AH34" t="e">
        <f ca="1">_xll.EQNXTDZ($A$1,$B34,AH$1,$B$1)</f>
        <v>#NAME?</v>
      </c>
      <c r="AI34" t="e">
        <f ca="1">_xll.EQNXTDZ($A$1,$B34,AI$1,$B$1)</f>
        <v>#NAME?</v>
      </c>
      <c r="AJ34" t="e">
        <f ca="1">_xll.EQNXTDZ($A$1,$B34,AJ$1,$B$1)</f>
        <v>#NAME?</v>
      </c>
      <c r="AK34" t="e">
        <f ca="1">_xll.EQNXTDZ($A$1,$B34,AK$1,$B$1)</f>
        <v>#NAME?</v>
      </c>
      <c r="AL34" t="e">
        <f ca="1">_xll.EQNXTDZ($A$1,$B34,AL$1,$B$1)</f>
        <v>#NAME?</v>
      </c>
      <c r="AM34" t="e">
        <f ca="1">_xll.EQNXTDZ($A$1,$B34,AM$1,$B$1)</f>
        <v>#NAME?</v>
      </c>
      <c r="AN34" t="e">
        <f ca="1">_xll.EQNXTDZ($A$1,$B34,AN$1,$B$1)</f>
        <v>#NAME?</v>
      </c>
      <c r="AO34" t="e">
        <f ca="1">_xll.EQNXTDZ($A$1,$B34,AO$1,$B$1)</f>
        <v>#NAME?</v>
      </c>
      <c r="AP34" t="e">
        <f ca="1">_xll.EQNXTDZ($A$1,$B34,AP$1,$B$1)</f>
        <v>#NAME?</v>
      </c>
      <c r="AQ34" t="e">
        <f ca="1">_xll.EQNXTDZ($A$1,$B34,AQ$1,$B$1)</f>
        <v>#NAME?</v>
      </c>
      <c r="AR34" t="e">
        <f ca="1">_xll.EQNXTDZ($A$1,$B34,AR$1,$B$1)</f>
        <v>#NAME?</v>
      </c>
      <c r="AS34" t="e">
        <f ca="1">_xll.EQNXTDZ($A$1,$B34,AS$1,$B$1)</f>
        <v>#NAME?</v>
      </c>
      <c r="AT34" t="e">
        <f ca="1">_xll.EQNXTDZ($A$1,$B34,AT$1,$B$1)</f>
        <v>#NAME?</v>
      </c>
      <c r="AU34" t="e">
        <f ca="1">_xll.EQNXTDZ($A$1,$B34,AU$1,$B$1)</f>
        <v>#NAME?</v>
      </c>
      <c r="AV34" t="e">
        <f ca="1">_xll.EQNXTDZ($A$1,$B34,AV$1,$B$1)</f>
        <v>#NAME?</v>
      </c>
      <c r="AW34" t="e">
        <f ca="1">_xll.EQNXTDZ($A$1,$B34,AW$1,$B$1)</f>
        <v>#NAME?</v>
      </c>
      <c r="AX34" t="e">
        <f ca="1">_xll.EQNXTDZ($A$1,$B34,AX$1,$B$1)</f>
        <v>#NAME?</v>
      </c>
      <c r="AY34" t="e">
        <f ca="1">_xll.EQNXTDZ($A$1,$B34,AY$1,$B$1)</f>
        <v>#NAME?</v>
      </c>
      <c r="AZ34" t="e">
        <f ca="1">_xll.EQNXTDZ($A$1,$B34,AZ$1,$B$1)</f>
        <v>#NAME?</v>
      </c>
      <c r="BA34" t="e">
        <f ca="1">_xll.EQNXTDZ($A$1,$B34,BA$1,$B$1)</f>
        <v>#NAME?</v>
      </c>
      <c r="BB34" t="e">
        <f ca="1">_xll.EQNXTDZ($A$1,$B34,BB$1,$B$1)</f>
        <v>#NAME?</v>
      </c>
      <c r="BC34" t="e">
        <f ca="1">_xll.EQNXTDZ($A$1,$B34,BC$1,$B$1)</f>
        <v>#NAME?</v>
      </c>
      <c r="BD34" t="e">
        <f ca="1">_xll.EQNXTDZ($A$1,$B34,BD$1,$B$1)</f>
        <v>#NAME?</v>
      </c>
      <c r="BE34" t="e">
        <f ca="1">_xll.EQNXTDZ($A$1,$B34,BE$1,$B$1)</f>
        <v>#NAME?</v>
      </c>
      <c r="BF34" t="e">
        <f ca="1">_xll.EQNXTDZ($A$1,$B34,BF$1,$B$1)</f>
        <v>#NAME?</v>
      </c>
      <c r="BG34" t="e">
        <f ca="1">_xll.EQNXTDZ($A$1,$B34,BG$1,$B$1)</f>
        <v>#NAME?</v>
      </c>
      <c r="BH34" t="e">
        <f ca="1">_xll.EQNXTDZ($A$1,$B34,BH$1,$B$1)</f>
        <v>#NAME?</v>
      </c>
      <c r="BI34" t="e">
        <f ca="1">_xll.EQNXTDZ($A$1,$B34,BI$1,$B$1)</f>
        <v>#NAME?</v>
      </c>
      <c r="BJ34" t="e">
        <f ca="1">_xll.EQNXTDZ($A$1,$B34,BJ$1,$B$1)</f>
        <v>#NAME?</v>
      </c>
      <c r="BK34" t="e">
        <f ca="1">_xll.EQNXTDZ($A$1,$B34,BK$1,$B$1)</f>
        <v>#NAME?</v>
      </c>
      <c r="BL34" t="e">
        <f ca="1">_xll.EQNXTDZ($A$1,$B34,BL$1,$B$1)</f>
        <v>#NAME?</v>
      </c>
      <c r="BM34" t="e">
        <f ca="1">_xll.EQNXTDZ($A$1,$B34,BM$1,$B$1)</f>
        <v>#NAME?</v>
      </c>
      <c r="BN34" t="e">
        <f ca="1">_xll.EQNXTDZ($A$1,$B34,BN$1,$B$1)</f>
        <v>#NAME?</v>
      </c>
      <c r="BO34" t="e">
        <f ca="1">_xll.EQNXTDZ($A$1,$B34,BO$1,$B$1)</f>
        <v>#NAME?</v>
      </c>
      <c r="BP34" t="e">
        <f ca="1">_xll.EQNXTDZ($A$1,$B34,BP$1,$B$1)</f>
        <v>#NAME?</v>
      </c>
      <c r="BQ34" t="e">
        <f ca="1">_xll.EQNXTDZ($A$1,$B34,BQ$1,$B$1)</f>
        <v>#NAME?</v>
      </c>
      <c r="BR34" t="e">
        <f ca="1">_xll.EQNXTDZ($A$1,$B34,BR$1,$B$1)</f>
        <v>#NAME?</v>
      </c>
      <c r="BS34" t="e">
        <f ca="1">_xll.EQNXTDZ($A$1,$B34,BS$1,$B$1)</f>
        <v>#NAME?</v>
      </c>
      <c r="BT34" t="e">
        <f ca="1">_xll.EQNXTDZ($A$1,$B34,BT$1,$B$1)</f>
        <v>#NAME?</v>
      </c>
      <c r="BU34" t="e">
        <f ca="1">_xll.EQNXTDZ($A$1,$B34,BU$1,$B$1)</f>
        <v>#NAME?</v>
      </c>
      <c r="BV34" t="e">
        <f ca="1">_xll.EQNXTDZ($A$1,$B34,BV$1,$B$1)</f>
        <v>#NAME?</v>
      </c>
    </row>
    <row r="35" spans="1:74" x14ac:dyDescent="0.25">
      <c r="A35" t="s">
        <v>269</v>
      </c>
      <c r="B35" t="s">
        <v>305</v>
      </c>
      <c r="C35" t="e">
        <f ca="1">_xll.EQNXTDZ($A$1,$B35,C$1,$B$1)</f>
        <v>#NAME?</v>
      </c>
      <c r="D35" t="e">
        <f ca="1">_xll.EQNXTDZ($A$1,$B35,D$1,$B$1)</f>
        <v>#NAME?</v>
      </c>
      <c r="E35" t="e">
        <f ca="1">_xll.EQNXTDZ($A$1,$B35,E$1,$B$1)</f>
        <v>#NAME?</v>
      </c>
      <c r="F35" t="e">
        <f ca="1">_xll.EQNXTDZ($A$1,$B35,F$1,$B$1)</f>
        <v>#NAME?</v>
      </c>
      <c r="G35" t="e">
        <f ca="1">_xll.EQNXTDZ($A$1,$B35,G$1,$B$1)</f>
        <v>#NAME?</v>
      </c>
      <c r="H35" t="e">
        <f ca="1">_xll.EQNXTDZ($A$1,$B35,H$1,$B$1)</f>
        <v>#NAME?</v>
      </c>
      <c r="I35" t="e">
        <f ca="1">_xll.EQNXTDZ($A$1,$B35,I$1,$B$1)</f>
        <v>#NAME?</v>
      </c>
      <c r="J35" t="e">
        <f ca="1">_xll.EQNXTDZ($A$1,$B35,J$1,$B$1)</f>
        <v>#NAME?</v>
      </c>
      <c r="K35" t="e">
        <f ca="1">_xll.EQNXTDZ($A$1,$B35,K$1,$B$1)</f>
        <v>#NAME?</v>
      </c>
      <c r="L35" t="e">
        <f ca="1">_xll.EQNXTDZ($A$1,$B35,L$1,$B$1)</f>
        <v>#NAME?</v>
      </c>
      <c r="M35" t="e">
        <f ca="1">_xll.EQNXTDZ($A$1,$B35,M$1,$B$1)</f>
        <v>#NAME?</v>
      </c>
      <c r="N35" t="e">
        <f ca="1">_xll.EQNXTDZ($A$1,$B35,N$1,$B$1)</f>
        <v>#NAME?</v>
      </c>
      <c r="O35" t="e">
        <f ca="1">_xll.EQNXTDZ($A$1,$B35,O$1,$B$1)</f>
        <v>#NAME?</v>
      </c>
      <c r="P35" t="e">
        <f ca="1">_xll.EQNXTDZ($A$1,$B35,P$1,$B$1)</f>
        <v>#NAME?</v>
      </c>
      <c r="Q35" t="e">
        <f ca="1">_xll.EQNXTDZ($A$1,$B35,Q$1,$B$1)</f>
        <v>#NAME?</v>
      </c>
      <c r="R35" t="e">
        <f ca="1">_xll.EQNXTDZ($A$1,$B35,R$1,$B$1)</f>
        <v>#NAME?</v>
      </c>
      <c r="S35" t="e">
        <f ca="1">_xll.EQNXTDZ($A$1,$B35,S$1,$B$1)</f>
        <v>#NAME?</v>
      </c>
      <c r="T35" t="e">
        <f ca="1">_xll.EQNXTDZ($A$1,$B35,T$1,$B$1)</f>
        <v>#NAME?</v>
      </c>
      <c r="U35" t="e">
        <f ca="1">_xll.EQNXTDZ($A$1,$B35,U$1,$B$1)</f>
        <v>#NAME?</v>
      </c>
      <c r="V35" t="e">
        <f ca="1">_xll.EQNXTDZ($A$1,$B35,V$1,$B$1)</f>
        <v>#NAME?</v>
      </c>
      <c r="W35" t="e">
        <f ca="1">_xll.EQNXTDZ($A$1,$B35,W$1,$B$1)</f>
        <v>#NAME?</v>
      </c>
      <c r="X35" t="e">
        <f ca="1">_xll.EQNXTDZ($A$1,$B35,X$1,$B$1)</f>
        <v>#NAME?</v>
      </c>
      <c r="Y35" t="e">
        <f ca="1">_xll.EQNXTDZ($A$1,$B35,Y$1,$B$1)</f>
        <v>#NAME?</v>
      </c>
      <c r="Z35" t="e">
        <f ca="1">_xll.EQNXTDZ($A$1,$B35,Z$1,$B$1)</f>
        <v>#NAME?</v>
      </c>
      <c r="AA35" t="e">
        <f ca="1">_xll.EQNXTDZ($A$1,$B35,AA$1,$B$1)</f>
        <v>#NAME?</v>
      </c>
      <c r="AB35" t="e">
        <f ca="1">_xll.EQNXTDZ($A$1,$B35,AB$1,$B$1)</f>
        <v>#NAME?</v>
      </c>
      <c r="AC35" t="e">
        <f ca="1">_xll.EQNXTDZ($A$1,$B35,AC$1,$B$1)</f>
        <v>#NAME?</v>
      </c>
      <c r="AD35" t="e">
        <f ca="1">_xll.EQNXTDZ($A$1,$B35,AD$1,$B$1)</f>
        <v>#NAME?</v>
      </c>
      <c r="AE35" t="e">
        <f ca="1">_xll.EQNXTDZ($A$1,$B35,AE$1,$B$1)</f>
        <v>#NAME?</v>
      </c>
      <c r="AF35" t="e">
        <f ca="1">_xll.EQNXTDZ($A$1,$B35,AF$1,$B$1)</f>
        <v>#NAME?</v>
      </c>
      <c r="AG35" t="e">
        <f ca="1">_xll.EQNXTDZ($A$1,$B35,AG$1,$B$1)</f>
        <v>#NAME?</v>
      </c>
      <c r="AH35" t="e">
        <f ca="1">_xll.EQNXTDZ($A$1,$B35,AH$1,$B$1)</f>
        <v>#NAME?</v>
      </c>
      <c r="AI35" t="e">
        <f ca="1">_xll.EQNXTDZ($A$1,$B35,AI$1,$B$1)</f>
        <v>#NAME?</v>
      </c>
      <c r="AJ35" t="e">
        <f ca="1">_xll.EQNXTDZ($A$1,$B35,AJ$1,$B$1)</f>
        <v>#NAME?</v>
      </c>
      <c r="AK35" t="e">
        <f ca="1">_xll.EQNXTDZ($A$1,$B35,AK$1,$B$1)</f>
        <v>#NAME?</v>
      </c>
      <c r="AL35" t="e">
        <f ca="1">_xll.EQNXTDZ($A$1,$B35,AL$1,$B$1)</f>
        <v>#NAME?</v>
      </c>
      <c r="AM35" t="e">
        <f ca="1">_xll.EQNXTDZ($A$1,$B35,AM$1,$B$1)</f>
        <v>#NAME?</v>
      </c>
      <c r="AN35" t="e">
        <f ca="1">_xll.EQNXTDZ($A$1,$B35,AN$1,$B$1)</f>
        <v>#NAME?</v>
      </c>
      <c r="AO35" t="e">
        <f ca="1">_xll.EQNXTDZ($A$1,$B35,AO$1,$B$1)</f>
        <v>#NAME?</v>
      </c>
      <c r="AP35" t="e">
        <f ca="1">_xll.EQNXTDZ($A$1,$B35,AP$1,$B$1)</f>
        <v>#NAME?</v>
      </c>
      <c r="AQ35" t="e">
        <f ca="1">_xll.EQNXTDZ($A$1,$B35,AQ$1,$B$1)</f>
        <v>#NAME?</v>
      </c>
      <c r="AR35" t="e">
        <f ca="1">_xll.EQNXTDZ($A$1,$B35,AR$1,$B$1)</f>
        <v>#NAME?</v>
      </c>
      <c r="AS35" t="e">
        <f ca="1">_xll.EQNXTDZ($A$1,$B35,AS$1,$B$1)</f>
        <v>#NAME?</v>
      </c>
      <c r="AT35" t="e">
        <f ca="1">_xll.EQNXTDZ($A$1,$B35,AT$1,$B$1)</f>
        <v>#NAME?</v>
      </c>
      <c r="AU35" t="e">
        <f ca="1">_xll.EQNXTDZ($A$1,$B35,AU$1,$B$1)</f>
        <v>#NAME?</v>
      </c>
      <c r="AV35" t="e">
        <f ca="1">_xll.EQNXTDZ($A$1,$B35,AV$1,$B$1)</f>
        <v>#NAME?</v>
      </c>
      <c r="AW35" t="e">
        <f ca="1">_xll.EQNXTDZ($A$1,$B35,AW$1,$B$1)</f>
        <v>#NAME?</v>
      </c>
      <c r="AX35" t="e">
        <f ca="1">_xll.EQNXTDZ($A$1,$B35,AX$1,$B$1)</f>
        <v>#NAME?</v>
      </c>
      <c r="AY35" t="e">
        <f ca="1">_xll.EQNXTDZ($A$1,$B35,AY$1,$B$1)</f>
        <v>#NAME?</v>
      </c>
      <c r="AZ35" t="e">
        <f ca="1">_xll.EQNXTDZ($A$1,$B35,AZ$1,$B$1)</f>
        <v>#NAME?</v>
      </c>
      <c r="BA35" t="e">
        <f ca="1">_xll.EQNXTDZ($A$1,$B35,BA$1,$B$1)</f>
        <v>#NAME?</v>
      </c>
      <c r="BB35" t="e">
        <f ca="1">_xll.EQNXTDZ($A$1,$B35,BB$1,$B$1)</f>
        <v>#NAME?</v>
      </c>
      <c r="BC35" t="e">
        <f ca="1">_xll.EQNXTDZ($A$1,$B35,BC$1,$B$1)</f>
        <v>#NAME?</v>
      </c>
      <c r="BD35" t="e">
        <f ca="1">_xll.EQNXTDZ($A$1,$B35,BD$1,$B$1)</f>
        <v>#NAME?</v>
      </c>
      <c r="BE35" t="e">
        <f ca="1">_xll.EQNXTDZ($A$1,$B35,BE$1,$B$1)</f>
        <v>#NAME?</v>
      </c>
      <c r="BF35" t="e">
        <f ca="1">_xll.EQNXTDZ($A$1,$B35,BF$1,$B$1)</f>
        <v>#NAME?</v>
      </c>
      <c r="BG35" t="e">
        <f ca="1">_xll.EQNXTDZ($A$1,$B35,BG$1,$B$1)</f>
        <v>#NAME?</v>
      </c>
      <c r="BH35" t="e">
        <f ca="1">_xll.EQNXTDZ($A$1,$B35,BH$1,$B$1)</f>
        <v>#NAME?</v>
      </c>
      <c r="BI35" t="e">
        <f ca="1">_xll.EQNXTDZ($A$1,$B35,BI$1,$B$1)</f>
        <v>#NAME?</v>
      </c>
      <c r="BJ35" t="e">
        <f ca="1">_xll.EQNXTDZ($A$1,$B35,BJ$1,$B$1)</f>
        <v>#NAME?</v>
      </c>
      <c r="BK35" t="e">
        <f ca="1">_xll.EQNXTDZ($A$1,$B35,BK$1,$B$1)</f>
        <v>#NAME?</v>
      </c>
      <c r="BL35" t="e">
        <f ca="1">_xll.EQNXTDZ($A$1,$B35,BL$1,$B$1)</f>
        <v>#NAME?</v>
      </c>
      <c r="BM35" t="e">
        <f ca="1">_xll.EQNXTDZ($A$1,$B35,BM$1,$B$1)</f>
        <v>#NAME?</v>
      </c>
      <c r="BN35" t="e">
        <f ca="1">_xll.EQNXTDZ($A$1,$B35,BN$1,$B$1)</f>
        <v>#NAME?</v>
      </c>
      <c r="BO35" t="e">
        <f ca="1">_xll.EQNXTDZ($A$1,$B35,BO$1,$B$1)</f>
        <v>#NAME?</v>
      </c>
      <c r="BP35" t="e">
        <f ca="1">_xll.EQNXTDZ($A$1,$B35,BP$1,$B$1)</f>
        <v>#NAME?</v>
      </c>
      <c r="BQ35" t="e">
        <f ca="1">_xll.EQNXTDZ($A$1,$B35,BQ$1,$B$1)</f>
        <v>#NAME?</v>
      </c>
      <c r="BR35" t="e">
        <f ca="1">_xll.EQNXTDZ($A$1,$B35,BR$1,$B$1)</f>
        <v>#NAME?</v>
      </c>
      <c r="BS35" t="e">
        <f ca="1">_xll.EQNXTDZ($A$1,$B35,BS$1,$B$1)</f>
        <v>#NAME?</v>
      </c>
      <c r="BT35" t="e">
        <f ca="1">_xll.EQNXTDZ($A$1,$B35,BT$1,$B$1)</f>
        <v>#NAME?</v>
      </c>
      <c r="BU35" t="e">
        <f ca="1">_xll.EQNXTDZ($A$1,$B35,BU$1,$B$1)</f>
        <v>#NAME?</v>
      </c>
      <c r="BV35" t="e">
        <f ca="1">_xll.EQNXTDZ($A$1,$B35,BV$1,$B$1)</f>
        <v>#NAME?</v>
      </c>
    </row>
    <row r="36" spans="1:74" x14ac:dyDescent="0.25">
      <c r="A36" t="s">
        <v>270</v>
      </c>
      <c r="B36" t="s">
        <v>306</v>
      </c>
      <c r="C36" t="e">
        <f ca="1">_xll.EQNXTDZ($A$1,$B36,C$1,$B$1)</f>
        <v>#NAME?</v>
      </c>
      <c r="D36" t="e">
        <f ca="1">_xll.EQNXTDZ($A$1,$B36,D$1,$B$1)</f>
        <v>#NAME?</v>
      </c>
      <c r="E36" t="e">
        <f ca="1">_xll.EQNXTDZ($A$1,$B36,E$1,$B$1)</f>
        <v>#NAME?</v>
      </c>
      <c r="F36" t="e">
        <f ca="1">_xll.EQNXTDZ($A$1,$B36,F$1,$B$1)</f>
        <v>#NAME?</v>
      </c>
      <c r="G36" t="e">
        <f ca="1">_xll.EQNXTDZ($A$1,$B36,G$1,$B$1)</f>
        <v>#NAME?</v>
      </c>
      <c r="H36" t="e">
        <f ca="1">_xll.EQNXTDZ($A$1,$B36,H$1,$B$1)</f>
        <v>#NAME?</v>
      </c>
      <c r="I36" t="e">
        <f ca="1">_xll.EQNXTDZ($A$1,$B36,I$1,$B$1)</f>
        <v>#NAME?</v>
      </c>
      <c r="J36" t="e">
        <f ca="1">_xll.EQNXTDZ($A$1,$B36,J$1,$B$1)</f>
        <v>#NAME?</v>
      </c>
      <c r="K36" t="e">
        <f ca="1">_xll.EQNXTDZ($A$1,$B36,K$1,$B$1)</f>
        <v>#NAME?</v>
      </c>
      <c r="L36" t="e">
        <f ca="1">_xll.EQNXTDZ($A$1,$B36,L$1,$B$1)</f>
        <v>#NAME?</v>
      </c>
      <c r="M36" t="e">
        <f ca="1">_xll.EQNXTDZ($A$1,$B36,M$1,$B$1)</f>
        <v>#NAME?</v>
      </c>
      <c r="N36" t="e">
        <f ca="1">_xll.EQNXTDZ($A$1,$B36,N$1,$B$1)</f>
        <v>#NAME?</v>
      </c>
      <c r="O36" t="e">
        <f ca="1">_xll.EQNXTDZ($A$1,$B36,O$1,$B$1)</f>
        <v>#NAME?</v>
      </c>
      <c r="P36" t="e">
        <f ca="1">_xll.EQNXTDZ($A$1,$B36,P$1,$B$1)</f>
        <v>#NAME?</v>
      </c>
      <c r="Q36" t="e">
        <f ca="1">_xll.EQNXTDZ($A$1,$B36,Q$1,$B$1)</f>
        <v>#NAME?</v>
      </c>
      <c r="R36" t="e">
        <f ca="1">_xll.EQNXTDZ($A$1,$B36,R$1,$B$1)</f>
        <v>#NAME?</v>
      </c>
      <c r="S36" t="e">
        <f ca="1">_xll.EQNXTDZ($A$1,$B36,S$1,$B$1)</f>
        <v>#NAME?</v>
      </c>
      <c r="T36" t="e">
        <f ca="1">_xll.EQNXTDZ($A$1,$B36,T$1,$B$1)</f>
        <v>#NAME?</v>
      </c>
      <c r="U36" t="e">
        <f ca="1">_xll.EQNXTDZ($A$1,$B36,U$1,$B$1)</f>
        <v>#NAME?</v>
      </c>
      <c r="V36" t="e">
        <f ca="1">_xll.EQNXTDZ($A$1,$B36,V$1,$B$1)</f>
        <v>#NAME?</v>
      </c>
      <c r="W36" t="e">
        <f ca="1">_xll.EQNXTDZ($A$1,$B36,W$1,$B$1)</f>
        <v>#NAME?</v>
      </c>
      <c r="X36" t="e">
        <f ca="1">_xll.EQNXTDZ($A$1,$B36,X$1,$B$1)</f>
        <v>#NAME?</v>
      </c>
      <c r="Y36" t="e">
        <f ca="1">_xll.EQNXTDZ($A$1,$B36,Y$1,$B$1)</f>
        <v>#NAME?</v>
      </c>
      <c r="Z36" t="e">
        <f ca="1">_xll.EQNXTDZ($A$1,$B36,Z$1,$B$1)</f>
        <v>#NAME?</v>
      </c>
      <c r="AA36" t="e">
        <f ca="1">_xll.EQNXTDZ($A$1,$B36,AA$1,$B$1)</f>
        <v>#NAME?</v>
      </c>
      <c r="AB36" t="e">
        <f ca="1">_xll.EQNXTDZ($A$1,$B36,AB$1,$B$1)</f>
        <v>#NAME?</v>
      </c>
      <c r="AC36" t="e">
        <f ca="1">_xll.EQNXTDZ($A$1,$B36,AC$1,$B$1)</f>
        <v>#NAME?</v>
      </c>
      <c r="AD36" t="e">
        <f ca="1">_xll.EQNXTDZ($A$1,$B36,AD$1,$B$1)</f>
        <v>#NAME?</v>
      </c>
      <c r="AE36" t="e">
        <f ca="1">_xll.EQNXTDZ($A$1,$B36,AE$1,$B$1)</f>
        <v>#NAME?</v>
      </c>
      <c r="AF36" t="e">
        <f ca="1">_xll.EQNXTDZ($A$1,$B36,AF$1,$B$1)</f>
        <v>#NAME?</v>
      </c>
      <c r="AG36" t="e">
        <f ca="1">_xll.EQNXTDZ($A$1,$B36,AG$1,$B$1)</f>
        <v>#NAME?</v>
      </c>
      <c r="AH36" t="e">
        <f ca="1">_xll.EQNXTDZ($A$1,$B36,AH$1,$B$1)</f>
        <v>#NAME?</v>
      </c>
      <c r="AI36" t="e">
        <f ca="1">_xll.EQNXTDZ($A$1,$B36,AI$1,$B$1)</f>
        <v>#NAME?</v>
      </c>
      <c r="AJ36" t="e">
        <f ca="1">_xll.EQNXTDZ($A$1,$B36,AJ$1,$B$1)</f>
        <v>#NAME?</v>
      </c>
      <c r="AK36" t="e">
        <f ca="1">_xll.EQNXTDZ($A$1,$B36,AK$1,$B$1)</f>
        <v>#NAME?</v>
      </c>
      <c r="AL36" t="e">
        <f ca="1">_xll.EQNXTDZ($A$1,$B36,AL$1,$B$1)</f>
        <v>#NAME?</v>
      </c>
      <c r="AM36" t="e">
        <f ca="1">_xll.EQNXTDZ($A$1,$B36,AM$1,$B$1)</f>
        <v>#NAME?</v>
      </c>
      <c r="AN36" t="e">
        <f ca="1">_xll.EQNXTDZ($A$1,$B36,AN$1,$B$1)</f>
        <v>#NAME?</v>
      </c>
      <c r="AO36" t="e">
        <f ca="1">_xll.EQNXTDZ($A$1,$B36,AO$1,$B$1)</f>
        <v>#NAME?</v>
      </c>
      <c r="AP36" t="e">
        <f ca="1">_xll.EQNXTDZ($A$1,$B36,AP$1,$B$1)</f>
        <v>#NAME?</v>
      </c>
      <c r="AQ36" t="e">
        <f ca="1">_xll.EQNXTDZ($A$1,$B36,AQ$1,$B$1)</f>
        <v>#NAME?</v>
      </c>
      <c r="AR36" t="e">
        <f ca="1">_xll.EQNXTDZ($A$1,$B36,AR$1,$B$1)</f>
        <v>#NAME?</v>
      </c>
      <c r="AS36" t="e">
        <f ca="1">_xll.EQNXTDZ($A$1,$B36,AS$1,$B$1)</f>
        <v>#NAME?</v>
      </c>
      <c r="AT36" t="e">
        <f ca="1">_xll.EQNXTDZ($A$1,$B36,AT$1,$B$1)</f>
        <v>#NAME?</v>
      </c>
      <c r="AU36" t="e">
        <f ca="1">_xll.EQNXTDZ($A$1,$B36,AU$1,$B$1)</f>
        <v>#NAME?</v>
      </c>
      <c r="AV36" t="e">
        <f ca="1">_xll.EQNXTDZ($A$1,$B36,AV$1,$B$1)</f>
        <v>#NAME?</v>
      </c>
      <c r="AW36" t="e">
        <f ca="1">_xll.EQNXTDZ($A$1,$B36,AW$1,$B$1)</f>
        <v>#NAME?</v>
      </c>
      <c r="AX36" t="e">
        <f ca="1">_xll.EQNXTDZ($A$1,$B36,AX$1,$B$1)</f>
        <v>#NAME?</v>
      </c>
      <c r="AY36" t="e">
        <f ca="1">_xll.EQNXTDZ($A$1,$B36,AY$1,$B$1)</f>
        <v>#NAME?</v>
      </c>
      <c r="AZ36" t="e">
        <f ca="1">_xll.EQNXTDZ($A$1,$B36,AZ$1,$B$1)</f>
        <v>#NAME?</v>
      </c>
      <c r="BA36" t="e">
        <f ca="1">_xll.EQNXTDZ($A$1,$B36,BA$1,$B$1)</f>
        <v>#NAME?</v>
      </c>
      <c r="BB36" t="e">
        <f ca="1">_xll.EQNXTDZ($A$1,$B36,BB$1,$B$1)</f>
        <v>#NAME?</v>
      </c>
      <c r="BC36" t="e">
        <f ca="1">_xll.EQNXTDZ($A$1,$B36,BC$1,$B$1)</f>
        <v>#NAME?</v>
      </c>
      <c r="BD36" t="e">
        <f ca="1">_xll.EQNXTDZ($A$1,$B36,BD$1,$B$1)</f>
        <v>#NAME?</v>
      </c>
      <c r="BE36" t="e">
        <f ca="1">_xll.EQNXTDZ($A$1,$B36,BE$1,$B$1)</f>
        <v>#NAME?</v>
      </c>
      <c r="BF36" t="e">
        <f ca="1">_xll.EQNXTDZ($A$1,$B36,BF$1,$B$1)</f>
        <v>#NAME?</v>
      </c>
      <c r="BG36" t="e">
        <f ca="1">_xll.EQNXTDZ($A$1,$B36,BG$1,$B$1)</f>
        <v>#NAME?</v>
      </c>
      <c r="BH36" t="e">
        <f ca="1">_xll.EQNXTDZ($A$1,$B36,BH$1,$B$1)</f>
        <v>#NAME?</v>
      </c>
      <c r="BI36" t="e">
        <f ca="1">_xll.EQNXTDZ($A$1,$B36,BI$1,$B$1)</f>
        <v>#NAME?</v>
      </c>
      <c r="BJ36" t="e">
        <f ca="1">_xll.EQNXTDZ($A$1,$B36,BJ$1,$B$1)</f>
        <v>#NAME?</v>
      </c>
      <c r="BK36" t="e">
        <f ca="1">_xll.EQNXTDZ($A$1,$B36,BK$1,$B$1)</f>
        <v>#NAME?</v>
      </c>
      <c r="BL36" t="e">
        <f ca="1">_xll.EQNXTDZ($A$1,$B36,BL$1,$B$1)</f>
        <v>#NAME?</v>
      </c>
      <c r="BM36" t="e">
        <f ca="1">_xll.EQNXTDZ($A$1,$B36,BM$1,$B$1)</f>
        <v>#NAME?</v>
      </c>
      <c r="BN36" t="e">
        <f ca="1">_xll.EQNXTDZ($A$1,$B36,BN$1,$B$1)</f>
        <v>#NAME?</v>
      </c>
      <c r="BO36" t="e">
        <f ca="1">_xll.EQNXTDZ($A$1,$B36,BO$1,$B$1)</f>
        <v>#NAME?</v>
      </c>
      <c r="BP36" t="e">
        <f ca="1">_xll.EQNXTDZ($A$1,$B36,BP$1,$B$1)</f>
        <v>#NAME?</v>
      </c>
      <c r="BQ36" t="e">
        <f ca="1">_xll.EQNXTDZ($A$1,$B36,BQ$1,$B$1)</f>
        <v>#NAME?</v>
      </c>
      <c r="BR36" t="e">
        <f ca="1">_xll.EQNXTDZ($A$1,$B36,BR$1,$B$1)</f>
        <v>#NAME?</v>
      </c>
      <c r="BS36" t="e">
        <f ca="1">_xll.EQNXTDZ($A$1,$B36,BS$1,$B$1)</f>
        <v>#NAME?</v>
      </c>
      <c r="BT36" t="e">
        <f ca="1">_xll.EQNXTDZ($A$1,$B36,BT$1,$B$1)</f>
        <v>#NAME?</v>
      </c>
      <c r="BU36" t="e">
        <f ca="1">_xll.EQNXTDZ($A$1,$B36,BU$1,$B$1)</f>
        <v>#NAME?</v>
      </c>
      <c r="BV36" t="e">
        <f ca="1">_xll.EQNXTDZ($A$1,$B36,BV$1,$B$1)</f>
        <v>#NAME?</v>
      </c>
    </row>
    <row r="37" spans="1:74" x14ac:dyDescent="0.25">
      <c r="A37" t="s">
        <v>271</v>
      </c>
      <c r="B37" t="s">
        <v>307</v>
      </c>
      <c r="C37" t="e">
        <f ca="1">_xll.EQNXTDZ($A$1,$B37,C$1,$B$1)</f>
        <v>#NAME?</v>
      </c>
      <c r="D37" t="e">
        <f ca="1">_xll.EQNXTDZ($A$1,$B37,D$1,$B$1)</f>
        <v>#NAME?</v>
      </c>
      <c r="E37" t="e">
        <f ca="1">_xll.EQNXTDZ($A$1,$B37,E$1,$B$1)</f>
        <v>#NAME?</v>
      </c>
      <c r="F37" t="e">
        <f ca="1">_xll.EQNXTDZ($A$1,$B37,F$1,$B$1)</f>
        <v>#NAME?</v>
      </c>
      <c r="G37" t="e">
        <f ca="1">_xll.EQNXTDZ($A$1,$B37,G$1,$B$1)</f>
        <v>#NAME?</v>
      </c>
      <c r="H37" t="e">
        <f ca="1">_xll.EQNXTDZ($A$1,$B37,H$1,$B$1)</f>
        <v>#NAME?</v>
      </c>
      <c r="I37" t="e">
        <f ca="1">_xll.EQNXTDZ($A$1,$B37,I$1,$B$1)</f>
        <v>#NAME?</v>
      </c>
      <c r="J37" t="e">
        <f ca="1">_xll.EQNXTDZ($A$1,$B37,J$1,$B$1)</f>
        <v>#NAME?</v>
      </c>
      <c r="K37" t="e">
        <f ca="1">_xll.EQNXTDZ($A$1,$B37,K$1,$B$1)</f>
        <v>#NAME?</v>
      </c>
      <c r="L37" t="e">
        <f ca="1">_xll.EQNXTDZ($A$1,$B37,L$1,$B$1)</f>
        <v>#NAME?</v>
      </c>
      <c r="M37" t="e">
        <f ca="1">_xll.EQNXTDZ($A$1,$B37,M$1,$B$1)</f>
        <v>#NAME?</v>
      </c>
      <c r="N37" t="e">
        <f ca="1">_xll.EQNXTDZ($A$1,$B37,N$1,$B$1)</f>
        <v>#NAME?</v>
      </c>
      <c r="O37" t="e">
        <f ca="1">_xll.EQNXTDZ($A$1,$B37,O$1,$B$1)</f>
        <v>#NAME?</v>
      </c>
      <c r="P37" t="e">
        <f ca="1">_xll.EQNXTDZ($A$1,$B37,P$1,$B$1)</f>
        <v>#NAME?</v>
      </c>
      <c r="Q37" t="e">
        <f ca="1">_xll.EQNXTDZ($A$1,$B37,Q$1,$B$1)</f>
        <v>#NAME?</v>
      </c>
      <c r="R37" t="e">
        <f ca="1">_xll.EQNXTDZ($A$1,$B37,R$1,$B$1)</f>
        <v>#NAME?</v>
      </c>
      <c r="S37" t="e">
        <f ca="1">_xll.EQNXTDZ($A$1,$B37,S$1,$B$1)</f>
        <v>#NAME?</v>
      </c>
      <c r="T37" t="e">
        <f ca="1">_xll.EQNXTDZ($A$1,$B37,T$1,$B$1)</f>
        <v>#NAME?</v>
      </c>
      <c r="U37" t="e">
        <f ca="1">_xll.EQNXTDZ($A$1,$B37,U$1,$B$1)</f>
        <v>#NAME?</v>
      </c>
      <c r="V37" t="e">
        <f ca="1">_xll.EQNXTDZ($A$1,$B37,V$1,$B$1)</f>
        <v>#NAME?</v>
      </c>
      <c r="W37" t="e">
        <f ca="1">_xll.EQNXTDZ($A$1,$B37,W$1,$B$1)</f>
        <v>#NAME?</v>
      </c>
      <c r="X37" t="e">
        <f ca="1">_xll.EQNXTDZ($A$1,$B37,X$1,$B$1)</f>
        <v>#NAME?</v>
      </c>
      <c r="Y37" t="e">
        <f ca="1">_xll.EQNXTDZ($A$1,$B37,Y$1,$B$1)</f>
        <v>#NAME?</v>
      </c>
      <c r="Z37" t="e">
        <f ca="1">_xll.EQNXTDZ($A$1,$B37,Z$1,$B$1)</f>
        <v>#NAME?</v>
      </c>
      <c r="AA37" t="e">
        <f ca="1">_xll.EQNXTDZ($A$1,$B37,AA$1,$B$1)</f>
        <v>#NAME?</v>
      </c>
      <c r="AB37" t="e">
        <f ca="1">_xll.EQNXTDZ($A$1,$B37,AB$1,$B$1)</f>
        <v>#NAME?</v>
      </c>
      <c r="AC37" t="e">
        <f ca="1">_xll.EQNXTDZ($A$1,$B37,AC$1,$B$1)</f>
        <v>#NAME?</v>
      </c>
      <c r="AD37" t="e">
        <f ca="1">_xll.EQNXTDZ($A$1,$B37,AD$1,$B$1)</f>
        <v>#NAME?</v>
      </c>
      <c r="AE37" t="e">
        <f ca="1">_xll.EQNXTDZ($A$1,$B37,AE$1,$B$1)</f>
        <v>#NAME?</v>
      </c>
      <c r="AF37" t="e">
        <f ca="1">_xll.EQNXTDZ($A$1,$B37,AF$1,$B$1)</f>
        <v>#NAME?</v>
      </c>
      <c r="AG37" t="e">
        <f ca="1">_xll.EQNXTDZ($A$1,$B37,AG$1,$B$1)</f>
        <v>#NAME?</v>
      </c>
      <c r="AH37" t="e">
        <f ca="1">_xll.EQNXTDZ($A$1,$B37,AH$1,$B$1)</f>
        <v>#NAME?</v>
      </c>
      <c r="AI37" t="e">
        <f ca="1">_xll.EQNXTDZ($A$1,$B37,AI$1,$B$1)</f>
        <v>#NAME?</v>
      </c>
      <c r="AJ37" t="e">
        <f ca="1">_xll.EQNXTDZ($A$1,$B37,AJ$1,$B$1)</f>
        <v>#NAME?</v>
      </c>
      <c r="AK37" t="e">
        <f ca="1">_xll.EQNXTDZ($A$1,$B37,AK$1,$B$1)</f>
        <v>#NAME?</v>
      </c>
      <c r="AL37" t="e">
        <f ca="1">_xll.EQNXTDZ($A$1,$B37,AL$1,$B$1)</f>
        <v>#NAME?</v>
      </c>
      <c r="AM37" t="e">
        <f ca="1">_xll.EQNXTDZ($A$1,$B37,AM$1,$B$1)</f>
        <v>#NAME?</v>
      </c>
      <c r="AN37" t="e">
        <f ca="1">_xll.EQNXTDZ($A$1,$B37,AN$1,$B$1)</f>
        <v>#NAME?</v>
      </c>
      <c r="AO37" t="e">
        <f ca="1">_xll.EQNXTDZ($A$1,$B37,AO$1,$B$1)</f>
        <v>#NAME?</v>
      </c>
      <c r="AP37" t="e">
        <f ca="1">_xll.EQNXTDZ($A$1,$B37,AP$1,$B$1)</f>
        <v>#NAME?</v>
      </c>
      <c r="AQ37" t="e">
        <f ca="1">_xll.EQNXTDZ($A$1,$B37,AQ$1,$B$1)</f>
        <v>#NAME?</v>
      </c>
      <c r="AR37" t="e">
        <f ca="1">_xll.EQNXTDZ($A$1,$B37,AR$1,$B$1)</f>
        <v>#NAME?</v>
      </c>
      <c r="AS37" t="e">
        <f ca="1">_xll.EQNXTDZ($A$1,$B37,AS$1,$B$1)</f>
        <v>#NAME?</v>
      </c>
      <c r="AT37" t="e">
        <f ca="1">_xll.EQNXTDZ($A$1,$B37,AT$1,$B$1)</f>
        <v>#NAME?</v>
      </c>
      <c r="AU37" t="e">
        <f ca="1">_xll.EQNXTDZ($A$1,$B37,AU$1,$B$1)</f>
        <v>#NAME?</v>
      </c>
      <c r="AV37" t="e">
        <f ca="1">_xll.EQNXTDZ($A$1,$B37,AV$1,$B$1)</f>
        <v>#NAME?</v>
      </c>
      <c r="AW37" t="e">
        <f ca="1">_xll.EQNXTDZ($A$1,$B37,AW$1,$B$1)</f>
        <v>#NAME?</v>
      </c>
      <c r="AX37" t="e">
        <f ca="1">_xll.EQNXTDZ($A$1,$B37,AX$1,$B$1)</f>
        <v>#NAME?</v>
      </c>
      <c r="AY37" t="e">
        <f ca="1">_xll.EQNXTDZ($A$1,$B37,AY$1,$B$1)</f>
        <v>#NAME?</v>
      </c>
      <c r="AZ37" t="e">
        <f ca="1">_xll.EQNXTDZ($A$1,$B37,AZ$1,$B$1)</f>
        <v>#NAME?</v>
      </c>
      <c r="BA37" t="e">
        <f ca="1">_xll.EQNXTDZ($A$1,$B37,BA$1,$B$1)</f>
        <v>#NAME?</v>
      </c>
      <c r="BB37" t="e">
        <f ca="1">_xll.EQNXTDZ($A$1,$B37,BB$1,$B$1)</f>
        <v>#NAME?</v>
      </c>
      <c r="BC37" t="e">
        <f ca="1">_xll.EQNXTDZ($A$1,$B37,BC$1,$B$1)</f>
        <v>#NAME?</v>
      </c>
      <c r="BD37" t="e">
        <f ca="1">_xll.EQNXTDZ($A$1,$B37,BD$1,$B$1)</f>
        <v>#NAME?</v>
      </c>
      <c r="BE37" t="e">
        <f ca="1">_xll.EQNXTDZ($A$1,$B37,BE$1,$B$1)</f>
        <v>#NAME?</v>
      </c>
      <c r="BF37" t="e">
        <f ca="1">_xll.EQNXTDZ($A$1,$B37,BF$1,$B$1)</f>
        <v>#NAME?</v>
      </c>
      <c r="BG37" t="e">
        <f ca="1">_xll.EQNXTDZ($A$1,$B37,BG$1,$B$1)</f>
        <v>#NAME?</v>
      </c>
      <c r="BH37" t="e">
        <f ca="1">_xll.EQNXTDZ($A$1,$B37,BH$1,$B$1)</f>
        <v>#NAME?</v>
      </c>
      <c r="BI37" t="e">
        <f ca="1">_xll.EQNXTDZ($A$1,$B37,BI$1,$B$1)</f>
        <v>#NAME?</v>
      </c>
      <c r="BJ37" t="e">
        <f ca="1">_xll.EQNXTDZ($A$1,$B37,BJ$1,$B$1)</f>
        <v>#NAME?</v>
      </c>
      <c r="BK37" t="e">
        <f ca="1">_xll.EQNXTDZ($A$1,$B37,BK$1,$B$1)</f>
        <v>#NAME?</v>
      </c>
      <c r="BL37" t="e">
        <f ca="1">_xll.EQNXTDZ($A$1,$B37,BL$1,$B$1)</f>
        <v>#NAME?</v>
      </c>
      <c r="BM37" t="e">
        <f ca="1">_xll.EQNXTDZ($A$1,$B37,BM$1,$B$1)</f>
        <v>#NAME?</v>
      </c>
      <c r="BN37" t="e">
        <f ca="1">_xll.EQNXTDZ($A$1,$B37,BN$1,$B$1)</f>
        <v>#NAME?</v>
      </c>
      <c r="BO37" t="e">
        <f ca="1">_xll.EQNXTDZ($A$1,$B37,BO$1,$B$1)</f>
        <v>#NAME?</v>
      </c>
      <c r="BP37" t="e">
        <f ca="1">_xll.EQNXTDZ($A$1,$B37,BP$1,$B$1)</f>
        <v>#NAME?</v>
      </c>
      <c r="BQ37" t="e">
        <f ca="1">_xll.EQNXTDZ($A$1,$B37,BQ$1,$B$1)</f>
        <v>#NAME?</v>
      </c>
      <c r="BR37" t="e">
        <f ca="1">_xll.EQNXTDZ($A$1,$B37,BR$1,$B$1)</f>
        <v>#NAME?</v>
      </c>
      <c r="BS37" t="e">
        <f ca="1">_xll.EQNXTDZ($A$1,$B37,BS$1,$B$1)</f>
        <v>#NAME?</v>
      </c>
      <c r="BT37" t="e">
        <f ca="1">_xll.EQNXTDZ($A$1,$B37,BT$1,$B$1)</f>
        <v>#NAME?</v>
      </c>
      <c r="BU37" t="e">
        <f ca="1">_xll.EQNXTDZ($A$1,$B37,BU$1,$B$1)</f>
        <v>#NAME?</v>
      </c>
      <c r="BV37" t="e">
        <f ca="1">_xll.EQNXTDZ($A$1,$B37,BV$1,$B$1)</f>
        <v>#NAME?</v>
      </c>
    </row>
    <row r="38" spans="1:74" x14ac:dyDescent="0.25">
      <c r="A38" t="s">
        <v>223</v>
      </c>
      <c r="B38" t="s">
        <v>308</v>
      </c>
      <c r="C38" t="e">
        <f ca="1">_xll.EQNXTDZ($A$1,$B38,C$1,$B$1)</f>
        <v>#NAME?</v>
      </c>
      <c r="D38" t="e">
        <f ca="1">_xll.EQNXTDZ($A$1,$B38,D$1,$B$1)</f>
        <v>#NAME?</v>
      </c>
      <c r="E38" t="e">
        <f ca="1">_xll.EQNXTDZ($A$1,$B38,E$1,$B$1)</f>
        <v>#NAME?</v>
      </c>
      <c r="F38" t="e">
        <f ca="1">_xll.EQNXTDZ($A$1,$B38,F$1,$B$1)</f>
        <v>#NAME?</v>
      </c>
      <c r="G38" t="e">
        <f ca="1">_xll.EQNXTDZ($A$1,$B38,G$1,$B$1)</f>
        <v>#NAME?</v>
      </c>
      <c r="H38" t="e">
        <f ca="1">_xll.EQNXTDZ($A$1,$B38,H$1,$B$1)</f>
        <v>#NAME?</v>
      </c>
      <c r="I38" t="e">
        <f ca="1">_xll.EQNXTDZ($A$1,$B38,I$1,$B$1)</f>
        <v>#NAME?</v>
      </c>
      <c r="J38" t="e">
        <f ca="1">_xll.EQNXTDZ($A$1,$B38,J$1,$B$1)</f>
        <v>#NAME?</v>
      </c>
      <c r="K38" t="e">
        <f ca="1">_xll.EQNXTDZ($A$1,$B38,K$1,$B$1)</f>
        <v>#NAME?</v>
      </c>
      <c r="L38" t="e">
        <f ca="1">_xll.EQNXTDZ($A$1,$B38,L$1,$B$1)</f>
        <v>#NAME?</v>
      </c>
      <c r="M38" t="e">
        <f ca="1">_xll.EQNXTDZ($A$1,$B38,M$1,$B$1)</f>
        <v>#NAME?</v>
      </c>
      <c r="N38" t="e">
        <f ca="1">_xll.EQNXTDZ($A$1,$B38,N$1,$B$1)</f>
        <v>#NAME?</v>
      </c>
      <c r="O38" t="e">
        <f ca="1">_xll.EQNXTDZ($A$1,$B38,O$1,$B$1)</f>
        <v>#NAME?</v>
      </c>
      <c r="P38" t="e">
        <f ca="1">_xll.EQNXTDZ($A$1,$B38,P$1,$B$1)</f>
        <v>#NAME?</v>
      </c>
      <c r="Q38" t="e">
        <f ca="1">_xll.EQNXTDZ($A$1,$B38,Q$1,$B$1)</f>
        <v>#NAME?</v>
      </c>
      <c r="R38" t="e">
        <f ca="1">_xll.EQNXTDZ($A$1,$B38,R$1,$B$1)</f>
        <v>#NAME?</v>
      </c>
      <c r="S38" t="e">
        <f ca="1">_xll.EQNXTDZ($A$1,$B38,S$1,$B$1)</f>
        <v>#NAME?</v>
      </c>
      <c r="T38" t="e">
        <f ca="1">_xll.EQNXTDZ($A$1,$B38,T$1,$B$1)</f>
        <v>#NAME?</v>
      </c>
      <c r="U38" t="e">
        <f ca="1">_xll.EQNXTDZ($A$1,$B38,U$1,$B$1)</f>
        <v>#NAME?</v>
      </c>
      <c r="V38" t="e">
        <f ca="1">_xll.EQNXTDZ($A$1,$B38,V$1,$B$1)</f>
        <v>#NAME?</v>
      </c>
      <c r="W38" t="e">
        <f ca="1">_xll.EQNXTDZ($A$1,$B38,W$1,$B$1)</f>
        <v>#NAME?</v>
      </c>
      <c r="X38" t="e">
        <f ca="1">_xll.EQNXTDZ($A$1,$B38,X$1,$B$1)</f>
        <v>#NAME?</v>
      </c>
      <c r="Y38" t="e">
        <f ca="1">_xll.EQNXTDZ($A$1,$B38,Y$1,$B$1)</f>
        <v>#NAME?</v>
      </c>
      <c r="Z38" t="e">
        <f ca="1">_xll.EQNXTDZ($A$1,$B38,Z$1,$B$1)</f>
        <v>#NAME?</v>
      </c>
      <c r="AA38" t="e">
        <f ca="1">_xll.EQNXTDZ($A$1,$B38,AA$1,$B$1)</f>
        <v>#NAME?</v>
      </c>
      <c r="AB38" t="e">
        <f ca="1">_xll.EQNXTDZ($A$1,$B38,AB$1,$B$1)</f>
        <v>#NAME?</v>
      </c>
      <c r="AC38" t="e">
        <f ca="1">_xll.EQNXTDZ($A$1,$B38,AC$1,$B$1)</f>
        <v>#NAME?</v>
      </c>
      <c r="AD38" t="e">
        <f ca="1">_xll.EQNXTDZ($A$1,$B38,AD$1,$B$1)</f>
        <v>#NAME?</v>
      </c>
      <c r="AE38" t="e">
        <f ca="1">_xll.EQNXTDZ($A$1,$B38,AE$1,$B$1)</f>
        <v>#NAME?</v>
      </c>
      <c r="AF38" t="e">
        <f ca="1">_xll.EQNXTDZ($A$1,$B38,AF$1,$B$1)</f>
        <v>#NAME?</v>
      </c>
      <c r="AG38" t="e">
        <f ca="1">_xll.EQNXTDZ($A$1,$B38,AG$1,$B$1)</f>
        <v>#NAME?</v>
      </c>
      <c r="AH38" t="e">
        <f ca="1">_xll.EQNXTDZ($A$1,$B38,AH$1,$B$1)</f>
        <v>#NAME?</v>
      </c>
      <c r="AI38" t="e">
        <f ca="1">_xll.EQNXTDZ($A$1,$B38,AI$1,$B$1)</f>
        <v>#NAME?</v>
      </c>
      <c r="AJ38" t="e">
        <f ca="1">_xll.EQNXTDZ($A$1,$B38,AJ$1,$B$1)</f>
        <v>#NAME?</v>
      </c>
      <c r="AK38" t="e">
        <f ca="1">_xll.EQNXTDZ($A$1,$B38,AK$1,$B$1)</f>
        <v>#NAME?</v>
      </c>
      <c r="AL38" t="e">
        <f ca="1">_xll.EQNXTDZ($A$1,$B38,AL$1,$B$1)</f>
        <v>#NAME?</v>
      </c>
      <c r="AM38" t="e">
        <f ca="1">_xll.EQNXTDZ($A$1,$B38,AM$1,$B$1)</f>
        <v>#NAME?</v>
      </c>
      <c r="AN38" t="e">
        <f ca="1">_xll.EQNXTDZ($A$1,$B38,AN$1,$B$1)</f>
        <v>#NAME?</v>
      </c>
      <c r="AO38" t="e">
        <f ca="1">_xll.EQNXTDZ($A$1,$B38,AO$1,$B$1)</f>
        <v>#NAME?</v>
      </c>
      <c r="AP38" t="e">
        <f ca="1">_xll.EQNXTDZ($A$1,$B38,AP$1,$B$1)</f>
        <v>#NAME?</v>
      </c>
      <c r="AQ38" t="e">
        <f ca="1">_xll.EQNXTDZ($A$1,$B38,AQ$1,$B$1)</f>
        <v>#NAME?</v>
      </c>
      <c r="AR38" t="e">
        <f ca="1">_xll.EQNXTDZ($A$1,$B38,AR$1,$B$1)</f>
        <v>#NAME?</v>
      </c>
      <c r="AS38" t="e">
        <f ca="1">_xll.EQNXTDZ($A$1,$B38,AS$1,$B$1)</f>
        <v>#NAME?</v>
      </c>
      <c r="AT38" t="e">
        <f ca="1">_xll.EQNXTDZ($A$1,$B38,AT$1,$B$1)</f>
        <v>#NAME?</v>
      </c>
      <c r="AU38" t="e">
        <f ca="1">_xll.EQNXTDZ($A$1,$B38,AU$1,$B$1)</f>
        <v>#NAME?</v>
      </c>
      <c r="AV38" t="e">
        <f ca="1">_xll.EQNXTDZ($A$1,$B38,AV$1,$B$1)</f>
        <v>#NAME?</v>
      </c>
      <c r="AW38" t="e">
        <f ca="1">_xll.EQNXTDZ($A$1,$B38,AW$1,$B$1)</f>
        <v>#NAME?</v>
      </c>
      <c r="AX38" t="e">
        <f ca="1">_xll.EQNXTDZ($A$1,$B38,AX$1,$B$1)</f>
        <v>#NAME?</v>
      </c>
      <c r="AY38" t="e">
        <f ca="1">_xll.EQNXTDZ($A$1,$B38,AY$1,$B$1)</f>
        <v>#NAME?</v>
      </c>
      <c r="AZ38" t="e">
        <f ca="1">_xll.EQNXTDZ($A$1,$B38,AZ$1,$B$1)</f>
        <v>#NAME?</v>
      </c>
      <c r="BA38" t="e">
        <f ca="1">_xll.EQNXTDZ($A$1,$B38,BA$1,$B$1)</f>
        <v>#NAME?</v>
      </c>
      <c r="BB38" t="e">
        <f ca="1">_xll.EQNXTDZ($A$1,$B38,BB$1,$B$1)</f>
        <v>#NAME?</v>
      </c>
      <c r="BC38" t="e">
        <f ca="1">_xll.EQNXTDZ($A$1,$B38,BC$1,$B$1)</f>
        <v>#NAME?</v>
      </c>
      <c r="BD38" t="e">
        <f ca="1">_xll.EQNXTDZ($A$1,$B38,BD$1,$B$1)</f>
        <v>#NAME?</v>
      </c>
      <c r="BE38" t="e">
        <f ca="1">_xll.EQNXTDZ($A$1,$B38,BE$1,$B$1)</f>
        <v>#NAME?</v>
      </c>
      <c r="BF38" t="e">
        <f ca="1">_xll.EQNXTDZ($A$1,$B38,BF$1,$B$1)</f>
        <v>#NAME?</v>
      </c>
      <c r="BG38" t="e">
        <f ca="1">_xll.EQNXTDZ($A$1,$B38,BG$1,$B$1)</f>
        <v>#NAME?</v>
      </c>
      <c r="BH38" t="e">
        <f ca="1">_xll.EQNXTDZ($A$1,$B38,BH$1,$B$1)</f>
        <v>#NAME?</v>
      </c>
      <c r="BI38" t="e">
        <f ca="1">_xll.EQNXTDZ($A$1,$B38,BI$1,$B$1)</f>
        <v>#NAME?</v>
      </c>
      <c r="BJ38" t="e">
        <f ca="1">_xll.EQNXTDZ($A$1,$B38,BJ$1,$B$1)</f>
        <v>#NAME?</v>
      </c>
      <c r="BK38" t="e">
        <f ca="1">_xll.EQNXTDZ($A$1,$B38,BK$1,$B$1)</f>
        <v>#NAME?</v>
      </c>
      <c r="BL38" t="e">
        <f ca="1">_xll.EQNXTDZ($A$1,$B38,BL$1,$B$1)</f>
        <v>#NAME?</v>
      </c>
      <c r="BM38" t="e">
        <f ca="1">_xll.EQNXTDZ($A$1,$B38,BM$1,$B$1)</f>
        <v>#NAME?</v>
      </c>
      <c r="BN38" t="e">
        <f ca="1">_xll.EQNXTDZ($A$1,$B38,BN$1,$B$1)</f>
        <v>#NAME?</v>
      </c>
      <c r="BO38" t="e">
        <f ca="1">_xll.EQNXTDZ($A$1,$B38,BO$1,$B$1)</f>
        <v>#NAME?</v>
      </c>
      <c r="BP38" t="e">
        <f ca="1">_xll.EQNXTDZ($A$1,$B38,BP$1,$B$1)</f>
        <v>#NAME?</v>
      </c>
      <c r="BQ38" t="e">
        <f ca="1">_xll.EQNXTDZ($A$1,$B38,BQ$1,$B$1)</f>
        <v>#NAME?</v>
      </c>
      <c r="BR38" t="e">
        <f ca="1">_xll.EQNXTDZ($A$1,$B38,BR$1,$B$1)</f>
        <v>#NAME?</v>
      </c>
      <c r="BS38" t="e">
        <f ca="1">_xll.EQNXTDZ($A$1,$B38,BS$1,$B$1)</f>
        <v>#NAME?</v>
      </c>
      <c r="BT38" t="e">
        <f ca="1">_xll.EQNXTDZ($A$1,$B38,BT$1,$B$1)</f>
        <v>#NAME?</v>
      </c>
      <c r="BU38" t="e">
        <f ca="1">_xll.EQNXTDZ($A$1,$B38,BU$1,$B$1)</f>
        <v>#NAME?</v>
      </c>
      <c r="BV38" t="e">
        <f ca="1">_xll.EQNXTDZ($A$1,$B38,BV$1,$B$1)</f>
        <v>#NAME?</v>
      </c>
    </row>
    <row r="39" spans="1:74" x14ac:dyDescent="0.25">
      <c r="A39" t="s">
        <v>272</v>
      </c>
      <c r="B39" t="s">
        <v>309</v>
      </c>
      <c r="C39" t="e">
        <f ca="1">_xll.EQNXTDZ($A$1,$B39,C$1,$B$1)</f>
        <v>#NAME?</v>
      </c>
      <c r="D39" t="e">
        <f ca="1">_xll.EQNXTDZ($A$1,$B39,D$1,$B$1)</f>
        <v>#NAME?</v>
      </c>
      <c r="E39" t="e">
        <f ca="1">_xll.EQNXTDZ($A$1,$B39,E$1,$B$1)</f>
        <v>#NAME?</v>
      </c>
      <c r="F39" t="e">
        <f ca="1">_xll.EQNXTDZ($A$1,$B39,F$1,$B$1)</f>
        <v>#NAME?</v>
      </c>
      <c r="G39" t="e">
        <f ca="1">_xll.EQNXTDZ($A$1,$B39,G$1,$B$1)</f>
        <v>#NAME?</v>
      </c>
      <c r="H39" t="e">
        <f ca="1">_xll.EQNXTDZ($A$1,$B39,H$1,$B$1)</f>
        <v>#NAME?</v>
      </c>
      <c r="I39" t="e">
        <f ca="1">_xll.EQNXTDZ($A$1,$B39,I$1,$B$1)</f>
        <v>#NAME?</v>
      </c>
      <c r="J39" t="e">
        <f ca="1">_xll.EQNXTDZ($A$1,$B39,J$1,$B$1)</f>
        <v>#NAME?</v>
      </c>
      <c r="K39" t="e">
        <f ca="1">_xll.EQNXTDZ($A$1,$B39,K$1,$B$1)</f>
        <v>#NAME?</v>
      </c>
      <c r="L39" t="e">
        <f ca="1">_xll.EQNXTDZ($A$1,$B39,L$1,$B$1)</f>
        <v>#NAME?</v>
      </c>
      <c r="M39" t="e">
        <f ca="1">_xll.EQNXTDZ($A$1,$B39,M$1,$B$1)</f>
        <v>#NAME?</v>
      </c>
      <c r="N39" t="e">
        <f ca="1">_xll.EQNXTDZ($A$1,$B39,N$1,$B$1)</f>
        <v>#NAME?</v>
      </c>
      <c r="O39" t="e">
        <f ca="1">_xll.EQNXTDZ($A$1,$B39,O$1,$B$1)</f>
        <v>#NAME?</v>
      </c>
      <c r="P39" t="e">
        <f ca="1">_xll.EQNXTDZ($A$1,$B39,P$1,$B$1)</f>
        <v>#NAME?</v>
      </c>
      <c r="Q39" t="e">
        <f ca="1">_xll.EQNXTDZ($A$1,$B39,Q$1,$B$1)</f>
        <v>#NAME?</v>
      </c>
      <c r="R39" t="e">
        <f ca="1">_xll.EQNXTDZ($A$1,$B39,R$1,$B$1)</f>
        <v>#NAME?</v>
      </c>
      <c r="S39" t="e">
        <f ca="1">_xll.EQNXTDZ($A$1,$B39,S$1,$B$1)</f>
        <v>#NAME?</v>
      </c>
      <c r="T39" t="e">
        <f ca="1">_xll.EQNXTDZ($A$1,$B39,T$1,$B$1)</f>
        <v>#NAME?</v>
      </c>
      <c r="U39" t="e">
        <f ca="1">_xll.EQNXTDZ($A$1,$B39,U$1,$B$1)</f>
        <v>#NAME?</v>
      </c>
      <c r="V39" t="e">
        <f ca="1">_xll.EQNXTDZ($A$1,$B39,V$1,$B$1)</f>
        <v>#NAME?</v>
      </c>
      <c r="W39" t="e">
        <f ca="1">_xll.EQNXTDZ($A$1,$B39,W$1,$B$1)</f>
        <v>#NAME?</v>
      </c>
      <c r="X39" t="e">
        <f ca="1">_xll.EQNXTDZ($A$1,$B39,X$1,$B$1)</f>
        <v>#NAME?</v>
      </c>
      <c r="Y39" t="e">
        <f ca="1">_xll.EQNXTDZ($A$1,$B39,Y$1,$B$1)</f>
        <v>#NAME?</v>
      </c>
      <c r="Z39" t="e">
        <f ca="1">_xll.EQNXTDZ($A$1,$B39,Z$1,$B$1)</f>
        <v>#NAME?</v>
      </c>
      <c r="AA39" t="e">
        <f ca="1">_xll.EQNXTDZ($A$1,$B39,AA$1,$B$1)</f>
        <v>#NAME?</v>
      </c>
      <c r="AB39" t="e">
        <f ca="1">_xll.EQNXTDZ($A$1,$B39,AB$1,$B$1)</f>
        <v>#NAME?</v>
      </c>
      <c r="AC39" t="e">
        <f ca="1">_xll.EQNXTDZ($A$1,$B39,AC$1,$B$1)</f>
        <v>#NAME?</v>
      </c>
      <c r="AD39" t="e">
        <f ca="1">_xll.EQNXTDZ($A$1,$B39,AD$1,$B$1)</f>
        <v>#NAME?</v>
      </c>
      <c r="AE39" t="e">
        <f ca="1">_xll.EQNXTDZ($A$1,$B39,AE$1,$B$1)</f>
        <v>#NAME?</v>
      </c>
      <c r="AF39" t="e">
        <f ca="1">_xll.EQNXTDZ($A$1,$B39,AF$1,$B$1)</f>
        <v>#NAME?</v>
      </c>
      <c r="AG39" t="e">
        <f ca="1">_xll.EQNXTDZ($A$1,$B39,AG$1,$B$1)</f>
        <v>#NAME?</v>
      </c>
      <c r="AH39" t="e">
        <f ca="1">_xll.EQNXTDZ($A$1,$B39,AH$1,$B$1)</f>
        <v>#NAME?</v>
      </c>
      <c r="AI39" t="e">
        <f ca="1">_xll.EQNXTDZ($A$1,$B39,AI$1,$B$1)</f>
        <v>#NAME?</v>
      </c>
      <c r="AJ39" t="e">
        <f ca="1">_xll.EQNXTDZ($A$1,$B39,AJ$1,$B$1)</f>
        <v>#NAME?</v>
      </c>
      <c r="AK39" t="e">
        <f ca="1">_xll.EQNXTDZ($A$1,$B39,AK$1,$B$1)</f>
        <v>#NAME?</v>
      </c>
      <c r="AL39" t="e">
        <f ca="1">_xll.EQNXTDZ($A$1,$B39,AL$1,$B$1)</f>
        <v>#NAME?</v>
      </c>
      <c r="AM39" t="e">
        <f ca="1">_xll.EQNXTDZ($A$1,$B39,AM$1,$B$1)</f>
        <v>#NAME?</v>
      </c>
      <c r="AN39" t="e">
        <f ca="1">_xll.EQNXTDZ($A$1,$B39,AN$1,$B$1)</f>
        <v>#NAME?</v>
      </c>
      <c r="AO39" t="e">
        <f ca="1">_xll.EQNXTDZ($A$1,$B39,AO$1,$B$1)</f>
        <v>#NAME?</v>
      </c>
      <c r="AP39" t="e">
        <f ca="1">_xll.EQNXTDZ($A$1,$B39,AP$1,$B$1)</f>
        <v>#NAME?</v>
      </c>
      <c r="AQ39" t="e">
        <f ca="1">_xll.EQNXTDZ($A$1,$B39,AQ$1,$B$1)</f>
        <v>#NAME?</v>
      </c>
      <c r="AR39" t="e">
        <f ca="1">_xll.EQNXTDZ($A$1,$B39,AR$1,$B$1)</f>
        <v>#NAME?</v>
      </c>
      <c r="AS39" t="e">
        <f ca="1">_xll.EQNXTDZ($A$1,$B39,AS$1,$B$1)</f>
        <v>#NAME?</v>
      </c>
      <c r="AT39" t="e">
        <f ca="1">_xll.EQNXTDZ($A$1,$B39,AT$1,$B$1)</f>
        <v>#NAME?</v>
      </c>
      <c r="AU39" t="e">
        <f ca="1">_xll.EQNXTDZ($A$1,$B39,AU$1,$B$1)</f>
        <v>#NAME?</v>
      </c>
      <c r="AV39" t="e">
        <f ca="1">_xll.EQNXTDZ($A$1,$B39,AV$1,$B$1)</f>
        <v>#NAME?</v>
      </c>
      <c r="AW39" t="e">
        <f ca="1">_xll.EQNXTDZ($A$1,$B39,AW$1,$B$1)</f>
        <v>#NAME?</v>
      </c>
      <c r="AX39" t="e">
        <f ca="1">_xll.EQNXTDZ($A$1,$B39,AX$1,$B$1)</f>
        <v>#NAME?</v>
      </c>
      <c r="AY39" t="e">
        <f ca="1">_xll.EQNXTDZ($A$1,$B39,AY$1,$B$1)</f>
        <v>#NAME?</v>
      </c>
      <c r="AZ39" t="e">
        <f ca="1">_xll.EQNXTDZ($A$1,$B39,AZ$1,$B$1)</f>
        <v>#NAME?</v>
      </c>
      <c r="BA39" t="e">
        <f ca="1">_xll.EQNXTDZ($A$1,$B39,BA$1,$B$1)</f>
        <v>#NAME?</v>
      </c>
      <c r="BB39" t="e">
        <f ca="1">_xll.EQNXTDZ($A$1,$B39,BB$1,$B$1)</f>
        <v>#NAME?</v>
      </c>
      <c r="BC39" t="e">
        <f ca="1">_xll.EQNXTDZ($A$1,$B39,BC$1,$B$1)</f>
        <v>#NAME?</v>
      </c>
      <c r="BD39" t="e">
        <f ca="1">_xll.EQNXTDZ($A$1,$B39,BD$1,$B$1)</f>
        <v>#NAME?</v>
      </c>
      <c r="BE39" t="e">
        <f ca="1">_xll.EQNXTDZ($A$1,$B39,BE$1,$B$1)</f>
        <v>#NAME?</v>
      </c>
      <c r="BF39" t="e">
        <f ca="1">_xll.EQNXTDZ($A$1,$B39,BF$1,$B$1)</f>
        <v>#NAME?</v>
      </c>
      <c r="BG39" t="e">
        <f ca="1">_xll.EQNXTDZ($A$1,$B39,BG$1,$B$1)</f>
        <v>#NAME?</v>
      </c>
      <c r="BH39" t="e">
        <f ca="1">_xll.EQNXTDZ($A$1,$B39,BH$1,$B$1)</f>
        <v>#NAME?</v>
      </c>
      <c r="BI39" t="e">
        <f ca="1">_xll.EQNXTDZ($A$1,$B39,BI$1,$B$1)</f>
        <v>#NAME?</v>
      </c>
      <c r="BJ39" t="e">
        <f ca="1">_xll.EQNXTDZ($A$1,$B39,BJ$1,$B$1)</f>
        <v>#NAME?</v>
      </c>
      <c r="BK39" t="e">
        <f ca="1">_xll.EQNXTDZ($A$1,$B39,BK$1,$B$1)</f>
        <v>#NAME?</v>
      </c>
      <c r="BL39" t="e">
        <f ca="1">_xll.EQNXTDZ($A$1,$B39,BL$1,$B$1)</f>
        <v>#NAME?</v>
      </c>
      <c r="BM39" t="e">
        <f ca="1">_xll.EQNXTDZ($A$1,$B39,BM$1,$B$1)</f>
        <v>#NAME?</v>
      </c>
      <c r="BN39" t="e">
        <f ca="1">_xll.EQNXTDZ($A$1,$B39,BN$1,$B$1)</f>
        <v>#NAME?</v>
      </c>
      <c r="BO39" t="e">
        <f ca="1">_xll.EQNXTDZ($A$1,$B39,BO$1,$B$1)</f>
        <v>#NAME?</v>
      </c>
      <c r="BP39" t="e">
        <f ca="1">_xll.EQNXTDZ($A$1,$B39,BP$1,$B$1)</f>
        <v>#NAME?</v>
      </c>
      <c r="BQ39" t="e">
        <f ca="1">_xll.EQNXTDZ($A$1,$B39,BQ$1,$B$1)</f>
        <v>#NAME?</v>
      </c>
      <c r="BR39" t="e">
        <f ca="1">_xll.EQNXTDZ($A$1,$B39,BR$1,$B$1)</f>
        <v>#NAME?</v>
      </c>
      <c r="BS39" t="e">
        <f ca="1">_xll.EQNXTDZ($A$1,$B39,BS$1,$B$1)</f>
        <v>#NAME?</v>
      </c>
      <c r="BT39" t="e">
        <f ca="1">_xll.EQNXTDZ($A$1,$B39,BT$1,$B$1)</f>
        <v>#NAME?</v>
      </c>
      <c r="BU39" t="e">
        <f ca="1">_xll.EQNXTDZ($A$1,$B39,BU$1,$B$1)</f>
        <v>#NAME?</v>
      </c>
      <c r="BV39" t="e">
        <f ca="1">_xll.EQNXTDZ($A$1,$B39,BV$1,$B$1)</f>
        <v>#NAME?</v>
      </c>
    </row>
    <row r="40" spans="1:74" x14ac:dyDescent="0.25">
      <c r="A40" t="s">
        <v>273</v>
      </c>
      <c r="B40" t="s">
        <v>310</v>
      </c>
      <c r="C40" t="e">
        <f ca="1">_xll.EQNXTDZ($A$1,$B40,C$1,$B$1)</f>
        <v>#NAME?</v>
      </c>
      <c r="D40" t="e">
        <f ca="1">_xll.EQNXTDZ($A$1,$B40,D$1,$B$1)</f>
        <v>#NAME?</v>
      </c>
      <c r="E40" t="e">
        <f ca="1">_xll.EQNXTDZ($A$1,$B40,E$1,$B$1)</f>
        <v>#NAME?</v>
      </c>
      <c r="F40" t="e">
        <f ca="1">_xll.EQNXTDZ($A$1,$B40,F$1,$B$1)</f>
        <v>#NAME?</v>
      </c>
      <c r="G40" t="e">
        <f ca="1">_xll.EQNXTDZ($A$1,$B40,G$1,$B$1)</f>
        <v>#NAME?</v>
      </c>
      <c r="H40" t="e">
        <f ca="1">_xll.EQNXTDZ($A$1,$B40,H$1,$B$1)</f>
        <v>#NAME?</v>
      </c>
      <c r="I40" t="e">
        <f ca="1">_xll.EQNXTDZ($A$1,$B40,I$1,$B$1)</f>
        <v>#NAME?</v>
      </c>
      <c r="J40" t="e">
        <f ca="1">_xll.EQNXTDZ($A$1,$B40,J$1,$B$1)</f>
        <v>#NAME?</v>
      </c>
      <c r="K40" t="e">
        <f ca="1">_xll.EQNXTDZ($A$1,$B40,K$1,$B$1)</f>
        <v>#NAME?</v>
      </c>
      <c r="L40" t="e">
        <f ca="1">_xll.EQNXTDZ($A$1,$B40,L$1,$B$1)</f>
        <v>#NAME?</v>
      </c>
      <c r="M40" t="e">
        <f ca="1">_xll.EQNXTDZ($A$1,$B40,M$1,$B$1)</f>
        <v>#NAME?</v>
      </c>
      <c r="N40" t="e">
        <f ca="1">_xll.EQNXTDZ($A$1,$B40,N$1,$B$1)</f>
        <v>#NAME?</v>
      </c>
      <c r="O40" t="e">
        <f ca="1">_xll.EQNXTDZ($A$1,$B40,O$1,$B$1)</f>
        <v>#NAME?</v>
      </c>
      <c r="P40" t="e">
        <f ca="1">_xll.EQNXTDZ($A$1,$B40,P$1,$B$1)</f>
        <v>#NAME?</v>
      </c>
      <c r="Q40" t="e">
        <f ca="1">_xll.EQNXTDZ($A$1,$B40,Q$1,$B$1)</f>
        <v>#NAME?</v>
      </c>
      <c r="R40" t="e">
        <f ca="1">_xll.EQNXTDZ($A$1,$B40,R$1,$B$1)</f>
        <v>#NAME?</v>
      </c>
      <c r="S40" t="e">
        <f ca="1">_xll.EQNXTDZ($A$1,$B40,S$1,$B$1)</f>
        <v>#NAME?</v>
      </c>
      <c r="T40" t="e">
        <f ca="1">_xll.EQNXTDZ($A$1,$B40,T$1,$B$1)</f>
        <v>#NAME?</v>
      </c>
      <c r="U40" t="e">
        <f ca="1">_xll.EQNXTDZ($A$1,$B40,U$1,$B$1)</f>
        <v>#NAME?</v>
      </c>
      <c r="V40" t="e">
        <f ca="1">_xll.EQNXTDZ($A$1,$B40,V$1,$B$1)</f>
        <v>#NAME?</v>
      </c>
      <c r="W40" t="e">
        <f ca="1">_xll.EQNXTDZ($A$1,$B40,W$1,$B$1)</f>
        <v>#NAME?</v>
      </c>
      <c r="X40" t="e">
        <f ca="1">_xll.EQNXTDZ($A$1,$B40,X$1,$B$1)</f>
        <v>#NAME?</v>
      </c>
      <c r="Y40" t="e">
        <f ca="1">_xll.EQNXTDZ($A$1,$B40,Y$1,$B$1)</f>
        <v>#NAME?</v>
      </c>
      <c r="Z40" t="e">
        <f ca="1">_xll.EQNXTDZ($A$1,$B40,Z$1,$B$1)</f>
        <v>#NAME?</v>
      </c>
      <c r="AA40" t="e">
        <f ca="1">_xll.EQNXTDZ($A$1,$B40,AA$1,$B$1)</f>
        <v>#NAME?</v>
      </c>
      <c r="AB40" t="e">
        <f ca="1">_xll.EQNXTDZ($A$1,$B40,AB$1,$B$1)</f>
        <v>#NAME?</v>
      </c>
      <c r="AC40" t="e">
        <f ca="1">_xll.EQNXTDZ($A$1,$B40,AC$1,$B$1)</f>
        <v>#NAME?</v>
      </c>
      <c r="AD40" t="e">
        <f ca="1">_xll.EQNXTDZ($A$1,$B40,AD$1,$B$1)</f>
        <v>#NAME?</v>
      </c>
      <c r="AE40" t="e">
        <f ca="1">_xll.EQNXTDZ($A$1,$B40,AE$1,$B$1)</f>
        <v>#NAME?</v>
      </c>
      <c r="AF40" t="e">
        <f ca="1">_xll.EQNXTDZ($A$1,$B40,AF$1,$B$1)</f>
        <v>#NAME?</v>
      </c>
      <c r="AG40" t="e">
        <f ca="1">_xll.EQNXTDZ($A$1,$B40,AG$1,$B$1)</f>
        <v>#NAME?</v>
      </c>
      <c r="AH40" t="e">
        <f ca="1">_xll.EQNXTDZ($A$1,$B40,AH$1,$B$1)</f>
        <v>#NAME?</v>
      </c>
      <c r="AI40" t="e">
        <f ca="1">_xll.EQNXTDZ($A$1,$B40,AI$1,$B$1)</f>
        <v>#NAME?</v>
      </c>
      <c r="AJ40" t="e">
        <f ca="1">_xll.EQNXTDZ($A$1,$B40,AJ$1,$B$1)</f>
        <v>#NAME?</v>
      </c>
      <c r="AK40" t="e">
        <f ca="1">_xll.EQNXTDZ($A$1,$B40,AK$1,$B$1)</f>
        <v>#NAME?</v>
      </c>
      <c r="AL40" t="e">
        <f ca="1">_xll.EQNXTDZ($A$1,$B40,AL$1,$B$1)</f>
        <v>#NAME?</v>
      </c>
      <c r="AM40" t="e">
        <f ca="1">_xll.EQNXTDZ($A$1,$B40,AM$1,$B$1)</f>
        <v>#NAME?</v>
      </c>
      <c r="AN40" t="e">
        <f ca="1">_xll.EQNXTDZ($A$1,$B40,AN$1,$B$1)</f>
        <v>#NAME?</v>
      </c>
      <c r="AO40" t="e">
        <f ca="1">_xll.EQNXTDZ($A$1,$B40,AO$1,$B$1)</f>
        <v>#NAME?</v>
      </c>
      <c r="AP40" t="e">
        <f ca="1">_xll.EQNXTDZ($A$1,$B40,AP$1,$B$1)</f>
        <v>#NAME?</v>
      </c>
      <c r="AQ40" t="e">
        <f ca="1">_xll.EQNXTDZ($A$1,$B40,AQ$1,$B$1)</f>
        <v>#NAME?</v>
      </c>
      <c r="AR40" t="e">
        <f ca="1">_xll.EQNXTDZ($A$1,$B40,AR$1,$B$1)</f>
        <v>#NAME?</v>
      </c>
      <c r="AS40" t="e">
        <f ca="1">_xll.EQNXTDZ($A$1,$B40,AS$1,$B$1)</f>
        <v>#NAME?</v>
      </c>
      <c r="AT40" t="e">
        <f ca="1">_xll.EQNXTDZ($A$1,$B40,AT$1,$B$1)</f>
        <v>#NAME?</v>
      </c>
      <c r="AU40" t="e">
        <f ca="1">_xll.EQNXTDZ($A$1,$B40,AU$1,$B$1)</f>
        <v>#NAME?</v>
      </c>
      <c r="AV40" t="e">
        <f ca="1">_xll.EQNXTDZ($A$1,$B40,AV$1,$B$1)</f>
        <v>#NAME?</v>
      </c>
      <c r="AW40" t="e">
        <f ca="1">_xll.EQNXTDZ($A$1,$B40,AW$1,$B$1)</f>
        <v>#NAME?</v>
      </c>
      <c r="AX40" t="e">
        <f ca="1">_xll.EQNXTDZ($A$1,$B40,AX$1,$B$1)</f>
        <v>#NAME?</v>
      </c>
      <c r="AY40" t="e">
        <f ca="1">_xll.EQNXTDZ($A$1,$B40,AY$1,$B$1)</f>
        <v>#NAME?</v>
      </c>
      <c r="AZ40" t="e">
        <f ca="1">_xll.EQNXTDZ($A$1,$B40,AZ$1,$B$1)</f>
        <v>#NAME?</v>
      </c>
      <c r="BA40" t="e">
        <f ca="1">_xll.EQNXTDZ($A$1,$B40,BA$1,$B$1)</f>
        <v>#NAME?</v>
      </c>
      <c r="BB40" t="e">
        <f ca="1">_xll.EQNXTDZ($A$1,$B40,BB$1,$B$1)</f>
        <v>#NAME?</v>
      </c>
      <c r="BC40" t="e">
        <f ca="1">_xll.EQNXTDZ($A$1,$B40,BC$1,$B$1)</f>
        <v>#NAME?</v>
      </c>
      <c r="BD40" t="e">
        <f ca="1">_xll.EQNXTDZ($A$1,$B40,BD$1,$B$1)</f>
        <v>#NAME?</v>
      </c>
      <c r="BE40" t="e">
        <f ca="1">_xll.EQNXTDZ($A$1,$B40,BE$1,$B$1)</f>
        <v>#NAME?</v>
      </c>
      <c r="BF40" t="e">
        <f ca="1">_xll.EQNXTDZ($A$1,$B40,BF$1,$B$1)</f>
        <v>#NAME?</v>
      </c>
      <c r="BG40" t="e">
        <f ca="1">_xll.EQNXTDZ($A$1,$B40,BG$1,$B$1)</f>
        <v>#NAME?</v>
      </c>
      <c r="BH40" t="e">
        <f ca="1">_xll.EQNXTDZ($A$1,$B40,BH$1,$B$1)</f>
        <v>#NAME?</v>
      </c>
      <c r="BI40" t="e">
        <f ca="1">_xll.EQNXTDZ($A$1,$B40,BI$1,$B$1)</f>
        <v>#NAME?</v>
      </c>
      <c r="BJ40" t="e">
        <f ca="1">_xll.EQNXTDZ($A$1,$B40,BJ$1,$B$1)</f>
        <v>#NAME?</v>
      </c>
      <c r="BK40" t="e">
        <f ca="1">_xll.EQNXTDZ($A$1,$B40,BK$1,$B$1)</f>
        <v>#NAME?</v>
      </c>
      <c r="BL40" t="e">
        <f ca="1">_xll.EQNXTDZ($A$1,$B40,BL$1,$B$1)</f>
        <v>#NAME?</v>
      </c>
      <c r="BM40" t="e">
        <f ca="1">_xll.EQNXTDZ($A$1,$B40,BM$1,$B$1)</f>
        <v>#NAME?</v>
      </c>
      <c r="BN40" t="e">
        <f ca="1">_xll.EQNXTDZ($A$1,$B40,BN$1,$B$1)</f>
        <v>#NAME?</v>
      </c>
      <c r="BO40" t="e">
        <f ca="1">_xll.EQNXTDZ($A$1,$B40,BO$1,$B$1)</f>
        <v>#NAME?</v>
      </c>
      <c r="BP40" t="e">
        <f ca="1">_xll.EQNXTDZ($A$1,$B40,BP$1,$B$1)</f>
        <v>#NAME?</v>
      </c>
      <c r="BQ40" t="e">
        <f ca="1">_xll.EQNXTDZ($A$1,$B40,BQ$1,$B$1)</f>
        <v>#NAME?</v>
      </c>
      <c r="BR40" t="e">
        <f ca="1">_xll.EQNXTDZ($A$1,$B40,BR$1,$B$1)</f>
        <v>#NAME?</v>
      </c>
      <c r="BS40" t="e">
        <f ca="1">_xll.EQNXTDZ($A$1,$B40,BS$1,$B$1)</f>
        <v>#NAME?</v>
      </c>
      <c r="BT40" t="e">
        <f ca="1">_xll.EQNXTDZ($A$1,$B40,BT$1,$B$1)</f>
        <v>#NAME?</v>
      </c>
      <c r="BU40" t="e">
        <f ca="1">_xll.EQNXTDZ($A$1,$B40,BU$1,$B$1)</f>
        <v>#NAME?</v>
      </c>
      <c r="BV40" t="e">
        <f ca="1">_xll.EQNXTDZ($A$1,$B40,BV$1,$B$1)</f>
        <v>#NAME?</v>
      </c>
    </row>
    <row r="41" spans="1:74" x14ac:dyDescent="0.25">
      <c r="A41" t="s">
        <v>274</v>
      </c>
      <c r="B41" t="s">
        <v>311</v>
      </c>
      <c r="C41" t="e">
        <f ca="1">_xll.EQNXTDZ($A$1,$B41,C$1,$B$1)</f>
        <v>#NAME?</v>
      </c>
      <c r="D41" t="e">
        <f ca="1">_xll.EQNXTDZ($A$1,$B41,D$1,$B$1)</f>
        <v>#NAME?</v>
      </c>
      <c r="E41" t="e">
        <f ca="1">_xll.EQNXTDZ($A$1,$B41,E$1,$B$1)</f>
        <v>#NAME?</v>
      </c>
      <c r="F41" t="e">
        <f ca="1">_xll.EQNXTDZ($A$1,$B41,F$1,$B$1)</f>
        <v>#NAME?</v>
      </c>
      <c r="G41" t="e">
        <f ca="1">_xll.EQNXTDZ($A$1,$B41,G$1,$B$1)</f>
        <v>#NAME?</v>
      </c>
      <c r="H41" t="e">
        <f ca="1">_xll.EQNXTDZ($A$1,$B41,H$1,$B$1)</f>
        <v>#NAME?</v>
      </c>
      <c r="I41" t="e">
        <f ca="1">_xll.EQNXTDZ($A$1,$B41,I$1,$B$1)</f>
        <v>#NAME?</v>
      </c>
      <c r="J41" t="e">
        <f ca="1">_xll.EQNXTDZ($A$1,$B41,J$1,$B$1)</f>
        <v>#NAME?</v>
      </c>
      <c r="K41" t="e">
        <f ca="1">_xll.EQNXTDZ($A$1,$B41,K$1,$B$1)</f>
        <v>#NAME?</v>
      </c>
      <c r="L41" t="e">
        <f ca="1">_xll.EQNXTDZ($A$1,$B41,L$1,$B$1)</f>
        <v>#NAME?</v>
      </c>
      <c r="M41" t="e">
        <f ca="1">_xll.EQNXTDZ($A$1,$B41,M$1,$B$1)</f>
        <v>#NAME?</v>
      </c>
      <c r="N41" t="e">
        <f ca="1">_xll.EQNXTDZ($A$1,$B41,N$1,$B$1)</f>
        <v>#NAME?</v>
      </c>
      <c r="O41" t="e">
        <f ca="1">_xll.EQNXTDZ($A$1,$B41,O$1,$B$1)</f>
        <v>#NAME?</v>
      </c>
      <c r="P41" t="e">
        <f ca="1">_xll.EQNXTDZ($A$1,$B41,P$1,$B$1)</f>
        <v>#NAME?</v>
      </c>
      <c r="Q41" t="e">
        <f ca="1">_xll.EQNXTDZ($A$1,$B41,Q$1,$B$1)</f>
        <v>#NAME?</v>
      </c>
      <c r="R41" t="e">
        <f ca="1">_xll.EQNXTDZ($A$1,$B41,R$1,$B$1)</f>
        <v>#NAME?</v>
      </c>
      <c r="S41" t="e">
        <f ca="1">_xll.EQNXTDZ($A$1,$B41,S$1,$B$1)</f>
        <v>#NAME?</v>
      </c>
      <c r="T41" t="e">
        <f ca="1">_xll.EQNXTDZ($A$1,$B41,T$1,$B$1)</f>
        <v>#NAME?</v>
      </c>
      <c r="U41" t="e">
        <f ca="1">_xll.EQNXTDZ($A$1,$B41,U$1,$B$1)</f>
        <v>#NAME?</v>
      </c>
      <c r="V41" t="e">
        <f ca="1">_xll.EQNXTDZ($A$1,$B41,V$1,$B$1)</f>
        <v>#NAME?</v>
      </c>
      <c r="W41" t="e">
        <f ca="1">_xll.EQNXTDZ($A$1,$B41,W$1,$B$1)</f>
        <v>#NAME?</v>
      </c>
      <c r="X41" t="e">
        <f ca="1">_xll.EQNXTDZ($A$1,$B41,X$1,$B$1)</f>
        <v>#NAME?</v>
      </c>
      <c r="Y41" t="e">
        <f ca="1">_xll.EQNXTDZ($A$1,$B41,Y$1,$B$1)</f>
        <v>#NAME?</v>
      </c>
      <c r="Z41" t="e">
        <f ca="1">_xll.EQNXTDZ($A$1,$B41,Z$1,$B$1)</f>
        <v>#NAME?</v>
      </c>
      <c r="AA41" t="e">
        <f ca="1">_xll.EQNXTDZ($A$1,$B41,AA$1,$B$1)</f>
        <v>#NAME?</v>
      </c>
      <c r="AB41" t="e">
        <f ca="1">_xll.EQNXTDZ($A$1,$B41,AB$1,$B$1)</f>
        <v>#NAME?</v>
      </c>
      <c r="AC41" t="e">
        <f ca="1">_xll.EQNXTDZ($A$1,$B41,AC$1,$B$1)</f>
        <v>#NAME?</v>
      </c>
      <c r="AD41" t="e">
        <f ca="1">_xll.EQNXTDZ($A$1,$B41,AD$1,$B$1)</f>
        <v>#NAME?</v>
      </c>
      <c r="AE41" t="e">
        <f ca="1">_xll.EQNXTDZ($A$1,$B41,AE$1,$B$1)</f>
        <v>#NAME?</v>
      </c>
      <c r="AF41" t="e">
        <f ca="1">_xll.EQNXTDZ($A$1,$B41,AF$1,$B$1)</f>
        <v>#NAME?</v>
      </c>
      <c r="AG41" t="e">
        <f ca="1">_xll.EQNXTDZ($A$1,$B41,AG$1,$B$1)</f>
        <v>#NAME?</v>
      </c>
      <c r="AH41" t="e">
        <f ca="1">_xll.EQNXTDZ($A$1,$B41,AH$1,$B$1)</f>
        <v>#NAME?</v>
      </c>
      <c r="AI41" t="e">
        <f ca="1">_xll.EQNXTDZ($A$1,$B41,AI$1,$B$1)</f>
        <v>#NAME?</v>
      </c>
      <c r="AJ41" t="e">
        <f ca="1">_xll.EQNXTDZ($A$1,$B41,AJ$1,$B$1)</f>
        <v>#NAME?</v>
      </c>
      <c r="AK41" t="e">
        <f ca="1">_xll.EQNXTDZ($A$1,$B41,AK$1,$B$1)</f>
        <v>#NAME?</v>
      </c>
      <c r="AL41" t="e">
        <f ca="1">_xll.EQNXTDZ($A$1,$B41,AL$1,$B$1)</f>
        <v>#NAME?</v>
      </c>
      <c r="AM41" t="e">
        <f ca="1">_xll.EQNXTDZ($A$1,$B41,AM$1,$B$1)</f>
        <v>#NAME?</v>
      </c>
      <c r="AN41" t="e">
        <f ca="1">_xll.EQNXTDZ($A$1,$B41,AN$1,$B$1)</f>
        <v>#NAME?</v>
      </c>
      <c r="AO41" t="e">
        <f ca="1">_xll.EQNXTDZ($A$1,$B41,AO$1,$B$1)</f>
        <v>#NAME?</v>
      </c>
      <c r="AP41" t="e">
        <f ca="1">_xll.EQNXTDZ($A$1,$B41,AP$1,$B$1)</f>
        <v>#NAME?</v>
      </c>
      <c r="AQ41" t="e">
        <f ca="1">_xll.EQNXTDZ($A$1,$B41,AQ$1,$B$1)</f>
        <v>#NAME?</v>
      </c>
      <c r="AR41" t="e">
        <f ca="1">_xll.EQNXTDZ($A$1,$B41,AR$1,$B$1)</f>
        <v>#NAME?</v>
      </c>
      <c r="AS41" t="e">
        <f ca="1">_xll.EQNXTDZ($A$1,$B41,AS$1,$B$1)</f>
        <v>#NAME?</v>
      </c>
      <c r="AT41" t="e">
        <f ca="1">_xll.EQNXTDZ($A$1,$B41,AT$1,$B$1)</f>
        <v>#NAME?</v>
      </c>
      <c r="AU41" t="e">
        <f ca="1">_xll.EQNXTDZ($A$1,$B41,AU$1,$B$1)</f>
        <v>#NAME?</v>
      </c>
      <c r="AV41" t="e">
        <f ca="1">_xll.EQNXTDZ($A$1,$B41,AV$1,$B$1)</f>
        <v>#NAME?</v>
      </c>
      <c r="AW41" t="e">
        <f ca="1">_xll.EQNXTDZ($A$1,$B41,AW$1,$B$1)</f>
        <v>#NAME?</v>
      </c>
      <c r="AX41" t="e">
        <f ca="1">_xll.EQNXTDZ($A$1,$B41,AX$1,$B$1)</f>
        <v>#NAME?</v>
      </c>
      <c r="AY41" t="e">
        <f ca="1">_xll.EQNXTDZ($A$1,$B41,AY$1,$B$1)</f>
        <v>#NAME?</v>
      </c>
      <c r="AZ41" t="e">
        <f ca="1">_xll.EQNXTDZ($A$1,$B41,AZ$1,$B$1)</f>
        <v>#NAME?</v>
      </c>
      <c r="BA41" t="e">
        <f ca="1">_xll.EQNXTDZ($A$1,$B41,BA$1,$B$1)</f>
        <v>#NAME?</v>
      </c>
      <c r="BB41" t="e">
        <f ca="1">_xll.EQNXTDZ($A$1,$B41,BB$1,$B$1)</f>
        <v>#NAME?</v>
      </c>
      <c r="BC41" t="e">
        <f ca="1">_xll.EQNXTDZ($A$1,$B41,BC$1,$B$1)</f>
        <v>#NAME?</v>
      </c>
      <c r="BD41" t="e">
        <f ca="1">_xll.EQNXTDZ($A$1,$B41,BD$1,$B$1)</f>
        <v>#NAME?</v>
      </c>
      <c r="BE41" t="e">
        <f ca="1">_xll.EQNXTDZ($A$1,$B41,BE$1,$B$1)</f>
        <v>#NAME?</v>
      </c>
      <c r="BF41" t="e">
        <f ca="1">_xll.EQNXTDZ($A$1,$B41,BF$1,$B$1)</f>
        <v>#NAME?</v>
      </c>
      <c r="BG41" t="e">
        <f ca="1">_xll.EQNXTDZ($A$1,$B41,BG$1,$B$1)</f>
        <v>#NAME?</v>
      </c>
      <c r="BH41" t="e">
        <f ca="1">_xll.EQNXTDZ($A$1,$B41,BH$1,$B$1)</f>
        <v>#NAME?</v>
      </c>
      <c r="BI41" t="e">
        <f ca="1">_xll.EQNXTDZ($A$1,$B41,BI$1,$B$1)</f>
        <v>#NAME?</v>
      </c>
      <c r="BJ41" t="e">
        <f ca="1">_xll.EQNXTDZ($A$1,$B41,BJ$1,$B$1)</f>
        <v>#NAME?</v>
      </c>
      <c r="BK41" t="e">
        <f ca="1">_xll.EQNXTDZ($A$1,$B41,BK$1,$B$1)</f>
        <v>#NAME?</v>
      </c>
      <c r="BL41" t="e">
        <f ca="1">_xll.EQNXTDZ($A$1,$B41,BL$1,$B$1)</f>
        <v>#NAME?</v>
      </c>
      <c r="BM41" t="e">
        <f ca="1">_xll.EQNXTDZ($A$1,$B41,BM$1,$B$1)</f>
        <v>#NAME?</v>
      </c>
      <c r="BN41" t="e">
        <f ca="1">_xll.EQNXTDZ($A$1,$B41,BN$1,$B$1)</f>
        <v>#NAME?</v>
      </c>
      <c r="BO41" t="e">
        <f ca="1">_xll.EQNXTDZ($A$1,$B41,BO$1,$B$1)</f>
        <v>#NAME?</v>
      </c>
      <c r="BP41" t="e">
        <f ca="1">_xll.EQNXTDZ($A$1,$B41,BP$1,$B$1)</f>
        <v>#NAME?</v>
      </c>
      <c r="BQ41" t="e">
        <f ca="1">_xll.EQNXTDZ($A$1,$B41,BQ$1,$B$1)</f>
        <v>#NAME?</v>
      </c>
      <c r="BR41" t="e">
        <f ca="1">_xll.EQNXTDZ($A$1,$B41,BR$1,$B$1)</f>
        <v>#NAME?</v>
      </c>
      <c r="BS41" t="e">
        <f ca="1">_xll.EQNXTDZ($A$1,$B41,BS$1,$B$1)</f>
        <v>#NAME?</v>
      </c>
      <c r="BT41" t="e">
        <f ca="1">_xll.EQNXTDZ($A$1,$B41,BT$1,$B$1)</f>
        <v>#NAME?</v>
      </c>
      <c r="BU41" t="e">
        <f ca="1">_xll.EQNXTDZ($A$1,$B41,BU$1,$B$1)</f>
        <v>#NAME?</v>
      </c>
      <c r="BV41" t="e">
        <f ca="1">_xll.EQNXTDZ($A$1,$B41,BV$1,$B$1)</f>
        <v>#NAME?</v>
      </c>
    </row>
    <row r="42" spans="1:74" x14ac:dyDescent="0.25">
      <c r="A42" t="s">
        <v>312</v>
      </c>
      <c r="B42" t="s">
        <v>313</v>
      </c>
      <c r="C42" t="e">
        <f ca="1">_xll.EQNXTDZ($A$1,$B42,C$1,$B$1)</f>
        <v>#NAME?</v>
      </c>
      <c r="D42" t="e">
        <f ca="1">_xll.EQNXTDZ($A$1,$B42,D$1,$B$1)</f>
        <v>#NAME?</v>
      </c>
      <c r="E42" t="e">
        <f ca="1">_xll.EQNXTDZ($A$1,$B42,E$1,$B$1)</f>
        <v>#NAME?</v>
      </c>
      <c r="F42" t="e">
        <f ca="1">_xll.EQNXTDZ($A$1,$B42,F$1,$B$1)</f>
        <v>#NAME?</v>
      </c>
      <c r="G42" t="e">
        <f ca="1">_xll.EQNXTDZ($A$1,$B42,G$1,$B$1)</f>
        <v>#NAME?</v>
      </c>
      <c r="H42" t="e">
        <f ca="1">_xll.EQNXTDZ($A$1,$B42,H$1,$B$1)</f>
        <v>#NAME?</v>
      </c>
      <c r="I42" t="e">
        <f ca="1">_xll.EQNXTDZ($A$1,$B42,I$1,$B$1)</f>
        <v>#NAME?</v>
      </c>
      <c r="J42" t="e">
        <f ca="1">_xll.EQNXTDZ($A$1,$B42,J$1,$B$1)</f>
        <v>#NAME?</v>
      </c>
      <c r="K42" t="e">
        <f ca="1">_xll.EQNXTDZ($A$1,$B42,K$1,$B$1)</f>
        <v>#NAME?</v>
      </c>
      <c r="L42" t="e">
        <f ca="1">_xll.EQNXTDZ($A$1,$B42,L$1,$B$1)</f>
        <v>#NAME?</v>
      </c>
      <c r="M42" t="e">
        <f ca="1">_xll.EQNXTDZ($A$1,$B42,M$1,$B$1)</f>
        <v>#NAME?</v>
      </c>
      <c r="N42" t="e">
        <f ca="1">_xll.EQNXTDZ($A$1,$B42,N$1,$B$1)</f>
        <v>#NAME?</v>
      </c>
      <c r="O42" t="e">
        <f ca="1">_xll.EQNXTDZ($A$1,$B42,O$1,$B$1)</f>
        <v>#NAME?</v>
      </c>
      <c r="P42" t="e">
        <f ca="1">_xll.EQNXTDZ($A$1,$B42,P$1,$B$1)</f>
        <v>#NAME?</v>
      </c>
      <c r="Q42" t="e">
        <f ca="1">_xll.EQNXTDZ($A$1,$B42,Q$1,$B$1)</f>
        <v>#NAME?</v>
      </c>
      <c r="R42" t="e">
        <f ca="1">_xll.EQNXTDZ($A$1,$B42,R$1,$B$1)</f>
        <v>#NAME?</v>
      </c>
      <c r="S42" t="e">
        <f ca="1">_xll.EQNXTDZ($A$1,$B42,S$1,$B$1)</f>
        <v>#NAME?</v>
      </c>
      <c r="T42" t="e">
        <f ca="1">_xll.EQNXTDZ($A$1,$B42,T$1,$B$1)</f>
        <v>#NAME?</v>
      </c>
      <c r="U42" t="e">
        <f ca="1">_xll.EQNXTDZ($A$1,$B42,U$1,$B$1)</f>
        <v>#NAME?</v>
      </c>
      <c r="V42" t="e">
        <f ca="1">_xll.EQNXTDZ($A$1,$B42,V$1,$B$1)</f>
        <v>#NAME?</v>
      </c>
      <c r="W42" t="e">
        <f ca="1">_xll.EQNXTDZ($A$1,$B42,W$1,$B$1)</f>
        <v>#NAME?</v>
      </c>
      <c r="X42" t="e">
        <f ca="1">_xll.EQNXTDZ($A$1,$B42,X$1,$B$1)</f>
        <v>#NAME?</v>
      </c>
      <c r="Y42" t="e">
        <f ca="1">_xll.EQNXTDZ($A$1,$B42,Y$1,$B$1)</f>
        <v>#NAME?</v>
      </c>
      <c r="Z42" t="e">
        <f ca="1">_xll.EQNXTDZ($A$1,$B42,Z$1,$B$1)</f>
        <v>#NAME?</v>
      </c>
      <c r="AA42" t="e">
        <f ca="1">_xll.EQNXTDZ($A$1,$B42,AA$1,$B$1)</f>
        <v>#NAME?</v>
      </c>
      <c r="AB42" t="e">
        <f ca="1">_xll.EQNXTDZ($A$1,$B42,AB$1,$B$1)</f>
        <v>#NAME?</v>
      </c>
      <c r="AC42" t="e">
        <f ca="1">_xll.EQNXTDZ($A$1,$B42,AC$1,$B$1)</f>
        <v>#NAME?</v>
      </c>
      <c r="AD42" t="e">
        <f ca="1">_xll.EQNXTDZ($A$1,$B42,AD$1,$B$1)</f>
        <v>#NAME?</v>
      </c>
      <c r="AE42" t="e">
        <f ca="1">_xll.EQNXTDZ($A$1,$B42,AE$1,$B$1)</f>
        <v>#NAME?</v>
      </c>
      <c r="AF42" t="e">
        <f ca="1">_xll.EQNXTDZ($A$1,$B42,AF$1,$B$1)</f>
        <v>#NAME?</v>
      </c>
      <c r="AG42" t="e">
        <f ca="1">_xll.EQNXTDZ($A$1,$B42,AG$1,$B$1)</f>
        <v>#NAME?</v>
      </c>
      <c r="AH42" t="e">
        <f ca="1">_xll.EQNXTDZ($A$1,$B42,AH$1,$B$1)</f>
        <v>#NAME?</v>
      </c>
      <c r="AI42" t="e">
        <f ca="1">_xll.EQNXTDZ($A$1,$B42,AI$1,$B$1)</f>
        <v>#NAME?</v>
      </c>
      <c r="AJ42" t="e">
        <f ca="1">_xll.EQNXTDZ($A$1,$B42,AJ$1,$B$1)</f>
        <v>#NAME?</v>
      </c>
      <c r="AK42" t="e">
        <f ca="1">_xll.EQNXTDZ($A$1,$B42,AK$1,$B$1)</f>
        <v>#NAME?</v>
      </c>
      <c r="AL42" t="e">
        <f ca="1">_xll.EQNXTDZ($A$1,$B42,AL$1,$B$1)</f>
        <v>#NAME?</v>
      </c>
      <c r="AM42" t="e">
        <f ca="1">_xll.EQNXTDZ($A$1,$B42,AM$1,$B$1)</f>
        <v>#NAME?</v>
      </c>
      <c r="AN42" t="e">
        <f ca="1">_xll.EQNXTDZ($A$1,$B42,AN$1,$B$1)</f>
        <v>#NAME?</v>
      </c>
      <c r="AO42" t="e">
        <f ca="1">_xll.EQNXTDZ($A$1,$B42,AO$1,$B$1)</f>
        <v>#NAME?</v>
      </c>
      <c r="AP42" t="e">
        <f ca="1">_xll.EQNXTDZ($A$1,$B42,AP$1,$B$1)</f>
        <v>#NAME?</v>
      </c>
      <c r="AQ42" t="e">
        <f ca="1">_xll.EQNXTDZ($A$1,$B42,AQ$1,$B$1)</f>
        <v>#NAME?</v>
      </c>
      <c r="AR42" t="e">
        <f ca="1">_xll.EQNXTDZ($A$1,$B42,AR$1,$B$1)</f>
        <v>#NAME?</v>
      </c>
      <c r="AS42" t="e">
        <f ca="1">_xll.EQNXTDZ($A$1,$B42,AS$1,$B$1)</f>
        <v>#NAME?</v>
      </c>
      <c r="AT42" t="e">
        <f ca="1">_xll.EQNXTDZ($A$1,$B42,AT$1,$B$1)</f>
        <v>#NAME?</v>
      </c>
      <c r="AU42" t="e">
        <f ca="1">_xll.EQNXTDZ($A$1,$B42,AU$1,$B$1)</f>
        <v>#NAME?</v>
      </c>
      <c r="AV42" t="e">
        <f ca="1">_xll.EQNXTDZ($A$1,$B42,AV$1,$B$1)</f>
        <v>#NAME?</v>
      </c>
      <c r="AW42" t="e">
        <f ca="1">_xll.EQNXTDZ($A$1,$B42,AW$1,$B$1)</f>
        <v>#NAME?</v>
      </c>
      <c r="AX42" t="e">
        <f ca="1">_xll.EQNXTDZ($A$1,$B42,AX$1,$B$1)</f>
        <v>#NAME?</v>
      </c>
      <c r="AY42" t="e">
        <f ca="1">_xll.EQNXTDZ($A$1,$B42,AY$1,$B$1)</f>
        <v>#NAME?</v>
      </c>
      <c r="AZ42" t="e">
        <f ca="1">_xll.EQNXTDZ($A$1,$B42,AZ$1,$B$1)</f>
        <v>#NAME?</v>
      </c>
      <c r="BA42" t="e">
        <f ca="1">_xll.EQNXTDZ($A$1,$B42,BA$1,$B$1)</f>
        <v>#NAME?</v>
      </c>
      <c r="BB42" t="e">
        <f ca="1">_xll.EQNXTDZ($A$1,$B42,BB$1,$B$1)</f>
        <v>#NAME?</v>
      </c>
      <c r="BC42" t="e">
        <f ca="1">_xll.EQNXTDZ($A$1,$B42,BC$1,$B$1)</f>
        <v>#NAME?</v>
      </c>
      <c r="BD42" t="e">
        <f ca="1">_xll.EQNXTDZ($A$1,$B42,BD$1,$B$1)</f>
        <v>#NAME?</v>
      </c>
      <c r="BE42" t="e">
        <f ca="1">_xll.EQNXTDZ($A$1,$B42,BE$1,$B$1)</f>
        <v>#NAME?</v>
      </c>
      <c r="BF42" t="e">
        <f ca="1">_xll.EQNXTDZ($A$1,$B42,BF$1,$B$1)</f>
        <v>#NAME?</v>
      </c>
      <c r="BG42" t="e">
        <f ca="1">_xll.EQNXTDZ($A$1,$B42,BG$1,$B$1)</f>
        <v>#NAME?</v>
      </c>
      <c r="BH42" t="e">
        <f ca="1">_xll.EQNXTDZ($A$1,$B42,BH$1,$B$1)</f>
        <v>#NAME?</v>
      </c>
      <c r="BI42" t="e">
        <f ca="1">_xll.EQNXTDZ($A$1,$B42,BI$1,$B$1)</f>
        <v>#NAME?</v>
      </c>
      <c r="BJ42" t="e">
        <f ca="1">_xll.EQNXTDZ($A$1,$B42,BJ$1,$B$1)</f>
        <v>#NAME?</v>
      </c>
      <c r="BK42" t="e">
        <f ca="1">_xll.EQNXTDZ($A$1,$B42,BK$1,$B$1)</f>
        <v>#NAME?</v>
      </c>
      <c r="BL42" t="e">
        <f ca="1">_xll.EQNXTDZ($A$1,$B42,BL$1,$B$1)</f>
        <v>#NAME?</v>
      </c>
      <c r="BM42" t="e">
        <f ca="1">_xll.EQNXTDZ($A$1,$B42,BM$1,$B$1)</f>
        <v>#NAME?</v>
      </c>
      <c r="BN42" t="e">
        <f ca="1">_xll.EQNXTDZ($A$1,$B42,BN$1,$B$1)</f>
        <v>#NAME?</v>
      </c>
      <c r="BO42" t="e">
        <f ca="1">_xll.EQNXTDZ($A$1,$B42,BO$1,$B$1)</f>
        <v>#NAME?</v>
      </c>
      <c r="BP42" t="e">
        <f ca="1">_xll.EQNXTDZ($A$1,$B42,BP$1,$B$1)</f>
        <v>#NAME?</v>
      </c>
      <c r="BQ42" t="e">
        <f ca="1">_xll.EQNXTDZ($A$1,$B42,BQ$1,$B$1)</f>
        <v>#NAME?</v>
      </c>
      <c r="BR42" t="e">
        <f ca="1">_xll.EQNXTDZ($A$1,$B42,BR$1,$B$1)</f>
        <v>#NAME?</v>
      </c>
      <c r="BS42" t="e">
        <f ca="1">_xll.EQNXTDZ($A$1,$B42,BS$1,$B$1)</f>
        <v>#NAME?</v>
      </c>
      <c r="BT42" t="e">
        <f ca="1">_xll.EQNXTDZ($A$1,$B42,BT$1,$B$1)</f>
        <v>#NAME?</v>
      </c>
      <c r="BU42" t="e">
        <f ca="1">_xll.EQNXTDZ($A$1,$B42,BU$1,$B$1)</f>
        <v>#NAME?</v>
      </c>
      <c r="BV42" t="e">
        <f ca="1">_xll.EQNXTDZ($A$1,$B42,BV$1,$B$1)</f>
        <v>#NAME?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 t="e">
        <f ca="1">_xll.EQNXTDZ($A$1,$B45,C$1,$B$1)</f>
        <v>#NAME?</v>
      </c>
      <c r="D45" t="e">
        <f ca="1">_xll.EQNXTDZ($A$1,$B45,D$1,$B$1)</f>
        <v>#NAME?</v>
      </c>
      <c r="E45" t="e">
        <f ca="1">_xll.EQNXTDZ($A$1,$B45,E$1,$B$1)</f>
        <v>#NAME?</v>
      </c>
      <c r="F45" t="e">
        <f ca="1">_xll.EQNXTDZ($A$1,$B45,F$1,$B$1)</f>
        <v>#NAME?</v>
      </c>
      <c r="G45" t="e">
        <f ca="1">_xll.EQNXTDZ($A$1,$B45,G$1,$B$1)</f>
        <v>#NAME?</v>
      </c>
      <c r="H45" t="e">
        <f ca="1">_xll.EQNXTDZ($A$1,$B45,H$1,$B$1)</f>
        <v>#NAME?</v>
      </c>
      <c r="I45" t="e">
        <f ca="1">_xll.EQNXTDZ($A$1,$B45,I$1,$B$1)</f>
        <v>#NAME?</v>
      </c>
      <c r="J45" t="e">
        <f ca="1">_xll.EQNXTDZ($A$1,$B45,J$1,$B$1)</f>
        <v>#NAME?</v>
      </c>
      <c r="K45" t="e">
        <f ca="1">_xll.EQNXTDZ($A$1,$B45,K$1,$B$1)</f>
        <v>#NAME?</v>
      </c>
      <c r="L45" t="e">
        <f ca="1">_xll.EQNXTDZ($A$1,$B45,L$1,$B$1)</f>
        <v>#NAME?</v>
      </c>
      <c r="M45" t="e">
        <f ca="1">_xll.EQNXTDZ($A$1,$B45,M$1,$B$1)</f>
        <v>#NAME?</v>
      </c>
      <c r="N45" t="e">
        <f ca="1">_xll.EQNXTDZ($A$1,$B45,N$1,$B$1)</f>
        <v>#NAME?</v>
      </c>
      <c r="O45" t="e">
        <f ca="1">_xll.EQNXTDZ($A$1,$B45,O$1,$B$1)</f>
        <v>#NAME?</v>
      </c>
      <c r="P45" t="e">
        <f ca="1">_xll.EQNXTDZ($A$1,$B45,P$1,$B$1)</f>
        <v>#NAME?</v>
      </c>
      <c r="Q45" t="e">
        <f ca="1">_xll.EQNXTDZ($A$1,$B45,Q$1,$B$1)</f>
        <v>#NAME?</v>
      </c>
      <c r="R45" t="e">
        <f ca="1">_xll.EQNXTDZ($A$1,$B45,R$1,$B$1)</f>
        <v>#NAME?</v>
      </c>
      <c r="S45" t="e">
        <f ca="1">_xll.EQNXTDZ($A$1,$B45,S$1,$B$1)</f>
        <v>#NAME?</v>
      </c>
      <c r="T45" t="e">
        <f ca="1">_xll.EQNXTDZ($A$1,$B45,T$1,$B$1)</f>
        <v>#NAME?</v>
      </c>
      <c r="U45" t="e">
        <f ca="1">_xll.EQNXTDZ($A$1,$B45,U$1,$B$1)</f>
        <v>#NAME?</v>
      </c>
      <c r="V45" t="e">
        <f ca="1">_xll.EQNXTDZ($A$1,$B45,V$1,$B$1)</f>
        <v>#NAME?</v>
      </c>
      <c r="W45" t="e">
        <f ca="1">_xll.EQNXTDZ($A$1,$B45,W$1,$B$1)</f>
        <v>#NAME?</v>
      </c>
      <c r="X45" t="e">
        <f ca="1">_xll.EQNXTDZ($A$1,$B45,X$1,$B$1)</f>
        <v>#NAME?</v>
      </c>
      <c r="Y45" t="e">
        <f ca="1">_xll.EQNXTDZ($A$1,$B45,Y$1,$B$1)</f>
        <v>#NAME?</v>
      </c>
      <c r="Z45" t="e">
        <f ca="1">_xll.EQNXTDZ($A$1,$B45,Z$1,$B$1)</f>
        <v>#NAME?</v>
      </c>
      <c r="AA45" t="e">
        <f ca="1">_xll.EQNXTDZ($A$1,$B45,AA$1,$B$1)</f>
        <v>#NAME?</v>
      </c>
      <c r="AB45" t="e">
        <f ca="1">_xll.EQNXTDZ($A$1,$B45,AB$1,$B$1)</f>
        <v>#NAME?</v>
      </c>
      <c r="AC45" t="e">
        <f ca="1">_xll.EQNXTDZ($A$1,$B45,AC$1,$B$1)</f>
        <v>#NAME?</v>
      </c>
      <c r="AD45" t="e">
        <f ca="1">_xll.EQNXTDZ($A$1,$B45,AD$1,$B$1)</f>
        <v>#NAME?</v>
      </c>
      <c r="AE45" t="e">
        <f ca="1">_xll.EQNXTDZ($A$1,$B45,AE$1,$B$1)</f>
        <v>#NAME?</v>
      </c>
      <c r="AF45" t="e">
        <f ca="1">_xll.EQNXTDZ($A$1,$B45,AF$1,$B$1)</f>
        <v>#NAME?</v>
      </c>
      <c r="AG45" t="e">
        <f ca="1">_xll.EQNXTDZ($A$1,$B45,AG$1,$B$1)</f>
        <v>#NAME?</v>
      </c>
      <c r="AH45" t="e">
        <f ca="1">_xll.EQNXTDZ($A$1,$B45,AH$1,$B$1)</f>
        <v>#NAME?</v>
      </c>
      <c r="AI45" t="e">
        <f ca="1">_xll.EQNXTDZ($A$1,$B45,AI$1,$B$1)</f>
        <v>#NAME?</v>
      </c>
      <c r="AJ45" t="e">
        <f ca="1">_xll.EQNXTDZ($A$1,$B45,AJ$1,$B$1)</f>
        <v>#NAME?</v>
      </c>
      <c r="AK45" t="e">
        <f ca="1">_xll.EQNXTDZ($A$1,$B45,AK$1,$B$1)</f>
        <v>#NAME?</v>
      </c>
      <c r="AL45" t="e">
        <f ca="1">_xll.EQNXTDZ($A$1,$B45,AL$1,$B$1)</f>
        <v>#NAME?</v>
      </c>
      <c r="AM45" t="e">
        <f ca="1">_xll.EQNXTDZ($A$1,$B45,AM$1,$B$1)</f>
        <v>#NAME?</v>
      </c>
      <c r="AN45" t="e">
        <f ca="1">_xll.EQNXTDZ($A$1,$B45,AN$1,$B$1)</f>
        <v>#NAME?</v>
      </c>
      <c r="AO45" t="e">
        <f ca="1">_xll.EQNXTDZ($A$1,$B45,AO$1,$B$1)</f>
        <v>#NAME?</v>
      </c>
      <c r="AP45" t="e">
        <f ca="1">_xll.EQNXTDZ($A$1,$B45,AP$1,$B$1)</f>
        <v>#NAME?</v>
      </c>
      <c r="AQ45" t="e">
        <f ca="1">_xll.EQNXTDZ($A$1,$B45,AQ$1,$B$1)</f>
        <v>#NAME?</v>
      </c>
      <c r="AR45" t="e">
        <f ca="1">_xll.EQNXTDZ($A$1,$B45,AR$1,$B$1)</f>
        <v>#NAME?</v>
      </c>
      <c r="AS45" t="e">
        <f ca="1">_xll.EQNXTDZ($A$1,$B45,AS$1,$B$1)</f>
        <v>#NAME?</v>
      </c>
      <c r="AT45" t="e">
        <f ca="1">_xll.EQNXTDZ($A$1,$B45,AT$1,$B$1)</f>
        <v>#NAME?</v>
      </c>
      <c r="AU45" t="e">
        <f ca="1">_xll.EQNXTDZ($A$1,$B45,AU$1,$B$1)</f>
        <v>#NAME?</v>
      </c>
      <c r="AV45" t="e">
        <f ca="1">_xll.EQNXTDZ($A$1,$B45,AV$1,$B$1)</f>
        <v>#NAME?</v>
      </c>
      <c r="AW45" t="e">
        <f ca="1">_xll.EQNXTDZ($A$1,$B45,AW$1,$B$1)</f>
        <v>#NAME?</v>
      </c>
      <c r="AX45" t="e">
        <f ca="1">_xll.EQNXTDZ($A$1,$B45,AX$1,$B$1)</f>
        <v>#NAME?</v>
      </c>
      <c r="AY45" t="e">
        <f ca="1">_xll.EQNXTDZ($A$1,$B45,AY$1,$B$1)</f>
        <v>#NAME?</v>
      </c>
      <c r="AZ45" t="e">
        <f ca="1">_xll.EQNXTDZ($A$1,$B45,AZ$1,$B$1)</f>
        <v>#NAME?</v>
      </c>
      <c r="BA45" t="e">
        <f ca="1">_xll.EQNXTDZ($A$1,$B45,BA$1,$B$1)</f>
        <v>#NAME?</v>
      </c>
      <c r="BB45" t="e">
        <f ca="1">_xll.EQNXTDZ($A$1,$B45,BB$1,$B$1)</f>
        <v>#NAME?</v>
      </c>
      <c r="BC45" t="e">
        <f ca="1">_xll.EQNXTDZ($A$1,$B45,BC$1,$B$1)</f>
        <v>#NAME?</v>
      </c>
      <c r="BD45" t="e">
        <f ca="1">_xll.EQNXTDZ($A$1,$B45,BD$1,$B$1)</f>
        <v>#NAME?</v>
      </c>
      <c r="BE45" t="e">
        <f ca="1">_xll.EQNXTDZ($A$1,$B45,BE$1,$B$1)</f>
        <v>#NAME?</v>
      </c>
      <c r="BF45" t="e">
        <f ca="1">_xll.EQNXTDZ($A$1,$B45,BF$1,$B$1)</f>
        <v>#NAME?</v>
      </c>
      <c r="BG45" t="e">
        <f ca="1">_xll.EQNXTDZ($A$1,$B45,BG$1,$B$1)</f>
        <v>#NAME?</v>
      </c>
      <c r="BH45" t="e">
        <f ca="1">_xll.EQNXTDZ($A$1,$B45,BH$1,$B$1)</f>
        <v>#NAME?</v>
      </c>
      <c r="BI45" t="e">
        <f ca="1">_xll.EQNXTDZ($A$1,$B45,BI$1,$B$1)</f>
        <v>#NAME?</v>
      </c>
      <c r="BJ45" t="e">
        <f ca="1">_xll.EQNXTDZ($A$1,$B45,BJ$1,$B$1)</f>
        <v>#NAME?</v>
      </c>
      <c r="BK45" t="e">
        <f ca="1">_xll.EQNXTDZ($A$1,$B45,BK$1,$B$1)</f>
        <v>#NAME?</v>
      </c>
      <c r="BL45" t="e">
        <f ca="1">_xll.EQNXTDZ($A$1,$B45,BL$1,$B$1)</f>
        <v>#NAME?</v>
      </c>
      <c r="BM45" t="e">
        <f ca="1">_xll.EQNXTDZ($A$1,$B45,BM$1,$B$1)</f>
        <v>#NAME?</v>
      </c>
      <c r="BN45" t="e">
        <f ca="1">_xll.EQNXTDZ($A$1,$B45,BN$1,$B$1)</f>
        <v>#NAME?</v>
      </c>
      <c r="BO45" t="e">
        <f ca="1">_xll.EQNXTDZ($A$1,$B45,BO$1,$B$1)</f>
        <v>#NAME?</v>
      </c>
      <c r="BP45" t="e">
        <f ca="1">_xll.EQNXTDZ($A$1,$B45,BP$1,$B$1)</f>
        <v>#NAME?</v>
      </c>
      <c r="BQ45" t="e">
        <f ca="1">_xll.EQNXTDZ($A$1,$B45,BQ$1,$B$1)</f>
        <v>#NAME?</v>
      </c>
      <c r="BR45" t="e">
        <f ca="1">_xll.EQNXTDZ($A$1,$B45,BR$1,$B$1)</f>
        <v>#NAME?</v>
      </c>
      <c r="BS45" t="e">
        <f ca="1">_xll.EQNXTDZ($A$1,$B45,BS$1,$B$1)</f>
        <v>#NAME?</v>
      </c>
      <c r="BT45" t="e">
        <f ca="1">_xll.EQNXTDZ($A$1,$B45,BT$1,$B$1)</f>
        <v>#NAME?</v>
      </c>
      <c r="BU45" t="e">
        <f ca="1">_xll.EQNXTDZ($A$1,$B45,BU$1,$B$1)</f>
        <v>#NAME?</v>
      </c>
      <c r="BV45" t="e">
        <f ca="1">_xll.EQNXTDZ($A$1,$B45,BV$1,$B$1)</f>
        <v>#NAME?</v>
      </c>
    </row>
    <row r="46" spans="1:74" x14ac:dyDescent="0.25">
      <c r="A46" t="s">
        <v>315</v>
      </c>
      <c r="B46" t="s">
        <v>335</v>
      </c>
      <c r="C46" t="e">
        <f ca="1">_xll.EQNXTDZ($A$1,$B46,C$1,$B$1)</f>
        <v>#NAME?</v>
      </c>
      <c r="D46" t="e">
        <f ca="1">_xll.EQNXTDZ($A$1,$B46,D$1,$B$1)</f>
        <v>#NAME?</v>
      </c>
      <c r="E46" t="e">
        <f ca="1">_xll.EQNXTDZ($A$1,$B46,E$1,$B$1)</f>
        <v>#NAME?</v>
      </c>
      <c r="F46" t="e">
        <f ca="1">_xll.EQNXTDZ($A$1,$B46,F$1,$B$1)</f>
        <v>#NAME?</v>
      </c>
      <c r="G46" t="e">
        <f ca="1">_xll.EQNXTDZ($A$1,$B46,G$1,$B$1)</f>
        <v>#NAME?</v>
      </c>
      <c r="H46" t="e">
        <f ca="1">_xll.EQNXTDZ($A$1,$B46,H$1,$B$1)</f>
        <v>#NAME?</v>
      </c>
      <c r="I46" t="e">
        <f ca="1">_xll.EQNXTDZ($A$1,$B46,I$1,$B$1)</f>
        <v>#NAME?</v>
      </c>
      <c r="J46" t="e">
        <f ca="1">_xll.EQNXTDZ($A$1,$B46,J$1,$B$1)</f>
        <v>#NAME?</v>
      </c>
      <c r="K46" t="e">
        <f ca="1">_xll.EQNXTDZ($A$1,$B46,K$1,$B$1)</f>
        <v>#NAME?</v>
      </c>
      <c r="L46" t="e">
        <f ca="1">_xll.EQNXTDZ($A$1,$B46,L$1,$B$1)</f>
        <v>#NAME?</v>
      </c>
      <c r="M46" t="e">
        <f ca="1">_xll.EQNXTDZ($A$1,$B46,M$1,$B$1)</f>
        <v>#NAME?</v>
      </c>
      <c r="N46" t="e">
        <f ca="1">_xll.EQNXTDZ($A$1,$B46,N$1,$B$1)</f>
        <v>#NAME?</v>
      </c>
      <c r="O46" t="e">
        <f ca="1">_xll.EQNXTDZ($A$1,$B46,O$1,$B$1)</f>
        <v>#NAME?</v>
      </c>
      <c r="P46" t="e">
        <f ca="1">_xll.EQNXTDZ($A$1,$B46,P$1,$B$1)</f>
        <v>#NAME?</v>
      </c>
      <c r="Q46" t="e">
        <f ca="1">_xll.EQNXTDZ($A$1,$B46,Q$1,$B$1)</f>
        <v>#NAME?</v>
      </c>
      <c r="R46" t="e">
        <f ca="1">_xll.EQNXTDZ($A$1,$B46,R$1,$B$1)</f>
        <v>#NAME?</v>
      </c>
      <c r="S46" t="e">
        <f ca="1">_xll.EQNXTDZ($A$1,$B46,S$1,$B$1)</f>
        <v>#NAME?</v>
      </c>
      <c r="T46" t="e">
        <f ca="1">_xll.EQNXTDZ($A$1,$B46,T$1,$B$1)</f>
        <v>#NAME?</v>
      </c>
      <c r="U46" t="e">
        <f ca="1">_xll.EQNXTDZ($A$1,$B46,U$1,$B$1)</f>
        <v>#NAME?</v>
      </c>
      <c r="V46" t="e">
        <f ca="1">_xll.EQNXTDZ($A$1,$B46,V$1,$B$1)</f>
        <v>#NAME?</v>
      </c>
      <c r="W46" t="e">
        <f ca="1">_xll.EQNXTDZ($A$1,$B46,W$1,$B$1)</f>
        <v>#NAME?</v>
      </c>
      <c r="X46" t="e">
        <f ca="1">_xll.EQNXTDZ($A$1,$B46,X$1,$B$1)</f>
        <v>#NAME?</v>
      </c>
      <c r="Y46" t="e">
        <f ca="1">_xll.EQNXTDZ($A$1,$B46,Y$1,$B$1)</f>
        <v>#NAME?</v>
      </c>
      <c r="Z46" t="e">
        <f ca="1">_xll.EQNXTDZ($A$1,$B46,Z$1,$B$1)</f>
        <v>#NAME?</v>
      </c>
      <c r="AA46" t="e">
        <f ca="1">_xll.EQNXTDZ($A$1,$B46,AA$1,$B$1)</f>
        <v>#NAME?</v>
      </c>
      <c r="AB46" t="e">
        <f ca="1">_xll.EQNXTDZ($A$1,$B46,AB$1,$B$1)</f>
        <v>#NAME?</v>
      </c>
      <c r="AC46" t="e">
        <f ca="1">_xll.EQNXTDZ($A$1,$B46,AC$1,$B$1)</f>
        <v>#NAME?</v>
      </c>
      <c r="AD46" t="e">
        <f ca="1">_xll.EQNXTDZ($A$1,$B46,AD$1,$B$1)</f>
        <v>#NAME?</v>
      </c>
      <c r="AE46" t="e">
        <f ca="1">_xll.EQNXTDZ($A$1,$B46,AE$1,$B$1)</f>
        <v>#NAME?</v>
      </c>
      <c r="AF46" t="e">
        <f ca="1">_xll.EQNXTDZ($A$1,$B46,AF$1,$B$1)</f>
        <v>#NAME?</v>
      </c>
      <c r="AG46" t="e">
        <f ca="1">_xll.EQNXTDZ($A$1,$B46,AG$1,$B$1)</f>
        <v>#NAME?</v>
      </c>
      <c r="AH46" t="e">
        <f ca="1">_xll.EQNXTDZ($A$1,$B46,AH$1,$B$1)</f>
        <v>#NAME?</v>
      </c>
      <c r="AI46" t="e">
        <f ca="1">_xll.EQNXTDZ($A$1,$B46,AI$1,$B$1)</f>
        <v>#NAME?</v>
      </c>
      <c r="AJ46" t="e">
        <f ca="1">_xll.EQNXTDZ($A$1,$B46,AJ$1,$B$1)</f>
        <v>#NAME?</v>
      </c>
      <c r="AK46" t="e">
        <f ca="1">_xll.EQNXTDZ($A$1,$B46,AK$1,$B$1)</f>
        <v>#NAME?</v>
      </c>
      <c r="AL46" t="e">
        <f ca="1">_xll.EQNXTDZ($A$1,$B46,AL$1,$B$1)</f>
        <v>#NAME?</v>
      </c>
      <c r="AM46" t="e">
        <f ca="1">_xll.EQNXTDZ($A$1,$B46,AM$1,$B$1)</f>
        <v>#NAME?</v>
      </c>
      <c r="AN46" t="e">
        <f ca="1">_xll.EQNXTDZ($A$1,$B46,AN$1,$B$1)</f>
        <v>#NAME?</v>
      </c>
      <c r="AO46" t="e">
        <f ca="1">_xll.EQNXTDZ($A$1,$B46,AO$1,$B$1)</f>
        <v>#NAME?</v>
      </c>
      <c r="AP46" t="e">
        <f ca="1">_xll.EQNXTDZ($A$1,$B46,AP$1,$B$1)</f>
        <v>#NAME?</v>
      </c>
      <c r="AQ46" t="e">
        <f ca="1">_xll.EQNXTDZ($A$1,$B46,AQ$1,$B$1)</f>
        <v>#NAME?</v>
      </c>
      <c r="AR46" t="e">
        <f ca="1">_xll.EQNXTDZ($A$1,$B46,AR$1,$B$1)</f>
        <v>#NAME?</v>
      </c>
      <c r="AS46" t="e">
        <f ca="1">_xll.EQNXTDZ($A$1,$B46,AS$1,$B$1)</f>
        <v>#NAME?</v>
      </c>
      <c r="AT46" t="e">
        <f ca="1">_xll.EQNXTDZ($A$1,$B46,AT$1,$B$1)</f>
        <v>#NAME?</v>
      </c>
      <c r="AU46" t="e">
        <f ca="1">_xll.EQNXTDZ($A$1,$B46,AU$1,$B$1)</f>
        <v>#NAME?</v>
      </c>
      <c r="AV46" t="e">
        <f ca="1">_xll.EQNXTDZ($A$1,$B46,AV$1,$B$1)</f>
        <v>#NAME?</v>
      </c>
      <c r="AW46" t="e">
        <f ca="1">_xll.EQNXTDZ($A$1,$B46,AW$1,$B$1)</f>
        <v>#NAME?</v>
      </c>
      <c r="AX46" t="e">
        <f ca="1">_xll.EQNXTDZ($A$1,$B46,AX$1,$B$1)</f>
        <v>#NAME?</v>
      </c>
      <c r="AY46" t="e">
        <f ca="1">_xll.EQNXTDZ($A$1,$B46,AY$1,$B$1)</f>
        <v>#NAME?</v>
      </c>
      <c r="AZ46" t="e">
        <f ca="1">_xll.EQNXTDZ($A$1,$B46,AZ$1,$B$1)</f>
        <v>#NAME?</v>
      </c>
      <c r="BA46" t="e">
        <f ca="1">_xll.EQNXTDZ($A$1,$B46,BA$1,$B$1)</f>
        <v>#NAME?</v>
      </c>
      <c r="BB46" t="e">
        <f ca="1">_xll.EQNXTDZ($A$1,$B46,BB$1,$B$1)</f>
        <v>#NAME?</v>
      </c>
      <c r="BC46" t="e">
        <f ca="1">_xll.EQNXTDZ($A$1,$B46,BC$1,$B$1)</f>
        <v>#NAME?</v>
      </c>
      <c r="BD46" t="e">
        <f ca="1">_xll.EQNXTDZ($A$1,$B46,BD$1,$B$1)</f>
        <v>#NAME?</v>
      </c>
      <c r="BE46" t="e">
        <f ca="1">_xll.EQNXTDZ($A$1,$B46,BE$1,$B$1)</f>
        <v>#NAME?</v>
      </c>
      <c r="BF46" t="e">
        <f ca="1">_xll.EQNXTDZ($A$1,$B46,BF$1,$B$1)</f>
        <v>#NAME?</v>
      </c>
      <c r="BG46" t="e">
        <f ca="1">_xll.EQNXTDZ($A$1,$B46,BG$1,$B$1)</f>
        <v>#NAME?</v>
      </c>
      <c r="BH46" t="e">
        <f ca="1">_xll.EQNXTDZ($A$1,$B46,BH$1,$B$1)</f>
        <v>#NAME?</v>
      </c>
      <c r="BI46" t="e">
        <f ca="1">_xll.EQNXTDZ($A$1,$B46,BI$1,$B$1)</f>
        <v>#NAME?</v>
      </c>
      <c r="BJ46" t="e">
        <f ca="1">_xll.EQNXTDZ($A$1,$B46,BJ$1,$B$1)</f>
        <v>#NAME?</v>
      </c>
      <c r="BK46" t="e">
        <f ca="1">_xll.EQNXTDZ($A$1,$B46,BK$1,$B$1)</f>
        <v>#NAME?</v>
      </c>
      <c r="BL46" t="e">
        <f ca="1">_xll.EQNXTDZ($A$1,$B46,BL$1,$B$1)</f>
        <v>#NAME?</v>
      </c>
      <c r="BM46" t="e">
        <f ca="1">_xll.EQNXTDZ($A$1,$B46,BM$1,$B$1)</f>
        <v>#NAME?</v>
      </c>
      <c r="BN46" t="e">
        <f ca="1">_xll.EQNXTDZ($A$1,$B46,BN$1,$B$1)</f>
        <v>#NAME?</v>
      </c>
      <c r="BO46" t="e">
        <f ca="1">_xll.EQNXTDZ($A$1,$B46,BO$1,$B$1)</f>
        <v>#NAME?</v>
      </c>
      <c r="BP46" t="e">
        <f ca="1">_xll.EQNXTDZ($A$1,$B46,BP$1,$B$1)</f>
        <v>#NAME?</v>
      </c>
      <c r="BQ46" t="e">
        <f ca="1">_xll.EQNXTDZ($A$1,$B46,BQ$1,$B$1)</f>
        <v>#NAME?</v>
      </c>
      <c r="BR46" t="e">
        <f ca="1">_xll.EQNXTDZ($A$1,$B46,BR$1,$B$1)</f>
        <v>#NAME?</v>
      </c>
      <c r="BS46" t="e">
        <f ca="1">_xll.EQNXTDZ($A$1,$B46,BS$1,$B$1)</f>
        <v>#NAME?</v>
      </c>
      <c r="BT46" t="e">
        <f ca="1">_xll.EQNXTDZ($A$1,$B46,BT$1,$B$1)</f>
        <v>#NAME?</v>
      </c>
      <c r="BU46" t="e">
        <f ca="1">_xll.EQNXTDZ($A$1,$B46,BU$1,$B$1)</f>
        <v>#NAME?</v>
      </c>
      <c r="BV46" t="e">
        <f ca="1">_xll.EQNXTDZ($A$1,$B46,BV$1,$B$1)</f>
        <v>#NAME?</v>
      </c>
    </row>
    <row r="47" spans="1:74" x14ac:dyDescent="0.25">
      <c r="A47" t="s">
        <v>337</v>
      </c>
      <c r="B47" t="s">
        <v>338</v>
      </c>
      <c r="C47" t="e">
        <f ca="1">_xll.EQNXTDZ($A$1,$B47,C$5)</f>
        <v>#NAME?</v>
      </c>
      <c r="D47" t="e">
        <f ca="1">_xll.EQNXTDZ($A$1,$B47,D$5)</f>
        <v>#NAME?</v>
      </c>
      <c r="E47" t="e">
        <f ca="1">_xll.EQNXTDZ($A$1,$B47,E$5)</f>
        <v>#NAME?</v>
      </c>
      <c r="F47" t="e">
        <f ca="1">_xll.EQNXTDZ($A$1,$B47,F$5)</f>
        <v>#NAME?</v>
      </c>
      <c r="G47" t="e">
        <f ca="1">_xll.EQNXTDZ($A$1,$B47,G$5)</f>
        <v>#NAME?</v>
      </c>
      <c r="H47" t="e">
        <f ca="1">_xll.EQNXTDZ($A$1,$B47,H$5)</f>
        <v>#NAME?</v>
      </c>
      <c r="I47" t="e">
        <f ca="1">_xll.EQNXTDZ($A$1,$B47,I$5)</f>
        <v>#NAME?</v>
      </c>
      <c r="J47" t="e">
        <f ca="1">_xll.EQNXTDZ($A$1,$B47,J$5)</f>
        <v>#NAME?</v>
      </c>
      <c r="K47" t="e">
        <f ca="1">_xll.EQNXTDZ($A$1,$B47,K$5)</f>
        <v>#NAME?</v>
      </c>
      <c r="L47" t="e">
        <f ca="1">_xll.EQNXTDZ($A$1,$B47,L$5)</f>
        <v>#NAME?</v>
      </c>
      <c r="M47" t="e">
        <f ca="1">_xll.EQNXTDZ($A$1,$B47,M$5)</f>
        <v>#NAME?</v>
      </c>
      <c r="N47" t="e">
        <f ca="1">_xll.EQNXTDZ($A$1,$B47,N$5)</f>
        <v>#NAME?</v>
      </c>
      <c r="O47" t="e">
        <f ca="1">_xll.EQNXTDZ($A$1,$B47,O$5)</f>
        <v>#NAME?</v>
      </c>
      <c r="P47" t="e">
        <f ca="1">_xll.EQNXTDZ($A$1,$B47,P$5)</f>
        <v>#NAME?</v>
      </c>
      <c r="Q47" t="e">
        <f ca="1">_xll.EQNXTDZ($A$1,$B47,Q$5)</f>
        <v>#NAME?</v>
      </c>
      <c r="R47" t="e">
        <f ca="1">_xll.EQNXTDZ($A$1,$B47,R$5)</f>
        <v>#NAME?</v>
      </c>
      <c r="S47" t="e">
        <f ca="1">_xll.EQNXTDZ($A$1,$B47,S$5)</f>
        <v>#NAME?</v>
      </c>
      <c r="T47" t="e">
        <f ca="1">_xll.EQNXTDZ($A$1,$B47,T$5)</f>
        <v>#NAME?</v>
      </c>
      <c r="U47" t="e">
        <f ca="1">_xll.EQNXTDZ($A$1,$B47,U$5)</f>
        <v>#NAME?</v>
      </c>
      <c r="V47" t="e">
        <f ca="1">_xll.EQNXTDZ($A$1,$B47,V$5)</f>
        <v>#NAME?</v>
      </c>
      <c r="W47" t="e">
        <f ca="1">_xll.EQNXTDZ($A$1,$B47,W$5)</f>
        <v>#NAME?</v>
      </c>
      <c r="X47" t="e">
        <f ca="1">_xll.EQNXTDZ($A$1,$B47,X$5)</f>
        <v>#NAME?</v>
      </c>
      <c r="Y47" t="e">
        <f ca="1">_xll.EQNXTDZ($A$1,$B47,Y$5)</f>
        <v>#NAME?</v>
      </c>
      <c r="Z47" t="e">
        <f ca="1">_xll.EQNXTDZ($A$1,$B47,Z$5)</f>
        <v>#NAME?</v>
      </c>
      <c r="AA47" t="e">
        <f ca="1">_xll.EQNXTDZ($A$1,$B47,AA$5)</f>
        <v>#NAME?</v>
      </c>
      <c r="AB47" t="e">
        <f ca="1">_xll.EQNXTDZ($A$1,$B47,AB$5)</f>
        <v>#NAME?</v>
      </c>
      <c r="AC47" t="e">
        <f ca="1">_xll.EQNXTDZ($A$1,$B47,AC$5)</f>
        <v>#NAME?</v>
      </c>
      <c r="AD47" t="e">
        <f ca="1">_xll.EQNXTDZ($A$1,$B47,AD$5)</f>
        <v>#NAME?</v>
      </c>
      <c r="AE47" t="e">
        <f ca="1">_xll.EQNXTDZ($A$1,$B47,AE$5)</f>
        <v>#NAME?</v>
      </c>
      <c r="AF47" t="e">
        <f ca="1">_xll.EQNXTDZ($A$1,$B47,AF$5)</f>
        <v>#NAME?</v>
      </c>
      <c r="AG47" t="e">
        <f ca="1">_xll.EQNXTDZ($A$1,$B47,AG$5)</f>
        <v>#NAME?</v>
      </c>
      <c r="AH47" t="e">
        <f ca="1">_xll.EQNXTDZ($A$1,$B47,AH$5)</f>
        <v>#NAME?</v>
      </c>
      <c r="AI47" t="e">
        <f ca="1">_xll.EQNXTDZ($A$1,$B47,AI$5)</f>
        <v>#NAME?</v>
      </c>
      <c r="AJ47" t="e">
        <f ca="1">_xll.EQNXTDZ($A$1,$B47,AJ$5)</f>
        <v>#NAME?</v>
      </c>
      <c r="AK47" t="e">
        <f ca="1">_xll.EQNXTDZ($A$1,$B47,AK$5)</f>
        <v>#NAME?</v>
      </c>
      <c r="AL47" t="e">
        <f ca="1">_xll.EQNXTDZ($A$1,$B47,AL$5)</f>
        <v>#NAME?</v>
      </c>
      <c r="AM47" t="e">
        <f ca="1">_xll.EQNXTDZ($A$1,$B47,AM$5)</f>
        <v>#NAME?</v>
      </c>
      <c r="AN47" t="e">
        <f ca="1">_xll.EQNXTDZ($A$1,$B47,AN$5)</f>
        <v>#NAME?</v>
      </c>
      <c r="AO47" t="e">
        <f ca="1">_xll.EQNXTDZ($A$1,$B47,AO$5)</f>
        <v>#NAME?</v>
      </c>
      <c r="AP47" t="e">
        <f ca="1">_xll.EQNXTDZ($A$1,$B47,AP$5)</f>
        <v>#NAME?</v>
      </c>
      <c r="AQ47" t="e">
        <f ca="1">_xll.EQNXTDZ($A$1,$B47,AQ$5)</f>
        <v>#NAME?</v>
      </c>
      <c r="AR47" t="e">
        <f ca="1">_xll.EQNXTDZ($A$1,$B47,AR$5)</f>
        <v>#NAME?</v>
      </c>
      <c r="AS47" t="e">
        <f ca="1">_xll.EQNXTDZ($A$1,$B47,AS$5)</f>
        <v>#NAME?</v>
      </c>
      <c r="AT47" t="e">
        <f ca="1">_xll.EQNXTDZ($A$1,$B47,AT$5)</f>
        <v>#NAME?</v>
      </c>
      <c r="AU47" t="e">
        <f ca="1">_xll.EQNXTDZ($A$1,$B47,AU$5)</f>
        <v>#NAME?</v>
      </c>
      <c r="AV47" t="e">
        <f ca="1">_xll.EQNXTDZ($A$1,$B47,AV$5)</f>
        <v>#NAME?</v>
      </c>
      <c r="AW47" t="e">
        <f ca="1">_xll.EQNXTDZ($A$1,$B47,AW$5)</f>
        <v>#NAME?</v>
      </c>
      <c r="AX47" t="e">
        <f ca="1">_xll.EQNXTDZ($A$1,$B47,AX$5)</f>
        <v>#NAME?</v>
      </c>
      <c r="AY47" t="e">
        <f ca="1">_xll.EQNXTDZ($A$1,$B47,AY$5)</f>
        <v>#NAME?</v>
      </c>
      <c r="AZ47" t="e">
        <f ca="1">_xll.EQNXTDZ($A$1,$B47,AZ$5)</f>
        <v>#NAME?</v>
      </c>
      <c r="BA47" t="e">
        <f ca="1">_xll.EQNXTDZ($A$1,$B47,BA$5)</f>
        <v>#NAME?</v>
      </c>
      <c r="BB47" t="e">
        <f ca="1">_xll.EQNXTDZ($A$1,$B47,BB$5)</f>
        <v>#NAME?</v>
      </c>
      <c r="BC47" t="e">
        <f ca="1">_xll.EQNXTDZ($A$1,$B47,BC$5)</f>
        <v>#NAME?</v>
      </c>
      <c r="BD47" t="e">
        <f ca="1">_xll.EQNXTDZ($A$1,$B47,BD$5)</f>
        <v>#NAME?</v>
      </c>
      <c r="BE47" t="e">
        <f ca="1">_xll.EQNXTDZ($A$1,$B47,BE$5)</f>
        <v>#NAME?</v>
      </c>
      <c r="BF47" t="e">
        <f ca="1">_xll.EQNXTDZ($A$1,$B47,BF$5)</f>
        <v>#NAME?</v>
      </c>
      <c r="BG47" t="e">
        <f ca="1">_xll.EQNXTDZ($A$1,$B47,BG$5)</f>
        <v>#NAME?</v>
      </c>
      <c r="BH47" t="e">
        <f ca="1">_xll.EQNXTDZ($A$1,$B47,BH$5)</f>
        <v>#NAME?</v>
      </c>
      <c r="BI47" t="e">
        <f ca="1">_xll.EQNXTDZ($A$1,$B47,BI$5)</f>
        <v>#NAME?</v>
      </c>
      <c r="BJ47" t="e">
        <f ca="1">_xll.EQNXTDZ($A$1,$B47,BJ$5)</f>
        <v>#NAME?</v>
      </c>
      <c r="BK47" t="e">
        <f ca="1">_xll.EQNXTDZ($A$1,$B47,BK$5)</f>
        <v>#NAME?</v>
      </c>
      <c r="BL47" t="e">
        <f ca="1">_xll.EQNXTDZ($A$1,$B47,BL$5)</f>
        <v>#NAME?</v>
      </c>
      <c r="BM47" t="e">
        <f ca="1">_xll.EQNXTDZ($A$1,$B47,BM$5)</f>
        <v>#NAME?</v>
      </c>
      <c r="BN47" t="e">
        <f ca="1">_xll.EQNXTDZ($A$1,$B47,BN$5)</f>
        <v>#NAME?</v>
      </c>
      <c r="BO47" t="e">
        <f ca="1">_xll.EQNXTDZ($A$1,$B47,BO$5)</f>
        <v>#NAME?</v>
      </c>
      <c r="BP47" t="e">
        <f ca="1">_xll.EQNXTDZ($A$1,$B47,BP$5)</f>
        <v>#NAME?</v>
      </c>
      <c r="BQ47" t="e">
        <f ca="1">_xll.EQNXTDZ($A$1,$B47,BQ$5)</f>
        <v>#NAME?</v>
      </c>
      <c r="BR47" t="e">
        <f ca="1">_xll.EQNXTDZ($A$1,$B47,BR$5)</f>
        <v>#NAME?</v>
      </c>
      <c r="BS47" t="e">
        <f ca="1">_xll.EQNXTDZ($A$1,$B47,BS$5)</f>
        <v>#NAME?</v>
      </c>
      <c r="BT47" t="e">
        <f ca="1">_xll.EQNXTDZ($A$1,$B47,BT$5)</f>
        <v>#NAME?</v>
      </c>
      <c r="BU47" t="e">
        <f ca="1">_xll.EQNXTDZ($A$1,$B47,BU$5)</f>
        <v>#NAME?</v>
      </c>
      <c r="BV47" t="e">
        <f ca="1">_xll.EQNXTDZ($A$1,$B47,BV$5)</f>
        <v>#NAME?</v>
      </c>
    </row>
    <row r="48" spans="1:74" x14ac:dyDescent="0.25">
      <c r="A48" t="s">
        <v>37</v>
      </c>
      <c r="B48" t="s">
        <v>336</v>
      </c>
      <c r="C48" s="55" t="e">
        <f ca="1">_xll.EQNXTDZ($A$1,$B48,C$5)</f>
        <v>#NAME?</v>
      </c>
      <c r="D48" s="55" t="e">
        <f ca="1">_xll.EQNXTDZ($A$1,$B48,D$5)</f>
        <v>#NAME?</v>
      </c>
      <c r="E48" s="55" t="e">
        <f ca="1">_xll.EQNXTDZ($A$1,$B48,E$5)</f>
        <v>#NAME?</v>
      </c>
      <c r="F48" s="55" t="e">
        <f ca="1">_xll.EQNXTDZ($A$1,$B48,F$5)</f>
        <v>#NAME?</v>
      </c>
      <c r="G48" s="55" t="e">
        <f ca="1">_xll.EQNXTDZ($A$1,$B48,G$5)</f>
        <v>#NAME?</v>
      </c>
      <c r="H48" s="55" t="e">
        <f ca="1">_xll.EQNXTDZ($A$1,$B48,H$5)</f>
        <v>#NAME?</v>
      </c>
      <c r="I48" s="55" t="e">
        <f ca="1">_xll.EQNXTDZ($A$1,$B48,I$5)</f>
        <v>#NAME?</v>
      </c>
      <c r="J48" s="55" t="e">
        <f ca="1">_xll.EQNXTDZ($A$1,$B48,J$5)</f>
        <v>#NAME?</v>
      </c>
      <c r="K48" s="55" t="e">
        <f ca="1">_xll.EQNXTDZ($A$1,$B48,K$5)</f>
        <v>#NAME?</v>
      </c>
      <c r="L48" s="55" t="e">
        <f ca="1">_xll.EQNXTDZ($A$1,$B48,L$5)</f>
        <v>#NAME?</v>
      </c>
      <c r="M48" s="55" t="e">
        <f ca="1">_xll.EQNXTDZ($A$1,$B48,M$5)</f>
        <v>#NAME?</v>
      </c>
      <c r="N48" s="55" t="e">
        <f ca="1">_xll.EQNXTDZ($A$1,$B48,N$5)</f>
        <v>#NAME?</v>
      </c>
      <c r="O48" s="55" t="e">
        <f ca="1">_xll.EQNXTDZ($A$1,$B48,O$5)</f>
        <v>#NAME?</v>
      </c>
      <c r="P48" s="55" t="e">
        <f ca="1">_xll.EQNXTDZ($A$1,$B48,P$5)</f>
        <v>#NAME?</v>
      </c>
      <c r="Q48" s="55" t="e">
        <f ca="1">_xll.EQNXTDZ($A$1,$B48,Q$5)</f>
        <v>#NAME?</v>
      </c>
      <c r="R48" s="55" t="e">
        <f ca="1">_xll.EQNXTDZ($A$1,$B48,R$5)</f>
        <v>#NAME?</v>
      </c>
      <c r="S48" s="55" t="e">
        <f ca="1">_xll.EQNXTDZ($A$1,$B48,S$5)</f>
        <v>#NAME?</v>
      </c>
      <c r="T48" s="55" t="e">
        <f ca="1">_xll.EQNXTDZ($A$1,$B48,T$5)</f>
        <v>#NAME?</v>
      </c>
      <c r="U48" s="55" t="e">
        <f ca="1">_xll.EQNXTDZ($A$1,$B48,U$5)</f>
        <v>#NAME?</v>
      </c>
      <c r="V48" s="55" t="e">
        <f ca="1">_xll.EQNXTDZ($A$1,$B48,V$5)</f>
        <v>#NAME?</v>
      </c>
      <c r="W48" s="55" t="e">
        <f ca="1">_xll.EQNXTDZ($A$1,$B48,W$5)</f>
        <v>#NAME?</v>
      </c>
      <c r="X48" s="55" t="e">
        <f ca="1">_xll.EQNXTDZ($A$1,$B48,X$5)</f>
        <v>#NAME?</v>
      </c>
      <c r="Y48" s="55" t="e">
        <f ca="1">_xll.EQNXTDZ($A$1,$B48,Y$5)</f>
        <v>#NAME?</v>
      </c>
      <c r="Z48" s="55" t="e">
        <f ca="1">_xll.EQNXTDZ($A$1,$B48,Z$5)</f>
        <v>#NAME?</v>
      </c>
      <c r="AA48" s="55" t="e">
        <f ca="1">_xll.EQNXTDZ($A$1,$B48,AA$5)</f>
        <v>#NAME?</v>
      </c>
      <c r="AB48" s="55" t="e">
        <f ca="1">_xll.EQNXTDZ($A$1,$B48,AB$5)</f>
        <v>#NAME?</v>
      </c>
      <c r="AC48" s="55" t="e">
        <f ca="1">_xll.EQNXTDZ($A$1,$B48,AC$5)</f>
        <v>#NAME?</v>
      </c>
      <c r="AD48" s="55" t="e">
        <f ca="1">_xll.EQNXTDZ($A$1,$B48,AD$5)</f>
        <v>#NAME?</v>
      </c>
      <c r="AE48" s="55" t="e">
        <f ca="1">_xll.EQNXTDZ($A$1,$B48,AE$5)</f>
        <v>#NAME?</v>
      </c>
      <c r="AF48" s="55" t="e">
        <f ca="1">_xll.EQNXTDZ($A$1,$B48,AF$5)</f>
        <v>#NAME?</v>
      </c>
      <c r="AG48" s="55" t="e">
        <f ca="1">_xll.EQNXTDZ($A$1,$B48,AG$5)</f>
        <v>#NAME?</v>
      </c>
      <c r="AH48" s="55" t="e">
        <f ca="1">_xll.EQNXTDZ($A$1,$B48,AH$5)</f>
        <v>#NAME?</v>
      </c>
      <c r="AI48" s="55" t="e">
        <f ca="1">_xll.EQNXTDZ($A$1,$B48,AI$5)</f>
        <v>#NAME?</v>
      </c>
      <c r="AJ48" s="55" t="e">
        <f ca="1">_xll.EQNXTDZ($A$1,$B48,AJ$5)</f>
        <v>#NAME?</v>
      </c>
      <c r="AK48" s="55" t="e">
        <f ca="1">_xll.EQNXTDZ($A$1,$B48,AK$5)</f>
        <v>#NAME?</v>
      </c>
      <c r="AL48" s="55" t="e">
        <f ca="1">_xll.EQNXTDZ($A$1,$B48,AL$5)</f>
        <v>#NAME?</v>
      </c>
      <c r="AM48" s="55" t="e">
        <f ca="1">_xll.EQNXTDZ($A$1,$B48,AM$5)</f>
        <v>#NAME?</v>
      </c>
      <c r="AN48" s="55" t="e">
        <f ca="1">_xll.EQNXTDZ($A$1,$B48,AN$5)</f>
        <v>#NAME?</v>
      </c>
      <c r="AO48" s="55" t="e">
        <f ca="1">_xll.EQNXTDZ($A$1,$B48,AO$5)</f>
        <v>#NAME?</v>
      </c>
      <c r="AP48" s="55" t="e">
        <f ca="1">_xll.EQNXTDZ($A$1,$B48,AP$5)</f>
        <v>#NAME?</v>
      </c>
      <c r="AQ48" s="55" t="e">
        <f ca="1">_xll.EQNXTDZ($A$1,$B48,AQ$5)</f>
        <v>#NAME?</v>
      </c>
      <c r="AR48" s="55" t="e">
        <f ca="1">_xll.EQNXTDZ($A$1,$B48,AR$5)</f>
        <v>#NAME?</v>
      </c>
      <c r="AS48" s="55" t="e">
        <f ca="1">_xll.EQNXTDZ($A$1,$B48,AS$5)</f>
        <v>#NAME?</v>
      </c>
      <c r="AT48" s="55" t="e">
        <f ca="1">_xll.EQNXTDZ($A$1,$B48,AT$5)</f>
        <v>#NAME?</v>
      </c>
      <c r="AU48" s="55" t="e">
        <f ca="1">_xll.EQNXTDZ($A$1,$B48,AU$5)</f>
        <v>#NAME?</v>
      </c>
      <c r="AV48" s="55" t="e">
        <f ca="1">_xll.EQNXTDZ($A$1,$B48,AV$5)</f>
        <v>#NAME?</v>
      </c>
      <c r="AW48" s="55" t="e">
        <f ca="1">_xll.EQNXTDZ($A$1,$B48,AW$5)</f>
        <v>#NAME?</v>
      </c>
      <c r="AX48" s="55" t="e">
        <f ca="1">_xll.EQNXTDZ($A$1,$B48,AX$5)</f>
        <v>#NAME?</v>
      </c>
      <c r="AY48" s="55" t="e">
        <f ca="1">_xll.EQNXTDZ($A$1,$B48,AY$5)</f>
        <v>#NAME?</v>
      </c>
      <c r="AZ48" s="55" t="e">
        <f ca="1">_xll.EQNXTDZ($A$1,$B48,AZ$5)</f>
        <v>#NAME?</v>
      </c>
      <c r="BA48" s="55" t="e">
        <f ca="1">_xll.EQNXTDZ($A$1,$B48,BA$5)</f>
        <v>#NAME?</v>
      </c>
      <c r="BB48" s="55" t="e">
        <f ca="1">_xll.EQNXTDZ($A$1,$B48,BB$5)</f>
        <v>#NAME?</v>
      </c>
      <c r="BC48" s="55" t="e">
        <f ca="1">_xll.EQNXTDZ($A$1,$B48,BC$5)</f>
        <v>#NAME?</v>
      </c>
      <c r="BD48" s="55" t="e">
        <f ca="1">_xll.EQNXTDZ($A$1,$B48,BD$5)</f>
        <v>#NAME?</v>
      </c>
      <c r="BE48" s="55" t="e">
        <f ca="1">_xll.EQNXTDZ($A$1,$B48,BE$5)</f>
        <v>#NAME?</v>
      </c>
      <c r="BF48" s="55" t="e">
        <f ca="1">_xll.EQNXTDZ($A$1,$B48,BF$5)</f>
        <v>#NAME?</v>
      </c>
      <c r="BG48" s="55" t="e">
        <f ca="1">_xll.EQNXTDZ($A$1,$B48,BG$5)</f>
        <v>#NAME?</v>
      </c>
      <c r="BH48" s="55" t="e">
        <f ca="1">_xll.EQNXTDZ($A$1,$B48,BH$5)</f>
        <v>#NAME?</v>
      </c>
      <c r="BI48" s="55" t="e">
        <f ca="1">_xll.EQNXTDZ($A$1,$B48,BI$5)</f>
        <v>#NAME?</v>
      </c>
      <c r="BJ48" s="55" t="e">
        <f ca="1">_xll.EQNXTDZ($A$1,$B48,BJ$5)</f>
        <v>#NAME?</v>
      </c>
      <c r="BK48" s="55" t="e">
        <f ca="1">_xll.EQNXTDZ($A$1,$B48,BK$5)</f>
        <v>#NAME?</v>
      </c>
      <c r="BL48" s="55" t="e">
        <f ca="1">_xll.EQNXTDZ($A$1,$B48,BL$5)</f>
        <v>#NAME?</v>
      </c>
      <c r="BM48" s="55" t="e">
        <f ca="1">_xll.EQNXTDZ($A$1,$B48,BM$5)</f>
        <v>#NAME?</v>
      </c>
      <c r="BN48" s="55" t="e">
        <f ca="1">_xll.EQNXTDZ($A$1,$B48,BN$5)</f>
        <v>#NAME?</v>
      </c>
      <c r="BO48" s="55" t="e">
        <f ca="1">_xll.EQNXTDZ($A$1,$B48,BO$5)</f>
        <v>#NAME?</v>
      </c>
      <c r="BP48" s="55" t="e">
        <f ca="1">_xll.EQNXTDZ($A$1,$B48,BP$5)</f>
        <v>#NAME?</v>
      </c>
      <c r="BQ48" s="55" t="e">
        <f ca="1">_xll.EQNXTDZ($A$1,$B48,BQ$5)</f>
        <v>#NAME?</v>
      </c>
      <c r="BR48" s="55" t="e">
        <f ca="1">_xll.EQNXTDZ($A$1,$B48,BR$5)</f>
        <v>#NAME?</v>
      </c>
      <c r="BS48" s="55" t="e">
        <f ca="1">_xll.EQNXTDZ($A$1,$B48,BS$5)</f>
        <v>#NAME?</v>
      </c>
      <c r="BT48" s="55" t="e">
        <f ca="1">_xll.EQNXTDZ($A$1,$B48,BT$5)</f>
        <v>#NAME?</v>
      </c>
      <c r="BU48" s="55" t="e">
        <f ca="1">_xll.EQNXTDZ($A$1,$B48,BU$5)</f>
        <v>#NAME?</v>
      </c>
      <c r="BV48" s="55" t="e">
        <f ca="1">_xll.EQNXTDZ($A$1,$B48,BV$5)</f>
        <v>#NAME?</v>
      </c>
    </row>
    <row r="49" spans="1:74" x14ac:dyDescent="0.25">
      <c r="A49" t="s">
        <v>327</v>
      </c>
      <c r="B49" t="s">
        <v>330</v>
      </c>
      <c r="C49" s="55" t="e">
        <f ca="1">_xll.EQNXTDZ($A$1,$B49,C$5)</f>
        <v>#NAME?</v>
      </c>
      <c r="D49" s="55" t="e">
        <f ca="1">_xll.EQNXTDZ($A$1,$B49,D$5)</f>
        <v>#NAME?</v>
      </c>
      <c r="E49" s="55" t="e">
        <f ca="1">_xll.EQNXTDZ($A$1,$B49,E$5)</f>
        <v>#NAME?</v>
      </c>
      <c r="F49" s="55" t="e">
        <f ca="1">_xll.EQNXTDZ($A$1,$B49,F$5)</f>
        <v>#NAME?</v>
      </c>
      <c r="G49" s="55" t="e">
        <f ca="1">_xll.EQNXTDZ($A$1,$B49,G$5)</f>
        <v>#NAME?</v>
      </c>
      <c r="H49" s="55" t="e">
        <f ca="1">_xll.EQNXTDZ($A$1,$B49,H$5)</f>
        <v>#NAME?</v>
      </c>
      <c r="I49" s="55" t="e">
        <f ca="1">_xll.EQNXTDZ($A$1,$B49,I$5)</f>
        <v>#NAME?</v>
      </c>
      <c r="J49" s="55" t="e">
        <f ca="1">_xll.EQNXTDZ($A$1,$B49,J$5)</f>
        <v>#NAME?</v>
      </c>
      <c r="K49" s="55" t="e">
        <f ca="1">_xll.EQNXTDZ($A$1,$B49,K$5)</f>
        <v>#NAME?</v>
      </c>
      <c r="L49" s="55" t="e">
        <f ca="1">_xll.EQNXTDZ($A$1,$B49,L$5)</f>
        <v>#NAME?</v>
      </c>
      <c r="M49" s="55" t="e">
        <f ca="1">_xll.EQNXTDZ($A$1,$B49,M$5)</f>
        <v>#NAME?</v>
      </c>
      <c r="N49" s="55" t="e">
        <f ca="1">_xll.EQNXTDZ($A$1,$B49,N$5)</f>
        <v>#NAME?</v>
      </c>
      <c r="O49" s="55" t="e">
        <f ca="1">_xll.EQNXTDZ($A$1,$B49,O$5)</f>
        <v>#NAME?</v>
      </c>
      <c r="P49" s="55" t="e">
        <f ca="1">_xll.EQNXTDZ($A$1,$B49,P$5)</f>
        <v>#NAME?</v>
      </c>
      <c r="Q49" s="55" t="e">
        <f ca="1">_xll.EQNXTDZ($A$1,$B49,Q$5)</f>
        <v>#NAME?</v>
      </c>
      <c r="R49" s="55" t="e">
        <f ca="1">_xll.EQNXTDZ($A$1,$B49,R$5)</f>
        <v>#NAME?</v>
      </c>
      <c r="S49" s="55" t="e">
        <f ca="1">_xll.EQNXTDZ($A$1,$B49,S$5)</f>
        <v>#NAME?</v>
      </c>
      <c r="T49" s="55" t="e">
        <f ca="1">_xll.EQNXTDZ($A$1,$B49,T$5)</f>
        <v>#NAME?</v>
      </c>
      <c r="U49" s="55" t="e">
        <f ca="1">_xll.EQNXTDZ($A$1,$B49,U$5)</f>
        <v>#NAME?</v>
      </c>
      <c r="V49" s="55" t="e">
        <f ca="1">_xll.EQNXTDZ($A$1,$B49,V$5)</f>
        <v>#NAME?</v>
      </c>
      <c r="W49" s="55" t="e">
        <f ca="1">_xll.EQNXTDZ($A$1,$B49,W$5)</f>
        <v>#NAME?</v>
      </c>
      <c r="X49" s="55" t="e">
        <f ca="1">_xll.EQNXTDZ($A$1,$B49,X$5)</f>
        <v>#NAME?</v>
      </c>
      <c r="Y49" s="55" t="e">
        <f ca="1">_xll.EQNXTDZ($A$1,$B49,Y$5)</f>
        <v>#NAME?</v>
      </c>
      <c r="Z49" s="55" t="e">
        <f ca="1">_xll.EQNXTDZ($A$1,$B49,Z$5)</f>
        <v>#NAME?</v>
      </c>
      <c r="AA49" s="55" t="e">
        <f ca="1">_xll.EQNXTDZ($A$1,$B49,AA$5)</f>
        <v>#NAME?</v>
      </c>
      <c r="AB49" s="55" t="e">
        <f ca="1">_xll.EQNXTDZ($A$1,$B49,AB$5)</f>
        <v>#NAME?</v>
      </c>
      <c r="AC49" s="55" t="e">
        <f ca="1">_xll.EQNXTDZ($A$1,$B49,AC$5)</f>
        <v>#NAME?</v>
      </c>
      <c r="AD49" s="55" t="e">
        <f ca="1">_xll.EQNXTDZ($A$1,$B49,AD$5)</f>
        <v>#NAME?</v>
      </c>
      <c r="AE49" s="55" t="e">
        <f ca="1">_xll.EQNXTDZ($A$1,$B49,AE$5)</f>
        <v>#NAME?</v>
      </c>
      <c r="AF49" s="55" t="e">
        <f ca="1">_xll.EQNXTDZ($A$1,$B49,AF$5)</f>
        <v>#NAME?</v>
      </c>
      <c r="AG49" s="55" t="e">
        <f ca="1">_xll.EQNXTDZ($A$1,$B49,AG$5)</f>
        <v>#NAME?</v>
      </c>
      <c r="AH49" s="55" t="e">
        <f ca="1">_xll.EQNXTDZ($A$1,$B49,AH$5)</f>
        <v>#NAME?</v>
      </c>
      <c r="AI49" s="55" t="e">
        <f ca="1">_xll.EQNXTDZ($A$1,$B49,AI$5)</f>
        <v>#NAME?</v>
      </c>
      <c r="AJ49" s="55" t="e">
        <f ca="1">_xll.EQNXTDZ($A$1,$B49,AJ$5)</f>
        <v>#NAME?</v>
      </c>
      <c r="AK49" s="55" t="e">
        <f ca="1">_xll.EQNXTDZ($A$1,$B49,AK$5)</f>
        <v>#NAME?</v>
      </c>
      <c r="AL49" s="55" t="e">
        <f ca="1">_xll.EQNXTDZ($A$1,$B49,AL$5)</f>
        <v>#NAME?</v>
      </c>
      <c r="AM49" s="55" t="e">
        <f ca="1">_xll.EQNXTDZ($A$1,$B49,AM$5)</f>
        <v>#NAME?</v>
      </c>
      <c r="AN49" s="55" t="e">
        <f ca="1">_xll.EQNXTDZ($A$1,$B49,AN$5)</f>
        <v>#NAME?</v>
      </c>
      <c r="AO49" s="55" t="e">
        <f ca="1">_xll.EQNXTDZ($A$1,$B49,AO$5)</f>
        <v>#NAME?</v>
      </c>
      <c r="AP49" s="55" t="e">
        <f ca="1">_xll.EQNXTDZ($A$1,$B49,AP$5)</f>
        <v>#NAME?</v>
      </c>
      <c r="AQ49" s="55" t="e">
        <f ca="1">_xll.EQNXTDZ($A$1,$B49,AQ$5)</f>
        <v>#NAME?</v>
      </c>
      <c r="AR49" s="55" t="e">
        <f ca="1">_xll.EQNXTDZ($A$1,$B49,AR$5)</f>
        <v>#NAME?</v>
      </c>
      <c r="AS49" s="55" t="e">
        <f ca="1">_xll.EQNXTDZ($A$1,$B49,AS$5)</f>
        <v>#NAME?</v>
      </c>
      <c r="AT49" s="55" t="e">
        <f ca="1">_xll.EQNXTDZ($A$1,$B49,AT$5)</f>
        <v>#NAME?</v>
      </c>
      <c r="AU49" s="55" t="e">
        <f ca="1">_xll.EQNXTDZ($A$1,$B49,AU$5)</f>
        <v>#NAME?</v>
      </c>
      <c r="AV49" s="55" t="e">
        <f ca="1">_xll.EQNXTDZ($A$1,$B49,AV$5)</f>
        <v>#NAME?</v>
      </c>
      <c r="AW49" s="55" t="e">
        <f ca="1">_xll.EQNXTDZ($A$1,$B49,AW$5)</f>
        <v>#NAME?</v>
      </c>
      <c r="AX49" s="55" t="e">
        <f ca="1">_xll.EQNXTDZ($A$1,$B49,AX$5)</f>
        <v>#NAME?</v>
      </c>
      <c r="AY49" s="55" t="e">
        <f ca="1">_xll.EQNXTDZ($A$1,$B49,AY$5)</f>
        <v>#NAME?</v>
      </c>
      <c r="AZ49" s="55" t="e">
        <f ca="1">_xll.EQNXTDZ($A$1,$B49,AZ$5)</f>
        <v>#NAME?</v>
      </c>
      <c r="BA49" s="55" t="e">
        <f ca="1">_xll.EQNXTDZ($A$1,$B49,BA$5)</f>
        <v>#NAME?</v>
      </c>
      <c r="BB49" s="55" t="e">
        <f ca="1">_xll.EQNXTDZ($A$1,$B49,BB$5)</f>
        <v>#NAME?</v>
      </c>
      <c r="BC49" s="55" t="e">
        <f ca="1">_xll.EQNXTDZ($A$1,$B49,BC$5)</f>
        <v>#NAME?</v>
      </c>
      <c r="BD49" s="55" t="e">
        <f ca="1">_xll.EQNXTDZ($A$1,$B49,BD$5)</f>
        <v>#NAME?</v>
      </c>
      <c r="BE49" s="55" t="e">
        <f ca="1">_xll.EQNXTDZ($A$1,$B49,BE$5)</f>
        <v>#NAME?</v>
      </c>
      <c r="BF49" s="55" t="e">
        <f ca="1">_xll.EQNXTDZ($A$1,$B49,BF$5)</f>
        <v>#NAME?</v>
      </c>
      <c r="BG49" s="55" t="e">
        <f ca="1">_xll.EQNXTDZ($A$1,$B49,BG$5)</f>
        <v>#NAME?</v>
      </c>
      <c r="BH49" s="55" t="e">
        <f ca="1">_xll.EQNXTDZ($A$1,$B49,BH$5)</f>
        <v>#NAME?</v>
      </c>
      <c r="BI49" s="55" t="e">
        <f ca="1">_xll.EQNXTDZ($A$1,$B49,BI$5)</f>
        <v>#NAME?</v>
      </c>
      <c r="BJ49" s="55" t="e">
        <f ca="1">_xll.EQNXTDZ($A$1,$B49,BJ$5)</f>
        <v>#NAME?</v>
      </c>
      <c r="BK49" s="55" t="e">
        <f ca="1">_xll.EQNXTDZ($A$1,$B49,BK$5)</f>
        <v>#NAME?</v>
      </c>
      <c r="BL49" s="55" t="e">
        <f ca="1">_xll.EQNXTDZ($A$1,$B49,BL$5)</f>
        <v>#NAME?</v>
      </c>
      <c r="BM49" s="55" t="e">
        <f ca="1">_xll.EQNXTDZ($A$1,$B49,BM$5)</f>
        <v>#NAME?</v>
      </c>
      <c r="BN49" s="55" t="e">
        <f ca="1">_xll.EQNXTDZ($A$1,$B49,BN$5)</f>
        <v>#NAME?</v>
      </c>
      <c r="BO49" s="55" t="e">
        <f ca="1">_xll.EQNXTDZ($A$1,$B49,BO$5)</f>
        <v>#NAME?</v>
      </c>
      <c r="BP49" s="55" t="e">
        <f ca="1">_xll.EQNXTDZ($A$1,$B49,BP$5)</f>
        <v>#NAME?</v>
      </c>
      <c r="BQ49" s="55" t="e">
        <f ca="1">_xll.EQNXTDZ($A$1,$B49,BQ$5)</f>
        <v>#NAME?</v>
      </c>
      <c r="BR49" s="55" t="e">
        <f ca="1">_xll.EQNXTDZ($A$1,$B49,BR$5)</f>
        <v>#NAME?</v>
      </c>
      <c r="BS49" s="55" t="e">
        <f ca="1">_xll.EQNXTDZ($A$1,$B49,BS$5)</f>
        <v>#NAME?</v>
      </c>
      <c r="BT49" s="55" t="e">
        <f ca="1">_xll.EQNXTDZ($A$1,$B49,BT$5)</f>
        <v>#NAME?</v>
      </c>
      <c r="BU49" s="55" t="e">
        <f ca="1">_xll.EQNXTDZ($A$1,$B49,BU$5)</f>
        <v>#NAME?</v>
      </c>
      <c r="BV49" s="55" t="e">
        <f ca="1">_xll.EQNXTDZ($A$1,$B49,BV$5)</f>
        <v>#NAME?</v>
      </c>
    </row>
    <row r="50" spans="1:74" x14ac:dyDescent="0.25">
      <c r="A50" t="s">
        <v>332</v>
      </c>
      <c r="B50" t="s">
        <v>331</v>
      </c>
      <c r="C50" s="55" t="e">
        <f ca="1">_xll.EQNXTDZ($A$1,$B50,C$5)</f>
        <v>#NAME?</v>
      </c>
      <c r="D50" s="55" t="e">
        <f ca="1">_xll.EQNXTDZ($A$1,$B50,D$5)</f>
        <v>#NAME?</v>
      </c>
      <c r="E50" s="55" t="e">
        <f ca="1">_xll.EQNXTDZ($A$1,$B50,E$5)</f>
        <v>#NAME?</v>
      </c>
      <c r="F50" s="55" t="e">
        <f ca="1">_xll.EQNXTDZ($A$1,$B50,F$5)</f>
        <v>#NAME?</v>
      </c>
      <c r="G50" s="55" t="e">
        <f ca="1">_xll.EQNXTDZ($A$1,$B50,G$5)</f>
        <v>#NAME?</v>
      </c>
      <c r="H50" s="55" t="e">
        <f ca="1">_xll.EQNXTDZ($A$1,$B50,H$5)</f>
        <v>#NAME?</v>
      </c>
      <c r="I50" s="55" t="e">
        <f ca="1">_xll.EQNXTDZ($A$1,$B50,I$5)</f>
        <v>#NAME?</v>
      </c>
      <c r="J50" s="55" t="e">
        <f ca="1">_xll.EQNXTDZ($A$1,$B50,J$5)</f>
        <v>#NAME?</v>
      </c>
      <c r="K50" s="55" t="e">
        <f ca="1">_xll.EQNXTDZ($A$1,$B50,K$5)</f>
        <v>#NAME?</v>
      </c>
      <c r="L50" s="55" t="e">
        <f ca="1">_xll.EQNXTDZ($A$1,$B50,L$5)</f>
        <v>#NAME?</v>
      </c>
      <c r="M50" s="55" t="e">
        <f ca="1">_xll.EQNXTDZ($A$1,$B50,M$5)</f>
        <v>#NAME?</v>
      </c>
      <c r="N50" s="55" t="e">
        <f ca="1">_xll.EQNXTDZ($A$1,$B50,N$5)</f>
        <v>#NAME?</v>
      </c>
      <c r="O50" s="55" t="e">
        <f ca="1">_xll.EQNXTDZ($A$1,$B50,O$5)</f>
        <v>#NAME?</v>
      </c>
      <c r="P50" s="55" t="e">
        <f ca="1">_xll.EQNXTDZ($A$1,$B50,P$5)</f>
        <v>#NAME?</v>
      </c>
      <c r="Q50" s="55" t="e">
        <f ca="1">_xll.EQNXTDZ($A$1,$B50,Q$5)</f>
        <v>#NAME?</v>
      </c>
      <c r="R50" s="55" t="e">
        <f ca="1">_xll.EQNXTDZ($A$1,$B50,R$5)</f>
        <v>#NAME?</v>
      </c>
      <c r="S50" s="55" t="e">
        <f ca="1">_xll.EQNXTDZ($A$1,$B50,S$5)</f>
        <v>#NAME?</v>
      </c>
      <c r="T50" s="55" t="e">
        <f ca="1">_xll.EQNXTDZ($A$1,$B50,T$5)</f>
        <v>#NAME?</v>
      </c>
      <c r="U50" s="55" t="e">
        <f ca="1">_xll.EQNXTDZ($A$1,$B50,U$5)</f>
        <v>#NAME?</v>
      </c>
      <c r="V50" s="55" t="e">
        <f ca="1">_xll.EQNXTDZ($A$1,$B50,V$5)</f>
        <v>#NAME?</v>
      </c>
      <c r="W50" s="55" t="e">
        <f ca="1">_xll.EQNXTDZ($A$1,$B50,W$5)</f>
        <v>#NAME?</v>
      </c>
      <c r="X50" s="55" t="e">
        <f ca="1">_xll.EQNXTDZ($A$1,$B50,X$5)</f>
        <v>#NAME?</v>
      </c>
      <c r="Y50" s="55" t="e">
        <f ca="1">_xll.EQNXTDZ($A$1,$B50,Y$5)</f>
        <v>#NAME?</v>
      </c>
      <c r="Z50" s="55" t="e">
        <f ca="1">_xll.EQNXTDZ($A$1,$B50,Z$5)</f>
        <v>#NAME?</v>
      </c>
      <c r="AA50" s="55" t="e">
        <f ca="1">_xll.EQNXTDZ($A$1,$B50,AA$5)</f>
        <v>#NAME?</v>
      </c>
      <c r="AB50" s="55" t="e">
        <f ca="1">_xll.EQNXTDZ($A$1,$B50,AB$5)</f>
        <v>#NAME?</v>
      </c>
      <c r="AC50" s="55" t="e">
        <f ca="1">_xll.EQNXTDZ($A$1,$B50,AC$5)</f>
        <v>#NAME?</v>
      </c>
      <c r="AD50" s="55" t="e">
        <f ca="1">_xll.EQNXTDZ($A$1,$B50,AD$5)</f>
        <v>#NAME?</v>
      </c>
      <c r="AE50" s="55" t="e">
        <f ca="1">_xll.EQNXTDZ($A$1,$B50,AE$5)</f>
        <v>#NAME?</v>
      </c>
      <c r="AF50" s="55" t="e">
        <f ca="1">_xll.EQNXTDZ($A$1,$B50,AF$5)</f>
        <v>#NAME?</v>
      </c>
      <c r="AG50" s="55" t="e">
        <f ca="1">_xll.EQNXTDZ($A$1,$B50,AG$5)</f>
        <v>#NAME?</v>
      </c>
      <c r="AH50" s="55" t="e">
        <f ca="1">_xll.EQNXTDZ($A$1,$B50,AH$5)</f>
        <v>#NAME?</v>
      </c>
      <c r="AI50" s="55" t="e">
        <f ca="1">_xll.EQNXTDZ($A$1,$B50,AI$5)</f>
        <v>#NAME?</v>
      </c>
      <c r="AJ50" s="55" t="e">
        <f ca="1">_xll.EQNXTDZ($A$1,$B50,AJ$5)</f>
        <v>#NAME?</v>
      </c>
      <c r="AK50" s="55" t="e">
        <f ca="1">_xll.EQNXTDZ($A$1,$B50,AK$5)</f>
        <v>#NAME?</v>
      </c>
      <c r="AL50" s="55" t="e">
        <f ca="1">_xll.EQNXTDZ($A$1,$B50,AL$5)</f>
        <v>#NAME?</v>
      </c>
      <c r="AM50" s="55" t="e">
        <f ca="1">_xll.EQNXTDZ($A$1,$B50,AM$5)</f>
        <v>#NAME?</v>
      </c>
      <c r="AN50" s="55" t="e">
        <f ca="1">_xll.EQNXTDZ($A$1,$B50,AN$5)</f>
        <v>#NAME?</v>
      </c>
      <c r="AO50" s="55" t="e">
        <f ca="1">_xll.EQNXTDZ($A$1,$B50,AO$5)</f>
        <v>#NAME?</v>
      </c>
      <c r="AP50" s="55" t="e">
        <f ca="1">_xll.EQNXTDZ($A$1,$B50,AP$5)</f>
        <v>#NAME?</v>
      </c>
      <c r="AQ50" s="55" t="e">
        <f ca="1">_xll.EQNXTDZ($A$1,$B50,AQ$5)</f>
        <v>#NAME?</v>
      </c>
      <c r="AR50" s="55" t="e">
        <f ca="1">_xll.EQNXTDZ($A$1,$B50,AR$5)</f>
        <v>#NAME?</v>
      </c>
      <c r="AS50" s="55" t="e">
        <f ca="1">_xll.EQNXTDZ($A$1,$B50,AS$5)</f>
        <v>#NAME?</v>
      </c>
      <c r="AT50" s="55" t="e">
        <f ca="1">_xll.EQNXTDZ($A$1,$B50,AT$5)</f>
        <v>#NAME?</v>
      </c>
      <c r="AU50" s="55" t="e">
        <f ca="1">_xll.EQNXTDZ($A$1,$B50,AU$5)</f>
        <v>#NAME?</v>
      </c>
      <c r="AV50" s="55" t="e">
        <f ca="1">_xll.EQNXTDZ($A$1,$B50,AV$5)</f>
        <v>#NAME?</v>
      </c>
      <c r="AW50" s="55" t="e">
        <f ca="1">_xll.EQNXTDZ($A$1,$B50,AW$5)</f>
        <v>#NAME?</v>
      </c>
      <c r="AX50" s="55" t="e">
        <f ca="1">_xll.EQNXTDZ($A$1,$B50,AX$5)</f>
        <v>#NAME?</v>
      </c>
      <c r="AY50" s="55" t="e">
        <f ca="1">_xll.EQNXTDZ($A$1,$B50,AY$5)</f>
        <v>#NAME?</v>
      </c>
      <c r="AZ50" s="55" t="e">
        <f ca="1">_xll.EQNXTDZ($A$1,$B50,AZ$5)</f>
        <v>#NAME?</v>
      </c>
      <c r="BA50" s="55" t="e">
        <f ca="1">_xll.EQNXTDZ($A$1,$B50,BA$5)</f>
        <v>#NAME?</v>
      </c>
      <c r="BB50" s="55" t="e">
        <f ca="1">_xll.EQNXTDZ($A$1,$B50,BB$5)</f>
        <v>#NAME?</v>
      </c>
      <c r="BC50" s="55" t="e">
        <f ca="1">_xll.EQNXTDZ($A$1,$B50,BC$5)</f>
        <v>#NAME?</v>
      </c>
      <c r="BD50" s="55" t="e">
        <f ca="1">_xll.EQNXTDZ($A$1,$B50,BD$5)</f>
        <v>#NAME?</v>
      </c>
      <c r="BE50" s="55" t="e">
        <f ca="1">_xll.EQNXTDZ($A$1,$B50,BE$5)</f>
        <v>#NAME?</v>
      </c>
      <c r="BF50" s="55" t="e">
        <f ca="1">_xll.EQNXTDZ($A$1,$B50,BF$5)</f>
        <v>#NAME?</v>
      </c>
      <c r="BG50" s="55" t="e">
        <f ca="1">_xll.EQNXTDZ($A$1,$B50,BG$5)</f>
        <v>#NAME?</v>
      </c>
      <c r="BH50" s="55" t="e">
        <f ca="1">_xll.EQNXTDZ($A$1,$B50,BH$5)</f>
        <v>#NAME?</v>
      </c>
      <c r="BI50" s="55" t="e">
        <f ca="1">_xll.EQNXTDZ($A$1,$B50,BI$5)</f>
        <v>#NAME?</v>
      </c>
      <c r="BJ50" s="55" t="e">
        <f ca="1">_xll.EQNXTDZ($A$1,$B50,BJ$5)</f>
        <v>#NAME?</v>
      </c>
      <c r="BK50" s="55" t="e">
        <f ca="1">_xll.EQNXTDZ($A$1,$B50,BK$5)</f>
        <v>#NAME?</v>
      </c>
      <c r="BL50" s="55" t="e">
        <f ca="1">_xll.EQNXTDZ($A$1,$B50,BL$5)</f>
        <v>#NAME?</v>
      </c>
      <c r="BM50" s="55" t="e">
        <f ca="1">_xll.EQNXTDZ($A$1,$B50,BM$5)</f>
        <v>#NAME?</v>
      </c>
      <c r="BN50" s="55" t="e">
        <f ca="1">_xll.EQNXTDZ($A$1,$B50,BN$5)</f>
        <v>#NAME?</v>
      </c>
      <c r="BO50" s="55" t="e">
        <f ca="1">_xll.EQNXTDZ($A$1,$B50,BO$5)</f>
        <v>#NAME?</v>
      </c>
      <c r="BP50" s="55" t="e">
        <f ca="1">_xll.EQNXTDZ($A$1,$B50,BP$5)</f>
        <v>#NAME?</v>
      </c>
      <c r="BQ50" s="55" t="e">
        <f ca="1">_xll.EQNXTDZ($A$1,$B50,BQ$5)</f>
        <v>#NAME?</v>
      </c>
      <c r="BR50" s="55" t="e">
        <f ca="1">_xll.EQNXTDZ($A$1,$B50,BR$5)</f>
        <v>#NAME?</v>
      </c>
      <c r="BS50" s="55" t="e">
        <f ca="1">_xll.EQNXTDZ($A$1,$B50,BS$5)</f>
        <v>#NAME?</v>
      </c>
      <c r="BT50" s="55" t="e">
        <f ca="1">_xll.EQNXTDZ($A$1,$B50,BT$5)</f>
        <v>#NAME?</v>
      </c>
      <c r="BU50" s="55" t="e">
        <f ca="1">_xll.EQNXTDZ($A$1,$B50,BU$5)</f>
        <v>#NAME?</v>
      </c>
      <c r="BV50" s="55" t="e">
        <f ca="1">_xll.EQNXTDZ($A$1,$B50,BV$5)</f>
        <v>#NAME?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 t="e">
        <f ca="1">_xll.EQNXTDZ($A$1,$B54,C$5)</f>
        <v>#NAME?</v>
      </c>
      <c r="D54" s="55" t="e">
        <f ca="1">_xll.EQNXTDZ($A$1,$B54,D$5)</f>
        <v>#NAME?</v>
      </c>
      <c r="E54" s="55" t="e">
        <f ca="1">_xll.EQNXTDZ($A$1,$B54,E$5)</f>
        <v>#NAME?</v>
      </c>
      <c r="F54" s="55" t="e">
        <f ca="1">_xll.EQNXTDZ($A$1,$B54,F$5)</f>
        <v>#NAME?</v>
      </c>
      <c r="G54" s="55" t="e">
        <f ca="1">_xll.EQNXTDZ($A$1,$B54,G$5)</f>
        <v>#NAME?</v>
      </c>
      <c r="H54" s="55" t="e">
        <f ca="1">_xll.EQNXTDZ($A$1,$B54,H$5)</f>
        <v>#NAME?</v>
      </c>
      <c r="I54" s="55" t="e">
        <f ca="1">_xll.EQNXTDZ($A$1,$B54,I$5)</f>
        <v>#NAME?</v>
      </c>
      <c r="J54" s="55" t="e">
        <f ca="1">_xll.EQNXTDZ($A$1,$B54,J$5)</f>
        <v>#NAME?</v>
      </c>
      <c r="K54" s="55" t="e">
        <f ca="1">_xll.EQNXTDZ($A$1,$B54,K$5)</f>
        <v>#NAME?</v>
      </c>
      <c r="L54" s="55" t="e">
        <f ca="1">_xll.EQNXTDZ($A$1,$B54,L$5)</f>
        <v>#NAME?</v>
      </c>
      <c r="M54" s="55" t="e">
        <f ca="1">_xll.EQNXTDZ($A$1,$B54,M$5)</f>
        <v>#NAME?</v>
      </c>
      <c r="N54" s="55" t="e">
        <f ca="1">_xll.EQNXTDZ($A$1,$B54,N$5)</f>
        <v>#NAME?</v>
      </c>
      <c r="O54" s="55" t="e">
        <f ca="1">_xll.EQNXTDZ($A$1,$B54,O$5)</f>
        <v>#NAME?</v>
      </c>
      <c r="P54" s="55" t="e">
        <f ca="1">_xll.EQNXTDZ($A$1,$B54,P$5)</f>
        <v>#NAME?</v>
      </c>
      <c r="Q54" s="55" t="e">
        <f ca="1">_xll.EQNXTDZ($A$1,$B54,Q$5)</f>
        <v>#NAME?</v>
      </c>
      <c r="R54" s="55" t="e">
        <f ca="1">_xll.EQNXTDZ($A$1,$B54,R$5)</f>
        <v>#NAME?</v>
      </c>
      <c r="S54" s="55" t="e">
        <f ca="1">_xll.EQNXTDZ($A$1,$B54,S$5)</f>
        <v>#NAME?</v>
      </c>
      <c r="T54" s="55" t="e">
        <f ca="1">_xll.EQNXTDZ($A$1,$B54,T$5)</f>
        <v>#NAME?</v>
      </c>
      <c r="U54" s="55" t="e">
        <f ca="1">_xll.EQNXTDZ($A$1,$B54,U$5)</f>
        <v>#NAME?</v>
      </c>
      <c r="V54" s="55" t="e">
        <f ca="1">_xll.EQNXTDZ($A$1,$B54,V$5)</f>
        <v>#NAME?</v>
      </c>
      <c r="W54" s="55" t="e">
        <f ca="1">_xll.EQNXTDZ($A$1,$B54,W$5)</f>
        <v>#NAME?</v>
      </c>
      <c r="X54" s="55" t="e">
        <f ca="1">_xll.EQNXTDZ($A$1,$B54,X$5)</f>
        <v>#NAME?</v>
      </c>
      <c r="Y54" s="55" t="e">
        <f ca="1">_xll.EQNXTDZ($A$1,$B54,Y$5)</f>
        <v>#NAME?</v>
      </c>
      <c r="Z54" s="55" t="e">
        <f ca="1">_xll.EQNXTDZ($A$1,$B54,Z$5)</f>
        <v>#NAME?</v>
      </c>
      <c r="AA54" s="55" t="e">
        <f ca="1">_xll.EQNXTDZ($A$1,$B54,AA$5)</f>
        <v>#NAME?</v>
      </c>
      <c r="AB54" s="55" t="e">
        <f ca="1">_xll.EQNXTDZ($A$1,$B54,AB$5)</f>
        <v>#NAME?</v>
      </c>
      <c r="AC54" s="55" t="e">
        <f ca="1">_xll.EQNXTDZ($A$1,$B54,AC$5)</f>
        <v>#NAME?</v>
      </c>
      <c r="AD54" s="55" t="e">
        <f ca="1">_xll.EQNXTDZ($A$1,$B54,AD$5)</f>
        <v>#NAME?</v>
      </c>
      <c r="AE54" s="55" t="e">
        <f ca="1">_xll.EQNXTDZ($A$1,$B54,AE$5)</f>
        <v>#NAME?</v>
      </c>
      <c r="AF54" s="55" t="e">
        <f ca="1">_xll.EQNXTDZ($A$1,$B54,AF$5)</f>
        <v>#NAME?</v>
      </c>
      <c r="AG54" s="55" t="e">
        <f ca="1">_xll.EQNXTDZ($A$1,$B54,AG$5)</f>
        <v>#NAME?</v>
      </c>
      <c r="AH54" s="55" t="e">
        <f ca="1">_xll.EQNXTDZ($A$1,$B54,AH$5)</f>
        <v>#NAME?</v>
      </c>
      <c r="AI54" s="55" t="e">
        <f ca="1">_xll.EQNXTDZ($A$1,$B54,AI$5)</f>
        <v>#NAME?</v>
      </c>
      <c r="AJ54" s="55" t="e">
        <f ca="1">_xll.EQNXTDZ($A$1,$B54,AJ$5)</f>
        <v>#NAME?</v>
      </c>
      <c r="AK54" s="55" t="e">
        <f ca="1">_xll.EQNXTDZ($A$1,$B54,AK$5)</f>
        <v>#NAME?</v>
      </c>
      <c r="AL54" s="55" t="e">
        <f ca="1">_xll.EQNXTDZ($A$1,$B54,AL$5)</f>
        <v>#NAME?</v>
      </c>
      <c r="AM54" s="55" t="e">
        <f ca="1">_xll.EQNXTDZ($A$1,$B54,AM$5)</f>
        <v>#NAME?</v>
      </c>
      <c r="AN54" s="55" t="e">
        <f ca="1">_xll.EQNXTDZ($A$1,$B54,AN$5)</f>
        <v>#NAME?</v>
      </c>
      <c r="AO54" s="55" t="e">
        <f ca="1">_xll.EQNXTDZ($A$1,$B54,AO$5)</f>
        <v>#NAME?</v>
      </c>
      <c r="AP54" s="55" t="e">
        <f ca="1">_xll.EQNXTDZ($A$1,$B54,AP$5)</f>
        <v>#NAME?</v>
      </c>
      <c r="AQ54" s="55" t="e">
        <f ca="1">_xll.EQNXTDZ($A$1,$B54,AQ$5)</f>
        <v>#NAME?</v>
      </c>
      <c r="AR54" s="55" t="e">
        <f ca="1">_xll.EQNXTDZ($A$1,$B54,AR$5)</f>
        <v>#NAME?</v>
      </c>
      <c r="AS54" s="55" t="e">
        <f ca="1">_xll.EQNXTDZ($A$1,$B54,AS$5)</f>
        <v>#NAME?</v>
      </c>
      <c r="AT54" s="55" t="e">
        <f ca="1">_xll.EQNXTDZ($A$1,$B54,AT$5)</f>
        <v>#NAME?</v>
      </c>
      <c r="AU54" s="55" t="e">
        <f ca="1">_xll.EQNXTDZ($A$1,$B54,AU$5)</f>
        <v>#NAME?</v>
      </c>
      <c r="AV54" s="55" t="e">
        <f ca="1">_xll.EQNXTDZ($A$1,$B54,AV$5)</f>
        <v>#NAME?</v>
      </c>
      <c r="AW54" s="55" t="e">
        <f ca="1">_xll.EQNXTDZ($A$1,$B54,AW$5)</f>
        <v>#NAME?</v>
      </c>
      <c r="AX54" s="55" t="e">
        <f ca="1">_xll.EQNXTDZ($A$1,$B54,AX$5)</f>
        <v>#NAME?</v>
      </c>
      <c r="AY54" s="55" t="e">
        <f ca="1">_xll.EQNXTDZ($A$1,$B54,AY$5)</f>
        <v>#NAME?</v>
      </c>
      <c r="AZ54" s="55" t="e">
        <f ca="1">_xll.EQNXTDZ($A$1,$B54,AZ$5)</f>
        <v>#NAME?</v>
      </c>
      <c r="BA54" s="55" t="e">
        <f ca="1">_xll.EQNXTDZ($A$1,$B54,BA$5)</f>
        <v>#NAME?</v>
      </c>
      <c r="BB54" s="55" t="e">
        <f ca="1">_xll.EQNXTDZ($A$1,$B54,BB$5)</f>
        <v>#NAME?</v>
      </c>
      <c r="BC54" s="55" t="e">
        <f ca="1">_xll.EQNXTDZ($A$1,$B54,BC$5)</f>
        <v>#NAME?</v>
      </c>
      <c r="BD54" s="55" t="e">
        <f ca="1">_xll.EQNXTDZ($A$1,$B54,BD$5)</f>
        <v>#NAME?</v>
      </c>
      <c r="BE54" s="55" t="e">
        <f ca="1">_xll.EQNXTDZ($A$1,$B54,BE$5)</f>
        <v>#NAME?</v>
      </c>
      <c r="BF54" s="55" t="e">
        <f ca="1">_xll.EQNXTDZ($A$1,$B54,BF$5)</f>
        <v>#NAME?</v>
      </c>
      <c r="BG54" s="55" t="e">
        <f ca="1">_xll.EQNXTDZ($A$1,$B54,BG$5)</f>
        <v>#NAME?</v>
      </c>
      <c r="BH54" s="55" t="e">
        <f ca="1">_xll.EQNXTDZ($A$1,$B54,BH$5)</f>
        <v>#NAME?</v>
      </c>
      <c r="BI54" s="55" t="e">
        <f ca="1">_xll.EQNXTDZ($A$1,$B54,BI$5)</f>
        <v>#NAME?</v>
      </c>
      <c r="BJ54" s="55" t="e">
        <f ca="1">_xll.EQNXTDZ($A$1,$B54,BJ$5)</f>
        <v>#NAME?</v>
      </c>
      <c r="BK54" s="55" t="e">
        <f ca="1">_xll.EQNXTDZ($A$1,$B54,BK$5)</f>
        <v>#NAME?</v>
      </c>
      <c r="BL54" s="55" t="e">
        <f ca="1">_xll.EQNXTDZ($A$1,$B54,BL$5)</f>
        <v>#NAME?</v>
      </c>
      <c r="BM54" s="55" t="e">
        <f ca="1">_xll.EQNXTDZ($A$1,$B54,BM$5)</f>
        <v>#NAME?</v>
      </c>
      <c r="BN54" s="55" t="e">
        <f ca="1">_xll.EQNXTDZ($A$1,$B54,BN$5)</f>
        <v>#NAME?</v>
      </c>
      <c r="BO54" s="55" t="e">
        <f ca="1">_xll.EQNXTDZ($A$1,$B54,BO$5)</f>
        <v>#NAME?</v>
      </c>
      <c r="BP54" s="55" t="e">
        <f ca="1">_xll.EQNXTDZ($A$1,$B54,BP$5)</f>
        <v>#NAME?</v>
      </c>
      <c r="BQ54" s="55" t="e">
        <f ca="1">_xll.EQNXTDZ($A$1,$B54,BQ$5)</f>
        <v>#NAME?</v>
      </c>
      <c r="BR54" s="55" t="e">
        <f ca="1">_xll.EQNXTDZ($A$1,$B54,BR$5)</f>
        <v>#NAME?</v>
      </c>
      <c r="BS54" s="55" t="e">
        <f ca="1">_xll.EQNXTDZ($A$1,$B54,BS$5)</f>
        <v>#NAME?</v>
      </c>
      <c r="BT54" s="55" t="e">
        <f ca="1">_xll.EQNXTDZ($A$1,$B54,BT$5)</f>
        <v>#NAME?</v>
      </c>
      <c r="BU54" s="55" t="e">
        <f ca="1">_xll.EQNXTDZ($A$1,$B54,BU$5)</f>
        <v>#NAME?</v>
      </c>
      <c r="BV54" s="55" t="e">
        <f ca="1">_xll.EQNXTDZ($A$1,$B54,BV$5)</f>
        <v>#NAME?</v>
      </c>
    </row>
    <row r="55" spans="1:74" s="56" customFormat="1" x14ac:dyDescent="0.25">
      <c r="A55" s="56" t="s">
        <v>113</v>
      </c>
      <c r="B55" s="56" t="s">
        <v>371</v>
      </c>
      <c r="C55" s="56" t="e">
        <f ca="1">_xll.EQNXTDZ($A$1,$B55,C$5,$B$1)</f>
        <v>#NAME?</v>
      </c>
      <c r="D55" s="56" t="e">
        <f ca="1">_xll.EQNXTDZ($A$1,$B55,D$5,$B$1)</f>
        <v>#NAME?</v>
      </c>
      <c r="E55" s="56" t="e">
        <f ca="1">_xll.EQNXTDZ($A$1,$B55,E$5,$B$1)</f>
        <v>#NAME?</v>
      </c>
      <c r="F55" s="56" t="e">
        <f ca="1">_xll.EQNXTDZ($A$1,$B55,F$5,$B$1)</f>
        <v>#NAME?</v>
      </c>
      <c r="G55" s="56" t="e">
        <f ca="1">_xll.EQNXTDZ($A$1,$B55,G$5,$B$1)</f>
        <v>#NAME?</v>
      </c>
      <c r="H55" s="56" t="e">
        <f ca="1">_xll.EQNXTDZ($A$1,$B55,H$5,$B$1)</f>
        <v>#NAME?</v>
      </c>
      <c r="I55" s="56" t="e">
        <f ca="1">_xll.EQNXTDZ($A$1,$B55,I$5,$B$1)</f>
        <v>#NAME?</v>
      </c>
      <c r="J55" s="56" t="e">
        <f ca="1">_xll.EQNXTDZ($A$1,$B55,J$5,$B$1)</f>
        <v>#NAME?</v>
      </c>
      <c r="K55" s="56" t="e">
        <f ca="1">_xll.EQNXTDZ($A$1,$B55,K$5,$B$1)</f>
        <v>#NAME?</v>
      </c>
      <c r="L55" s="56" t="e">
        <f ca="1">_xll.EQNXTDZ($A$1,$B55,L$5,$B$1)</f>
        <v>#NAME?</v>
      </c>
      <c r="M55" s="56" t="e">
        <f ca="1">_xll.EQNXTDZ($A$1,$B55,M$5,$B$1)</f>
        <v>#NAME?</v>
      </c>
      <c r="N55" s="56" t="e">
        <f ca="1">_xll.EQNXTDZ($A$1,$B55,N$5,$B$1)</f>
        <v>#NAME?</v>
      </c>
      <c r="O55" s="56" t="e">
        <f ca="1">_xll.EQNXTDZ($A$1,$B55,O$5,$B$1)</f>
        <v>#NAME?</v>
      </c>
      <c r="P55" s="56" t="e">
        <f ca="1">_xll.EQNXTDZ($A$1,$B55,P$5,$B$1)</f>
        <v>#NAME?</v>
      </c>
      <c r="Q55" s="56" t="e">
        <f ca="1">_xll.EQNXTDZ($A$1,$B55,Q$5,$B$1)</f>
        <v>#NAME?</v>
      </c>
      <c r="R55" s="56" t="e">
        <f ca="1">_xll.EQNXTDZ($A$1,$B55,R$5,$B$1)</f>
        <v>#NAME?</v>
      </c>
      <c r="S55" s="56" t="e">
        <f ca="1">_xll.EQNXTDZ($A$1,$B55,S$5,$B$1)</f>
        <v>#NAME?</v>
      </c>
      <c r="T55" s="56" t="e">
        <f ca="1">_xll.EQNXTDZ($A$1,$B55,T$5,$B$1)</f>
        <v>#NAME?</v>
      </c>
      <c r="U55" s="56" t="e">
        <f ca="1">_xll.EQNXTDZ($A$1,$B55,U$5,$B$1)</f>
        <v>#NAME?</v>
      </c>
      <c r="V55" s="56" t="e">
        <f ca="1">_xll.EQNXTDZ($A$1,$B55,V$5,$B$1)</f>
        <v>#NAME?</v>
      </c>
      <c r="W55" s="56" t="e">
        <f ca="1">_xll.EQNXTDZ($A$1,$B55,W$5,$B$1)</f>
        <v>#NAME?</v>
      </c>
      <c r="X55" s="56" t="e">
        <f ca="1">_xll.EQNXTDZ($A$1,$B55,X$5,$B$1)</f>
        <v>#NAME?</v>
      </c>
      <c r="Y55" s="56" t="e">
        <f ca="1">_xll.EQNXTDZ($A$1,$B55,Y$5,$B$1)</f>
        <v>#NAME?</v>
      </c>
      <c r="Z55" s="56" t="e">
        <f ca="1">_xll.EQNXTDZ($A$1,$B55,Z$5,$B$1)</f>
        <v>#NAME?</v>
      </c>
      <c r="AA55" s="56" t="e">
        <f ca="1">_xll.EQNXTDZ($A$1,$B55,AA$5,$B$1)</f>
        <v>#NAME?</v>
      </c>
      <c r="AB55" s="56" t="e">
        <f ca="1">_xll.EQNXTDZ($A$1,$B55,AB$5,$B$1)</f>
        <v>#NAME?</v>
      </c>
      <c r="AC55" s="56" t="e">
        <f ca="1">_xll.EQNXTDZ($A$1,$B55,AC$5,$B$1)</f>
        <v>#NAME?</v>
      </c>
      <c r="AD55" s="56" t="e">
        <f ca="1">_xll.EQNXTDZ($A$1,$B55,AD$5,$B$1)</f>
        <v>#NAME?</v>
      </c>
      <c r="AE55" s="56" t="e">
        <f ca="1">_xll.EQNXTDZ($A$1,$B55,AE$5,$B$1)</f>
        <v>#NAME?</v>
      </c>
      <c r="AF55" s="56" t="e">
        <f ca="1">_xll.EQNXTDZ($A$1,$B55,AF$5,$B$1)</f>
        <v>#NAME?</v>
      </c>
      <c r="AG55" s="56" t="e">
        <f ca="1">_xll.EQNXTDZ($A$1,$B55,AG$5,$B$1)</f>
        <v>#NAME?</v>
      </c>
      <c r="AH55" s="56" t="e">
        <f ca="1">_xll.EQNXTDZ($A$1,$B55,AH$5,$B$1)</f>
        <v>#NAME?</v>
      </c>
      <c r="AI55" s="56" t="e">
        <f ca="1">_xll.EQNXTDZ($A$1,$B55,AI$5,$B$1)</f>
        <v>#NAME?</v>
      </c>
      <c r="AJ55" s="56" t="e">
        <f ca="1">_xll.EQNXTDZ($A$1,$B55,AJ$5,$B$1)</f>
        <v>#NAME?</v>
      </c>
      <c r="AK55" s="56" t="e">
        <f ca="1">_xll.EQNXTDZ($A$1,$B55,AK$5,$B$1)</f>
        <v>#NAME?</v>
      </c>
      <c r="AL55" s="56" t="e">
        <f ca="1">_xll.EQNXTDZ($A$1,$B55,AL$5,$B$1)</f>
        <v>#NAME?</v>
      </c>
      <c r="AM55" s="56" t="e">
        <f ca="1">_xll.EQNXTDZ($A$1,$B55,AM$5,$B$1)</f>
        <v>#NAME?</v>
      </c>
      <c r="AN55" s="56" t="e">
        <f ca="1">_xll.EQNXTDZ($A$1,$B55,AN$5,$B$1)</f>
        <v>#NAME?</v>
      </c>
      <c r="AO55" s="56" t="e">
        <f ca="1">_xll.EQNXTDZ($A$1,$B55,AO$5,$B$1)</f>
        <v>#NAME?</v>
      </c>
      <c r="AP55" s="56" t="e">
        <f ca="1">_xll.EQNXTDZ($A$1,$B55,AP$5,$B$1)</f>
        <v>#NAME?</v>
      </c>
      <c r="AQ55" s="56" t="e">
        <f ca="1">_xll.EQNXTDZ($A$1,$B55,AQ$5,$B$1)</f>
        <v>#NAME?</v>
      </c>
      <c r="AR55" s="56" t="e">
        <f ca="1">_xll.EQNXTDZ($A$1,$B55,AR$5,$B$1)</f>
        <v>#NAME?</v>
      </c>
      <c r="AS55" s="56" t="e">
        <f ca="1">_xll.EQNXTDZ($A$1,$B55,AS$5,$B$1)</f>
        <v>#NAME?</v>
      </c>
      <c r="AT55" s="56" t="e">
        <f ca="1">_xll.EQNXTDZ($A$1,$B55,AT$5,$B$1)</f>
        <v>#NAME?</v>
      </c>
      <c r="AU55" s="56" t="e">
        <f ca="1">_xll.EQNXTDZ($A$1,$B55,AU$5,$B$1)</f>
        <v>#NAME?</v>
      </c>
      <c r="AV55" s="56" t="e">
        <f ca="1">_xll.EQNXTDZ($A$1,$B55,AV$5,$B$1)</f>
        <v>#NAME?</v>
      </c>
      <c r="AW55" s="56" t="e">
        <f ca="1">_xll.EQNXTDZ($A$1,$B55,AW$5,$B$1)</f>
        <v>#NAME?</v>
      </c>
      <c r="AX55" s="56" t="e">
        <f ca="1">_xll.EQNXTDZ($A$1,$B55,AX$5,$B$1)</f>
        <v>#NAME?</v>
      </c>
      <c r="AY55" s="56" t="e">
        <f ca="1">_xll.EQNXTDZ($A$1,$B55,AY$5,$B$1)</f>
        <v>#NAME?</v>
      </c>
      <c r="AZ55" s="56" t="e">
        <f ca="1">_xll.EQNXTDZ($A$1,$B55,AZ$5,$B$1)</f>
        <v>#NAME?</v>
      </c>
      <c r="BA55" s="56" t="e">
        <f ca="1">_xll.EQNXTDZ($A$1,$B55,BA$5,$B$1)</f>
        <v>#NAME?</v>
      </c>
      <c r="BB55" s="56" t="e">
        <f ca="1">_xll.EQNXTDZ($A$1,$B55,BB$5,$B$1)</f>
        <v>#NAME?</v>
      </c>
      <c r="BC55" s="56" t="e">
        <f ca="1">_xll.EQNXTDZ($A$1,$B55,BC$5,$B$1)</f>
        <v>#NAME?</v>
      </c>
      <c r="BD55" s="56" t="e">
        <f ca="1">_xll.EQNXTDZ($A$1,$B55,BD$5,$B$1)</f>
        <v>#NAME?</v>
      </c>
      <c r="BE55" s="56" t="e">
        <f ca="1">_xll.EQNXTDZ($A$1,$B55,BE$5,$B$1)</f>
        <v>#NAME?</v>
      </c>
      <c r="BF55" s="56" t="e">
        <f ca="1">_xll.EQNXTDZ($A$1,$B55,BF$5,$B$1)</f>
        <v>#NAME?</v>
      </c>
      <c r="BG55" s="56" t="e">
        <f ca="1">_xll.EQNXTDZ($A$1,$B55,BG$5,$B$1)</f>
        <v>#NAME?</v>
      </c>
      <c r="BH55" s="56" t="e">
        <f ca="1">_xll.EQNXTDZ($A$1,$B55,BH$5,$B$1)</f>
        <v>#NAME?</v>
      </c>
      <c r="BI55" s="56" t="e">
        <f ca="1">_xll.EQNXTDZ($A$1,$B55,BI$5,$B$1)</f>
        <v>#NAME?</v>
      </c>
      <c r="BJ55" s="56" t="e">
        <f ca="1">_xll.EQNXTDZ($A$1,$B55,BJ$5,$B$1)</f>
        <v>#NAME?</v>
      </c>
      <c r="BK55" s="56" t="e">
        <f ca="1">_xll.EQNXTDZ($A$1,$B55,BK$5,$B$1)</f>
        <v>#NAME?</v>
      </c>
      <c r="BL55" s="56" t="e">
        <f ca="1">_xll.EQNXTDZ($A$1,$B55,BL$5,$B$1)</f>
        <v>#NAME?</v>
      </c>
      <c r="BM55" s="56" t="e">
        <f ca="1">_xll.EQNXTDZ($A$1,$B55,BM$5,$B$1)</f>
        <v>#NAME?</v>
      </c>
      <c r="BN55" s="56" t="e">
        <f ca="1">_xll.EQNXTDZ($A$1,$B55,BN$5,$B$1)</f>
        <v>#NAME?</v>
      </c>
      <c r="BO55" s="56" t="e">
        <f ca="1">_xll.EQNXTDZ($A$1,$B55,BO$5,$B$1)</f>
        <v>#NAME?</v>
      </c>
      <c r="BP55" s="56" t="e">
        <f ca="1">_xll.EQNXTDZ($A$1,$B55,BP$5,$B$1)</f>
        <v>#NAME?</v>
      </c>
      <c r="BQ55" s="56" t="e">
        <f ca="1">_xll.EQNXTDZ($A$1,$B55,BQ$5,$B$1)</f>
        <v>#NAME?</v>
      </c>
      <c r="BR55" s="56" t="e">
        <f ca="1">_xll.EQNXTDZ($A$1,$B55,BR$5,$B$1)</f>
        <v>#NAME?</v>
      </c>
      <c r="BS55" s="56" t="e">
        <f ca="1">_xll.EQNXTDZ($A$1,$B55,BS$5,$B$1)</f>
        <v>#NAME?</v>
      </c>
      <c r="BT55" s="56" t="e">
        <f ca="1">_xll.EQNXTDZ($A$1,$B55,BT$5,$B$1)</f>
        <v>#NAME?</v>
      </c>
      <c r="BU55" s="56" t="e">
        <f ca="1">_xll.EQNXTDZ($A$1,$B55,BU$5,$B$1)</f>
        <v>#NAME?</v>
      </c>
      <c r="BV55" s="56" t="e">
        <f ca="1">_xll.EQNXTDZ($A$1,$B55,BV$5,$B$1)</f>
        <v>#NAME?</v>
      </c>
    </row>
    <row r="56" spans="1:74" x14ac:dyDescent="0.25">
      <c r="A56" t="s">
        <v>41</v>
      </c>
      <c r="B56" t="s">
        <v>372</v>
      </c>
      <c r="C56" s="55" t="e">
        <f ca="1">_xll.EQNXTDZ($A$1,$B56,C$5,$B$1)</f>
        <v>#NAME?</v>
      </c>
      <c r="D56" s="55" t="e">
        <f ca="1">_xll.EQNXTDZ($A$1,$B56,D$5,$B$1)</f>
        <v>#NAME?</v>
      </c>
      <c r="E56" s="55" t="e">
        <f ca="1">_xll.EQNXTDZ($A$1,$B56,E$5,$B$1)</f>
        <v>#NAME?</v>
      </c>
      <c r="F56" s="55" t="e">
        <f ca="1">_xll.EQNXTDZ($A$1,$B56,F$5,$B$1)</f>
        <v>#NAME?</v>
      </c>
      <c r="G56" s="55" t="e">
        <f ca="1">_xll.EQNXTDZ($A$1,$B56,G$5,$B$1)</f>
        <v>#NAME?</v>
      </c>
      <c r="H56" s="55" t="e">
        <f ca="1">_xll.EQNXTDZ($A$1,$B56,H$5,$B$1)</f>
        <v>#NAME?</v>
      </c>
      <c r="I56" s="55" t="e">
        <f ca="1">_xll.EQNXTDZ($A$1,$B56,I$5,$B$1)</f>
        <v>#NAME?</v>
      </c>
      <c r="J56" s="55" t="e">
        <f ca="1">_xll.EQNXTDZ($A$1,$B56,J$5,$B$1)</f>
        <v>#NAME?</v>
      </c>
      <c r="K56" s="55" t="e">
        <f ca="1">_xll.EQNXTDZ($A$1,$B56,K$5,$B$1)</f>
        <v>#NAME?</v>
      </c>
      <c r="L56" s="55" t="e">
        <f ca="1">_xll.EQNXTDZ($A$1,$B56,L$5,$B$1)</f>
        <v>#NAME?</v>
      </c>
      <c r="M56" s="55" t="e">
        <f ca="1">_xll.EQNXTDZ($A$1,$B56,M$5,$B$1)</f>
        <v>#NAME?</v>
      </c>
      <c r="N56" s="55" t="e">
        <f ca="1">_xll.EQNXTDZ($A$1,$B56,N$5,$B$1)</f>
        <v>#NAME?</v>
      </c>
      <c r="O56" s="55" t="e">
        <f ca="1">_xll.EQNXTDZ($A$1,$B56,O$5,$B$1)</f>
        <v>#NAME?</v>
      </c>
      <c r="P56" s="55" t="e">
        <f ca="1">_xll.EQNXTDZ($A$1,$B56,P$5,$B$1)</f>
        <v>#NAME?</v>
      </c>
      <c r="Q56" s="55" t="e">
        <f ca="1">_xll.EQNXTDZ($A$1,$B56,Q$5,$B$1)</f>
        <v>#NAME?</v>
      </c>
      <c r="R56" s="55" t="e">
        <f ca="1">_xll.EQNXTDZ($A$1,$B56,R$5,$B$1)</f>
        <v>#NAME?</v>
      </c>
      <c r="S56" s="55" t="e">
        <f ca="1">_xll.EQNXTDZ($A$1,$B56,S$5,$B$1)</f>
        <v>#NAME?</v>
      </c>
      <c r="T56" s="55" t="e">
        <f ca="1">_xll.EQNXTDZ($A$1,$B56,T$5,$B$1)</f>
        <v>#NAME?</v>
      </c>
      <c r="U56" s="55" t="e">
        <f ca="1">_xll.EQNXTDZ($A$1,$B56,U$5,$B$1)</f>
        <v>#NAME?</v>
      </c>
      <c r="V56" s="55" t="e">
        <f ca="1">_xll.EQNXTDZ($A$1,$B56,V$5,$B$1)</f>
        <v>#NAME?</v>
      </c>
      <c r="W56" s="55" t="e">
        <f ca="1">_xll.EQNXTDZ($A$1,$B56,W$5,$B$1)</f>
        <v>#NAME?</v>
      </c>
      <c r="X56" s="55" t="e">
        <f ca="1">_xll.EQNXTDZ($A$1,$B56,X$5,$B$1)</f>
        <v>#NAME?</v>
      </c>
      <c r="Y56" s="55" t="e">
        <f ca="1">_xll.EQNXTDZ($A$1,$B56,Y$5,$B$1)</f>
        <v>#NAME?</v>
      </c>
      <c r="Z56" s="55" t="e">
        <f ca="1">_xll.EQNXTDZ($A$1,$B56,Z$5,$B$1)</f>
        <v>#NAME?</v>
      </c>
      <c r="AA56" s="55" t="e">
        <f ca="1">_xll.EQNXTDZ($A$1,$B56,AA$5,$B$1)</f>
        <v>#NAME?</v>
      </c>
      <c r="AB56" s="55" t="e">
        <f ca="1">_xll.EQNXTDZ($A$1,$B56,AB$5,$B$1)</f>
        <v>#NAME?</v>
      </c>
      <c r="AC56" s="55" t="e">
        <f ca="1">_xll.EQNXTDZ($A$1,$B56,AC$5,$B$1)</f>
        <v>#NAME?</v>
      </c>
      <c r="AD56" s="55" t="e">
        <f ca="1">_xll.EQNXTDZ($A$1,$B56,AD$5,$B$1)</f>
        <v>#NAME?</v>
      </c>
      <c r="AE56" s="55" t="e">
        <f ca="1">_xll.EQNXTDZ($A$1,$B56,AE$5,$B$1)</f>
        <v>#NAME?</v>
      </c>
      <c r="AF56" s="55" t="e">
        <f ca="1">_xll.EQNXTDZ($A$1,$B56,AF$5,$B$1)</f>
        <v>#NAME?</v>
      </c>
      <c r="AG56" s="55" t="e">
        <f ca="1">_xll.EQNXTDZ($A$1,$B56,AG$5,$B$1)</f>
        <v>#NAME?</v>
      </c>
      <c r="AH56" s="55" t="e">
        <f ca="1">_xll.EQNXTDZ($A$1,$B56,AH$5,$B$1)</f>
        <v>#NAME?</v>
      </c>
      <c r="AI56" s="55" t="e">
        <f ca="1">_xll.EQNXTDZ($A$1,$B56,AI$5,$B$1)</f>
        <v>#NAME?</v>
      </c>
      <c r="AJ56" s="55" t="e">
        <f ca="1">_xll.EQNXTDZ($A$1,$B56,AJ$5,$B$1)</f>
        <v>#NAME?</v>
      </c>
      <c r="AK56" s="55" t="e">
        <f ca="1">_xll.EQNXTDZ($A$1,$B56,AK$5,$B$1)</f>
        <v>#NAME?</v>
      </c>
      <c r="AL56" s="55" t="e">
        <f ca="1">_xll.EQNXTDZ($A$1,$B56,AL$5,$B$1)</f>
        <v>#NAME?</v>
      </c>
      <c r="AM56" s="55" t="e">
        <f ca="1">_xll.EQNXTDZ($A$1,$B56,AM$5,$B$1)</f>
        <v>#NAME?</v>
      </c>
      <c r="AN56" s="55" t="e">
        <f ca="1">_xll.EQNXTDZ($A$1,$B56,AN$5,$B$1)</f>
        <v>#NAME?</v>
      </c>
      <c r="AO56" s="55" t="e">
        <f ca="1">_xll.EQNXTDZ($A$1,$B56,AO$5,$B$1)</f>
        <v>#NAME?</v>
      </c>
      <c r="AP56" s="55" t="e">
        <f ca="1">_xll.EQNXTDZ($A$1,$B56,AP$5,$B$1)</f>
        <v>#NAME?</v>
      </c>
      <c r="AQ56" s="55" t="e">
        <f ca="1">_xll.EQNXTDZ($A$1,$B56,AQ$5,$B$1)</f>
        <v>#NAME?</v>
      </c>
      <c r="AR56" s="55" t="e">
        <f ca="1">_xll.EQNXTDZ($A$1,$B56,AR$5,$B$1)</f>
        <v>#NAME?</v>
      </c>
      <c r="AS56" s="55" t="e">
        <f ca="1">_xll.EQNXTDZ($A$1,$B56,AS$5,$B$1)</f>
        <v>#NAME?</v>
      </c>
      <c r="AT56" s="55" t="e">
        <f ca="1">_xll.EQNXTDZ($A$1,$B56,AT$5,$B$1)</f>
        <v>#NAME?</v>
      </c>
      <c r="AU56" s="55" t="e">
        <f ca="1">_xll.EQNXTDZ($A$1,$B56,AU$5,$B$1)</f>
        <v>#NAME?</v>
      </c>
      <c r="AV56" s="55" t="e">
        <f ca="1">_xll.EQNXTDZ($A$1,$B56,AV$5,$B$1)</f>
        <v>#NAME?</v>
      </c>
      <c r="AW56" s="55" t="e">
        <f ca="1">_xll.EQNXTDZ($A$1,$B56,AW$5,$B$1)</f>
        <v>#NAME?</v>
      </c>
      <c r="AX56" s="55" t="e">
        <f ca="1">_xll.EQNXTDZ($A$1,$B56,AX$5,$B$1)</f>
        <v>#NAME?</v>
      </c>
      <c r="AY56" s="55" t="e">
        <f ca="1">_xll.EQNXTDZ($A$1,$B56,AY$5,$B$1)</f>
        <v>#NAME?</v>
      </c>
      <c r="AZ56" s="55" t="e">
        <f ca="1">_xll.EQNXTDZ($A$1,$B56,AZ$5,$B$1)</f>
        <v>#NAME?</v>
      </c>
      <c r="BA56" s="55" t="e">
        <f ca="1">_xll.EQNXTDZ($A$1,$B56,BA$5,$B$1)</f>
        <v>#NAME?</v>
      </c>
      <c r="BB56" s="55" t="e">
        <f ca="1">_xll.EQNXTDZ($A$1,$B56,BB$5,$B$1)</f>
        <v>#NAME?</v>
      </c>
      <c r="BC56" s="55" t="e">
        <f ca="1">_xll.EQNXTDZ($A$1,$B56,BC$5,$B$1)</f>
        <v>#NAME?</v>
      </c>
      <c r="BD56" s="55" t="e">
        <f ca="1">_xll.EQNXTDZ($A$1,$B56,BD$5,$B$1)</f>
        <v>#NAME?</v>
      </c>
      <c r="BE56" s="55" t="e">
        <f ca="1">_xll.EQNXTDZ($A$1,$B56,BE$5,$B$1)</f>
        <v>#NAME?</v>
      </c>
      <c r="BF56" s="55" t="e">
        <f ca="1">_xll.EQNXTDZ($A$1,$B56,BF$5,$B$1)</f>
        <v>#NAME?</v>
      </c>
      <c r="BG56" s="55" t="e">
        <f ca="1">_xll.EQNXTDZ($A$1,$B56,BG$5,$B$1)</f>
        <v>#NAME?</v>
      </c>
      <c r="BH56" s="55" t="e">
        <f ca="1">_xll.EQNXTDZ($A$1,$B56,BH$5,$B$1)</f>
        <v>#NAME?</v>
      </c>
      <c r="BI56" s="55" t="e">
        <f ca="1">_xll.EQNXTDZ($A$1,$B56,BI$5,$B$1)</f>
        <v>#NAME?</v>
      </c>
      <c r="BJ56" s="55" t="e">
        <f ca="1">_xll.EQNXTDZ($A$1,$B56,BJ$5,$B$1)</f>
        <v>#NAME?</v>
      </c>
      <c r="BK56" s="55" t="e">
        <f ca="1">_xll.EQNXTDZ($A$1,$B56,BK$5,$B$1)</f>
        <v>#NAME?</v>
      </c>
      <c r="BL56" s="55" t="e">
        <f ca="1">_xll.EQNXTDZ($A$1,$B56,BL$5,$B$1)</f>
        <v>#NAME?</v>
      </c>
      <c r="BM56" s="55" t="e">
        <f ca="1">_xll.EQNXTDZ($A$1,$B56,BM$5,$B$1)</f>
        <v>#NAME?</v>
      </c>
      <c r="BN56" s="55" t="e">
        <f ca="1">_xll.EQNXTDZ($A$1,$B56,BN$5,$B$1)</f>
        <v>#NAME?</v>
      </c>
      <c r="BO56" s="55" t="e">
        <f ca="1">_xll.EQNXTDZ($A$1,$B56,BO$5,$B$1)</f>
        <v>#NAME?</v>
      </c>
      <c r="BP56" s="55" t="e">
        <f ca="1">_xll.EQNXTDZ($A$1,$B56,BP$5,$B$1)</f>
        <v>#NAME?</v>
      </c>
      <c r="BQ56" s="55" t="e">
        <f ca="1">_xll.EQNXTDZ($A$1,$B56,BQ$5,$B$1)</f>
        <v>#NAME?</v>
      </c>
      <c r="BR56" s="55" t="e">
        <f ca="1">_xll.EQNXTDZ($A$1,$B56,BR$5,$B$1)</f>
        <v>#NAME?</v>
      </c>
      <c r="BS56" s="55" t="e">
        <f ca="1">_xll.EQNXTDZ($A$1,$B56,BS$5,$B$1)</f>
        <v>#NAME?</v>
      </c>
      <c r="BT56" s="55" t="e">
        <f ca="1">_xll.EQNXTDZ($A$1,$B56,BT$5,$B$1)</f>
        <v>#NAME?</v>
      </c>
      <c r="BU56" s="55" t="e">
        <f ca="1">_xll.EQNXTDZ($A$1,$B56,BU$5,$B$1)</f>
        <v>#NAME?</v>
      </c>
      <c r="BV56" s="55" t="e">
        <f ca="1">_xll.EQNXTDZ($A$1,$B56,BV$5,$B$1)</f>
        <v>#NAME?</v>
      </c>
    </row>
    <row r="57" spans="1:74" x14ac:dyDescent="0.25">
      <c r="A57" t="s">
        <v>353</v>
      </c>
      <c r="B57" t="s">
        <v>373</v>
      </c>
      <c r="C57" s="55" t="e">
        <f ca="1">_xll.EQNXTDZ($A$1,$B57,C$5,$B$1)</f>
        <v>#NAME?</v>
      </c>
      <c r="D57" s="55" t="e">
        <f ca="1">_xll.EQNXTDZ($A$1,$B57,D$5,$B$1)</f>
        <v>#NAME?</v>
      </c>
      <c r="E57" s="55" t="e">
        <f ca="1">_xll.EQNXTDZ($A$1,$B57,E$5,$B$1)</f>
        <v>#NAME?</v>
      </c>
      <c r="F57" s="55" t="e">
        <f ca="1">_xll.EQNXTDZ($A$1,$B57,F$5,$B$1)</f>
        <v>#NAME?</v>
      </c>
      <c r="G57" s="55" t="e">
        <f ca="1">_xll.EQNXTDZ($A$1,$B57,G$5,$B$1)</f>
        <v>#NAME?</v>
      </c>
      <c r="H57" s="55" t="e">
        <f ca="1">_xll.EQNXTDZ($A$1,$B57,H$5,$B$1)</f>
        <v>#NAME?</v>
      </c>
      <c r="I57" s="55" t="e">
        <f ca="1">_xll.EQNXTDZ($A$1,$B57,I$5,$B$1)</f>
        <v>#NAME?</v>
      </c>
      <c r="J57" s="55" t="e">
        <f ca="1">_xll.EQNXTDZ($A$1,$B57,J$5,$B$1)</f>
        <v>#NAME?</v>
      </c>
      <c r="K57" s="55" t="e">
        <f ca="1">_xll.EQNXTDZ($A$1,$B57,K$5,$B$1)</f>
        <v>#NAME?</v>
      </c>
      <c r="L57" s="55" t="e">
        <f ca="1">_xll.EQNXTDZ($A$1,$B57,L$5,$B$1)</f>
        <v>#NAME?</v>
      </c>
      <c r="M57" s="55" t="e">
        <f ca="1">_xll.EQNXTDZ($A$1,$B57,M$5,$B$1)</f>
        <v>#NAME?</v>
      </c>
      <c r="N57" s="55" t="e">
        <f ca="1">_xll.EQNXTDZ($A$1,$B57,N$5,$B$1)</f>
        <v>#NAME?</v>
      </c>
      <c r="O57" s="55" t="e">
        <f ca="1">_xll.EQNXTDZ($A$1,$B57,O$5,$B$1)</f>
        <v>#NAME?</v>
      </c>
      <c r="P57" s="55" t="e">
        <f ca="1">_xll.EQNXTDZ($A$1,$B57,P$5,$B$1)</f>
        <v>#NAME?</v>
      </c>
      <c r="Q57" s="55" t="e">
        <f ca="1">_xll.EQNXTDZ($A$1,$B57,Q$5,$B$1)</f>
        <v>#NAME?</v>
      </c>
      <c r="R57" s="55" t="e">
        <f ca="1">_xll.EQNXTDZ($A$1,$B57,R$5,$B$1)</f>
        <v>#NAME?</v>
      </c>
      <c r="S57" s="55" t="e">
        <f ca="1">_xll.EQNXTDZ($A$1,$B57,S$5,$B$1)</f>
        <v>#NAME?</v>
      </c>
      <c r="T57" s="55" t="e">
        <f ca="1">_xll.EQNXTDZ($A$1,$B57,T$5,$B$1)</f>
        <v>#NAME?</v>
      </c>
      <c r="U57" s="55" t="e">
        <f ca="1">_xll.EQNXTDZ($A$1,$B57,U$5,$B$1)</f>
        <v>#NAME?</v>
      </c>
      <c r="V57" s="55" t="e">
        <f ca="1">_xll.EQNXTDZ($A$1,$B57,V$5,$B$1)</f>
        <v>#NAME?</v>
      </c>
      <c r="W57" s="55" t="e">
        <f ca="1">_xll.EQNXTDZ($A$1,$B57,W$5,$B$1)</f>
        <v>#NAME?</v>
      </c>
      <c r="X57" s="55" t="e">
        <f ca="1">_xll.EQNXTDZ($A$1,$B57,X$5,$B$1)</f>
        <v>#NAME?</v>
      </c>
      <c r="Y57" s="55" t="e">
        <f ca="1">_xll.EQNXTDZ($A$1,$B57,Y$5,$B$1)</f>
        <v>#NAME?</v>
      </c>
      <c r="Z57" s="55" t="e">
        <f ca="1">_xll.EQNXTDZ($A$1,$B57,Z$5,$B$1)</f>
        <v>#NAME?</v>
      </c>
      <c r="AA57" s="55" t="e">
        <f ca="1">_xll.EQNXTDZ($A$1,$B57,AA$5,$B$1)</f>
        <v>#NAME?</v>
      </c>
      <c r="AB57" s="55" t="e">
        <f ca="1">_xll.EQNXTDZ($A$1,$B57,AB$5,$B$1)</f>
        <v>#NAME?</v>
      </c>
      <c r="AC57" s="55" t="e">
        <f ca="1">_xll.EQNXTDZ($A$1,$B57,AC$5,$B$1)</f>
        <v>#NAME?</v>
      </c>
      <c r="AD57" s="55" t="e">
        <f ca="1">_xll.EQNXTDZ($A$1,$B57,AD$5,$B$1)</f>
        <v>#NAME?</v>
      </c>
      <c r="AE57" s="55" t="e">
        <f ca="1">_xll.EQNXTDZ($A$1,$B57,AE$5,$B$1)</f>
        <v>#NAME?</v>
      </c>
      <c r="AF57" s="55" t="e">
        <f ca="1">_xll.EQNXTDZ($A$1,$B57,AF$5,$B$1)</f>
        <v>#NAME?</v>
      </c>
      <c r="AG57" s="55" t="e">
        <f ca="1">_xll.EQNXTDZ($A$1,$B57,AG$5,$B$1)</f>
        <v>#NAME?</v>
      </c>
      <c r="AH57" s="55" t="e">
        <f ca="1">_xll.EQNXTDZ($A$1,$B57,AH$5,$B$1)</f>
        <v>#NAME?</v>
      </c>
      <c r="AI57" s="55" t="e">
        <f ca="1">_xll.EQNXTDZ($A$1,$B57,AI$5,$B$1)</f>
        <v>#NAME?</v>
      </c>
      <c r="AJ57" s="55" t="e">
        <f ca="1">_xll.EQNXTDZ($A$1,$B57,AJ$5,$B$1)</f>
        <v>#NAME?</v>
      </c>
      <c r="AK57" s="55" t="e">
        <f ca="1">_xll.EQNXTDZ($A$1,$B57,AK$5,$B$1)</f>
        <v>#NAME?</v>
      </c>
      <c r="AL57" s="55" t="e">
        <f ca="1">_xll.EQNXTDZ($A$1,$B57,AL$5,$B$1)</f>
        <v>#NAME?</v>
      </c>
      <c r="AM57" s="55" t="e">
        <f ca="1">_xll.EQNXTDZ($A$1,$B57,AM$5,$B$1)</f>
        <v>#NAME?</v>
      </c>
      <c r="AN57" s="55" t="e">
        <f ca="1">_xll.EQNXTDZ($A$1,$B57,AN$5,$B$1)</f>
        <v>#NAME?</v>
      </c>
      <c r="AO57" s="55" t="e">
        <f ca="1">_xll.EQNXTDZ($A$1,$B57,AO$5,$B$1)</f>
        <v>#NAME?</v>
      </c>
      <c r="AP57" s="55" t="e">
        <f ca="1">_xll.EQNXTDZ($A$1,$B57,AP$5,$B$1)</f>
        <v>#NAME?</v>
      </c>
      <c r="AQ57" s="55" t="e">
        <f ca="1">_xll.EQNXTDZ($A$1,$B57,AQ$5,$B$1)</f>
        <v>#NAME?</v>
      </c>
      <c r="AR57" s="55" t="e">
        <f ca="1">_xll.EQNXTDZ($A$1,$B57,AR$5,$B$1)</f>
        <v>#NAME?</v>
      </c>
      <c r="AS57" s="55" t="e">
        <f ca="1">_xll.EQNXTDZ($A$1,$B57,AS$5,$B$1)</f>
        <v>#NAME?</v>
      </c>
      <c r="AT57" s="55" t="e">
        <f ca="1">_xll.EQNXTDZ($A$1,$B57,AT$5,$B$1)</f>
        <v>#NAME?</v>
      </c>
      <c r="AU57" s="55" t="e">
        <f ca="1">_xll.EQNXTDZ($A$1,$B57,AU$5,$B$1)</f>
        <v>#NAME?</v>
      </c>
      <c r="AV57" s="55" t="e">
        <f ca="1">_xll.EQNXTDZ($A$1,$B57,AV$5,$B$1)</f>
        <v>#NAME?</v>
      </c>
      <c r="AW57" s="55" t="e">
        <f ca="1">_xll.EQNXTDZ($A$1,$B57,AW$5,$B$1)</f>
        <v>#NAME?</v>
      </c>
      <c r="AX57" s="55" t="e">
        <f ca="1">_xll.EQNXTDZ($A$1,$B57,AX$5,$B$1)</f>
        <v>#NAME?</v>
      </c>
      <c r="AY57" s="55" t="e">
        <f ca="1">_xll.EQNXTDZ($A$1,$B57,AY$5,$B$1)</f>
        <v>#NAME?</v>
      </c>
      <c r="AZ57" s="55" t="e">
        <f ca="1">_xll.EQNXTDZ($A$1,$B57,AZ$5,$B$1)</f>
        <v>#NAME?</v>
      </c>
      <c r="BA57" s="55" t="e">
        <f ca="1">_xll.EQNXTDZ($A$1,$B57,BA$5,$B$1)</f>
        <v>#NAME?</v>
      </c>
      <c r="BB57" s="55" t="e">
        <f ca="1">_xll.EQNXTDZ($A$1,$B57,BB$5,$B$1)</f>
        <v>#NAME?</v>
      </c>
      <c r="BC57" s="55" t="e">
        <f ca="1">_xll.EQNXTDZ($A$1,$B57,BC$5,$B$1)</f>
        <v>#NAME?</v>
      </c>
      <c r="BD57" s="55" t="e">
        <f ca="1">_xll.EQNXTDZ($A$1,$B57,BD$5,$B$1)</f>
        <v>#NAME?</v>
      </c>
      <c r="BE57" s="55" t="e">
        <f ca="1">_xll.EQNXTDZ($A$1,$B57,BE$5,$B$1)</f>
        <v>#NAME?</v>
      </c>
      <c r="BF57" s="55" t="e">
        <f ca="1">_xll.EQNXTDZ($A$1,$B57,BF$5,$B$1)</f>
        <v>#NAME?</v>
      </c>
      <c r="BG57" s="55" t="e">
        <f ca="1">_xll.EQNXTDZ($A$1,$B57,BG$5,$B$1)</f>
        <v>#NAME?</v>
      </c>
      <c r="BH57" s="55" t="e">
        <f ca="1">_xll.EQNXTDZ($A$1,$B57,BH$5,$B$1)</f>
        <v>#NAME?</v>
      </c>
      <c r="BI57" s="55" t="e">
        <f ca="1">_xll.EQNXTDZ($A$1,$B57,BI$5,$B$1)</f>
        <v>#NAME?</v>
      </c>
      <c r="BJ57" s="55" t="e">
        <f ca="1">_xll.EQNXTDZ($A$1,$B57,BJ$5,$B$1)</f>
        <v>#NAME?</v>
      </c>
      <c r="BK57" s="55" t="e">
        <f ca="1">_xll.EQNXTDZ($A$1,$B57,BK$5,$B$1)</f>
        <v>#NAME?</v>
      </c>
      <c r="BL57" s="55" t="e">
        <f ca="1">_xll.EQNXTDZ($A$1,$B57,BL$5,$B$1)</f>
        <v>#NAME?</v>
      </c>
      <c r="BM57" s="55" t="e">
        <f ca="1">_xll.EQNXTDZ($A$1,$B57,BM$5,$B$1)</f>
        <v>#NAME?</v>
      </c>
      <c r="BN57" s="55" t="e">
        <f ca="1">_xll.EQNXTDZ($A$1,$B57,BN$5,$B$1)</f>
        <v>#NAME?</v>
      </c>
      <c r="BO57" s="55" t="e">
        <f ca="1">_xll.EQNXTDZ($A$1,$B57,BO$5,$B$1)</f>
        <v>#NAME?</v>
      </c>
      <c r="BP57" s="55" t="e">
        <f ca="1">_xll.EQNXTDZ($A$1,$B57,BP$5,$B$1)</f>
        <v>#NAME?</v>
      </c>
      <c r="BQ57" s="55" t="e">
        <f ca="1">_xll.EQNXTDZ($A$1,$B57,BQ$5,$B$1)</f>
        <v>#NAME?</v>
      </c>
      <c r="BR57" s="55" t="e">
        <f ca="1">_xll.EQNXTDZ($A$1,$B57,BR$5,$B$1)</f>
        <v>#NAME?</v>
      </c>
      <c r="BS57" s="55" t="e">
        <f ca="1">_xll.EQNXTDZ($A$1,$B57,BS$5,$B$1)</f>
        <v>#NAME?</v>
      </c>
      <c r="BT57" s="55" t="e">
        <f ca="1">_xll.EQNXTDZ($A$1,$B57,BT$5,$B$1)</f>
        <v>#NAME?</v>
      </c>
      <c r="BU57" s="55" t="e">
        <f ca="1">_xll.EQNXTDZ($A$1,$B57,BU$5,$B$1)</f>
        <v>#NAME?</v>
      </c>
      <c r="BV57" s="55" t="e">
        <f ca="1">_xll.EQNXTDZ($A$1,$B57,BV$5,$B$1)</f>
        <v>#NAME?</v>
      </c>
    </row>
    <row r="58" spans="1:74" x14ac:dyDescent="0.25">
      <c r="A58" t="s">
        <v>354</v>
      </c>
      <c r="B58" t="s">
        <v>374</v>
      </c>
      <c r="C58" s="55" t="e">
        <f ca="1">_xll.EQNXTDZ($A$1,$B58,C$5,$B$1)</f>
        <v>#NAME?</v>
      </c>
      <c r="D58" s="55" t="e">
        <f ca="1">_xll.EQNXTDZ($A$1,$B58,D$5,$B$1)</f>
        <v>#NAME?</v>
      </c>
      <c r="E58" s="55" t="e">
        <f ca="1">_xll.EQNXTDZ($A$1,$B58,E$5,$B$1)</f>
        <v>#NAME?</v>
      </c>
      <c r="F58" s="55" t="e">
        <f ca="1">_xll.EQNXTDZ($A$1,$B58,F$5,$B$1)</f>
        <v>#NAME?</v>
      </c>
      <c r="G58" s="55" t="e">
        <f ca="1">_xll.EQNXTDZ($A$1,$B58,G$5,$B$1)</f>
        <v>#NAME?</v>
      </c>
      <c r="H58" s="55" t="e">
        <f ca="1">_xll.EQNXTDZ($A$1,$B58,H$5,$B$1)</f>
        <v>#NAME?</v>
      </c>
      <c r="I58" s="55" t="e">
        <f ca="1">_xll.EQNXTDZ($A$1,$B58,I$5,$B$1)</f>
        <v>#NAME?</v>
      </c>
      <c r="J58" s="55" t="e">
        <f ca="1">_xll.EQNXTDZ($A$1,$B58,J$5,$B$1)</f>
        <v>#NAME?</v>
      </c>
      <c r="K58" s="55" t="e">
        <f ca="1">_xll.EQNXTDZ($A$1,$B58,K$5,$B$1)</f>
        <v>#NAME?</v>
      </c>
      <c r="L58" s="55" t="e">
        <f ca="1">_xll.EQNXTDZ($A$1,$B58,L$5,$B$1)</f>
        <v>#NAME?</v>
      </c>
      <c r="M58" s="55" t="e">
        <f ca="1">_xll.EQNXTDZ($A$1,$B58,M$5,$B$1)</f>
        <v>#NAME?</v>
      </c>
      <c r="N58" s="55" t="e">
        <f ca="1">_xll.EQNXTDZ($A$1,$B58,N$5,$B$1)</f>
        <v>#NAME?</v>
      </c>
      <c r="O58" s="55" t="e">
        <f ca="1">_xll.EQNXTDZ($A$1,$B58,O$5,$B$1)</f>
        <v>#NAME?</v>
      </c>
      <c r="P58" s="55" t="e">
        <f ca="1">_xll.EQNXTDZ($A$1,$B58,P$5,$B$1)</f>
        <v>#NAME?</v>
      </c>
      <c r="Q58" s="55" t="e">
        <f ca="1">_xll.EQNXTDZ($A$1,$B58,Q$5,$B$1)</f>
        <v>#NAME?</v>
      </c>
      <c r="R58" s="55" t="e">
        <f ca="1">_xll.EQNXTDZ($A$1,$B58,R$5,$B$1)</f>
        <v>#NAME?</v>
      </c>
      <c r="S58" s="55" t="e">
        <f ca="1">_xll.EQNXTDZ($A$1,$B58,S$5,$B$1)</f>
        <v>#NAME?</v>
      </c>
      <c r="T58" s="55" t="e">
        <f ca="1">_xll.EQNXTDZ($A$1,$B58,T$5,$B$1)</f>
        <v>#NAME?</v>
      </c>
      <c r="U58" s="55" t="e">
        <f ca="1">_xll.EQNXTDZ($A$1,$B58,U$5,$B$1)</f>
        <v>#NAME?</v>
      </c>
      <c r="V58" s="55" t="e">
        <f ca="1">_xll.EQNXTDZ($A$1,$B58,V$5,$B$1)</f>
        <v>#NAME?</v>
      </c>
      <c r="W58" s="55" t="e">
        <f ca="1">_xll.EQNXTDZ($A$1,$B58,W$5,$B$1)</f>
        <v>#NAME?</v>
      </c>
      <c r="X58" s="55" t="e">
        <f ca="1">_xll.EQNXTDZ($A$1,$B58,X$5,$B$1)</f>
        <v>#NAME?</v>
      </c>
      <c r="Y58" s="55" t="e">
        <f ca="1">_xll.EQNXTDZ($A$1,$B58,Y$5,$B$1)</f>
        <v>#NAME?</v>
      </c>
      <c r="Z58" s="55" t="e">
        <f ca="1">_xll.EQNXTDZ($A$1,$B58,Z$5,$B$1)</f>
        <v>#NAME?</v>
      </c>
      <c r="AA58" s="55" t="e">
        <f ca="1">_xll.EQNXTDZ($A$1,$B58,AA$5,$B$1)</f>
        <v>#NAME?</v>
      </c>
      <c r="AB58" s="55" t="e">
        <f ca="1">_xll.EQNXTDZ($A$1,$B58,AB$5,$B$1)</f>
        <v>#NAME?</v>
      </c>
      <c r="AC58" s="55" t="e">
        <f ca="1">_xll.EQNXTDZ($A$1,$B58,AC$5,$B$1)</f>
        <v>#NAME?</v>
      </c>
      <c r="AD58" s="55" t="e">
        <f ca="1">_xll.EQNXTDZ($A$1,$B58,AD$5,$B$1)</f>
        <v>#NAME?</v>
      </c>
      <c r="AE58" s="55" t="e">
        <f ca="1">_xll.EQNXTDZ($A$1,$B58,AE$5,$B$1)</f>
        <v>#NAME?</v>
      </c>
      <c r="AF58" s="55" t="e">
        <f ca="1">_xll.EQNXTDZ($A$1,$B58,AF$5,$B$1)</f>
        <v>#NAME?</v>
      </c>
      <c r="AG58" s="55" t="e">
        <f ca="1">_xll.EQNXTDZ($A$1,$B58,AG$5,$B$1)</f>
        <v>#NAME?</v>
      </c>
      <c r="AH58" s="55" t="e">
        <f ca="1">_xll.EQNXTDZ($A$1,$B58,AH$5,$B$1)</f>
        <v>#NAME?</v>
      </c>
      <c r="AI58" s="55" t="e">
        <f ca="1">_xll.EQNXTDZ($A$1,$B58,AI$5,$B$1)</f>
        <v>#NAME?</v>
      </c>
      <c r="AJ58" s="55" t="e">
        <f ca="1">_xll.EQNXTDZ($A$1,$B58,AJ$5,$B$1)</f>
        <v>#NAME?</v>
      </c>
      <c r="AK58" s="55" t="e">
        <f ca="1">_xll.EQNXTDZ($A$1,$B58,AK$5,$B$1)</f>
        <v>#NAME?</v>
      </c>
      <c r="AL58" s="55" t="e">
        <f ca="1">_xll.EQNXTDZ($A$1,$B58,AL$5,$B$1)</f>
        <v>#NAME?</v>
      </c>
      <c r="AM58" s="55" t="e">
        <f ca="1">_xll.EQNXTDZ($A$1,$B58,AM$5,$B$1)</f>
        <v>#NAME?</v>
      </c>
      <c r="AN58" s="55" t="e">
        <f ca="1">_xll.EQNXTDZ($A$1,$B58,AN$5,$B$1)</f>
        <v>#NAME?</v>
      </c>
      <c r="AO58" s="55" t="e">
        <f ca="1">_xll.EQNXTDZ($A$1,$B58,AO$5,$B$1)</f>
        <v>#NAME?</v>
      </c>
      <c r="AP58" s="55" t="e">
        <f ca="1">_xll.EQNXTDZ($A$1,$B58,AP$5,$B$1)</f>
        <v>#NAME?</v>
      </c>
      <c r="AQ58" s="55" t="e">
        <f ca="1">_xll.EQNXTDZ($A$1,$B58,AQ$5,$B$1)</f>
        <v>#NAME?</v>
      </c>
      <c r="AR58" s="55" t="e">
        <f ca="1">_xll.EQNXTDZ($A$1,$B58,AR$5,$B$1)</f>
        <v>#NAME?</v>
      </c>
      <c r="AS58" s="55" t="e">
        <f ca="1">_xll.EQNXTDZ($A$1,$B58,AS$5,$B$1)</f>
        <v>#NAME?</v>
      </c>
      <c r="AT58" s="55" t="e">
        <f ca="1">_xll.EQNXTDZ($A$1,$B58,AT$5,$B$1)</f>
        <v>#NAME?</v>
      </c>
      <c r="AU58" s="55" t="e">
        <f ca="1">_xll.EQNXTDZ($A$1,$B58,AU$5,$B$1)</f>
        <v>#NAME?</v>
      </c>
      <c r="AV58" s="55" t="e">
        <f ca="1">_xll.EQNXTDZ($A$1,$B58,AV$5,$B$1)</f>
        <v>#NAME?</v>
      </c>
      <c r="AW58" s="55" t="e">
        <f ca="1">_xll.EQNXTDZ($A$1,$B58,AW$5,$B$1)</f>
        <v>#NAME?</v>
      </c>
      <c r="AX58" s="55" t="e">
        <f ca="1">_xll.EQNXTDZ($A$1,$B58,AX$5,$B$1)</f>
        <v>#NAME?</v>
      </c>
      <c r="AY58" s="55" t="e">
        <f ca="1">_xll.EQNXTDZ($A$1,$B58,AY$5,$B$1)</f>
        <v>#NAME?</v>
      </c>
      <c r="AZ58" s="55" t="e">
        <f ca="1">_xll.EQNXTDZ($A$1,$B58,AZ$5,$B$1)</f>
        <v>#NAME?</v>
      </c>
      <c r="BA58" s="55" t="e">
        <f ca="1">_xll.EQNXTDZ($A$1,$B58,BA$5,$B$1)</f>
        <v>#NAME?</v>
      </c>
      <c r="BB58" s="55" t="e">
        <f ca="1">_xll.EQNXTDZ($A$1,$B58,BB$5,$B$1)</f>
        <v>#NAME?</v>
      </c>
      <c r="BC58" s="55" t="e">
        <f ca="1">_xll.EQNXTDZ($A$1,$B58,BC$5,$B$1)</f>
        <v>#NAME?</v>
      </c>
      <c r="BD58" s="55" t="e">
        <f ca="1">_xll.EQNXTDZ($A$1,$B58,BD$5,$B$1)</f>
        <v>#NAME?</v>
      </c>
      <c r="BE58" s="55" t="e">
        <f ca="1">_xll.EQNXTDZ($A$1,$B58,BE$5,$B$1)</f>
        <v>#NAME?</v>
      </c>
      <c r="BF58" s="55" t="e">
        <f ca="1">_xll.EQNXTDZ($A$1,$B58,BF$5,$B$1)</f>
        <v>#NAME?</v>
      </c>
      <c r="BG58" s="55" t="e">
        <f ca="1">_xll.EQNXTDZ($A$1,$B58,BG$5,$B$1)</f>
        <v>#NAME?</v>
      </c>
      <c r="BH58" s="55" t="e">
        <f ca="1">_xll.EQNXTDZ($A$1,$B58,BH$5,$B$1)</f>
        <v>#NAME?</v>
      </c>
      <c r="BI58" s="55" t="e">
        <f ca="1">_xll.EQNXTDZ($A$1,$B58,BI$5,$B$1)</f>
        <v>#NAME?</v>
      </c>
      <c r="BJ58" s="55" t="e">
        <f ca="1">_xll.EQNXTDZ($A$1,$B58,BJ$5,$B$1)</f>
        <v>#NAME?</v>
      </c>
      <c r="BK58" s="55" t="e">
        <f ca="1">_xll.EQNXTDZ($A$1,$B58,BK$5,$B$1)</f>
        <v>#NAME?</v>
      </c>
      <c r="BL58" s="55" t="e">
        <f ca="1">_xll.EQNXTDZ($A$1,$B58,BL$5,$B$1)</f>
        <v>#NAME?</v>
      </c>
      <c r="BM58" s="55" t="e">
        <f ca="1">_xll.EQNXTDZ($A$1,$B58,BM$5,$B$1)</f>
        <v>#NAME?</v>
      </c>
      <c r="BN58" s="55" t="e">
        <f ca="1">_xll.EQNXTDZ($A$1,$B58,BN$5,$B$1)</f>
        <v>#NAME?</v>
      </c>
      <c r="BO58" s="55" t="e">
        <f ca="1">_xll.EQNXTDZ($A$1,$B58,BO$5,$B$1)</f>
        <v>#NAME?</v>
      </c>
      <c r="BP58" s="55" t="e">
        <f ca="1">_xll.EQNXTDZ($A$1,$B58,BP$5,$B$1)</f>
        <v>#NAME?</v>
      </c>
      <c r="BQ58" s="55" t="e">
        <f ca="1">_xll.EQNXTDZ($A$1,$B58,BQ$5,$B$1)</f>
        <v>#NAME?</v>
      </c>
      <c r="BR58" s="55" t="e">
        <f ca="1">_xll.EQNXTDZ($A$1,$B58,BR$5,$B$1)</f>
        <v>#NAME?</v>
      </c>
      <c r="BS58" s="55" t="e">
        <f ca="1">_xll.EQNXTDZ($A$1,$B58,BS$5,$B$1)</f>
        <v>#NAME?</v>
      </c>
      <c r="BT58" s="55" t="e">
        <f ca="1">_xll.EQNXTDZ($A$1,$B58,BT$5,$B$1)</f>
        <v>#NAME?</v>
      </c>
      <c r="BU58" s="55" t="e">
        <f ca="1">_xll.EQNXTDZ($A$1,$B58,BU$5,$B$1)</f>
        <v>#NAME?</v>
      </c>
      <c r="BV58" s="55" t="e">
        <f ca="1">_xll.EQNXTDZ($A$1,$B58,BV$5,$B$1)</f>
        <v>#NAME?</v>
      </c>
    </row>
    <row r="59" spans="1:74" x14ac:dyDescent="0.25">
      <c r="A59" t="s">
        <v>44</v>
      </c>
      <c r="B59" t="s">
        <v>375</v>
      </c>
      <c r="C59" s="55" t="e">
        <f ca="1">_xll.EQNXTDZ($A$1,$B59,C$5,$B$1)</f>
        <v>#NAME?</v>
      </c>
      <c r="D59" s="55" t="e">
        <f ca="1">_xll.EQNXTDZ($A$1,$B59,D$5,$B$1)</f>
        <v>#NAME?</v>
      </c>
      <c r="E59" s="55" t="e">
        <f ca="1">_xll.EQNXTDZ($A$1,$B59,E$5,$B$1)</f>
        <v>#NAME?</v>
      </c>
      <c r="F59" s="55" t="e">
        <f ca="1">_xll.EQNXTDZ($A$1,$B59,F$5,$B$1)</f>
        <v>#NAME?</v>
      </c>
      <c r="G59" s="55" t="e">
        <f ca="1">_xll.EQNXTDZ($A$1,$B59,G$5,$B$1)</f>
        <v>#NAME?</v>
      </c>
      <c r="H59" s="55" t="e">
        <f ca="1">_xll.EQNXTDZ($A$1,$B59,H$5,$B$1)</f>
        <v>#NAME?</v>
      </c>
      <c r="I59" s="55" t="e">
        <f ca="1">_xll.EQNXTDZ($A$1,$B59,I$5,$B$1)</f>
        <v>#NAME?</v>
      </c>
      <c r="J59" s="55" t="e">
        <f ca="1">_xll.EQNXTDZ($A$1,$B59,J$5,$B$1)</f>
        <v>#NAME?</v>
      </c>
      <c r="K59" s="55" t="e">
        <f ca="1">_xll.EQNXTDZ($A$1,$B59,K$5,$B$1)</f>
        <v>#NAME?</v>
      </c>
      <c r="L59" s="55" t="e">
        <f ca="1">_xll.EQNXTDZ($A$1,$B59,L$5,$B$1)</f>
        <v>#NAME?</v>
      </c>
      <c r="M59" s="55" t="e">
        <f ca="1">_xll.EQNXTDZ($A$1,$B59,M$5,$B$1)</f>
        <v>#NAME?</v>
      </c>
      <c r="N59" s="55" t="e">
        <f ca="1">_xll.EQNXTDZ($A$1,$B59,N$5,$B$1)</f>
        <v>#NAME?</v>
      </c>
      <c r="O59" s="55" t="e">
        <f ca="1">_xll.EQNXTDZ($A$1,$B59,O$5,$B$1)</f>
        <v>#NAME?</v>
      </c>
      <c r="P59" s="55" t="e">
        <f ca="1">_xll.EQNXTDZ($A$1,$B59,P$5,$B$1)</f>
        <v>#NAME?</v>
      </c>
      <c r="Q59" s="55" t="e">
        <f ca="1">_xll.EQNXTDZ($A$1,$B59,Q$5,$B$1)</f>
        <v>#NAME?</v>
      </c>
      <c r="R59" s="55" t="e">
        <f ca="1">_xll.EQNXTDZ($A$1,$B59,R$5,$B$1)</f>
        <v>#NAME?</v>
      </c>
      <c r="S59" s="55" t="e">
        <f ca="1">_xll.EQNXTDZ($A$1,$B59,S$5,$B$1)</f>
        <v>#NAME?</v>
      </c>
      <c r="T59" s="55" t="e">
        <f ca="1">_xll.EQNXTDZ($A$1,$B59,T$5,$B$1)</f>
        <v>#NAME?</v>
      </c>
      <c r="U59" s="55" t="e">
        <f ca="1">_xll.EQNXTDZ($A$1,$B59,U$5,$B$1)</f>
        <v>#NAME?</v>
      </c>
      <c r="V59" s="55" t="e">
        <f ca="1">_xll.EQNXTDZ($A$1,$B59,V$5,$B$1)</f>
        <v>#NAME?</v>
      </c>
      <c r="W59" s="55" t="e">
        <f ca="1">_xll.EQNXTDZ($A$1,$B59,W$5,$B$1)</f>
        <v>#NAME?</v>
      </c>
      <c r="X59" s="55" t="e">
        <f ca="1">_xll.EQNXTDZ($A$1,$B59,X$5,$B$1)</f>
        <v>#NAME?</v>
      </c>
      <c r="Y59" s="55" t="e">
        <f ca="1">_xll.EQNXTDZ($A$1,$B59,Y$5,$B$1)</f>
        <v>#NAME?</v>
      </c>
      <c r="Z59" s="55" t="e">
        <f ca="1">_xll.EQNXTDZ($A$1,$B59,Z$5,$B$1)</f>
        <v>#NAME?</v>
      </c>
      <c r="AA59" s="55" t="e">
        <f ca="1">_xll.EQNXTDZ($A$1,$B59,AA$5,$B$1)</f>
        <v>#NAME?</v>
      </c>
      <c r="AB59" s="55" t="e">
        <f ca="1">_xll.EQNXTDZ($A$1,$B59,AB$5,$B$1)</f>
        <v>#NAME?</v>
      </c>
      <c r="AC59" s="55" t="e">
        <f ca="1">_xll.EQNXTDZ($A$1,$B59,AC$5,$B$1)</f>
        <v>#NAME?</v>
      </c>
      <c r="AD59" s="55" t="e">
        <f ca="1">_xll.EQNXTDZ($A$1,$B59,AD$5,$B$1)</f>
        <v>#NAME?</v>
      </c>
      <c r="AE59" s="55" t="e">
        <f ca="1">_xll.EQNXTDZ($A$1,$B59,AE$5,$B$1)</f>
        <v>#NAME?</v>
      </c>
      <c r="AF59" s="55" t="e">
        <f ca="1">_xll.EQNXTDZ($A$1,$B59,AF$5,$B$1)</f>
        <v>#NAME?</v>
      </c>
      <c r="AG59" s="55" t="e">
        <f ca="1">_xll.EQNXTDZ($A$1,$B59,AG$5,$B$1)</f>
        <v>#NAME?</v>
      </c>
      <c r="AH59" s="55" t="e">
        <f ca="1">_xll.EQNXTDZ($A$1,$B59,AH$5,$B$1)</f>
        <v>#NAME?</v>
      </c>
      <c r="AI59" s="55" t="e">
        <f ca="1">_xll.EQNXTDZ($A$1,$B59,AI$5,$B$1)</f>
        <v>#NAME?</v>
      </c>
      <c r="AJ59" s="55" t="e">
        <f ca="1">_xll.EQNXTDZ($A$1,$B59,AJ$5,$B$1)</f>
        <v>#NAME?</v>
      </c>
      <c r="AK59" s="55" t="e">
        <f ca="1">_xll.EQNXTDZ($A$1,$B59,AK$5,$B$1)</f>
        <v>#NAME?</v>
      </c>
      <c r="AL59" s="55" t="e">
        <f ca="1">_xll.EQNXTDZ($A$1,$B59,AL$5,$B$1)</f>
        <v>#NAME?</v>
      </c>
      <c r="AM59" s="55" t="e">
        <f ca="1">_xll.EQNXTDZ($A$1,$B59,AM$5,$B$1)</f>
        <v>#NAME?</v>
      </c>
      <c r="AN59" s="55" t="e">
        <f ca="1">_xll.EQNXTDZ($A$1,$B59,AN$5,$B$1)</f>
        <v>#NAME?</v>
      </c>
      <c r="AO59" s="55" t="e">
        <f ca="1">_xll.EQNXTDZ($A$1,$B59,AO$5,$B$1)</f>
        <v>#NAME?</v>
      </c>
      <c r="AP59" s="55" t="e">
        <f ca="1">_xll.EQNXTDZ($A$1,$B59,AP$5,$B$1)</f>
        <v>#NAME?</v>
      </c>
      <c r="AQ59" s="55" t="e">
        <f ca="1">_xll.EQNXTDZ($A$1,$B59,AQ$5,$B$1)</f>
        <v>#NAME?</v>
      </c>
      <c r="AR59" s="55" t="e">
        <f ca="1">_xll.EQNXTDZ($A$1,$B59,AR$5,$B$1)</f>
        <v>#NAME?</v>
      </c>
      <c r="AS59" s="55" t="e">
        <f ca="1">_xll.EQNXTDZ($A$1,$B59,AS$5,$B$1)</f>
        <v>#NAME?</v>
      </c>
      <c r="AT59" s="55" t="e">
        <f ca="1">_xll.EQNXTDZ($A$1,$B59,AT$5,$B$1)</f>
        <v>#NAME?</v>
      </c>
      <c r="AU59" s="55" t="e">
        <f ca="1">_xll.EQNXTDZ($A$1,$B59,AU$5,$B$1)</f>
        <v>#NAME?</v>
      </c>
      <c r="AV59" s="55" t="e">
        <f ca="1">_xll.EQNXTDZ($A$1,$B59,AV$5,$B$1)</f>
        <v>#NAME?</v>
      </c>
      <c r="AW59" s="55" t="e">
        <f ca="1">_xll.EQNXTDZ($A$1,$B59,AW$5,$B$1)</f>
        <v>#NAME?</v>
      </c>
      <c r="AX59" s="55" t="e">
        <f ca="1">_xll.EQNXTDZ($A$1,$B59,AX$5,$B$1)</f>
        <v>#NAME?</v>
      </c>
      <c r="AY59" s="55" t="e">
        <f ca="1">_xll.EQNXTDZ($A$1,$B59,AY$5,$B$1)</f>
        <v>#NAME?</v>
      </c>
      <c r="AZ59" s="55" t="e">
        <f ca="1">_xll.EQNXTDZ($A$1,$B59,AZ$5,$B$1)</f>
        <v>#NAME?</v>
      </c>
      <c r="BA59" s="55" t="e">
        <f ca="1">_xll.EQNXTDZ($A$1,$B59,BA$5,$B$1)</f>
        <v>#NAME?</v>
      </c>
      <c r="BB59" s="55" t="e">
        <f ca="1">_xll.EQNXTDZ($A$1,$B59,BB$5,$B$1)</f>
        <v>#NAME?</v>
      </c>
      <c r="BC59" s="55" t="e">
        <f ca="1">_xll.EQNXTDZ($A$1,$B59,BC$5,$B$1)</f>
        <v>#NAME?</v>
      </c>
      <c r="BD59" s="55" t="e">
        <f ca="1">_xll.EQNXTDZ($A$1,$B59,BD$5,$B$1)</f>
        <v>#NAME?</v>
      </c>
      <c r="BE59" s="55" t="e">
        <f ca="1">_xll.EQNXTDZ($A$1,$B59,BE$5,$B$1)</f>
        <v>#NAME?</v>
      </c>
      <c r="BF59" s="55" t="e">
        <f ca="1">_xll.EQNXTDZ($A$1,$B59,BF$5,$B$1)</f>
        <v>#NAME?</v>
      </c>
      <c r="BG59" s="55" t="e">
        <f ca="1">_xll.EQNXTDZ($A$1,$B59,BG$5,$B$1)</f>
        <v>#NAME?</v>
      </c>
      <c r="BH59" s="55" t="e">
        <f ca="1">_xll.EQNXTDZ($A$1,$B59,BH$5,$B$1)</f>
        <v>#NAME?</v>
      </c>
      <c r="BI59" s="55" t="e">
        <f ca="1">_xll.EQNXTDZ($A$1,$B59,BI$5,$B$1)</f>
        <v>#NAME?</v>
      </c>
      <c r="BJ59" s="55" t="e">
        <f ca="1">_xll.EQNXTDZ($A$1,$B59,BJ$5,$B$1)</f>
        <v>#NAME?</v>
      </c>
      <c r="BK59" s="55" t="e">
        <f ca="1">_xll.EQNXTDZ($A$1,$B59,BK$5,$B$1)</f>
        <v>#NAME?</v>
      </c>
      <c r="BL59" s="55" t="e">
        <f ca="1">_xll.EQNXTDZ($A$1,$B59,BL$5,$B$1)</f>
        <v>#NAME?</v>
      </c>
      <c r="BM59" s="55" t="e">
        <f ca="1">_xll.EQNXTDZ($A$1,$B59,BM$5,$B$1)</f>
        <v>#NAME?</v>
      </c>
      <c r="BN59" s="55" t="e">
        <f ca="1">_xll.EQNXTDZ($A$1,$B59,BN$5,$B$1)</f>
        <v>#NAME?</v>
      </c>
      <c r="BO59" s="55" t="e">
        <f ca="1">_xll.EQNXTDZ($A$1,$B59,BO$5,$B$1)</f>
        <v>#NAME?</v>
      </c>
      <c r="BP59" s="55" t="e">
        <f ca="1">_xll.EQNXTDZ($A$1,$B59,BP$5,$B$1)</f>
        <v>#NAME?</v>
      </c>
      <c r="BQ59" s="55" t="e">
        <f ca="1">_xll.EQNXTDZ($A$1,$B59,BQ$5,$B$1)</f>
        <v>#NAME?</v>
      </c>
      <c r="BR59" s="55" t="e">
        <f ca="1">_xll.EQNXTDZ($A$1,$B59,BR$5,$B$1)</f>
        <v>#NAME?</v>
      </c>
      <c r="BS59" s="55" t="e">
        <f ca="1">_xll.EQNXTDZ($A$1,$B59,BS$5,$B$1)</f>
        <v>#NAME?</v>
      </c>
      <c r="BT59" s="55" t="e">
        <f ca="1">_xll.EQNXTDZ($A$1,$B59,BT$5,$B$1)</f>
        <v>#NAME?</v>
      </c>
      <c r="BU59" s="55" t="e">
        <f ca="1">_xll.EQNXTDZ($A$1,$B59,BU$5,$B$1)</f>
        <v>#NAME?</v>
      </c>
      <c r="BV59" s="55" t="e">
        <f ca="1">_xll.EQNXTDZ($A$1,$B59,BV$5,$B$1)</f>
        <v>#NAME?</v>
      </c>
    </row>
    <row r="60" spans="1:74" x14ac:dyDescent="0.25">
      <c r="A60" t="s">
        <v>23</v>
      </c>
      <c r="B60" t="s">
        <v>376</v>
      </c>
      <c r="C60" s="55" t="e">
        <f ca="1">_xll.EQNXTDZ($A$1,$B60,C$5,$B$1)</f>
        <v>#NAME?</v>
      </c>
      <c r="D60" s="55" t="e">
        <f ca="1">_xll.EQNXTDZ($A$1,$B60,D$5,$B$1)</f>
        <v>#NAME?</v>
      </c>
      <c r="E60" s="55" t="e">
        <f ca="1">_xll.EQNXTDZ($A$1,$B60,E$5,$B$1)</f>
        <v>#NAME?</v>
      </c>
      <c r="F60" s="55" t="e">
        <f ca="1">_xll.EQNXTDZ($A$1,$B60,F$5,$B$1)</f>
        <v>#NAME?</v>
      </c>
      <c r="G60" s="55" t="e">
        <f ca="1">_xll.EQNXTDZ($A$1,$B60,G$5,$B$1)</f>
        <v>#NAME?</v>
      </c>
      <c r="H60" s="55" t="e">
        <f ca="1">_xll.EQNXTDZ($A$1,$B60,H$5,$B$1)</f>
        <v>#NAME?</v>
      </c>
      <c r="I60" s="55" t="e">
        <f ca="1">_xll.EQNXTDZ($A$1,$B60,I$5,$B$1)</f>
        <v>#NAME?</v>
      </c>
      <c r="J60" s="55" t="e">
        <f ca="1">_xll.EQNXTDZ($A$1,$B60,J$5,$B$1)</f>
        <v>#NAME?</v>
      </c>
      <c r="K60" s="55" t="e">
        <f ca="1">_xll.EQNXTDZ($A$1,$B60,K$5,$B$1)</f>
        <v>#NAME?</v>
      </c>
      <c r="L60" s="55" t="e">
        <f ca="1">_xll.EQNXTDZ($A$1,$B60,L$5,$B$1)</f>
        <v>#NAME?</v>
      </c>
      <c r="M60" s="55" t="e">
        <f ca="1">_xll.EQNXTDZ($A$1,$B60,M$5,$B$1)</f>
        <v>#NAME?</v>
      </c>
      <c r="N60" s="55" t="e">
        <f ca="1">_xll.EQNXTDZ($A$1,$B60,N$5,$B$1)</f>
        <v>#NAME?</v>
      </c>
      <c r="O60" s="55" t="e">
        <f ca="1">_xll.EQNXTDZ($A$1,$B60,O$5,$B$1)</f>
        <v>#NAME?</v>
      </c>
      <c r="P60" s="55" t="e">
        <f ca="1">_xll.EQNXTDZ($A$1,$B60,P$5,$B$1)</f>
        <v>#NAME?</v>
      </c>
      <c r="Q60" s="55" t="e">
        <f ca="1">_xll.EQNXTDZ($A$1,$B60,Q$5,$B$1)</f>
        <v>#NAME?</v>
      </c>
      <c r="R60" s="55" t="e">
        <f ca="1">_xll.EQNXTDZ($A$1,$B60,R$5,$B$1)</f>
        <v>#NAME?</v>
      </c>
      <c r="S60" s="55" t="e">
        <f ca="1">_xll.EQNXTDZ($A$1,$B60,S$5,$B$1)</f>
        <v>#NAME?</v>
      </c>
      <c r="T60" s="55" t="e">
        <f ca="1">_xll.EQNXTDZ($A$1,$B60,T$5,$B$1)</f>
        <v>#NAME?</v>
      </c>
      <c r="U60" s="55" t="e">
        <f ca="1">_xll.EQNXTDZ($A$1,$B60,U$5,$B$1)</f>
        <v>#NAME?</v>
      </c>
      <c r="V60" s="55" t="e">
        <f ca="1">_xll.EQNXTDZ($A$1,$B60,V$5,$B$1)</f>
        <v>#NAME?</v>
      </c>
      <c r="W60" s="55" t="e">
        <f ca="1">_xll.EQNXTDZ($A$1,$B60,W$5,$B$1)</f>
        <v>#NAME?</v>
      </c>
      <c r="X60" s="55" t="e">
        <f ca="1">_xll.EQNXTDZ($A$1,$B60,X$5,$B$1)</f>
        <v>#NAME?</v>
      </c>
      <c r="Y60" s="55" t="e">
        <f ca="1">_xll.EQNXTDZ($A$1,$B60,Y$5,$B$1)</f>
        <v>#NAME?</v>
      </c>
      <c r="Z60" s="55" t="e">
        <f ca="1">_xll.EQNXTDZ($A$1,$B60,Z$5,$B$1)</f>
        <v>#NAME?</v>
      </c>
      <c r="AA60" s="55" t="e">
        <f ca="1">_xll.EQNXTDZ($A$1,$B60,AA$5,$B$1)</f>
        <v>#NAME?</v>
      </c>
      <c r="AB60" s="55" t="e">
        <f ca="1">_xll.EQNXTDZ($A$1,$B60,AB$5,$B$1)</f>
        <v>#NAME?</v>
      </c>
      <c r="AC60" s="55" t="e">
        <f ca="1">_xll.EQNXTDZ($A$1,$B60,AC$5,$B$1)</f>
        <v>#NAME?</v>
      </c>
      <c r="AD60" s="55" t="e">
        <f ca="1">_xll.EQNXTDZ($A$1,$B60,AD$5,$B$1)</f>
        <v>#NAME?</v>
      </c>
      <c r="AE60" s="55" t="e">
        <f ca="1">_xll.EQNXTDZ($A$1,$B60,AE$5,$B$1)</f>
        <v>#NAME?</v>
      </c>
      <c r="AF60" s="55" t="e">
        <f ca="1">_xll.EQNXTDZ($A$1,$B60,AF$5,$B$1)</f>
        <v>#NAME?</v>
      </c>
      <c r="AG60" s="55" t="e">
        <f ca="1">_xll.EQNXTDZ($A$1,$B60,AG$5,$B$1)</f>
        <v>#NAME?</v>
      </c>
      <c r="AH60" s="55" t="e">
        <f ca="1">_xll.EQNXTDZ($A$1,$B60,AH$5,$B$1)</f>
        <v>#NAME?</v>
      </c>
      <c r="AI60" s="55" t="e">
        <f ca="1">_xll.EQNXTDZ($A$1,$B60,AI$5,$B$1)</f>
        <v>#NAME?</v>
      </c>
      <c r="AJ60" s="55" t="e">
        <f ca="1">_xll.EQNXTDZ($A$1,$B60,AJ$5,$B$1)</f>
        <v>#NAME?</v>
      </c>
      <c r="AK60" s="55" t="e">
        <f ca="1">_xll.EQNXTDZ($A$1,$B60,AK$5,$B$1)</f>
        <v>#NAME?</v>
      </c>
      <c r="AL60" s="55" t="e">
        <f ca="1">_xll.EQNXTDZ($A$1,$B60,AL$5,$B$1)</f>
        <v>#NAME?</v>
      </c>
      <c r="AM60" s="55" t="e">
        <f ca="1">_xll.EQNXTDZ($A$1,$B60,AM$5,$B$1)</f>
        <v>#NAME?</v>
      </c>
      <c r="AN60" s="55" t="e">
        <f ca="1">_xll.EQNXTDZ($A$1,$B60,AN$5,$B$1)</f>
        <v>#NAME?</v>
      </c>
      <c r="AO60" s="55" t="e">
        <f ca="1">_xll.EQNXTDZ($A$1,$B60,AO$5,$B$1)</f>
        <v>#NAME?</v>
      </c>
      <c r="AP60" s="55" t="e">
        <f ca="1">_xll.EQNXTDZ($A$1,$B60,AP$5,$B$1)</f>
        <v>#NAME?</v>
      </c>
      <c r="AQ60" s="55" t="e">
        <f ca="1">_xll.EQNXTDZ($A$1,$B60,AQ$5,$B$1)</f>
        <v>#NAME?</v>
      </c>
      <c r="AR60" s="55" t="e">
        <f ca="1">_xll.EQNXTDZ($A$1,$B60,AR$5,$B$1)</f>
        <v>#NAME?</v>
      </c>
      <c r="AS60" s="55" t="e">
        <f ca="1">_xll.EQNXTDZ($A$1,$B60,AS$5,$B$1)</f>
        <v>#NAME?</v>
      </c>
      <c r="AT60" s="55" t="e">
        <f ca="1">_xll.EQNXTDZ($A$1,$B60,AT$5,$B$1)</f>
        <v>#NAME?</v>
      </c>
      <c r="AU60" s="55" t="e">
        <f ca="1">_xll.EQNXTDZ($A$1,$B60,AU$5,$B$1)</f>
        <v>#NAME?</v>
      </c>
      <c r="AV60" s="55" t="e">
        <f ca="1">_xll.EQNXTDZ($A$1,$B60,AV$5,$B$1)</f>
        <v>#NAME?</v>
      </c>
      <c r="AW60" s="55" t="e">
        <f ca="1">_xll.EQNXTDZ($A$1,$B60,AW$5,$B$1)</f>
        <v>#NAME?</v>
      </c>
      <c r="AX60" s="55" t="e">
        <f ca="1">_xll.EQNXTDZ($A$1,$B60,AX$5,$B$1)</f>
        <v>#NAME?</v>
      </c>
      <c r="AY60" s="55" t="e">
        <f ca="1">_xll.EQNXTDZ($A$1,$B60,AY$5,$B$1)</f>
        <v>#NAME?</v>
      </c>
      <c r="AZ60" s="55" t="e">
        <f ca="1">_xll.EQNXTDZ($A$1,$B60,AZ$5,$B$1)</f>
        <v>#NAME?</v>
      </c>
      <c r="BA60" s="55" t="e">
        <f ca="1">_xll.EQNXTDZ($A$1,$B60,BA$5,$B$1)</f>
        <v>#NAME?</v>
      </c>
      <c r="BB60" s="55" t="e">
        <f ca="1">_xll.EQNXTDZ($A$1,$B60,BB$5,$B$1)</f>
        <v>#NAME?</v>
      </c>
      <c r="BC60" s="55" t="e">
        <f ca="1">_xll.EQNXTDZ($A$1,$B60,BC$5,$B$1)</f>
        <v>#NAME?</v>
      </c>
      <c r="BD60" s="55" t="e">
        <f ca="1">_xll.EQNXTDZ($A$1,$B60,BD$5,$B$1)</f>
        <v>#NAME?</v>
      </c>
      <c r="BE60" s="55" t="e">
        <f ca="1">_xll.EQNXTDZ($A$1,$B60,BE$5,$B$1)</f>
        <v>#NAME?</v>
      </c>
      <c r="BF60" s="55" t="e">
        <f ca="1">_xll.EQNXTDZ($A$1,$B60,BF$5,$B$1)</f>
        <v>#NAME?</v>
      </c>
      <c r="BG60" s="55" t="e">
        <f ca="1">_xll.EQNXTDZ($A$1,$B60,BG$5,$B$1)</f>
        <v>#NAME?</v>
      </c>
      <c r="BH60" s="55" t="e">
        <f ca="1">_xll.EQNXTDZ($A$1,$B60,BH$5,$B$1)</f>
        <v>#NAME?</v>
      </c>
      <c r="BI60" s="55" t="e">
        <f ca="1">_xll.EQNXTDZ($A$1,$B60,BI$5,$B$1)</f>
        <v>#NAME?</v>
      </c>
      <c r="BJ60" s="55" t="e">
        <f ca="1">_xll.EQNXTDZ($A$1,$B60,BJ$5,$B$1)</f>
        <v>#NAME?</v>
      </c>
      <c r="BK60" s="55" t="e">
        <f ca="1">_xll.EQNXTDZ($A$1,$B60,BK$5,$B$1)</f>
        <v>#NAME?</v>
      </c>
      <c r="BL60" s="55" t="e">
        <f ca="1">_xll.EQNXTDZ($A$1,$B60,BL$5,$B$1)</f>
        <v>#NAME?</v>
      </c>
      <c r="BM60" s="55" t="e">
        <f ca="1">_xll.EQNXTDZ($A$1,$B60,BM$5,$B$1)</f>
        <v>#NAME?</v>
      </c>
      <c r="BN60" s="55" t="e">
        <f ca="1">_xll.EQNXTDZ($A$1,$B60,BN$5,$B$1)</f>
        <v>#NAME?</v>
      </c>
      <c r="BO60" s="55" t="e">
        <f ca="1">_xll.EQNXTDZ($A$1,$B60,BO$5,$B$1)</f>
        <v>#NAME?</v>
      </c>
      <c r="BP60" s="55" t="e">
        <f ca="1">_xll.EQNXTDZ($A$1,$B60,BP$5,$B$1)</f>
        <v>#NAME?</v>
      </c>
      <c r="BQ60" s="55" t="e">
        <f ca="1">_xll.EQNXTDZ($A$1,$B60,BQ$5,$B$1)</f>
        <v>#NAME?</v>
      </c>
      <c r="BR60" s="55" t="e">
        <f ca="1">_xll.EQNXTDZ($A$1,$B60,BR$5,$B$1)</f>
        <v>#NAME?</v>
      </c>
      <c r="BS60" s="55" t="e">
        <f ca="1">_xll.EQNXTDZ($A$1,$B60,BS$5,$B$1)</f>
        <v>#NAME?</v>
      </c>
      <c r="BT60" s="55" t="e">
        <f ca="1">_xll.EQNXTDZ($A$1,$B60,BT$5,$B$1)</f>
        <v>#NAME?</v>
      </c>
      <c r="BU60" s="55" t="e">
        <f ca="1">_xll.EQNXTDZ($A$1,$B60,BU$5,$B$1)</f>
        <v>#NAME?</v>
      </c>
      <c r="BV60" s="55" t="e">
        <f ca="1">_xll.EQNXTDZ($A$1,$B60,BV$5,$B$1)</f>
        <v>#NAME?</v>
      </c>
    </row>
    <row r="61" spans="1:74" x14ac:dyDescent="0.25">
      <c r="A61" t="s">
        <v>355</v>
      </c>
      <c r="B61" t="s">
        <v>377</v>
      </c>
      <c r="C61" s="55" t="e">
        <f ca="1">_xll.EQNXTDZ($A$1,$B61,C$5,$B$1)</f>
        <v>#NAME?</v>
      </c>
      <c r="D61" s="55" t="e">
        <f ca="1">_xll.EQNXTDZ($A$1,$B61,D$5,$B$1)</f>
        <v>#NAME?</v>
      </c>
      <c r="E61" s="55" t="e">
        <f ca="1">_xll.EQNXTDZ($A$1,$B61,E$5,$B$1)</f>
        <v>#NAME?</v>
      </c>
      <c r="F61" s="55" t="e">
        <f ca="1">_xll.EQNXTDZ($A$1,$B61,F$5,$B$1)</f>
        <v>#NAME?</v>
      </c>
      <c r="G61" s="55" t="e">
        <f ca="1">_xll.EQNXTDZ($A$1,$B61,G$5,$B$1)</f>
        <v>#NAME?</v>
      </c>
      <c r="H61" s="55" t="e">
        <f ca="1">_xll.EQNXTDZ($A$1,$B61,H$5,$B$1)</f>
        <v>#NAME?</v>
      </c>
      <c r="I61" s="55" t="e">
        <f ca="1">_xll.EQNXTDZ($A$1,$B61,I$5,$B$1)</f>
        <v>#NAME?</v>
      </c>
      <c r="J61" s="55" t="e">
        <f ca="1">_xll.EQNXTDZ($A$1,$B61,J$5,$B$1)</f>
        <v>#NAME?</v>
      </c>
      <c r="K61" s="55" t="e">
        <f ca="1">_xll.EQNXTDZ($A$1,$B61,K$5,$B$1)</f>
        <v>#NAME?</v>
      </c>
      <c r="L61" s="55" t="e">
        <f ca="1">_xll.EQNXTDZ($A$1,$B61,L$5,$B$1)</f>
        <v>#NAME?</v>
      </c>
      <c r="M61" s="55" t="e">
        <f ca="1">_xll.EQNXTDZ($A$1,$B61,M$5,$B$1)</f>
        <v>#NAME?</v>
      </c>
      <c r="N61" s="55" t="e">
        <f ca="1">_xll.EQNXTDZ($A$1,$B61,N$5,$B$1)</f>
        <v>#NAME?</v>
      </c>
      <c r="O61" s="55" t="e">
        <f ca="1">_xll.EQNXTDZ($A$1,$B61,O$5,$B$1)</f>
        <v>#NAME?</v>
      </c>
      <c r="P61" s="55" t="e">
        <f ca="1">_xll.EQNXTDZ($A$1,$B61,P$5,$B$1)</f>
        <v>#NAME?</v>
      </c>
      <c r="Q61" s="55" t="e">
        <f ca="1">_xll.EQNXTDZ($A$1,$B61,Q$5,$B$1)</f>
        <v>#NAME?</v>
      </c>
      <c r="R61" s="55" t="e">
        <f ca="1">_xll.EQNXTDZ($A$1,$B61,R$5,$B$1)</f>
        <v>#NAME?</v>
      </c>
      <c r="S61" s="55" t="e">
        <f ca="1">_xll.EQNXTDZ($A$1,$B61,S$5,$B$1)</f>
        <v>#NAME?</v>
      </c>
      <c r="T61" s="55" t="e">
        <f ca="1">_xll.EQNXTDZ($A$1,$B61,T$5,$B$1)</f>
        <v>#NAME?</v>
      </c>
      <c r="U61" s="55" t="e">
        <f ca="1">_xll.EQNXTDZ($A$1,$B61,U$5,$B$1)</f>
        <v>#NAME?</v>
      </c>
      <c r="V61" s="55" t="e">
        <f ca="1">_xll.EQNXTDZ($A$1,$B61,V$5,$B$1)</f>
        <v>#NAME?</v>
      </c>
      <c r="W61" s="55" t="e">
        <f ca="1">_xll.EQNXTDZ($A$1,$B61,W$5,$B$1)</f>
        <v>#NAME?</v>
      </c>
      <c r="X61" s="55" t="e">
        <f ca="1">_xll.EQNXTDZ($A$1,$B61,X$5,$B$1)</f>
        <v>#NAME?</v>
      </c>
      <c r="Y61" s="55" t="e">
        <f ca="1">_xll.EQNXTDZ($A$1,$B61,Y$5,$B$1)</f>
        <v>#NAME?</v>
      </c>
      <c r="Z61" s="55" t="e">
        <f ca="1">_xll.EQNXTDZ($A$1,$B61,Z$5,$B$1)</f>
        <v>#NAME?</v>
      </c>
      <c r="AA61" s="55" t="e">
        <f ca="1">_xll.EQNXTDZ($A$1,$B61,AA$5,$B$1)</f>
        <v>#NAME?</v>
      </c>
      <c r="AB61" s="55" t="e">
        <f ca="1">_xll.EQNXTDZ($A$1,$B61,AB$5,$B$1)</f>
        <v>#NAME?</v>
      </c>
      <c r="AC61" s="55" t="e">
        <f ca="1">_xll.EQNXTDZ($A$1,$B61,AC$5,$B$1)</f>
        <v>#NAME?</v>
      </c>
      <c r="AD61" s="55" t="e">
        <f ca="1">_xll.EQNXTDZ($A$1,$B61,AD$5,$B$1)</f>
        <v>#NAME?</v>
      </c>
      <c r="AE61" s="55" t="e">
        <f ca="1">_xll.EQNXTDZ($A$1,$B61,AE$5,$B$1)</f>
        <v>#NAME?</v>
      </c>
      <c r="AF61" s="55" t="e">
        <f ca="1">_xll.EQNXTDZ($A$1,$B61,AF$5,$B$1)</f>
        <v>#NAME?</v>
      </c>
      <c r="AG61" s="55" t="e">
        <f ca="1">_xll.EQNXTDZ($A$1,$B61,AG$5,$B$1)</f>
        <v>#NAME?</v>
      </c>
      <c r="AH61" s="55" t="e">
        <f ca="1">_xll.EQNXTDZ($A$1,$B61,AH$5,$B$1)</f>
        <v>#NAME?</v>
      </c>
      <c r="AI61" s="55" t="e">
        <f ca="1">_xll.EQNXTDZ($A$1,$B61,AI$5,$B$1)</f>
        <v>#NAME?</v>
      </c>
      <c r="AJ61" s="55" t="e">
        <f ca="1">_xll.EQNXTDZ($A$1,$B61,AJ$5,$B$1)</f>
        <v>#NAME?</v>
      </c>
      <c r="AK61" s="55" t="e">
        <f ca="1">_xll.EQNXTDZ($A$1,$B61,AK$5,$B$1)</f>
        <v>#NAME?</v>
      </c>
      <c r="AL61" s="55" t="e">
        <f ca="1">_xll.EQNXTDZ($A$1,$B61,AL$5,$B$1)</f>
        <v>#NAME?</v>
      </c>
      <c r="AM61" s="55" t="e">
        <f ca="1">_xll.EQNXTDZ($A$1,$B61,AM$5,$B$1)</f>
        <v>#NAME?</v>
      </c>
      <c r="AN61" s="55" t="e">
        <f ca="1">_xll.EQNXTDZ($A$1,$B61,AN$5,$B$1)</f>
        <v>#NAME?</v>
      </c>
      <c r="AO61" s="55" t="e">
        <f ca="1">_xll.EQNXTDZ($A$1,$B61,AO$5,$B$1)</f>
        <v>#NAME?</v>
      </c>
      <c r="AP61" s="55" t="e">
        <f ca="1">_xll.EQNXTDZ($A$1,$B61,AP$5,$B$1)</f>
        <v>#NAME?</v>
      </c>
      <c r="AQ61" s="55" t="e">
        <f ca="1">_xll.EQNXTDZ($A$1,$B61,AQ$5,$B$1)</f>
        <v>#NAME?</v>
      </c>
      <c r="AR61" s="55" t="e">
        <f ca="1">_xll.EQNXTDZ($A$1,$B61,AR$5,$B$1)</f>
        <v>#NAME?</v>
      </c>
      <c r="AS61" s="55" t="e">
        <f ca="1">_xll.EQNXTDZ($A$1,$B61,AS$5,$B$1)</f>
        <v>#NAME?</v>
      </c>
      <c r="AT61" s="55" t="e">
        <f ca="1">_xll.EQNXTDZ($A$1,$B61,AT$5,$B$1)</f>
        <v>#NAME?</v>
      </c>
      <c r="AU61" s="55" t="e">
        <f ca="1">_xll.EQNXTDZ($A$1,$B61,AU$5,$B$1)</f>
        <v>#NAME?</v>
      </c>
      <c r="AV61" s="55" t="e">
        <f ca="1">_xll.EQNXTDZ($A$1,$B61,AV$5,$B$1)</f>
        <v>#NAME?</v>
      </c>
      <c r="AW61" s="55" t="e">
        <f ca="1">_xll.EQNXTDZ($A$1,$B61,AW$5,$B$1)</f>
        <v>#NAME?</v>
      </c>
      <c r="AX61" s="55" t="e">
        <f ca="1">_xll.EQNXTDZ($A$1,$B61,AX$5,$B$1)</f>
        <v>#NAME?</v>
      </c>
      <c r="AY61" s="55" t="e">
        <f ca="1">_xll.EQNXTDZ($A$1,$B61,AY$5,$B$1)</f>
        <v>#NAME?</v>
      </c>
      <c r="AZ61" s="55" t="e">
        <f ca="1">_xll.EQNXTDZ($A$1,$B61,AZ$5,$B$1)</f>
        <v>#NAME?</v>
      </c>
      <c r="BA61" s="55" t="e">
        <f ca="1">_xll.EQNXTDZ($A$1,$B61,BA$5,$B$1)</f>
        <v>#NAME?</v>
      </c>
      <c r="BB61" s="55" t="e">
        <f ca="1">_xll.EQNXTDZ($A$1,$B61,BB$5,$B$1)</f>
        <v>#NAME?</v>
      </c>
      <c r="BC61" s="55" t="e">
        <f ca="1">_xll.EQNXTDZ($A$1,$B61,BC$5,$B$1)</f>
        <v>#NAME?</v>
      </c>
      <c r="BD61" s="55" t="e">
        <f ca="1">_xll.EQNXTDZ($A$1,$B61,BD$5,$B$1)</f>
        <v>#NAME?</v>
      </c>
      <c r="BE61" s="55" t="e">
        <f ca="1">_xll.EQNXTDZ($A$1,$B61,BE$5,$B$1)</f>
        <v>#NAME?</v>
      </c>
      <c r="BF61" s="55" t="e">
        <f ca="1">_xll.EQNXTDZ($A$1,$B61,BF$5,$B$1)</f>
        <v>#NAME?</v>
      </c>
      <c r="BG61" s="55" t="e">
        <f ca="1">_xll.EQNXTDZ($A$1,$B61,BG$5,$B$1)</f>
        <v>#NAME?</v>
      </c>
      <c r="BH61" s="55" t="e">
        <f ca="1">_xll.EQNXTDZ($A$1,$B61,BH$5,$B$1)</f>
        <v>#NAME?</v>
      </c>
      <c r="BI61" s="55" t="e">
        <f ca="1">_xll.EQNXTDZ($A$1,$B61,BI$5,$B$1)</f>
        <v>#NAME?</v>
      </c>
      <c r="BJ61" s="55" t="e">
        <f ca="1">_xll.EQNXTDZ($A$1,$B61,BJ$5,$B$1)</f>
        <v>#NAME?</v>
      </c>
      <c r="BK61" s="55" t="e">
        <f ca="1">_xll.EQNXTDZ($A$1,$B61,BK$5,$B$1)</f>
        <v>#NAME?</v>
      </c>
      <c r="BL61" s="55" t="e">
        <f ca="1">_xll.EQNXTDZ($A$1,$B61,BL$5,$B$1)</f>
        <v>#NAME?</v>
      </c>
      <c r="BM61" s="55" t="e">
        <f ca="1">_xll.EQNXTDZ($A$1,$B61,BM$5,$B$1)</f>
        <v>#NAME?</v>
      </c>
      <c r="BN61" s="55" t="e">
        <f ca="1">_xll.EQNXTDZ($A$1,$B61,BN$5,$B$1)</f>
        <v>#NAME?</v>
      </c>
      <c r="BO61" s="55" t="e">
        <f ca="1">_xll.EQNXTDZ($A$1,$B61,BO$5,$B$1)</f>
        <v>#NAME?</v>
      </c>
      <c r="BP61" s="55" t="e">
        <f ca="1">_xll.EQNXTDZ($A$1,$B61,BP$5,$B$1)</f>
        <v>#NAME?</v>
      </c>
      <c r="BQ61" s="55" t="e">
        <f ca="1">_xll.EQNXTDZ($A$1,$B61,BQ$5,$B$1)</f>
        <v>#NAME?</v>
      </c>
      <c r="BR61" s="55" t="e">
        <f ca="1">_xll.EQNXTDZ($A$1,$B61,BR$5,$B$1)</f>
        <v>#NAME?</v>
      </c>
      <c r="BS61" s="55" t="e">
        <f ca="1">_xll.EQNXTDZ($A$1,$B61,BS$5,$B$1)</f>
        <v>#NAME?</v>
      </c>
      <c r="BT61" s="55" t="e">
        <f ca="1">_xll.EQNXTDZ($A$1,$B61,BT$5,$B$1)</f>
        <v>#NAME?</v>
      </c>
      <c r="BU61" s="55" t="e">
        <f ca="1">_xll.EQNXTDZ($A$1,$B61,BU$5,$B$1)</f>
        <v>#NAME?</v>
      </c>
      <c r="BV61" s="55" t="e">
        <f ca="1">_xll.EQNXTDZ($A$1,$B61,BV$5,$B$1)</f>
        <v>#NAME?</v>
      </c>
    </row>
    <row r="62" spans="1:74" x14ac:dyDescent="0.25">
      <c r="A62" t="s">
        <v>356</v>
      </c>
      <c r="B62" t="s">
        <v>378</v>
      </c>
      <c r="C62" s="55" t="e">
        <f ca="1">_xll.EQNXTDZ($A$1,$B62,C$5,$B$1)</f>
        <v>#NAME?</v>
      </c>
      <c r="D62" s="55" t="e">
        <f ca="1">_xll.EQNXTDZ($A$1,$B62,D$5,$B$1)</f>
        <v>#NAME?</v>
      </c>
      <c r="E62" s="55" t="e">
        <f ca="1">_xll.EQNXTDZ($A$1,$B62,E$5,$B$1)</f>
        <v>#NAME?</v>
      </c>
      <c r="F62" s="55" t="e">
        <f ca="1">_xll.EQNXTDZ($A$1,$B62,F$5,$B$1)</f>
        <v>#NAME?</v>
      </c>
      <c r="G62" s="55" t="e">
        <f ca="1">_xll.EQNXTDZ($A$1,$B62,G$5,$B$1)</f>
        <v>#NAME?</v>
      </c>
      <c r="H62" s="55" t="e">
        <f ca="1">_xll.EQNXTDZ($A$1,$B62,H$5,$B$1)</f>
        <v>#NAME?</v>
      </c>
      <c r="I62" s="55" t="e">
        <f ca="1">_xll.EQNXTDZ($A$1,$B62,I$5,$B$1)</f>
        <v>#NAME?</v>
      </c>
      <c r="J62" s="55" t="e">
        <f ca="1">_xll.EQNXTDZ($A$1,$B62,J$5,$B$1)</f>
        <v>#NAME?</v>
      </c>
      <c r="K62" s="55" t="e">
        <f ca="1">_xll.EQNXTDZ($A$1,$B62,K$5,$B$1)</f>
        <v>#NAME?</v>
      </c>
      <c r="L62" s="55" t="e">
        <f ca="1">_xll.EQNXTDZ($A$1,$B62,L$5,$B$1)</f>
        <v>#NAME?</v>
      </c>
      <c r="M62" s="55" t="e">
        <f ca="1">_xll.EQNXTDZ($A$1,$B62,M$5,$B$1)</f>
        <v>#NAME?</v>
      </c>
      <c r="N62" s="55" t="e">
        <f ca="1">_xll.EQNXTDZ($A$1,$B62,N$5,$B$1)</f>
        <v>#NAME?</v>
      </c>
      <c r="O62" s="55" t="e">
        <f ca="1">_xll.EQNXTDZ($A$1,$B62,O$5,$B$1)</f>
        <v>#NAME?</v>
      </c>
      <c r="P62" s="55" t="e">
        <f ca="1">_xll.EQNXTDZ($A$1,$B62,P$5,$B$1)</f>
        <v>#NAME?</v>
      </c>
      <c r="Q62" s="55" t="e">
        <f ca="1">_xll.EQNXTDZ($A$1,$B62,Q$5,$B$1)</f>
        <v>#NAME?</v>
      </c>
      <c r="R62" s="55" t="e">
        <f ca="1">_xll.EQNXTDZ($A$1,$B62,R$5,$B$1)</f>
        <v>#NAME?</v>
      </c>
      <c r="S62" s="55" t="e">
        <f ca="1">_xll.EQNXTDZ($A$1,$B62,S$5,$B$1)</f>
        <v>#NAME?</v>
      </c>
      <c r="T62" s="55" t="e">
        <f ca="1">_xll.EQNXTDZ($A$1,$B62,T$5,$B$1)</f>
        <v>#NAME?</v>
      </c>
      <c r="U62" s="55" t="e">
        <f ca="1">_xll.EQNXTDZ($A$1,$B62,U$5,$B$1)</f>
        <v>#NAME?</v>
      </c>
      <c r="V62" s="55" t="e">
        <f ca="1">_xll.EQNXTDZ($A$1,$B62,V$5,$B$1)</f>
        <v>#NAME?</v>
      </c>
      <c r="W62" s="55" t="e">
        <f ca="1">_xll.EQNXTDZ($A$1,$B62,W$5,$B$1)</f>
        <v>#NAME?</v>
      </c>
      <c r="X62" s="55" t="e">
        <f ca="1">_xll.EQNXTDZ($A$1,$B62,X$5,$B$1)</f>
        <v>#NAME?</v>
      </c>
      <c r="Y62" s="55" t="e">
        <f ca="1">_xll.EQNXTDZ($A$1,$B62,Y$5,$B$1)</f>
        <v>#NAME?</v>
      </c>
      <c r="Z62" s="55" t="e">
        <f ca="1">_xll.EQNXTDZ($A$1,$B62,Z$5,$B$1)</f>
        <v>#NAME?</v>
      </c>
      <c r="AA62" s="55" t="e">
        <f ca="1">_xll.EQNXTDZ($A$1,$B62,AA$5,$B$1)</f>
        <v>#NAME?</v>
      </c>
      <c r="AB62" s="55" t="e">
        <f ca="1">_xll.EQNXTDZ($A$1,$B62,AB$5,$B$1)</f>
        <v>#NAME?</v>
      </c>
      <c r="AC62" s="55" t="e">
        <f ca="1">_xll.EQNXTDZ($A$1,$B62,AC$5,$B$1)</f>
        <v>#NAME?</v>
      </c>
      <c r="AD62" s="55" t="e">
        <f ca="1">_xll.EQNXTDZ($A$1,$B62,AD$5,$B$1)</f>
        <v>#NAME?</v>
      </c>
      <c r="AE62" s="55" t="e">
        <f ca="1">_xll.EQNXTDZ($A$1,$B62,AE$5,$B$1)</f>
        <v>#NAME?</v>
      </c>
      <c r="AF62" s="55" t="e">
        <f ca="1">_xll.EQNXTDZ($A$1,$B62,AF$5,$B$1)</f>
        <v>#NAME?</v>
      </c>
      <c r="AG62" s="55" t="e">
        <f ca="1">_xll.EQNXTDZ($A$1,$B62,AG$5,$B$1)</f>
        <v>#NAME?</v>
      </c>
      <c r="AH62" s="55" t="e">
        <f ca="1">_xll.EQNXTDZ($A$1,$B62,AH$5,$B$1)</f>
        <v>#NAME?</v>
      </c>
      <c r="AI62" s="55" t="e">
        <f ca="1">_xll.EQNXTDZ($A$1,$B62,AI$5,$B$1)</f>
        <v>#NAME?</v>
      </c>
      <c r="AJ62" s="55" t="e">
        <f ca="1">_xll.EQNXTDZ($A$1,$B62,AJ$5,$B$1)</f>
        <v>#NAME?</v>
      </c>
      <c r="AK62" s="55" t="e">
        <f ca="1">_xll.EQNXTDZ($A$1,$B62,AK$5,$B$1)</f>
        <v>#NAME?</v>
      </c>
      <c r="AL62" s="55" t="e">
        <f ca="1">_xll.EQNXTDZ($A$1,$B62,AL$5,$B$1)</f>
        <v>#NAME?</v>
      </c>
      <c r="AM62" s="55" t="e">
        <f ca="1">_xll.EQNXTDZ($A$1,$B62,AM$5,$B$1)</f>
        <v>#NAME?</v>
      </c>
      <c r="AN62" s="55" t="e">
        <f ca="1">_xll.EQNXTDZ($A$1,$B62,AN$5,$B$1)</f>
        <v>#NAME?</v>
      </c>
      <c r="AO62" s="55" t="e">
        <f ca="1">_xll.EQNXTDZ($A$1,$B62,AO$5,$B$1)</f>
        <v>#NAME?</v>
      </c>
      <c r="AP62" s="55" t="e">
        <f ca="1">_xll.EQNXTDZ($A$1,$B62,AP$5,$B$1)</f>
        <v>#NAME?</v>
      </c>
      <c r="AQ62" s="55" t="e">
        <f ca="1">_xll.EQNXTDZ($A$1,$B62,AQ$5,$B$1)</f>
        <v>#NAME?</v>
      </c>
      <c r="AR62" s="55" t="e">
        <f ca="1">_xll.EQNXTDZ($A$1,$B62,AR$5,$B$1)</f>
        <v>#NAME?</v>
      </c>
      <c r="AS62" s="55" t="e">
        <f ca="1">_xll.EQNXTDZ($A$1,$B62,AS$5,$B$1)</f>
        <v>#NAME?</v>
      </c>
      <c r="AT62" s="55" t="e">
        <f ca="1">_xll.EQNXTDZ($A$1,$B62,AT$5,$B$1)</f>
        <v>#NAME?</v>
      </c>
      <c r="AU62" s="55" t="e">
        <f ca="1">_xll.EQNXTDZ($A$1,$B62,AU$5,$B$1)</f>
        <v>#NAME?</v>
      </c>
      <c r="AV62" s="55" t="e">
        <f ca="1">_xll.EQNXTDZ($A$1,$B62,AV$5,$B$1)</f>
        <v>#NAME?</v>
      </c>
      <c r="AW62" s="55" t="e">
        <f ca="1">_xll.EQNXTDZ($A$1,$B62,AW$5,$B$1)</f>
        <v>#NAME?</v>
      </c>
      <c r="AX62" s="55" t="e">
        <f ca="1">_xll.EQNXTDZ($A$1,$B62,AX$5,$B$1)</f>
        <v>#NAME?</v>
      </c>
      <c r="AY62" s="55" t="e">
        <f ca="1">_xll.EQNXTDZ($A$1,$B62,AY$5,$B$1)</f>
        <v>#NAME?</v>
      </c>
      <c r="AZ62" s="55" t="e">
        <f ca="1">_xll.EQNXTDZ($A$1,$B62,AZ$5,$B$1)</f>
        <v>#NAME?</v>
      </c>
      <c r="BA62" s="55" t="e">
        <f ca="1">_xll.EQNXTDZ($A$1,$B62,BA$5,$B$1)</f>
        <v>#NAME?</v>
      </c>
      <c r="BB62" s="55" t="e">
        <f ca="1">_xll.EQNXTDZ($A$1,$B62,BB$5,$B$1)</f>
        <v>#NAME?</v>
      </c>
      <c r="BC62" s="55" t="e">
        <f ca="1">_xll.EQNXTDZ($A$1,$B62,BC$5,$B$1)</f>
        <v>#NAME?</v>
      </c>
      <c r="BD62" s="55" t="e">
        <f ca="1">_xll.EQNXTDZ($A$1,$B62,BD$5,$B$1)</f>
        <v>#NAME?</v>
      </c>
      <c r="BE62" s="55" t="e">
        <f ca="1">_xll.EQNXTDZ($A$1,$B62,BE$5,$B$1)</f>
        <v>#NAME?</v>
      </c>
      <c r="BF62" s="55" t="e">
        <f ca="1">_xll.EQNXTDZ($A$1,$B62,BF$5,$B$1)</f>
        <v>#NAME?</v>
      </c>
      <c r="BG62" s="55" t="e">
        <f ca="1">_xll.EQNXTDZ($A$1,$B62,BG$5,$B$1)</f>
        <v>#NAME?</v>
      </c>
      <c r="BH62" s="55" t="e">
        <f ca="1">_xll.EQNXTDZ($A$1,$B62,BH$5,$B$1)</f>
        <v>#NAME?</v>
      </c>
      <c r="BI62" s="55" t="e">
        <f ca="1">_xll.EQNXTDZ($A$1,$B62,BI$5,$B$1)</f>
        <v>#NAME?</v>
      </c>
      <c r="BJ62" s="55" t="e">
        <f ca="1">_xll.EQNXTDZ($A$1,$B62,BJ$5,$B$1)</f>
        <v>#NAME?</v>
      </c>
      <c r="BK62" s="55" t="e">
        <f ca="1">_xll.EQNXTDZ($A$1,$B62,BK$5,$B$1)</f>
        <v>#NAME?</v>
      </c>
      <c r="BL62" s="55" t="e">
        <f ca="1">_xll.EQNXTDZ($A$1,$B62,BL$5,$B$1)</f>
        <v>#NAME?</v>
      </c>
      <c r="BM62" s="55" t="e">
        <f ca="1">_xll.EQNXTDZ($A$1,$B62,BM$5,$B$1)</f>
        <v>#NAME?</v>
      </c>
      <c r="BN62" s="55" t="e">
        <f ca="1">_xll.EQNXTDZ($A$1,$B62,BN$5,$B$1)</f>
        <v>#NAME?</v>
      </c>
      <c r="BO62" s="55" t="e">
        <f ca="1">_xll.EQNXTDZ($A$1,$B62,BO$5,$B$1)</f>
        <v>#NAME?</v>
      </c>
      <c r="BP62" s="55" t="e">
        <f ca="1">_xll.EQNXTDZ($A$1,$B62,BP$5,$B$1)</f>
        <v>#NAME?</v>
      </c>
      <c r="BQ62" s="55" t="e">
        <f ca="1">_xll.EQNXTDZ($A$1,$B62,BQ$5,$B$1)</f>
        <v>#NAME?</v>
      </c>
      <c r="BR62" s="55" t="e">
        <f ca="1">_xll.EQNXTDZ($A$1,$B62,BR$5,$B$1)</f>
        <v>#NAME?</v>
      </c>
      <c r="BS62" s="55" t="e">
        <f ca="1">_xll.EQNXTDZ($A$1,$B62,BS$5,$B$1)</f>
        <v>#NAME?</v>
      </c>
      <c r="BT62" s="55" t="e">
        <f ca="1">_xll.EQNXTDZ($A$1,$B62,BT$5,$B$1)</f>
        <v>#NAME?</v>
      </c>
      <c r="BU62" s="55" t="e">
        <f ca="1">_xll.EQNXTDZ($A$1,$B62,BU$5,$B$1)</f>
        <v>#NAME?</v>
      </c>
      <c r="BV62" s="55" t="e">
        <f ca="1">_xll.EQNXTDZ($A$1,$B62,BV$5,$B$1)</f>
        <v>#NAME?</v>
      </c>
    </row>
    <row r="63" spans="1:74" x14ac:dyDescent="0.25">
      <c r="A63" t="s">
        <v>46</v>
      </c>
      <c r="B63" t="s">
        <v>379</v>
      </c>
      <c r="C63" s="55" t="e">
        <f ca="1">_xll.EQNXTDZ($A$1,$B63,C$5,$B$1)</f>
        <v>#NAME?</v>
      </c>
      <c r="D63" s="55" t="e">
        <f ca="1">_xll.EQNXTDZ($A$1,$B63,D$5,$B$1)</f>
        <v>#NAME?</v>
      </c>
      <c r="E63" s="55" t="e">
        <f ca="1">_xll.EQNXTDZ($A$1,$B63,E$5,$B$1)</f>
        <v>#NAME?</v>
      </c>
      <c r="F63" s="55" t="e">
        <f ca="1">_xll.EQNXTDZ($A$1,$B63,F$5,$B$1)</f>
        <v>#NAME?</v>
      </c>
      <c r="G63" s="55" t="e">
        <f ca="1">_xll.EQNXTDZ($A$1,$B63,G$5,$B$1)</f>
        <v>#NAME?</v>
      </c>
      <c r="H63" s="55" t="e">
        <f ca="1">_xll.EQNXTDZ($A$1,$B63,H$5,$B$1)</f>
        <v>#NAME?</v>
      </c>
      <c r="I63" s="55" t="e">
        <f ca="1">_xll.EQNXTDZ($A$1,$B63,I$5,$B$1)</f>
        <v>#NAME?</v>
      </c>
      <c r="J63" s="55" t="e">
        <f ca="1">_xll.EQNXTDZ($A$1,$B63,J$5,$B$1)</f>
        <v>#NAME?</v>
      </c>
      <c r="K63" s="55" t="e">
        <f ca="1">_xll.EQNXTDZ($A$1,$B63,K$5,$B$1)</f>
        <v>#NAME?</v>
      </c>
      <c r="L63" s="55" t="e">
        <f ca="1">_xll.EQNXTDZ($A$1,$B63,L$5,$B$1)</f>
        <v>#NAME?</v>
      </c>
      <c r="M63" s="55" t="e">
        <f ca="1">_xll.EQNXTDZ($A$1,$B63,M$5,$B$1)</f>
        <v>#NAME?</v>
      </c>
      <c r="N63" s="55" t="e">
        <f ca="1">_xll.EQNXTDZ($A$1,$B63,N$5,$B$1)</f>
        <v>#NAME?</v>
      </c>
      <c r="O63" s="55" t="e">
        <f ca="1">_xll.EQNXTDZ($A$1,$B63,O$5,$B$1)</f>
        <v>#NAME?</v>
      </c>
      <c r="P63" s="55" t="e">
        <f ca="1">_xll.EQNXTDZ($A$1,$B63,P$5,$B$1)</f>
        <v>#NAME?</v>
      </c>
      <c r="Q63" s="55" t="e">
        <f ca="1">_xll.EQNXTDZ($A$1,$B63,Q$5,$B$1)</f>
        <v>#NAME?</v>
      </c>
      <c r="R63" s="55" t="e">
        <f ca="1">_xll.EQNXTDZ($A$1,$B63,R$5,$B$1)</f>
        <v>#NAME?</v>
      </c>
      <c r="S63" s="55" t="e">
        <f ca="1">_xll.EQNXTDZ($A$1,$B63,S$5,$B$1)</f>
        <v>#NAME?</v>
      </c>
      <c r="T63" s="55" t="e">
        <f ca="1">_xll.EQNXTDZ($A$1,$B63,T$5,$B$1)</f>
        <v>#NAME?</v>
      </c>
      <c r="U63" s="55" t="e">
        <f ca="1">_xll.EQNXTDZ($A$1,$B63,U$5,$B$1)</f>
        <v>#NAME?</v>
      </c>
      <c r="V63" s="55" t="e">
        <f ca="1">_xll.EQNXTDZ($A$1,$B63,V$5,$B$1)</f>
        <v>#NAME?</v>
      </c>
      <c r="W63" s="55" t="e">
        <f ca="1">_xll.EQNXTDZ($A$1,$B63,W$5,$B$1)</f>
        <v>#NAME?</v>
      </c>
      <c r="X63" s="55" t="e">
        <f ca="1">_xll.EQNXTDZ($A$1,$B63,X$5,$B$1)</f>
        <v>#NAME?</v>
      </c>
      <c r="Y63" s="55" t="e">
        <f ca="1">_xll.EQNXTDZ($A$1,$B63,Y$5,$B$1)</f>
        <v>#NAME?</v>
      </c>
      <c r="Z63" s="55" t="e">
        <f ca="1">_xll.EQNXTDZ($A$1,$B63,Z$5,$B$1)</f>
        <v>#NAME?</v>
      </c>
      <c r="AA63" s="55" t="e">
        <f ca="1">_xll.EQNXTDZ($A$1,$B63,AA$5,$B$1)</f>
        <v>#NAME?</v>
      </c>
      <c r="AB63" s="55" t="e">
        <f ca="1">_xll.EQNXTDZ($A$1,$B63,AB$5,$B$1)</f>
        <v>#NAME?</v>
      </c>
      <c r="AC63" s="55" t="e">
        <f ca="1">_xll.EQNXTDZ($A$1,$B63,AC$5,$B$1)</f>
        <v>#NAME?</v>
      </c>
      <c r="AD63" s="55" t="e">
        <f ca="1">_xll.EQNXTDZ($A$1,$B63,AD$5,$B$1)</f>
        <v>#NAME?</v>
      </c>
      <c r="AE63" s="55" t="e">
        <f ca="1">_xll.EQNXTDZ($A$1,$B63,AE$5,$B$1)</f>
        <v>#NAME?</v>
      </c>
      <c r="AF63" s="55" t="e">
        <f ca="1">_xll.EQNXTDZ($A$1,$B63,AF$5,$B$1)</f>
        <v>#NAME?</v>
      </c>
      <c r="AG63" s="55" t="e">
        <f ca="1">_xll.EQNXTDZ($A$1,$B63,AG$5,$B$1)</f>
        <v>#NAME?</v>
      </c>
      <c r="AH63" s="55" t="e">
        <f ca="1">_xll.EQNXTDZ($A$1,$B63,AH$5,$B$1)</f>
        <v>#NAME?</v>
      </c>
      <c r="AI63" s="55" t="e">
        <f ca="1">_xll.EQNXTDZ($A$1,$B63,AI$5,$B$1)</f>
        <v>#NAME?</v>
      </c>
      <c r="AJ63" s="55" t="e">
        <f ca="1">_xll.EQNXTDZ($A$1,$B63,AJ$5,$B$1)</f>
        <v>#NAME?</v>
      </c>
      <c r="AK63" s="55" t="e">
        <f ca="1">_xll.EQNXTDZ($A$1,$B63,AK$5,$B$1)</f>
        <v>#NAME?</v>
      </c>
      <c r="AL63" s="55" t="e">
        <f ca="1">_xll.EQNXTDZ($A$1,$B63,AL$5,$B$1)</f>
        <v>#NAME?</v>
      </c>
      <c r="AM63" s="55" t="e">
        <f ca="1">_xll.EQNXTDZ($A$1,$B63,AM$5,$B$1)</f>
        <v>#NAME?</v>
      </c>
      <c r="AN63" s="55" t="e">
        <f ca="1">_xll.EQNXTDZ($A$1,$B63,AN$5,$B$1)</f>
        <v>#NAME?</v>
      </c>
      <c r="AO63" s="55" t="e">
        <f ca="1">_xll.EQNXTDZ($A$1,$B63,AO$5,$B$1)</f>
        <v>#NAME?</v>
      </c>
      <c r="AP63" s="55" t="e">
        <f ca="1">_xll.EQNXTDZ($A$1,$B63,AP$5,$B$1)</f>
        <v>#NAME?</v>
      </c>
      <c r="AQ63" s="55" t="e">
        <f ca="1">_xll.EQNXTDZ($A$1,$B63,AQ$5,$B$1)</f>
        <v>#NAME?</v>
      </c>
      <c r="AR63" s="55" t="e">
        <f ca="1">_xll.EQNXTDZ($A$1,$B63,AR$5,$B$1)</f>
        <v>#NAME?</v>
      </c>
      <c r="AS63" s="55" t="e">
        <f ca="1">_xll.EQNXTDZ($A$1,$B63,AS$5,$B$1)</f>
        <v>#NAME?</v>
      </c>
      <c r="AT63" s="55" t="e">
        <f ca="1">_xll.EQNXTDZ($A$1,$B63,AT$5,$B$1)</f>
        <v>#NAME?</v>
      </c>
      <c r="AU63" s="55" t="e">
        <f ca="1">_xll.EQNXTDZ($A$1,$B63,AU$5,$B$1)</f>
        <v>#NAME?</v>
      </c>
      <c r="AV63" s="55" t="e">
        <f ca="1">_xll.EQNXTDZ($A$1,$B63,AV$5,$B$1)</f>
        <v>#NAME?</v>
      </c>
      <c r="AW63" s="55" t="e">
        <f ca="1">_xll.EQNXTDZ($A$1,$B63,AW$5,$B$1)</f>
        <v>#NAME?</v>
      </c>
      <c r="AX63" s="55" t="e">
        <f ca="1">_xll.EQNXTDZ($A$1,$B63,AX$5,$B$1)</f>
        <v>#NAME?</v>
      </c>
      <c r="AY63" s="55" t="e">
        <f ca="1">_xll.EQNXTDZ($A$1,$B63,AY$5,$B$1)</f>
        <v>#NAME?</v>
      </c>
      <c r="AZ63" s="55" t="e">
        <f ca="1">_xll.EQNXTDZ($A$1,$B63,AZ$5,$B$1)</f>
        <v>#NAME?</v>
      </c>
      <c r="BA63" s="55" t="e">
        <f ca="1">_xll.EQNXTDZ($A$1,$B63,BA$5,$B$1)</f>
        <v>#NAME?</v>
      </c>
      <c r="BB63" s="55" t="e">
        <f ca="1">_xll.EQNXTDZ($A$1,$B63,BB$5,$B$1)</f>
        <v>#NAME?</v>
      </c>
      <c r="BC63" s="55" t="e">
        <f ca="1">_xll.EQNXTDZ($A$1,$B63,BC$5,$B$1)</f>
        <v>#NAME?</v>
      </c>
      <c r="BD63" s="55" t="e">
        <f ca="1">_xll.EQNXTDZ($A$1,$B63,BD$5,$B$1)</f>
        <v>#NAME?</v>
      </c>
      <c r="BE63" s="55" t="e">
        <f ca="1">_xll.EQNXTDZ($A$1,$B63,BE$5,$B$1)</f>
        <v>#NAME?</v>
      </c>
      <c r="BF63" s="55" t="e">
        <f ca="1">_xll.EQNXTDZ($A$1,$B63,BF$5,$B$1)</f>
        <v>#NAME?</v>
      </c>
      <c r="BG63" s="55" t="e">
        <f ca="1">_xll.EQNXTDZ($A$1,$B63,BG$5,$B$1)</f>
        <v>#NAME?</v>
      </c>
      <c r="BH63" s="55" t="e">
        <f ca="1">_xll.EQNXTDZ($A$1,$B63,BH$5,$B$1)</f>
        <v>#NAME?</v>
      </c>
      <c r="BI63" s="55" t="e">
        <f ca="1">_xll.EQNXTDZ($A$1,$B63,BI$5,$B$1)</f>
        <v>#NAME?</v>
      </c>
      <c r="BJ63" s="55" t="e">
        <f ca="1">_xll.EQNXTDZ($A$1,$B63,BJ$5,$B$1)</f>
        <v>#NAME?</v>
      </c>
      <c r="BK63" s="55" t="e">
        <f ca="1">_xll.EQNXTDZ($A$1,$B63,BK$5,$B$1)</f>
        <v>#NAME?</v>
      </c>
      <c r="BL63" s="55" t="e">
        <f ca="1">_xll.EQNXTDZ($A$1,$B63,BL$5,$B$1)</f>
        <v>#NAME?</v>
      </c>
      <c r="BM63" s="55" t="e">
        <f ca="1">_xll.EQNXTDZ($A$1,$B63,BM$5,$B$1)</f>
        <v>#NAME?</v>
      </c>
      <c r="BN63" s="55" t="e">
        <f ca="1">_xll.EQNXTDZ($A$1,$B63,BN$5,$B$1)</f>
        <v>#NAME?</v>
      </c>
      <c r="BO63" s="55" t="e">
        <f ca="1">_xll.EQNXTDZ($A$1,$B63,BO$5,$B$1)</f>
        <v>#NAME?</v>
      </c>
      <c r="BP63" s="55" t="e">
        <f ca="1">_xll.EQNXTDZ($A$1,$B63,BP$5,$B$1)</f>
        <v>#NAME?</v>
      </c>
      <c r="BQ63" s="55" t="e">
        <f ca="1">_xll.EQNXTDZ($A$1,$B63,BQ$5,$B$1)</f>
        <v>#NAME?</v>
      </c>
      <c r="BR63" s="55" t="e">
        <f ca="1">_xll.EQNXTDZ($A$1,$B63,BR$5,$B$1)</f>
        <v>#NAME?</v>
      </c>
      <c r="BS63" s="55" t="e">
        <f ca="1">_xll.EQNXTDZ($A$1,$B63,BS$5,$B$1)</f>
        <v>#NAME?</v>
      </c>
      <c r="BT63" s="55" t="e">
        <f ca="1">_xll.EQNXTDZ($A$1,$B63,BT$5,$B$1)</f>
        <v>#NAME?</v>
      </c>
      <c r="BU63" s="55" t="e">
        <f ca="1">_xll.EQNXTDZ($A$1,$B63,BU$5,$B$1)</f>
        <v>#NAME?</v>
      </c>
      <c r="BV63" s="55" t="e">
        <f ca="1">_xll.EQNXTDZ($A$1,$B63,BV$5,$B$1)</f>
        <v>#NAME?</v>
      </c>
    </row>
    <row r="64" spans="1:74" x14ac:dyDescent="0.25">
      <c r="A64" t="s">
        <v>66</v>
      </c>
      <c r="B64" t="s">
        <v>380</v>
      </c>
      <c r="C64" s="55" t="e">
        <f ca="1">_xll.EQNXTDZ($A$1,$B64,C$5,$B$1)</f>
        <v>#NAME?</v>
      </c>
      <c r="D64" s="55" t="e">
        <f ca="1">_xll.EQNXTDZ($A$1,$B64,D$5,$B$1)</f>
        <v>#NAME?</v>
      </c>
      <c r="E64" s="55" t="e">
        <f ca="1">_xll.EQNXTDZ($A$1,$B64,E$5,$B$1)</f>
        <v>#NAME?</v>
      </c>
      <c r="F64" s="55" t="e">
        <f ca="1">_xll.EQNXTDZ($A$1,$B64,F$5,$B$1)</f>
        <v>#NAME?</v>
      </c>
      <c r="G64" s="55" t="e">
        <f ca="1">_xll.EQNXTDZ($A$1,$B64,G$5,$B$1)</f>
        <v>#NAME?</v>
      </c>
      <c r="H64" s="55" t="e">
        <f ca="1">_xll.EQNXTDZ($A$1,$B64,H$5,$B$1)</f>
        <v>#NAME?</v>
      </c>
      <c r="I64" s="55" t="e">
        <f ca="1">_xll.EQNXTDZ($A$1,$B64,I$5,$B$1)</f>
        <v>#NAME?</v>
      </c>
      <c r="J64" s="55" t="e">
        <f ca="1">_xll.EQNXTDZ($A$1,$B64,J$5,$B$1)</f>
        <v>#NAME?</v>
      </c>
      <c r="K64" s="55" t="e">
        <f ca="1">_xll.EQNXTDZ($A$1,$B64,K$5,$B$1)</f>
        <v>#NAME?</v>
      </c>
      <c r="L64" s="55" t="e">
        <f ca="1">_xll.EQNXTDZ($A$1,$B64,L$5,$B$1)</f>
        <v>#NAME?</v>
      </c>
      <c r="M64" s="55" t="e">
        <f ca="1">_xll.EQNXTDZ($A$1,$B64,M$5,$B$1)</f>
        <v>#NAME?</v>
      </c>
      <c r="N64" s="55" t="e">
        <f ca="1">_xll.EQNXTDZ($A$1,$B64,N$5,$B$1)</f>
        <v>#NAME?</v>
      </c>
      <c r="O64" s="55" t="e">
        <f ca="1">_xll.EQNXTDZ($A$1,$B64,O$5,$B$1)</f>
        <v>#NAME?</v>
      </c>
      <c r="P64" s="55" t="e">
        <f ca="1">_xll.EQNXTDZ($A$1,$B64,P$5,$B$1)</f>
        <v>#NAME?</v>
      </c>
      <c r="Q64" s="55" t="e">
        <f ca="1">_xll.EQNXTDZ($A$1,$B64,Q$5,$B$1)</f>
        <v>#NAME?</v>
      </c>
      <c r="R64" s="55" t="e">
        <f ca="1">_xll.EQNXTDZ($A$1,$B64,R$5,$B$1)</f>
        <v>#NAME?</v>
      </c>
      <c r="S64" s="55" t="e">
        <f ca="1">_xll.EQNXTDZ($A$1,$B64,S$5,$B$1)</f>
        <v>#NAME?</v>
      </c>
      <c r="T64" s="55" t="e">
        <f ca="1">_xll.EQNXTDZ($A$1,$B64,T$5,$B$1)</f>
        <v>#NAME?</v>
      </c>
      <c r="U64" s="55" t="e">
        <f ca="1">_xll.EQNXTDZ($A$1,$B64,U$5,$B$1)</f>
        <v>#NAME?</v>
      </c>
      <c r="V64" s="55" t="e">
        <f ca="1">_xll.EQNXTDZ($A$1,$B64,V$5,$B$1)</f>
        <v>#NAME?</v>
      </c>
      <c r="W64" s="55" t="e">
        <f ca="1">_xll.EQNXTDZ($A$1,$B64,W$5,$B$1)</f>
        <v>#NAME?</v>
      </c>
      <c r="X64" s="55" t="e">
        <f ca="1">_xll.EQNXTDZ($A$1,$B64,X$5,$B$1)</f>
        <v>#NAME?</v>
      </c>
      <c r="Y64" s="55" t="e">
        <f ca="1">_xll.EQNXTDZ($A$1,$B64,Y$5,$B$1)</f>
        <v>#NAME?</v>
      </c>
      <c r="Z64" s="55" t="e">
        <f ca="1">_xll.EQNXTDZ($A$1,$B64,Z$5,$B$1)</f>
        <v>#NAME?</v>
      </c>
      <c r="AA64" s="55" t="e">
        <f ca="1">_xll.EQNXTDZ($A$1,$B64,AA$5,$B$1)</f>
        <v>#NAME?</v>
      </c>
      <c r="AB64" s="55" t="e">
        <f ca="1">_xll.EQNXTDZ($A$1,$B64,AB$5,$B$1)</f>
        <v>#NAME?</v>
      </c>
      <c r="AC64" s="55" t="e">
        <f ca="1">_xll.EQNXTDZ($A$1,$B64,AC$5,$B$1)</f>
        <v>#NAME?</v>
      </c>
      <c r="AD64" s="55" t="e">
        <f ca="1">_xll.EQNXTDZ($A$1,$B64,AD$5,$B$1)</f>
        <v>#NAME?</v>
      </c>
      <c r="AE64" s="55" t="e">
        <f ca="1">_xll.EQNXTDZ($A$1,$B64,AE$5,$B$1)</f>
        <v>#NAME?</v>
      </c>
      <c r="AF64" s="55" t="e">
        <f ca="1">_xll.EQNXTDZ($A$1,$B64,AF$5,$B$1)</f>
        <v>#NAME?</v>
      </c>
      <c r="AG64" s="55" t="e">
        <f ca="1">_xll.EQNXTDZ($A$1,$B64,AG$5,$B$1)</f>
        <v>#NAME?</v>
      </c>
      <c r="AH64" s="55" t="e">
        <f ca="1">_xll.EQNXTDZ($A$1,$B64,AH$5,$B$1)</f>
        <v>#NAME?</v>
      </c>
      <c r="AI64" s="55" t="e">
        <f ca="1">_xll.EQNXTDZ($A$1,$B64,AI$5,$B$1)</f>
        <v>#NAME?</v>
      </c>
      <c r="AJ64" s="55" t="e">
        <f ca="1">_xll.EQNXTDZ($A$1,$B64,AJ$5,$B$1)</f>
        <v>#NAME?</v>
      </c>
      <c r="AK64" s="55" t="e">
        <f ca="1">_xll.EQNXTDZ($A$1,$B64,AK$5,$B$1)</f>
        <v>#NAME?</v>
      </c>
      <c r="AL64" s="55" t="e">
        <f ca="1">_xll.EQNXTDZ($A$1,$B64,AL$5,$B$1)</f>
        <v>#NAME?</v>
      </c>
      <c r="AM64" s="55" t="e">
        <f ca="1">_xll.EQNXTDZ($A$1,$B64,AM$5,$B$1)</f>
        <v>#NAME?</v>
      </c>
      <c r="AN64" s="55" t="e">
        <f ca="1">_xll.EQNXTDZ($A$1,$B64,AN$5,$B$1)</f>
        <v>#NAME?</v>
      </c>
      <c r="AO64" s="55" t="e">
        <f ca="1">_xll.EQNXTDZ($A$1,$B64,AO$5,$B$1)</f>
        <v>#NAME?</v>
      </c>
      <c r="AP64" s="55" t="e">
        <f ca="1">_xll.EQNXTDZ($A$1,$B64,AP$5,$B$1)</f>
        <v>#NAME?</v>
      </c>
      <c r="AQ64" s="55" t="e">
        <f ca="1">_xll.EQNXTDZ($A$1,$B64,AQ$5,$B$1)</f>
        <v>#NAME?</v>
      </c>
      <c r="AR64" s="55" t="e">
        <f ca="1">_xll.EQNXTDZ($A$1,$B64,AR$5,$B$1)</f>
        <v>#NAME?</v>
      </c>
      <c r="AS64" s="55" t="e">
        <f ca="1">_xll.EQNXTDZ($A$1,$B64,AS$5,$B$1)</f>
        <v>#NAME?</v>
      </c>
      <c r="AT64" s="55" t="e">
        <f ca="1">_xll.EQNXTDZ($A$1,$B64,AT$5,$B$1)</f>
        <v>#NAME?</v>
      </c>
      <c r="AU64" s="55" t="e">
        <f ca="1">_xll.EQNXTDZ($A$1,$B64,AU$5,$B$1)</f>
        <v>#NAME?</v>
      </c>
      <c r="AV64" s="55" t="e">
        <f ca="1">_xll.EQNXTDZ($A$1,$B64,AV$5,$B$1)</f>
        <v>#NAME?</v>
      </c>
      <c r="AW64" s="55" t="e">
        <f ca="1">_xll.EQNXTDZ($A$1,$B64,AW$5,$B$1)</f>
        <v>#NAME?</v>
      </c>
      <c r="AX64" s="55" t="e">
        <f ca="1">_xll.EQNXTDZ($A$1,$B64,AX$5,$B$1)</f>
        <v>#NAME?</v>
      </c>
      <c r="AY64" s="55" t="e">
        <f ca="1">_xll.EQNXTDZ($A$1,$B64,AY$5,$B$1)</f>
        <v>#NAME?</v>
      </c>
      <c r="AZ64" s="55" t="e">
        <f ca="1">_xll.EQNXTDZ($A$1,$B64,AZ$5,$B$1)</f>
        <v>#NAME?</v>
      </c>
      <c r="BA64" s="55" t="e">
        <f ca="1">_xll.EQNXTDZ($A$1,$B64,BA$5,$B$1)</f>
        <v>#NAME?</v>
      </c>
      <c r="BB64" s="55" t="e">
        <f ca="1">_xll.EQNXTDZ($A$1,$B64,BB$5,$B$1)</f>
        <v>#NAME?</v>
      </c>
      <c r="BC64" s="55" t="e">
        <f ca="1">_xll.EQNXTDZ($A$1,$B64,BC$5,$B$1)</f>
        <v>#NAME?</v>
      </c>
      <c r="BD64" s="55" t="e">
        <f ca="1">_xll.EQNXTDZ($A$1,$B64,BD$5,$B$1)</f>
        <v>#NAME?</v>
      </c>
      <c r="BE64" s="55" t="e">
        <f ca="1">_xll.EQNXTDZ($A$1,$B64,BE$5,$B$1)</f>
        <v>#NAME?</v>
      </c>
      <c r="BF64" s="55" t="e">
        <f ca="1">_xll.EQNXTDZ($A$1,$B64,BF$5,$B$1)</f>
        <v>#NAME?</v>
      </c>
      <c r="BG64" s="55" t="e">
        <f ca="1">_xll.EQNXTDZ($A$1,$B64,BG$5,$B$1)</f>
        <v>#NAME?</v>
      </c>
      <c r="BH64" s="55" t="e">
        <f ca="1">_xll.EQNXTDZ($A$1,$B64,BH$5,$B$1)</f>
        <v>#NAME?</v>
      </c>
      <c r="BI64" s="55" t="e">
        <f ca="1">_xll.EQNXTDZ($A$1,$B64,BI$5,$B$1)</f>
        <v>#NAME?</v>
      </c>
      <c r="BJ64" s="55" t="e">
        <f ca="1">_xll.EQNXTDZ($A$1,$B64,BJ$5,$B$1)</f>
        <v>#NAME?</v>
      </c>
      <c r="BK64" s="55" t="e">
        <f ca="1">_xll.EQNXTDZ($A$1,$B64,BK$5,$B$1)</f>
        <v>#NAME?</v>
      </c>
      <c r="BL64" s="55" t="e">
        <f ca="1">_xll.EQNXTDZ($A$1,$B64,BL$5,$B$1)</f>
        <v>#NAME?</v>
      </c>
      <c r="BM64" s="55" t="e">
        <f ca="1">_xll.EQNXTDZ($A$1,$B64,BM$5,$B$1)</f>
        <v>#NAME?</v>
      </c>
      <c r="BN64" s="55" t="e">
        <f ca="1">_xll.EQNXTDZ($A$1,$B64,BN$5,$B$1)</f>
        <v>#NAME?</v>
      </c>
      <c r="BO64" s="55" t="e">
        <f ca="1">_xll.EQNXTDZ($A$1,$B64,BO$5,$B$1)</f>
        <v>#NAME?</v>
      </c>
      <c r="BP64" s="55" t="e">
        <f ca="1">_xll.EQNXTDZ($A$1,$B64,BP$5,$B$1)</f>
        <v>#NAME?</v>
      </c>
      <c r="BQ64" s="55" t="e">
        <f ca="1">_xll.EQNXTDZ($A$1,$B64,BQ$5,$B$1)</f>
        <v>#NAME?</v>
      </c>
      <c r="BR64" s="55" t="e">
        <f ca="1">_xll.EQNXTDZ($A$1,$B64,BR$5,$B$1)</f>
        <v>#NAME?</v>
      </c>
      <c r="BS64" s="55" t="e">
        <f ca="1">_xll.EQNXTDZ($A$1,$B64,BS$5,$B$1)</f>
        <v>#NAME?</v>
      </c>
      <c r="BT64" s="55" t="e">
        <f ca="1">_xll.EQNXTDZ($A$1,$B64,BT$5,$B$1)</f>
        <v>#NAME?</v>
      </c>
      <c r="BU64" s="55" t="e">
        <f ca="1">_xll.EQNXTDZ($A$1,$B64,BU$5,$B$1)</f>
        <v>#NAME?</v>
      </c>
      <c r="BV64" s="55" t="e">
        <f ca="1">_xll.EQNXTDZ($A$1,$B64,BV$5,$B$1)</f>
        <v>#NAME?</v>
      </c>
    </row>
    <row r="65" spans="1:74" x14ac:dyDescent="0.25">
      <c r="A65" t="s">
        <v>161</v>
      </c>
      <c r="B65" t="s">
        <v>381</v>
      </c>
      <c r="C65" s="55" t="e">
        <f ca="1">_xll.EQNXTDZ($A$1,$B65,C$5,$B$1)</f>
        <v>#NAME?</v>
      </c>
      <c r="D65" s="55" t="e">
        <f ca="1">_xll.EQNXTDZ($A$1,$B65,D$5,$B$1)</f>
        <v>#NAME?</v>
      </c>
      <c r="E65" s="55" t="e">
        <f ca="1">_xll.EQNXTDZ($A$1,$B65,E$5,$B$1)</f>
        <v>#NAME?</v>
      </c>
      <c r="F65" s="55" t="e">
        <f ca="1">_xll.EQNXTDZ($A$1,$B65,F$5,$B$1)</f>
        <v>#NAME?</v>
      </c>
      <c r="G65" s="55" t="e">
        <f ca="1">_xll.EQNXTDZ($A$1,$B65,G$5,$B$1)</f>
        <v>#NAME?</v>
      </c>
      <c r="H65" s="55" t="e">
        <f ca="1">_xll.EQNXTDZ($A$1,$B65,H$5,$B$1)</f>
        <v>#NAME?</v>
      </c>
      <c r="I65" s="55" t="e">
        <f ca="1">_xll.EQNXTDZ($A$1,$B65,I$5,$B$1)</f>
        <v>#NAME?</v>
      </c>
      <c r="J65" s="55" t="e">
        <f ca="1">_xll.EQNXTDZ($A$1,$B65,J$5,$B$1)</f>
        <v>#NAME?</v>
      </c>
      <c r="K65" s="55" t="e">
        <f ca="1">_xll.EQNXTDZ($A$1,$B65,K$5,$B$1)</f>
        <v>#NAME?</v>
      </c>
      <c r="L65" s="55" t="e">
        <f ca="1">_xll.EQNXTDZ($A$1,$B65,L$5,$B$1)</f>
        <v>#NAME?</v>
      </c>
      <c r="M65" s="55" t="e">
        <f ca="1">_xll.EQNXTDZ($A$1,$B65,M$5,$B$1)</f>
        <v>#NAME?</v>
      </c>
      <c r="N65" s="55" t="e">
        <f ca="1">_xll.EQNXTDZ($A$1,$B65,N$5,$B$1)</f>
        <v>#NAME?</v>
      </c>
      <c r="O65" s="55" t="e">
        <f ca="1">_xll.EQNXTDZ($A$1,$B65,O$5,$B$1)</f>
        <v>#NAME?</v>
      </c>
      <c r="P65" s="55" t="e">
        <f ca="1">_xll.EQNXTDZ($A$1,$B65,P$5,$B$1)</f>
        <v>#NAME?</v>
      </c>
      <c r="Q65" s="55" t="e">
        <f ca="1">_xll.EQNXTDZ($A$1,$B65,Q$5,$B$1)</f>
        <v>#NAME?</v>
      </c>
      <c r="R65" s="55" t="e">
        <f ca="1">_xll.EQNXTDZ($A$1,$B65,R$5,$B$1)</f>
        <v>#NAME?</v>
      </c>
      <c r="S65" s="55" t="e">
        <f ca="1">_xll.EQNXTDZ($A$1,$B65,S$5,$B$1)</f>
        <v>#NAME?</v>
      </c>
      <c r="T65" s="55" t="e">
        <f ca="1">_xll.EQNXTDZ($A$1,$B65,T$5,$B$1)</f>
        <v>#NAME?</v>
      </c>
      <c r="U65" s="55" t="e">
        <f ca="1">_xll.EQNXTDZ($A$1,$B65,U$5,$B$1)</f>
        <v>#NAME?</v>
      </c>
      <c r="V65" s="55" t="e">
        <f ca="1">_xll.EQNXTDZ($A$1,$B65,V$5,$B$1)</f>
        <v>#NAME?</v>
      </c>
      <c r="W65" s="55" t="e">
        <f ca="1">_xll.EQNXTDZ($A$1,$B65,W$5,$B$1)</f>
        <v>#NAME?</v>
      </c>
      <c r="X65" s="55" t="e">
        <f ca="1">_xll.EQNXTDZ($A$1,$B65,X$5,$B$1)</f>
        <v>#NAME?</v>
      </c>
      <c r="Y65" s="55" t="e">
        <f ca="1">_xll.EQNXTDZ($A$1,$B65,Y$5,$B$1)</f>
        <v>#NAME?</v>
      </c>
      <c r="Z65" s="55" t="e">
        <f ca="1">_xll.EQNXTDZ($A$1,$B65,Z$5,$B$1)</f>
        <v>#NAME?</v>
      </c>
      <c r="AA65" s="55" t="e">
        <f ca="1">_xll.EQNXTDZ($A$1,$B65,AA$5,$B$1)</f>
        <v>#NAME?</v>
      </c>
      <c r="AB65" s="55" t="e">
        <f ca="1">_xll.EQNXTDZ($A$1,$B65,AB$5,$B$1)</f>
        <v>#NAME?</v>
      </c>
      <c r="AC65" s="55" t="e">
        <f ca="1">_xll.EQNXTDZ($A$1,$B65,AC$5,$B$1)</f>
        <v>#NAME?</v>
      </c>
      <c r="AD65" s="55" t="e">
        <f ca="1">_xll.EQNXTDZ($A$1,$B65,AD$5,$B$1)</f>
        <v>#NAME?</v>
      </c>
      <c r="AE65" s="55" t="e">
        <f ca="1">_xll.EQNXTDZ($A$1,$B65,AE$5,$B$1)</f>
        <v>#NAME?</v>
      </c>
      <c r="AF65" s="55" t="e">
        <f ca="1">_xll.EQNXTDZ($A$1,$B65,AF$5,$B$1)</f>
        <v>#NAME?</v>
      </c>
      <c r="AG65" s="55" t="e">
        <f ca="1">_xll.EQNXTDZ($A$1,$B65,AG$5,$B$1)</f>
        <v>#NAME?</v>
      </c>
      <c r="AH65" s="55" t="e">
        <f ca="1">_xll.EQNXTDZ($A$1,$B65,AH$5,$B$1)</f>
        <v>#NAME?</v>
      </c>
      <c r="AI65" s="55" t="e">
        <f ca="1">_xll.EQNXTDZ($A$1,$B65,AI$5,$B$1)</f>
        <v>#NAME?</v>
      </c>
      <c r="AJ65" s="55" t="e">
        <f ca="1">_xll.EQNXTDZ($A$1,$B65,AJ$5,$B$1)</f>
        <v>#NAME?</v>
      </c>
      <c r="AK65" s="55" t="e">
        <f ca="1">_xll.EQNXTDZ($A$1,$B65,AK$5,$B$1)</f>
        <v>#NAME?</v>
      </c>
      <c r="AL65" s="55" t="e">
        <f ca="1">_xll.EQNXTDZ($A$1,$B65,AL$5,$B$1)</f>
        <v>#NAME?</v>
      </c>
      <c r="AM65" s="55" t="e">
        <f ca="1">_xll.EQNXTDZ($A$1,$B65,AM$5,$B$1)</f>
        <v>#NAME?</v>
      </c>
      <c r="AN65" s="55" t="e">
        <f ca="1">_xll.EQNXTDZ($A$1,$B65,AN$5,$B$1)</f>
        <v>#NAME?</v>
      </c>
      <c r="AO65" s="55" t="e">
        <f ca="1">_xll.EQNXTDZ($A$1,$B65,AO$5,$B$1)</f>
        <v>#NAME?</v>
      </c>
      <c r="AP65" s="55" t="e">
        <f ca="1">_xll.EQNXTDZ($A$1,$B65,AP$5,$B$1)</f>
        <v>#NAME?</v>
      </c>
      <c r="AQ65" s="55" t="e">
        <f ca="1">_xll.EQNXTDZ($A$1,$B65,AQ$5,$B$1)</f>
        <v>#NAME?</v>
      </c>
      <c r="AR65" s="55" t="e">
        <f ca="1">_xll.EQNXTDZ($A$1,$B65,AR$5,$B$1)</f>
        <v>#NAME?</v>
      </c>
      <c r="AS65" s="55" t="e">
        <f ca="1">_xll.EQNXTDZ($A$1,$B65,AS$5,$B$1)</f>
        <v>#NAME?</v>
      </c>
      <c r="AT65" s="55" t="e">
        <f ca="1">_xll.EQNXTDZ($A$1,$B65,AT$5,$B$1)</f>
        <v>#NAME?</v>
      </c>
      <c r="AU65" s="55" t="e">
        <f ca="1">_xll.EQNXTDZ($A$1,$B65,AU$5,$B$1)</f>
        <v>#NAME?</v>
      </c>
      <c r="AV65" s="55" t="e">
        <f ca="1">_xll.EQNXTDZ($A$1,$B65,AV$5,$B$1)</f>
        <v>#NAME?</v>
      </c>
      <c r="AW65" s="55" t="e">
        <f ca="1">_xll.EQNXTDZ($A$1,$B65,AW$5,$B$1)</f>
        <v>#NAME?</v>
      </c>
      <c r="AX65" s="55" t="e">
        <f ca="1">_xll.EQNXTDZ($A$1,$B65,AX$5,$B$1)</f>
        <v>#NAME?</v>
      </c>
      <c r="AY65" s="55" t="e">
        <f ca="1">_xll.EQNXTDZ($A$1,$B65,AY$5,$B$1)</f>
        <v>#NAME?</v>
      </c>
      <c r="AZ65" s="55" t="e">
        <f ca="1">_xll.EQNXTDZ($A$1,$B65,AZ$5,$B$1)</f>
        <v>#NAME?</v>
      </c>
      <c r="BA65" s="55" t="e">
        <f ca="1">_xll.EQNXTDZ($A$1,$B65,BA$5,$B$1)</f>
        <v>#NAME?</v>
      </c>
      <c r="BB65" s="55" t="e">
        <f ca="1">_xll.EQNXTDZ($A$1,$B65,BB$5,$B$1)</f>
        <v>#NAME?</v>
      </c>
      <c r="BC65" s="55" t="e">
        <f ca="1">_xll.EQNXTDZ($A$1,$B65,BC$5,$B$1)</f>
        <v>#NAME?</v>
      </c>
      <c r="BD65" s="55" t="e">
        <f ca="1">_xll.EQNXTDZ($A$1,$B65,BD$5,$B$1)</f>
        <v>#NAME?</v>
      </c>
      <c r="BE65" s="55" t="e">
        <f ca="1">_xll.EQNXTDZ($A$1,$B65,BE$5,$B$1)</f>
        <v>#NAME?</v>
      </c>
      <c r="BF65" s="55" t="e">
        <f ca="1">_xll.EQNXTDZ($A$1,$B65,BF$5,$B$1)</f>
        <v>#NAME?</v>
      </c>
      <c r="BG65" s="55" t="e">
        <f ca="1">_xll.EQNXTDZ($A$1,$B65,BG$5,$B$1)</f>
        <v>#NAME?</v>
      </c>
      <c r="BH65" s="55" t="e">
        <f ca="1">_xll.EQNXTDZ($A$1,$B65,BH$5,$B$1)</f>
        <v>#NAME?</v>
      </c>
      <c r="BI65" s="55" t="e">
        <f ca="1">_xll.EQNXTDZ($A$1,$B65,BI$5,$B$1)</f>
        <v>#NAME?</v>
      </c>
      <c r="BJ65" s="55" t="e">
        <f ca="1">_xll.EQNXTDZ($A$1,$B65,BJ$5,$B$1)</f>
        <v>#NAME?</v>
      </c>
      <c r="BK65" s="55" t="e">
        <f ca="1">_xll.EQNXTDZ($A$1,$B65,BK$5,$B$1)</f>
        <v>#NAME?</v>
      </c>
      <c r="BL65" s="55" t="e">
        <f ca="1">_xll.EQNXTDZ($A$1,$B65,BL$5,$B$1)</f>
        <v>#NAME?</v>
      </c>
      <c r="BM65" s="55" t="e">
        <f ca="1">_xll.EQNXTDZ($A$1,$B65,BM$5,$B$1)</f>
        <v>#NAME?</v>
      </c>
      <c r="BN65" s="55" t="e">
        <f ca="1">_xll.EQNXTDZ($A$1,$B65,BN$5,$B$1)</f>
        <v>#NAME?</v>
      </c>
      <c r="BO65" s="55" t="e">
        <f ca="1">_xll.EQNXTDZ($A$1,$B65,BO$5,$B$1)</f>
        <v>#NAME?</v>
      </c>
      <c r="BP65" s="55" t="e">
        <f ca="1">_xll.EQNXTDZ($A$1,$B65,BP$5,$B$1)</f>
        <v>#NAME?</v>
      </c>
      <c r="BQ65" s="55" t="e">
        <f ca="1">_xll.EQNXTDZ($A$1,$B65,BQ$5,$B$1)</f>
        <v>#NAME?</v>
      </c>
      <c r="BR65" s="55" t="e">
        <f ca="1">_xll.EQNXTDZ($A$1,$B65,BR$5,$B$1)</f>
        <v>#NAME?</v>
      </c>
      <c r="BS65" s="55" t="e">
        <f ca="1">_xll.EQNXTDZ($A$1,$B65,BS$5,$B$1)</f>
        <v>#NAME?</v>
      </c>
      <c r="BT65" s="55" t="e">
        <f ca="1">_xll.EQNXTDZ($A$1,$B65,BT$5,$B$1)</f>
        <v>#NAME?</v>
      </c>
      <c r="BU65" s="55" t="e">
        <f ca="1">_xll.EQNXTDZ($A$1,$B65,BU$5,$B$1)</f>
        <v>#NAME?</v>
      </c>
      <c r="BV65" s="55" t="e">
        <f ca="1">_xll.EQNXTDZ($A$1,$B65,BV$5,$B$1)</f>
        <v>#NAME?</v>
      </c>
    </row>
    <row r="66" spans="1:74" x14ac:dyDescent="0.25">
      <c r="A66" t="s">
        <v>357</v>
      </c>
      <c r="B66" t="s">
        <v>382</v>
      </c>
      <c r="C66" s="55" t="e">
        <f ca="1">_xll.EQNXTDZ($A$1,$B66,C$5,$B$1)</f>
        <v>#NAME?</v>
      </c>
      <c r="D66" s="55" t="e">
        <f ca="1">_xll.EQNXTDZ($A$1,$B66,D$5,$B$1)</f>
        <v>#NAME?</v>
      </c>
      <c r="E66" s="55" t="e">
        <f ca="1">_xll.EQNXTDZ($A$1,$B66,E$5,$B$1)</f>
        <v>#NAME?</v>
      </c>
      <c r="F66" s="55" t="e">
        <f ca="1">_xll.EQNXTDZ($A$1,$B66,F$5,$B$1)</f>
        <v>#NAME?</v>
      </c>
      <c r="G66" s="55" t="e">
        <f ca="1">_xll.EQNXTDZ($A$1,$B66,G$5,$B$1)</f>
        <v>#NAME?</v>
      </c>
      <c r="H66" s="55" t="e">
        <f ca="1">_xll.EQNXTDZ($A$1,$B66,H$5,$B$1)</f>
        <v>#NAME?</v>
      </c>
      <c r="I66" s="55" t="e">
        <f ca="1">_xll.EQNXTDZ($A$1,$B66,I$5,$B$1)</f>
        <v>#NAME?</v>
      </c>
      <c r="J66" s="55" t="e">
        <f ca="1">_xll.EQNXTDZ($A$1,$B66,J$5,$B$1)</f>
        <v>#NAME?</v>
      </c>
      <c r="K66" s="55" t="e">
        <f ca="1">_xll.EQNXTDZ($A$1,$B66,K$5,$B$1)</f>
        <v>#NAME?</v>
      </c>
      <c r="L66" s="55" t="e">
        <f ca="1">_xll.EQNXTDZ($A$1,$B66,L$5,$B$1)</f>
        <v>#NAME?</v>
      </c>
      <c r="M66" s="55" t="e">
        <f ca="1">_xll.EQNXTDZ($A$1,$B66,M$5,$B$1)</f>
        <v>#NAME?</v>
      </c>
      <c r="N66" s="55" t="e">
        <f ca="1">_xll.EQNXTDZ($A$1,$B66,N$5,$B$1)</f>
        <v>#NAME?</v>
      </c>
      <c r="O66" s="55" t="e">
        <f ca="1">_xll.EQNXTDZ($A$1,$B66,O$5,$B$1)</f>
        <v>#NAME?</v>
      </c>
      <c r="P66" s="55" t="e">
        <f ca="1">_xll.EQNXTDZ($A$1,$B66,P$5,$B$1)</f>
        <v>#NAME?</v>
      </c>
      <c r="Q66" s="55" t="e">
        <f ca="1">_xll.EQNXTDZ($A$1,$B66,Q$5,$B$1)</f>
        <v>#NAME?</v>
      </c>
      <c r="R66" s="55" t="e">
        <f ca="1">_xll.EQNXTDZ($A$1,$B66,R$5,$B$1)</f>
        <v>#NAME?</v>
      </c>
      <c r="S66" s="55" t="e">
        <f ca="1">_xll.EQNXTDZ($A$1,$B66,S$5,$B$1)</f>
        <v>#NAME?</v>
      </c>
      <c r="T66" s="55" t="e">
        <f ca="1">_xll.EQNXTDZ($A$1,$B66,T$5,$B$1)</f>
        <v>#NAME?</v>
      </c>
      <c r="U66" s="55" t="e">
        <f ca="1">_xll.EQNXTDZ($A$1,$B66,U$5,$B$1)</f>
        <v>#NAME?</v>
      </c>
      <c r="V66" s="55" t="e">
        <f ca="1">_xll.EQNXTDZ($A$1,$B66,V$5,$B$1)</f>
        <v>#NAME?</v>
      </c>
      <c r="W66" s="55" t="e">
        <f ca="1">_xll.EQNXTDZ($A$1,$B66,W$5,$B$1)</f>
        <v>#NAME?</v>
      </c>
      <c r="X66" s="55" t="e">
        <f ca="1">_xll.EQNXTDZ($A$1,$B66,X$5,$B$1)</f>
        <v>#NAME?</v>
      </c>
      <c r="Y66" s="55" t="e">
        <f ca="1">_xll.EQNXTDZ($A$1,$B66,Y$5,$B$1)</f>
        <v>#NAME?</v>
      </c>
      <c r="Z66" s="55" t="e">
        <f ca="1">_xll.EQNXTDZ($A$1,$B66,Z$5,$B$1)</f>
        <v>#NAME?</v>
      </c>
      <c r="AA66" s="55" t="e">
        <f ca="1">_xll.EQNXTDZ($A$1,$B66,AA$5,$B$1)</f>
        <v>#NAME?</v>
      </c>
      <c r="AB66" s="55" t="e">
        <f ca="1">_xll.EQNXTDZ($A$1,$B66,AB$5,$B$1)</f>
        <v>#NAME?</v>
      </c>
      <c r="AC66" s="55" t="e">
        <f ca="1">_xll.EQNXTDZ($A$1,$B66,AC$5,$B$1)</f>
        <v>#NAME?</v>
      </c>
      <c r="AD66" s="55" t="e">
        <f ca="1">_xll.EQNXTDZ($A$1,$B66,AD$5,$B$1)</f>
        <v>#NAME?</v>
      </c>
      <c r="AE66" s="55" t="e">
        <f ca="1">_xll.EQNXTDZ($A$1,$B66,AE$5,$B$1)</f>
        <v>#NAME?</v>
      </c>
      <c r="AF66" s="55" t="e">
        <f ca="1">_xll.EQNXTDZ($A$1,$B66,AF$5,$B$1)</f>
        <v>#NAME?</v>
      </c>
      <c r="AG66" s="55" t="e">
        <f ca="1">_xll.EQNXTDZ($A$1,$B66,AG$5,$B$1)</f>
        <v>#NAME?</v>
      </c>
      <c r="AH66" s="55" t="e">
        <f ca="1">_xll.EQNXTDZ($A$1,$B66,AH$5,$B$1)</f>
        <v>#NAME?</v>
      </c>
      <c r="AI66" s="55" t="e">
        <f ca="1">_xll.EQNXTDZ($A$1,$B66,AI$5,$B$1)</f>
        <v>#NAME?</v>
      </c>
      <c r="AJ66" s="55" t="e">
        <f ca="1">_xll.EQNXTDZ($A$1,$B66,AJ$5,$B$1)</f>
        <v>#NAME?</v>
      </c>
      <c r="AK66" s="55" t="e">
        <f ca="1">_xll.EQNXTDZ($A$1,$B66,AK$5,$B$1)</f>
        <v>#NAME?</v>
      </c>
      <c r="AL66" s="55" t="e">
        <f ca="1">_xll.EQNXTDZ($A$1,$B66,AL$5,$B$1)</f>
        <v>#NAME?</v>
      </c>
      <c r="AM66" s="55" t="e">
        <f ca="1">_xll.EQNXTDZ($A$1,$B66,AM$5,$B$1)</f>
        <v>#NAME?</v>
      </c>
      <c r="AN66" s="55" t="e">
        <f ca="1">_xll.EQNXTDZ($A$1,$B66,AN$5,$B$1)</f>
        <v>#NAME?</v>
      </c>
      <c r="AO66" s="55" t="e">
        <f ca="1">_xll.EQNXTDZ($A$1,$B66,AO$5,$B$1)</f>
        <v>#NAME?</v>
      </c>
      <c r="AP66" s="55" t="e">
        <f ca="1">_xll.EQNXTDZ($A$1,$B66,AP$5,$B$1)</f>
        <v>#NAME?</v>
      </c>
      <c r="AQ66" s="55" t="e">
        <f ca="1">_xll.EQNXTDZ($A$1,$B66,AQ$5,$B$1)</f>
        <v>#NAME?</v>
      </c>
      <c r="AR66" s="55" t="e">
        <f ca="1">_xll.EQNXTDZ($A$1,$B66,AR$5,$B$1)</f>
        <v>#NAME?</v>
      </c>
      <c r="AS66" s="55" t="e">
        <f ca="1">_xll.EQNXTDZ($A$1,$B66,AS$5,$B$1)</f>
        <v>#NAME?</v>
      </c>
      <c r="AT66" s="55" t="e">
        <f ca="1">_xll.EQNXTDZ($A$1,$B66,AT$5,$B$1)</f>
        <v>#NAME?</v>
      </c>
      <c r="AU66" s="55" t="e">
        <f ca="1">_xll.EQNXTDZ($A$1,$B66,AU$5,$B$1)</f>
        <v>#NAME?</v>
      </c>
      <c r="AV66" s="55" t="e">
        <f ca="1">_xll.EQNXTDZ($A$1,$B66,AV$5,$B$1)</f>
        <v>#NAME?</v>
      </c>
      <c r="AW66" s="55" t="e">
        <f ca="1">_xll.EQNXTDZ($A$1,$B66,AW$5,$B$1)</f>
        <v>#NAME?</v>
      </c>
      <c r="AX66" s="55" t="e">
        <f ca="1">_xll.EQNXTDZ($A$1,$B66,AX$5,$B$1)</f>
        <v>#NAME?</v>
      </c>
      <c r="AY66" s="55" t="e">
        <f ca="1">_xll.EQNXTDZ($A$1,$B66,AY$5,$B$1)</f>
        <v>#NAME?</v>
      </c>
      <c r="AZ66" s="55" t="e">
        <f ca="1">_xll.EQNXTDZ($A$1,$B66,AZ$5,$B$1)</f>
        <v>#NAME?</v>
      </c>
      <c r="BA66" s="55" t="e">
        <f ca="1">_xll.EQNXTDZ($A$1,$B66,BA$5,$B$1)</f>
        <v>#NAME?</v>
      </c>
      <c r="BB66" s="55" t="e">
        <f ca="1">_xll.EQNXTDZ($A$1,$B66,BB$5,$B$1)</f>
        <v>#NAME?</v>
      </c>
      <c r="BC66" s="55" t="e">
        <f ca="1">_xll.EQNXTDZ($A$1,$B66,BC$5,$B$1)</f>
        <v>#NAME?</v>
      </c>
      <c r="BD66" s="55" t="e">
        <f ca="1">_xll.EQNXTDZ($A$1,$B66,BD$5,$B$1)</f>
        <v>#NAME?</v>
      </c>
      <c r="BE66" s="55" t="e">
        <f ca="1">_xll.EQNXTDZ($A$1,$B66,BE$5,$B$1)</f>
        <v>#NAME?</v>
      </c>
      <c r="BF66" s="55" t="e">
        <f ca="1">_xll.EQNXTDZ($A$1,$B66,BF$5,$B$1)</f>
        <v>#NAME?</v>
      </c>
      <c r="BG66" s="55" t="e">
        <f ca="1">_xll.EQNXTDZ($A$1,$B66,BG$5,$B$1)</f>
        <v>#NAME?</v>
      </c>
      <c r="BH66" s="55" t="e">
        <f ca="1">_xll.EQNXTDZ($A$1,$B66,BH$5,$B$1)</f>
        <v>#NAME?</v>
      </c>
      <c r="BI66" s="55" t="e">
        <f ca="1">_xll.EQNXTDZ($A$1,$B66,BI$5,$B$1)</f>
        <v>#NAME?</v>
      </c>
      <c r="BJ66" s="55" t="e">
        <f ca="1">_xll.EQNXTDZ($A$1,$B66,BJ$5,$B$1)</f>
        <v>#NAME?</v>
      </c>
      <c r="BK66" s="55" t="e">
        <f ca="1">_xll.EQNXTDZ($A$1,$B66,BK$5,$B$1)</f>
        <v>#NAME?</v>
      </c>
      <c r="BL66" s="55" t="e">
        <f ca="1">_xll.EQNXTDZ($A$1,$B66,BL$5,$B$1)</f>
        <v>#NAME?</v>
      </c>
      <c r="BM66" s="55" t="e">
        <f ca="1">_xll.EQNXTDZ($A$1,$B66,BM$5,$B$1)</f>
        <v>#NAME?</v>
      </c>
      <c r="BN66" s="55" t="e">
        <f ca="1">_xll.EQNXTDZ($A$1,$B66,BN$5,$B$1)</f>
        <v>#NAME?</v>
      </c>
      <c r="BO66" s="55" t="e">
        <f ca="1">_xll.EQNXTDZ($A$1,$B66,BO$5,$B$1)</f>
        <v>#NAME?</v>
      </c>
      <c r="BP66" s="55" t="e">
        <f ca="1">_xll.EQNXTDZ($A$1,$B66,BP$5,$B$1)</f>
        <v>#NAME?</v>
      </c>
      <c r="BQ66" s="55" t="e">
        <f ca="1">_xll.EQNXTDZ($A$1,$B66,BQ$5,$B$1)</f>
        <v>#NAME?</v>
      </c>
      <c r="BR66" s="55" t="e">
        <f ca="1">_xll.EQNXTDZ($A$1,$B66,BR$5,$B$1)</f>
        <v>#NAME?</v>
      </c>
      <c r="BS66" s="55" t="e">
        <f ca="1">_xll.EQNXTDZ($A$1,$B66,BS$5,$B$1)</f>
        <v>#NAME?</v>
      </c>
      <c r="BT66" s="55" t="e">
        <f ca="1">_xll.EQNXTDZ($A$1,$B66,BT$5,$B$1)</f>
        <v>#NAME?</v>
      </c>
      <c r="BU66" s="55" t="e">
        <f ca="1">_xll.EQNXTDZ($A$1,$B66,BU$5,$B$1)</f>
        <v>#NAME?</v>
      </c>
      <c r="BV66" s="55" t="e">
        <f ca="1">_xll.EQNXTDZ($A$1,$B66,BV$5,$B$1)</f>
        <v>#NAME?</v>
      </c>
    </row>
    <row r="67" spans="1:74" x14ac:dyDescent="0.25">
      <c r="A67" t="s">
        <v>165</v>
      </c>
      <c r="B67" t="s">
        <v>383</v>
      </c>
      <c r="C67" s="55" t="e">
        <f ca="1">_xll.EQNXTDZ($A$1,$B67,C$5,$B$1)</f>
        <v>#NAME?</v>
      </c>
      <c r="D67" s="55" t="e">
        <f ca="1">_xll.EQNXTDZ($A$1,$B67,D$5,$B$1)</f>
        <v>#NAME?</v>
      </c>
      <c r="E67" s="55" t="e">
        <f ca="1">_xll.EQNXTDZ($A$1,$B67,E$5,$B$1)</f>
        <v>#NAME?</v>
      </c>
      <c r="F67" s="55" t="e">
        <f ca="1">_xll.EQNXTDZ($A$1,$B67,F$5,$B$1)</f>
        <v>#NAME?</v>
      </c>
      <c r="G67" s="55" t="e">
        <f ca="1">_xll.EQNXTDZ($A$1,$B67,G$5,$B$1)</f>
        <v>#NAME?</v>
      </c>
      <c r="H67" s="55" t="e">
        <f ca="1">_xll.EQNXTDZ($A$1,$B67,H$5,$B$1)</f>
        <v>#NAME?</v>
      </c>
      <c r="I67" s="55" t="e">
        <f ca="1">_xll.EQNXTDZ($A$1,$B67,I$5,$B$1)</f>
        <v>#NAME?</v>
      </c>
      <c r="J67" s="55" t="e">
        <f ca="1">_xll.EQNXTDZ($A$1,$B67,J$5,$B$1)</f>
        <v>#NAME?</v>
      </c>
      <c r="K67" s="55" t="e">
        <f ca="1">_xll.EQNXTDZ($A$1,$B67,K$5,$B$1)</f>
        <v>#NAME?</v>
      </c>
      <c r="L67" s="55" t="e">
        <f ca="1">_xll.EQNXTDZ($A$1,$B67,L$5,$B$1)</f>
        <v>#NAME?</v>
      </c>
      <c r="M67" s="55" t="e">
        <f ca="1">_xll.EQNXTDZ($A$1,$B67,M$5,$B$1)</f>
        <v>#NAME?</v>
      </c>
      <c r="N67" s="55" t="e">
        <f ca="1">_xll.EQNXTDZ($A$1,$B67,N$5,$B$1)</f>
        <v>#NAME?</v>
      </c>
      <c r="O67" s="55" t="e">
        <f ca="1">_xll.EQNXTDZ($A$1,$B67,O$5,$B$1)</f>
        <v>#NAME?</v>
      </c>
      <c r="P67" s="55" t="e">
        <f ca="1">_xll.EQNXTDZ($A$1,$B67,P$5,$B$1)</f>
        <v>#NAME?</v>
      </c>
      <c r="Q67" s="55" t="e">
        <f ca="1">_xll.EQNXTDZ($A$1,$B67,Q$5,$B$1)</f>
        <v>#NAME?</v>
      </c>
      <c r="R67" s="55" t="e">
        <f ca="1">_xll.EQNXTDZ($A$1,$B67,R$5,$B$1)</f>
        <v>#NAME?</v>
      </c>
      <c r="S67" s="55" t="e">
        <f ca="1">_xll.EQNXTDZ($A$1,$B67,S$5,$B$1)</f>
        <v>#NAME?</v>
      </c>
      <c r="T67" s="55" t="e">
        <f ca="1">_xll.EQNXTDZ($A$1,$B67,T$5,$B$1)</f>
        <v>#NAME?</v>
      </c>
      <c r="U67" s="55" t="e">
        <f ca="1">_xll.EQNXTDZ($A$1,$B67,U$5,$B$1)</f>
        <v>#NAME?</v>
      </c>
      <c r="V67" s="55" t="e">
        <f ca="1">_xll.EQNXTDZ($A$1,$B67,V$5,$B$1)</f>
        <v>#NAME?</v>
      </c>
      <c r="W67" s="55" t="e">
        <f ca="1">_xll.EQNXTDZ($A$1,$B67,W$5,$B$1)</f>
        <v>#NAME?</v>
      </c>
      <c r="X67" s="55" t="e">
        <f ca="1">_xll.EQNXTDZ($A$1,$B67,X$5,$B$1)</f>
        <v>#NAME?</v>
      </c>
      <c r="Y67" s="55" t="e">
        <f ca="1">_xll.EQNXTDZ($A$1,$B67,Y$5,$B$1)</f>
        <v>#NAME?</v>
      </c>
      <c r="Z67" s="55" t="e">
        <f ca="1">_xll.EQNXTDZ($A$1,$B67,Z$5,$B$1)</f>
        <v>#NAME?</v>
      </c>
      <c r="AA67" s="55" t="e">
        <f ca="1">_xll.EQNXTDZ($A$1,$B67,AA$5,$B$1)</f>
        <v>#NAME?</v>
      </c>
      <c r="AB67" s="55" t="e">
        <f ca="1">_xll.EQNXTDZ($A$1,$B67,AB$5,$B$1)</f>
        <v>#NAME?</v>
      </c>
      <c r="AC67" s="55" t="e">
        <f ca="1">_xll.EQNXTDZ($A$1,$B67,AC$5,$B$1)</f>
        <v>#NAME?</v>
      </c>
      <c r="AD67" s="55" t="e">
        <f ca="1">_xll.EQNXTDZ($A$1,$B67,AD$5,$B$1)</f>
        <v>#NAME?</v>
      </c>
      <c r="AE67" s="55" t="e">
        <f ca="1">_xll.EQNXTDZ($A$1,$B67,AE$5,$B$1)</f>
        <v>#NAME?</v>
      </c>
      <c r="AF67" s="55" t="e">
        <f ca="1">_xll.EQNXTDZ($A$1,$B67,AF$5,$B$1)</f>
        <v>#NAME?</v>
      </c>
      <c r="AG67" s="55" t="e">
        <f ca="1">_xll.EQNXTDZ($A$1,$B67,AG$5,$B$1)</f>
        <v>#NAME?</v>
      </c>
      <c r="AH67" s="55" t="e">
        <f ca="1">_xll.EQNXTDZ($A$1,$B67,AH$5,$B$1)</f>
        <v>#NAME?</v>
      </c>
      <c r="AI67" s="55" t="e">
        <f ca="1">_xll.EQNXTDZ($A$1,$B67,AI$5,$B$1)</f>
        <v>#NAME?</v>
      </c>
      <c r="AJ67" s="55" t="e">
        <f ca="1">_xll.EQNXTDZ($A$1,$B67,AJ$5,$B$1)</f>
        <v>#NAME?</v>
      </c>
      <c r="AK67" s="55" t="e">
        <f ca="1">_xll.EQNXTDZ($A$1,$B67,AK$5,$B$1)</f>
        <v>#NAME?</v>
      </c>
      <c r="AL67" s="55" t="e">
        <f ca="1">_xll.EQNXTDZ($A$1,$B67,AL$5,$B$1)</f>
        <v>#NAME?</v>
      </c>
      <c r="AM67" s="55" t="e">
        <f ca="1">_xll.EQNXTDZ($A$1,$B67,AM$5,$B$1)</f>
        <v>#NAME?</v>
      </c>
      <c r="AN67" s="55" t="e">
        <f ca="1">_xll.EQNXTDZ($A$1,$B67,AN$5,$B$1)</f>
        <v>#NAME?</v>
      </c>
      <c r="AO67" s="55" t="e">
        <f ca="1">_xll.EQNXTDZ($A$1,$B67,AO$5,$B$1)</f>
        <v>#NAME?</v>
      </c>
      <c r="AP67" s="55" t="e">
        <f ca="1">_xll.EQNXTDZ($A$1,$B67,AP$5,$B$1)</f>
        <v>#NAME?</v>
      </c>
      <c r="AQ67" s="55" t="e">
        <f ca="1">_xll.EQNXTDZ($A$1,$B67,AQ$5,$B$1)</f>
        <v>#NAME?</v>
      </c>
      <c r="AR67" s="55" t="e">
        <f ca="1">_xll.EQNXTDZ($A$1,$B67,AR$5,$B$1)</f>
        <v>#NAME?</v>
      </c>
      <c r="AS67" s="55" t="e">
        <f ca="1">_xll.EQNXTDZ($A$1,$B67,AS$5,$B$1)</f>
        <v>#NAME?</v>
      </c>
      <c r="AT67" s="55" t="e">
        <f ca="1">_xll.EQNXTDZ($A$1,$B67,AT$5,$B$1)</f>
        <v>#NAME?</v>
      </c>
      <c r="AU67" s="55" t="e">
        <f ca="1">_xll.EQNXTDZ($A$1,$B67,AU$5,$B$1)</f>
        <v>#NAME?</v>
      </c>
      <c r="AV67" s="55" t="e">
        <f ca="1">_xll.EQNXTDZ($A$1,$B67,AV$5,$B$1)</f>
        <v>#NAME?</v>
      </c>
      <c r="AW67" s="55" t="e">
        <f ca="1">_xll.EQNXTDZ($A$1,$B67,AW$5,$B$1)</f>
        <v>#NAME?</v>
      </c>
      <c r="AX67" s="55" t="e">
        <f ca="1">_xll.EQNXTDZ($A$1,$B67,AX$5,$B$1)</f>
        <v>#NAME?</v>
      </c>
      <c r="AY67" s="55" t="e">
        <f ca="1">_xll.EQNXTDZ($A$1,$B67,AY$5,$B$1)</f>
        <v>#NAME?</v>
      </c>
      <c r="AZ67" s="55" t="e">
        <f ca="1">_xll.EQNXTDZ($A$1,$B67,AZ$5,$B$1)</f>
        <v>#NAME?</v>
      </c>
      <c r="BA67" s="55" t="e">
        <f ca="1">_xll.EQNXTDZ($A$1,$B67,BA$5,$B$1)</f>
        <v>#NAME?</v>
      </c>
      <c r="BB67" s="55" t="e">
        <f ca="1">_xll.EQNXTDZ($A$1,$B67,BB$5,$B$1)</f>
        <v>#NAME?</v>
      </c>
      <c r="BC67" s="55" t="e">
        <f ca="1">_xll.EQNXTDZ($A$1,$B67,BC$5,$B$1)</f>
        <v>#NAME?</v>
      </c>
      <c r="BD67" s="55" t="e">
        <f ca="1">_xll.EQNXTDZ($A$1,$B67,BD$5,$B$1)</f>
        <v>#NAME?</v>
      </c>
      <c r="BE67" s="55" t="e">
        <f ca="1">_xll.EQNXTDZ($A$1,$B67,BE$5,$B$1)</f>
        <v>#NAME?</v>
      </c>
      <c r="BF67" s="55" t="e">
        <f ca="1">_xll.EQNXTDZ($A$1,$B67,BF$5,$B$1)</f>
        <v>#NAME?</v>
      </c>
      <c r="BG67" s="55" t="e">
        <f ca="1">_xll.EQNXTDZ($A$1,$B67,BG$5,$B$1)</f>
        <v>#NAME?</v>
      </c>
      <c r="BH67" s="55" t="e">
        <f ca="1">_xll.EQNXTDZ($A$1,$B67,BH$5,$B$1)</f>
        <v>#NAME?</v>
      </c>
      <c r="BI67" s="55" t="e">
        <f ca="1">_xll.EQNXTDZ($A$1,$B67,BI$5,$B$1)</f>
        <v>#NAME?</v>
      </c>
      <c r="BJ67" s="55" t="e">
        <f ca="1">_xll.EQNXTDZ($A$1,$B67,BJ$5,$B$1)</f>
        <v>#NAME?</v>
      </c>
      <c r="BK67" s="55" t="e">
        <f ca="1">_xll.EQNXTDZ($A$1,$B67,BK$5,$B$1)</f>
        <v>#NAME?</v>
      </c>
      <c r="BL67" s="55" t="e">
        <f ca="1">_xll.EQNXTDZ($A$1,$B67,BL$5,$B$1)</f>
        <v>#NAME?</v>
      </c>
      <c r="BM67" s="55" t="e">
        <f ca="1">_xll.EQNXTDZ($A$1,$B67,BM$5,$B$1)</f>
        <v>#NAME?</v>
      </c>
      <c r="BN67" s="55" t="e">
        <f ca="1">_xll.EQNXTDZ($A$1,$B67,BN$5,$B$1)</f>
        <v>#NAME?</v>
      </c>
      <c r="BO67" s="55" t="e">
        <f ca="1">_xll.EQNXTDZ($A$1,$B67,BO$5,$B$1)</f>
        <v>#NAME?</v>
      </c>
      <c r="BP67" s="55" t="e">
        <f ca="1">_xll.EQNXTDZ($A$1,$B67,BP$5,$B$1)</f>
        <v>#NAME?</v>
      </c>
      <c r="BQ67" s="55" t="e">
        <f ca="1">_xll.EQNXTDZ($A$1,$B67,BQ$5,$B$1)</f>
        <v>#NAME?</v>
      </c>
      <c r="BR67" s="55" t="e">
        <f ca="1">_xll.EQNXTDZ($A$1,$B67,BR$5,$B$1)</f>
        <v>#NAME?</v>
      </c>
      <c r="BS67" s="55" t="e">
        <f ca="1">_xll.EQNXTDZ($A$1,$B67,BS$5,$B$1)</f>
        <v>#NAME?</v>
      </c>
      <c r="BT67" s="55" t="e">
        <f ca="1">_xll.EQNXTDZ($A$1,$B67,BT$5,$B$1)</f>
        <v>#NAME?</v>
      </c>
      <c r="BU67" s="55" t="e">
        <f ca="1">_xll.EQNXTDZ($A$1,$B67,BU$5,$B$1)</f>
        <v>#NAME?</v>
      </c>
      <c r="BV67" s="55" t="e">
        <f ca="1">_xll.EQNXTDZ($A$1,$B67,BV$5,$B$1)</f>
        <v>#NAME?</v>
      </c>
    </row>
    <row r="68" spans="1:74" x14ac:dyDescent="0.25">
      <c r="A68" t="s">
        <v>358</v>
      </c>
      <c r="B68" t="s">
        <v>384</v>
      </c>
      <c r="C68" s="55" t="e">
        <f ca="1">_xll.EQNXTDZ($A$1,$B68,C$5,$B$1)</f>
        <v>#NAME?</v>
      </c>
      <c r="D68" s="55" t="e">
        <f ca="1">_xll.EQNXTDZ($A$1,$B68,D$5,$B$1)</f>
        <v>#NAME?</v>
      </c>
      <c r="E68" s="55" t="e">
        <f ca="1">_xll.EQNXTDZ($A$1,$B68,E$5,$B$1)</f>
        <v>#NAME?</v>
      </c>
      <c r="F68" s="55" t="e">
        <f ca="1">_xll.EQNXTDZ($A$1,$B68,F$5,$B$1)</f>
        <v>#NAME?</v>
      </c>
      <c r="G68" s="55" t="e">
        <f ca="1">_xll.EQNXTDZ($A$1,$B68,G$5,$B$1)</f>
        <v>#NAME?</v>
      </c>
      <c r="H68" s="55" t="e">
        <f ca="1">_xll.EQNXTDZ($A$1,$B68,H$5,$B$1)</f>
        <v>#NAME?</v>
      </c>
      <c r="I68" s="55" t="e">
        <f ca="1">_xll.EQNXTDZ($A$1,$B68,I$5,$B$1)</f>
        <v>#NAME?</v>
      </c>
      <c r="J68" s="55" t="e">
        <f ca="1">_xll.EQNXTDZ($A$1,$B68,J$5,$B$1)</f>
        <v>#NAME?</v>
      </c>
      <c r="K68" s="55" t="e">
        <f ca="1">_xll.EQNXTDZ($A$1,$B68,K$5,$B$1)</f>
        <v>#NAME?</v>
      </c>
      <c r="L68" s="55" t="e">
        <f ca="1">_xll.EQNXTDZ($A$1,$B68,L$5,$B$1)</f>
        <v>#NAME?</v>
      </c>
      <c r="M68" s="55" t="e">
        <f ca="1">_xll.EQNXTDZ($A$1,$B68,M$5,$B$1)</f>
        <v>#NAME?</v>
      </c>
      <c r="N68" s="55" t="e">
        <f ca="1">_xll.EQNXTDZ($A$1,$B68,N$5,$B$1)</f>
        <v>#NAME?</v>
      </c>
      <c r="O68" s="55" t="e">
        <f ca="1">_xll.EQNXTDZ($A$1,$B68,O$5,$B$1)</f>
        <v>#NAME?</v>
      </c>
      <c r="P68" s="55" t="e">
        <f ca="1">_xll.EQNXTDZ($A$1,$B68,P$5,$B$1)</f>
        <v>#NAME?</v>
      </c>
      <c r="Q68" s="55" t="e">
        <f ca="1">_xll.EQNXTDZ($A$1,$B68,Q$5,$B$1)</f>
        <v>#NAME?</v>
      </c>
      <c r="R68" s="55" t="e">
        <f ca="1">_xll.EQNXTDZ($A$1,$B68,R$5,$B$1)</f>
        <v>#NAME?</v>
      </c>
      <c r="S68" s="55" t="e">
        <f ca="1">_xll.EQNXTDZ($A$1,$B68,S$5,$B$1)</f>
        <v>#NAME?</v>
      </c>
      <c r="T68" s="55" t="e">
        <f ca="1">_xll.EQNXTDZ($A$1,$B68,T$5,$B$1)</f>
        <v>#NAME?</v>
      </c>
      <c r="U68" s="55" t="e">
        <f ca="1">_xll.EQNXTDZ($A$1,$B68,U$5,$B$1)</f>
        <v>#NAME?</v>
      </c>
      <c r="V68" s="55" t="e">
        <f ca="1">_xll.EQNXTDZ($A$1,$B68,V$5,$B$1)</f>
        <v>#NAME?</v>
      </c>
      <c r="W68" s="55" t="e">
        <f ca="1">_xll.EQNXTDZ($A$1,$B68,W$5,$B$1)</f>
        <v>#NAME?</v>
      </c>
      <c r="X68" s="55" t="e">
        <f ca="1">_xll.EQNXTDZ($A$1,$B68,X$5,$B$1)</f>
        <v>#NAME?</v>
      </c>
      <c r="Y68" s="55" t="e">
        <f ca="1">_xll.EQNXTDZ($A$1,$B68,Y$5,$B$1)</f>
        <v>#NAME?</v>
      </c>
      <c r="Z68" s="55" t="e">
        <f ca="1">_xll.EQNXTDZ($A$1,$B68,Z$5,$B$1)</f>
        <v>#NAME?</v>
      </c>
      <c r="AA68" s="55" t="e">
        <f ca="1">_xll.EQNXTDZ($A$1,$B68,AA$5,$B$1)</f>
        <v>#NAME?</v>
      </c>
      <c r="AB68" s="55" t="e">
        <f ca="1">_xll.EQNXTDZ($A$1,$B68,AB$5,$B$1)</f>
        <v>#NAME?</v>
      </c>
      <c r="AC68" s="55" t="e">
        <f ca="1">_xll.EQNXTDZ($A$1,$B68,AC$5,$B$1)</f>
        <v>#NAME?</v>
      </c>
      <c r="AD68" s="55" t="e">
        <f ca="1">_xll.EQNXTDZ($A$1,$B68,AD$5,$B$1)</f>
        <v>#NAME?</v>
      </c>
      <c r="AE68" s="55" t="e">
        <f ca="1">_xll.EQNXTDZ($A$1,$B68,AE$5,$B$1)</f>
        <v>#NAME?</v>
      </c>
      <c r="AF68" s="55" t="e">
        <f ca="1">_xll.EQNXTDZ($A$1,$B68,AF$5,$B$1)</f>
        <v>#NAME?</v>
      </c>
      <c r="AG68" s="55" t="e">
        <f ca="1">_xll.EQNXTDZ($A$1,$B68,AG$5,$B$1)</f>
        <v>#NAME?</v>
      </c>
      <c r="AH68" s="55" t="e">
        <f ca="1">_xll.EQNXTDZ($A$1,$B68,AH$5,$B$1)</f>
        <v>#NAME?</v>
      </c>
      <c r="AI68" s="55" t="e">
        <f ca="1">_xll.EQNXTDZ($A$1,$B68,AI$5,$B$1)</f>
        <v>#NAME?</v>
      </c>
      <c r="AJ68" s="55" t="e">
        <f ca="1">_xll.EQNXTDZ($A$1,$B68,AJ$5,$B$1)</f>
        <v>#NAME?</v>
      </c>
      <c r="AK68" s="55" t="e">
        <f ca="1">_xll.EQNXTDZ($A$1,$B68,AK$5,$B$1)</f>
        <v>#NAME?</v>
      </c>
      <c r="AL68" s="55" t="e">
        <f ca="1">_xll.EQNXTDZ($A$1,$B68,AL$5,$B$1)</f>
        <v>#NAME?</v>
      </c>
      <c r="AM68" s="55" t="e">
        <f ca="1">_xll.EQNXTDZ($A$1,$B68,AM$5,$B$1)</f>
        <v>#NAME?</v>
      </c>
      <c r="AN68" s="55" t="e">
        <f ca="1">_xll.EQNXTDZ($A$1,$B68,AN$5,$B$1)</f>
        <v>#NAME?</v>
      </c>
      <c r="AO68" s="55" t="e">
        <f ca="1">_xll.EQNXTDZ($A$1,$B68,AO$5,$B$1)</f>
        <v>#NAME?</v>
      </c>
      <c r="AP68" s="55" t="e">
        <f ca="1">_xll.EQNXTDZ($A$1,$B68,AP$5,$B$1)</f>
        <v>#NAME?</v>
      </c>
      <c r="AQ68" s="55" t="e">
        <f ca="1">_xll.EQNXTDZ($A$1,$B68,AQ$5,$B$1)</f>
        <v>#NAME?</v>
      </c>
      <c r="AR68" s="55" t="e">
        <f ca="1">_xll.EQNXTDZ($A$1,$B68,AR$5,$B$1)</f>
        <v>#NAME?</v>
      </c>
      <c r="AS68" s="55" t="e">
        <f ca="1">_xll.EQNXTDZ($A$1,$B68,AS$5,$B$1)</f>
        <v>#NAME?</v>
      </c>
      <c r="AT68" s="55" t="e">
        <f ca="1">_xll.EQNXTDZ($A$1,$B68,AT$5,$B$1)</f>
        <v>#NAME?</v>
      </c>
      <c r="AU68" s="55" t="e">
        <f ca="1">_xll.EQNXTDZ($A$1,$B68,AU$5,$B$1)</f>
        <v>#NAME?</v>
      </c>
      <c r="AV68" s="55" t="e">
        <f ca="1">_xll.EQNXTDZ($A$1,$B68,AV$5,$B$1)</f>
        <v>#NAME?</v>
      </c>
      <c r="AW68" s="55" t="e">
        <f ca="1">_xll.EQNXTDZ($A$1,$B68,AW$5,$B$1)</f>
        <v>#NAME?</v>
      </c>
      <c r="AX68" s="55" t="e">
        <f ca="1">_xll.EQNXTDZ($A$1,$B68,AX$5,$B$1)</f>
        <v>#NAME?</v>
      </c>
      <c r="AY68" s="55" t="e">
        <f ca="1">_xll.EQNXTDZ($A$1,$B68,AY$5,$B$1)</f>
        <v>#NAME?</v>
      </c>
      <c r="AZ68" s="55" t="e">
        <f ca="1">_xll.EQNXTDZ($A$1,$B68,AZ$5,$B$1)</f>
        <v>#NAME?</v>
      </c>
      <c r="BA68" s="55" t="e">
        <f ca="1">_xll.EQNXTDZ($A$1,$B68,BA$5,$B$1)</f>
        <v>#NAME?</v>
      </c>
      <c r="BB68" s="55" t="e">
        <f ca="1">_xll.EQNXTDZ($A$1,$B68,BB$5,$B$1)</f>
        <v>#NAME?</v>
      </c>
      <c r="BC68" s="55" t="e">
        <f ca="1">_xll.EQNXTDZ($A$1,$B68,BC$5,$B$1)</f>
        <v>#NAME?</v>
      </c>
      <c r="BD68" s="55" t="e">
        <f ca="1">_xll.EQNXTDZ($A$1,$B68,BD$5,$B$1)</f>
        <v>#NAME?</v>
      </c>
      <c r="BE68" s="55" t="e">
        <f ca="1">_xll.EQNXTDZ($A$1,$B68,BE$5,$B$1)</f>
        <v>#NAME?</v>
      </c>
      <c r="BF68" s="55" t="e">
        <f ca="1">_xll.EQNXTDZ($A$1,$B68,BF$5,$B$1)</f>
        <v>#NAME?</v>
      </c>
      <c r="BG68" s="55" t="e">
        <f ca="1">_xll.EQNXTDZ($A$1,$B68,BG$5,$B$1)</f>
        <v>#NAME?</v>
      </c>
      <c r="BH68" s="55" t="e">
        <f ca="1">_xll.EQNXTDZ($A$1,$B68,BH$5,$B$1)</f>
        <v>#NAME?</v>
      </c>
      <c r="BI68" s="55" t="e">
        <f ca="1">_xll.EQNXTDZ($A$1,$B68,BI$5,$B$1)</f>
        <v>#NAME?</v>
      </c>
      <c r="BJ68" s="55" t="e">
        <f ca="1">_xll.EQNXTDZ($A$1,$B68,BJ$5,$B$1)</f>
        <v>#NAME?</v>
      </c>
      <c r="BK68" s="55" t="e">
        <f ca="1">_xll.EQNXTDZ($A$1,$B68,BK$5,$B$1)</f>
        <v>#NAME?</v>
      </c>
      <c r="BL68" s="55" t="e">
        <f ca="1">_xll.EQNXTDZ($A$1,$B68,BL$5,$B$1)</f>
        <v>#NAME?</v>
      </c>
      <c r="BM68" s="55" t="e">
        <f ca="1">_xll.EQNXTDZ($A$1,$B68,BM$5,$B$1)</f>
        <v>#NAME?</v>
      </c>
      <c r="BN68" s="55" t="e">
        <f ca="1">_xll.EQNXTDZ($A$1,$B68,BN$5,$B$1)</f>
        <v>#NAME?</v>
      </c>
      <c r="BO68" s="55" t="e">
        <f ca="1">_xll.EQNXTDZ($A$1,$B68,BO$5,$B$1)</f>
        <v>#NAME?</v>
      </c>
      <c r="BP68" s="55" t="e">
        <f ca="1">_xll.EQNXTDZ($A$1,$B68,BP$5,$B$1)</f>
        <v>#NAME?</v>
      </c>
      <c r="BQ68" s="55" t="e">
        <f ca="1">_xll.EQNXTDZ($A$1,$B68,BQ$5,$B$1)</f>
        <v>#NAME?</v>
      </c>
      <c r="BR68" s="55" t="e">
        <f ca="1">_xll.EQNXTDZ($A$1,$B68,BR$5,$B$1)</f>
        <v>#NAME?</v>
      </c>
      <c r="BS68" s="55" t="e">
        <f ca="1">_xll.EQNXTDZ($A$1,$B68,BS$5,$B$1)</f>
        <v>#NAME?</v>
      </c>
      <c r="BT68" s="55" t="e">
        <f ca="1">_xll.EQNXTDZ($A$1,$B68,BT$5,$B$1)</f>
        <v>#NAME?</v>
      </c>
      <c r="BU68" s="55" t="e">
        <f ca="1">_xll.EQNXTDZ($A$1,$B68,BU$5,$B$1)</f>
        <v>#NAME?</v>
      </c>
      <c r="BV68" s="55" t="e">
        <f ca="1">_xll.EQNXTDZ($A$1,$B68,BV$5,$B$1)</f>
        <v>#NAME?</v>
      </c>
    </row>
    <row r="69" spans="1:74" x14ac:dyDescent="0.25">
      <c r="A69" t="s">
        <v>51</v>
      </c>
      <c r="B69" t="s">
        <v>385</v>
      </c>
      <c r="C69" s="55" t="e">
        <f ca="1">_xll.EQNXTDZ($A$1,$B69,C$5,$B$1)</f>
        <v>#NAME?</v>
      </c>
      <c r="D69" s="55" t="e">
        <f ca="1">_xll.EQNXTDZ($A$1,$B69,D$5,$B$1)</f>
        <v>#NAME?</v>
      </c>
      <c r="E69" s="55" t="e">
        <f ca="1">_xll.EQNXTDZ($A$1,$B69,E$5,$B$1)</f>
        <v>#NAME?</v>
      </c>
      <c r="F69" s="55" t="e">
        <f ca="1">_xll.EQNXTDZ($A$1,$B69,F$5,$B$1)</f>
        <v>#NAME?</v>
      </c>
      <c r="G69" s="55" t="e">
        <f ca="1">_xll.EQNXTDZ($A$1,$B69,G$5,$B$1)</f>
        <v>#NAME?</v>
      </c>
      <c r="H69" s="55" t="e">
        <f ca="1">_xll.EQNXTDZ($A$1,$B69,H$5,$B$1)</f>
        <v>#NAME?</v>
      </c>
      <c r="I69" s="55" t="e">
        <f ca="1">_xll.EQNXTDZ($A$1,$B69,I$5,$B$1)</f>
        <v>#NAME?</v>
      </c>
      <c r="J69" s="55" t="e">
        <f ca="1">_xll.EQNXTDZ($A$1,$B69,J$5,$B$1)</f>
        <v>#NAME?</v>
      </c>
      <c r="K69" s="55" t="e">
        <f ca="1">_xll.EQNXTDZ($A$1,$B69,K$5,$B$1)</f>
        <v>#NAME?</v>
      </c>
      <c r="L69" s="55" t="e">
        <f ca="1">_xll.EQNXTDZ($A$1,$B69,L$5,$B$1)</f>
        <v>#NAME?</v>
      </c>
      <c r="M69" s="55" t="e">
        <f ca="1">_xll.EQNXTDZ($A$1,$B69,M$5,$B$1)</f>
        <v>#NAME?</v>
      </c>
      <c r="N69" s="55" t="e">
        <f ca="1">_xll.EQNXTDZ($A$1,$B69,N$5,$B$1)</f>
        <v>#NAME?</v>
      </c>
      <c r="O69" s="55" t="e">
        <f ca="1">_xll.EQNXTDZ($A$1,$B69,O$5,$B$1)</f>
        <v>#NAME?</v>
      </c>
      <c r="P69" s="55" t="e">
        <f ca="1">_xll.EQNXTDZ($A$1,$B69,P$5,$B$1)</f>
        <v>#NAME?</v>
      </c>
      <c r="Q69" s="55" t="e">
        <f ca="1">_xll.EQNXTDZ($A$1,$B69,Q$5,$B$1)</f>
        <v>#NAME?</v>
      </c>
      <c r="R69" s="55" t="e">
        <f ca="1">_xll.EQNXTDZ($A$1,$B69,R$5,$B$1)</f>
        <v>#NAME?</v>
      </c>
      <c r="S69" s="55" t="e">
        <f ca="1">_xll.EQNXTDZ($A$1,$B69,S$5,$B$1)</f>
        <v>#NAME?</v>
      </c>
      <c r="T69" s="55" t="e">
        <f ca="1">_xll.EQNXTDZ($A$1,$B69,T$5,$B$1)</f>
        <v>#NAME?</v>
      </c>
      <c r="U69" s="55" t="e">
        <f ca="1">_xll.EQNXTDZ($A$1,$B69,U$5,$B$1)</f>
        <v>#NAME?</v>
      </c>
      <c r="V69" s="55" t="e">
        <f ca="1">_xll.EQNXTDZ($A$1,$B69,V$5,$B$1)</f>
        <v>#NAME?</v>
      </c>
      <c r="W69" s="55" t="e">
        <f ca="1">_xll.EQNXTDZ($A$1,$B69,W$5,$B$1)</f>
        <v>#NAME?</v>
      </c>
      <c r="X69" s="55" t="e">
        <f ca="1">_xll.EQNXTDZ($A$1,$B69,X$5,$B$1)</f>
        <v>#NAME?</v>
      </c>
      <c r="Y69" s="55" t="e">
        <f ca="1">_xll.EQNXTDZ($A$1,$B69,Y$5,$B$1)</f>
        <v>#NAME?</v>
      </c>
      <c r="Z69" s="55" t="e">
        <f ca="1">_xll.EQNXTDZ($A$1,$B69,Z$5,$B$1)</f>
        <v>#NAME?</v>
      </c>
      <c r="AA69" s="55" t="e">
        <f ca="1">_xll.EQNXTDZ($A$1,$B69,AA$5,$B$1)</f>
        <v>#NAME?</v>
      </c>
      <c r="AB69" s="55" t="e">
        <f ca="1">_xll.EQNXTDZ($A$1,$B69,AB$5,$B$1)</f>
        <v>#NAME?</v>
      </c>
      <c r="AC69" s="55" t="e">
        <f ca="1">_xll.EQNXTDZ($A$1,$B69,AC$5,$B$1)</f>
        <v>#NAME?</v>
      </c>
      <c r="AD69" s="55" t="e">
        <f ca="1">_xll.EQNXTDZ($A$1,$B69,AD$5,$B$1)</f>
        <v>#NAME?</v>
      </c>
      <c r="AE69" s="55" t="e">
        <f ca="1">_xll.EQNXTDZ($A$1,$B69,AE$5,$B$1)</f>
        <v>#NAME?</v>
      </c>
      <c r="AF69" s="55" t="e">
        <f ca="1">_xll.EQNXTDZ($A$1,$B69,AF$5,$B$1)</f>
        <v>#NAME?</v>
      </c>
      <c r="AG69" s="55" t="e">
        <f ca="1">_xll.EQNXTDZ($A$1,$B69,AG$5,$B$1)</f>
        <v>#NAME?</v>
      </c>
      <c r="AH69" s="55" t="e">
        <f ca="1">_xll.EQNXTDZ($A$1,$B69,AH$5,$B$1)</f>
        <v>#NAME?</v>
      </c>
      <c r="AI69" s="55" t="e">
        <f ca="1">_xll.EQNXTDZ($A$1,$B69,AI$5,$B$1)</f>
        <v>#NAME?</v>
      </c>
      <c r="AJ69" s="55" t="e">
        <f ca="1">_xll.EQNXTDZ($A$1,$B69,AJ$5,$B$1)</f>
        <v>#NAME?</v>
      </c>
      <c r="AK69" s="55" t="e">
        <f ca="1">_xll.EQNXTDZ($A$1,$B69,AK$5,$B$1)</f>
        <v>#NAME?</v>
      </c>
      <c r="AL69" s="55" t="e">
        <f ca="1">_xll.EQNXTDZ($A$1,$B69,AL$5,$B$1)</f>
        <v>#NAME?</v>
      </c>
      <c r="AM69" s="55" t="e">
        <f ca="1">_xll.EQNXTDZ($A$1,$B69,AM$5,$B$1)</f>
        <v>#NAME?</v>
      </c>
      <c r="AN69" s="55" t="e">
        <f ca="1">_xll.EQNXTDZ($A$1,$B69,AN$5,$B$1)</f>
        <v>#NAME?</v>
      </c>
      <c r="AO69" s="55" t="e">
        <f ca="1">_xll.EQNXTDZ($A$1,$B69,AO$5,$B$1)</f>
        <v>#NAME?</v>
      </c>
      <c r="AP69" s="55" t="e">
        <f ca="1">_xll.EQNXTDZ($A$1,$B69,AP$5,$B$1)</f>
        <v>#NAME?</v>
      </c>
      <c r="AQ69" s="55" t="e">
        <f ca="1">_xll.EQNXTDZ($A$1,$B69,AQ$5,$B$1)</f>
        <v>#NAME?</v>
      </c>
      <c r="AR69" s="55" t="e">
        <f ca="1">_xll.EQNXTDZ($A$1,$B69,AR$5,$B$1)</f>
        <v>#NAME?</v>
      </c>
      <c r="AS69" s="55" t="e">
        <f ca="1">_xll.EQNXTDZ($A$1,$B69,AS$5,$B$1)</f>
        <v>#NAME?</v>
      </c>
      <c r="AT69" s="55" t="e">
        <f ca="1">_xll.EQNXTDZ($A$1,$B69,AT$5,$B$1)</f>
        <v>#NAME?</v>
      </c>
      <c r="AU69" s="55" t="e">
        <f ca="1">_xll.EQNXTDZ($A$1,$B69,AU$5,$B$1)</f>
        <v>#NAME?</v>
      </c>
      <c r="AV69" s="55" t="e">
        <f ca="1">_xll.EQNXTDZ($A$1,$B69,AV$5,$B$1)</f>
        <v>#NAME?</v>
      </c>
      <c r="AW69" s="55" t="e">
        <f ca="1">_xll.EQNXTDZ($A$1,$B69,AW$5,$B$1)</f>
        <v>#NAME?</v>
      </c>
      <c r="AX69" s="55" t="e">
        <f ca="1">_xll.EQNXTDZ($A$1,$B69,AX$5,$B$1)</f>
        <v>#NAME?</v>
      </c>
      <c r="AY69" s="55" t="e">
        <f ca="1">_xll.EQNXTDZ($A$1,$B69,AY$5,$B$1)</f>
        <v>#NAME?</v>
      </c>
      <c r="AZ69" s="55" t="e">
        <f ca="1">_xll.EQNXTDZ($A$1,$B69,AZ$5,$B$1)</f>
        <v>#NAME?</v>
      </c>
      <c r="BA69" s="55" t="e">
        <f ca="1">_xll.EQNXTDZ($A$1,$B69,BA$5,$B$1)</f>
        <v>#NAME?</v>
      </c>
      <c r="BB69" s="55" t="e">
        <f ca="1">_xll.EQNXTDZ($A$1,$B69,BB$5,$B$1)</f>
        <v>#NAME?</v>
      </c>
      <c r="BC69" s="55" t="e">
        <f ca="1">_xll.EQNXTDZ($A$1,$B69,BC$5,$B$1)</f>
        <v>#NAME?</v>
      </c>
      <c r="BD69" s="55" t="e">
        <f ca="1">_xll.EQNXTDZ($A$1,$B69,BD$5,$B$1)</f>
        <v>#NAME?</v>
      </c>
      <c r="BE69" s="55" t="e">
        <f ca="1">_xll.EQNXTDZ($A$1,$B69,BE$5,$B$1)</f>
        <v>#NAME?</v>
      </c>
      <c r="BF69" s="55" t="e">
        <f ca="1">_xll.EQNXTDZ($A$1,$B69,BF$5,$B$1)</f>
        <v>#NAME?</v>
      </c>
      <c r="BG69" s="55" t="e">
        <f ca="1">_xll.EQNXTDZ($A$1,$B69,BG$5,$B$1)</f>
        <v>#NAME?</v>
      </c>
      <c r="BH69" s="55" t="e">
        <f ca="1">_xll.EQNXTDZ($A$1,$B69,BH$5,$B$1)</f>
        <v>#NAME?</v>
      </c>
      <c r="BI69" s="55" t="e">
        <f ca="1">_xll.EQNXTDZ($A$1,$B69,BI$5,$B$1)</f>
        <v>#NAME?</v>
      </c>
      <c r="BJ69" s="55" t="e">
        <f ca="1">_xll.EQNXTDZ($A$1,$B69,BJ$5,$B$1)</f>
        <v>#NAME?</v>
      </c>
      <c r="BK69" s="55" t="e">
        <f ca="1">_xll.EQNXTDZ($A$1,$B69,BK$5,$B$1)</f>
        <v>#NAME?</v>
      </c>
      <c r="BL69" s="55" t="e">
        <f ca="1">_xll.EQNXTDZ($A$1,$B69,BL$5,$B$1)</f>
        <v>#NAME?</v>
      </c>
      <c r="BM69" s="55" t="e">
        <f ca="1">_xll.EQNXTDZ($A$1,$B69,BM$5,$B$1)</f>
        <v>#NAME?</v>
      </c>
      <c r="BN69" s="55" t="e">
        <f ca="1">_xll.EQNXTDZ($A$1,$B69,BN$5,$B$1)</f>
        <v>#NAME?</v>
      </c>
      <c r="BO69" s="55" t="e">
        <f ca="1">_xll.EQNXTDZ($A$1,$B69,BO$5,$B$1)</f>
        <v>#NAME?</v>
      </c>
      <c r="BP69" s="55" t="e">
        <f ca="1">_xll.EQNXTDZ($A$1,$B69,BP$5,$B$1)</f>
        <v>#NAME?</v>
      </c>
      <c r="BQ69" s="55" t="e">
        <f ca="1">_xll.EQNXTDZ($A$1,$B69,BQ$5,$B$1)</f>
        <v>#NAME?</v>
      </c>
      <c r="BR69" s="55" t="e">
        <f ca="1">_xll.EQNXTDZ($A$1,$B69,BR$5,$B$1)</f>
        <v>#NAME?</v>
      </c>
      <c r="BS69" s="55" t="e">
        <f ca="1">_xll.EQNXTDZ($A$1,$B69,BS$5,$B$1)</f>
        <v>#NAME?</v>
      </c>
      <c r="BT69" s="55" t="e">
        <f ca="1">_xll.EQNXTDZ($A$1,$B69,BT$5,$B$1)</f>
        <v>#NAME?</v>
      </c>
      <c r="BU69" s="55" t="e">
        <f ca="1">_xll.EQNXTDZ($A$1,$B69,BU$5,$B$1)</f>
        <v>#NAME?</v>
      </c>
      <c r="BV69" s="55" t="e">
        <f ca="1">_xll.EQNXTDZ($A$1,$B69,BV$5,$B$1)</f>
        <v>#NAME?</v>
      </c>
    </row>
    <row r="70" spans="1:74" x14ac:dyDescent="0.25">
      <c r="A70" t="s">
        <v>52</v>
      </c>
      <c r="B70" t="s">
        <v>386</v>
      </c>
      <c r="C70" s="55" t="e">
        <f ca="1">_xll.EQNXTDZ($A$1,$B70,C$5,$B$1)</f>
        <v>#NAME?</v>
      </c>
      <c r="D70" s="55" t="e">
        <f ca="1">_xll.EQNXTDZ($A$1,$B70,D$5,$B$1)</f>
        <v>#NAME?</v>
      </c>
      <c r="E70" s="55" t="e">
        <f ca="1">_xll.EQNXTDZ($A$1,$B70,E$5,$B$1)</f>
        <v>#NAME?</v>
      </c>
      <c r="F70" s="55" t="e">
        <f ca="1">_xll.EQNXTDZ($A$1,$B70,F$5,$B$1)</f>
        <v>#NAME?</v>
      </c>
      <c r="G70" s="55" t="e">
        <f ca="1">_xll.EQNXTDZ($A$1,$B70,G$5,$B$1)</f>
        <v>#NAME?</v>
      </c>
      <c r="H70" s="55" t="e">
        <f ca="1">_xll.EQNXTDZ($A$1,$B70,H$5,$B$1)</f>
        <v>#NAME?</v>
      </c>
      <c r="I70" s="55" t="e">
        <f ca="1">_xll.EQNXTDZ($A$1,$B70,I$5,$B$1)</f>
        <v>#NAME?</v>
      </c>
      <c r="J70" s="55" t="e">
        <f ca="1">_xll.EQNXTDZ($A$1,$B70,J$5,$B$1)</f>
        <v>#NAME?</v>
      </c>
      <c r="K70" s="55" t="e">
        <f ca="1">_xll.EQNXTDZ($A$1,$B70,K$5,$B$1)</f>
        <v>#NAME?</v>
      </c>
      <c r="L70" s="55" t="e">
        <f ca="1">_xll.EQNXTDZ($A$1,$B70,L$5,$B$1)</f>
        <v>#NAME?</v>
      </c>
      <c r="M70" s="55" t="e">
        <f ca="1">_xll.EQNXTDZ($A$1,$B70,M$5,$B$1)</f>
        <v>#NAME?</v>
      </c>
      <c r="N70" s="55" t="e">
        <f ca="1">_xll.EQNXTDZ($A$1,$B70,N$5,$B$1)</f>
        <v>#NAME?</v>
      </c>
      <c r="O70" s="55" t="e">
        <f ca="1">_xll.EQNXTDZ($A$1,$B70,O$5,$B$1)</f>
        <v>#NAME?</v>
      </c>
      <c r="P70" s="55" t="e">
        <f ca="1">_xll.EQNXTDZ($A$1,$B70,P$5,$B$1)</f>
        <v>#NAME?</v>
      </c>
      <c r="Q70" s="55" t="e">
        <f ca="1">_xll.EQNXTDZ($A$1,$B70,Q$5,$B$1)</f>
        <v>#NAME?</v>
      </c>
      <c r="R70" s="55" t="e">
        <f ca="1">_xll.EQNXTDZ($A$1,$B70,R$5,$B$1)</f>
        <v>#NAME?</v>
      </c>
      <c r="S70" s="55" t="e">
        <f ca="1">_xll.EQNXTDZ($A$1,$B70,S$5,$B$1)</f>
        <v>#NAME?</v>
      </c>
      <c r="T70" s="55" t="e">
        <f ca="1">_xll.EQNXTDZ($A$1,$B70,T$5,$B$1)</f>
        <v>#NAME?</v>
      </c>
      <c r="U70" s="55" t="e">
        <f ca="1">_xll.EQNXTDZ($A$1,$B70,U$5,$B$1)</f>
        <v>#NAME?</v>
      </c>
      <c r="V70" s="55" t="e">
        <f ca="1">_xll.EQNXTDZ($A$1,$B70,V$5,$B$1)</f>
        <v>#NAME?</v>
      </c>
      <c r="W70" s="55" t="e">
        <f ca="1">_xll.EQNXTDZ($A$1,$B70,W$5,$B$1)</f>
        <v>#NAME?</v>
      </c>
      <c r="X70" s="55" t="e">
        <f ca="1">_xll.EQNXTDZ($A$1,$B70,X$5,$B$1)</f>
        <v>#NAME?</v>
      </c>
      <c r="Y70" s="55" t="e">
        <f ca="1">_xll.EQNXTDZ($A$1,$B70,Y$5,$B$1)</f>
        <v>#NAME?</v>
      </c>
      <c r="Z70" s="55" t="e">
        <f ca="1">_xll.EQNXTDZ($A$1,$B70,Z$5,$B$1)</f>
        <v>#NAME?</v>
      </c>
      <c r="AA70" s="55" t="e">
        <f ca="1">_xll.EQNXTDZ($A$1,$B70,AA$5,$B$1)</f>
        <v>#NAME?</v>
      </c>
      <c r="AB70" s="55" t="e">
        <f ca="1">_xll.EQNXTDZ($A$1,$B70,AB$5,$B$1)</f>
        <v>#NAME?</v>
      </c>
      <c r="AC70" s="55" t="e">
        <f ca="1">_xll.EQNXTDZ($A$1,$B70,AC$5,$B$1)</f>
        <v>#NAME?</v>
      </c>
      <c r="AD70" s="55" t="e">
        <f ca="1">_xll.EQNXTDZ($A$1,$B70,AD$5,$B$1)</f>
        <v>#NAME?</v>
      </c>
      <c r="AE70" s="55" t="e">
        <f ca="1">_xll.EQNXTDZ($A$1,$B70,AE$5,$B$1)</f>
        <v>#NAME?</v>
      </c>
      <c r="AF70" s="55" t="e">
        <f ca="1">_xll.EQNXTDZ($A$1,$B70,AF$5,$B$1)</f>
        <v>#NAME?</v>
      </c>
      <c r="AG70" s="55" t="e">
        <f ca="1">_xll.EQNXTDZ($A$1,$B70,AG$5,$B$1)</f>
        <v>#NAME?</v>
      </c>
      <c r="AH70" s="55" t="e">
        <f ca="1">_xll.EQNXTDZ($A$1,$B70,AH$5,$B$1)</f>
        <v>#NAME?</v>
      </c>
      <c r="AI70" s="55" t="e">
        <f ca="1">_xll.EQNXTDZ($A$1,$B70,AI$5,$B$1)</f>
        <v>#NAME?</v>
      </c>
      <c r="AJ70" s="55" t="e">
        <f ca="1">_xll.EQNXTDZ($A$1,$B70,AJ$5,$B$1)</f>
        <v>#NAME?</v>
      </c>
      <c r="AK70" s="55" t="e">
        <f ca="1">_xll.EQNXTDZ($A$1,$B70,AK$5,$B$1)</f>
        <v>#NAME?</v>
      </c>
      <c r="AL70" s="55" t="e">
        <f ca="1">_xll.EQNXTDZ($A$1,$B70,AL$5,$B$1)</f>
        <v>#NAME?</v>
      </c>
      <c r="AM70" s="55" t="e">
        <f ca="1">_xll.EQNXTDZ($A$1,$B70,AM$5,$B$1)</f>
        <v>#NAME?</v>
      </c>
      <c r="AN70" s="55" t="e">
        <f ca="1">_xll.EQNXTDZ($A$1,$B70,AN$5,$B$1)</f>
        <v>#NAME?</v>
      </c>
      <c r="AO70" s="55" t="e">
        <f ca="1">_xll.EQNXTDZ($A$1,$B70,AO$5,$B$1)</f>
        <v>#NAME?</v>
      </c>
      <c r="AP70" s="55" t="e">
        <f ca="1">_xll.EQNXTDZ($A$1,$B70,AP$5,$B$1)</f>
        <v>#NAME?</v>
      </c>
      <c r="AQ70" s="55" t="e">
        <f ca="1">_xll.EQNXTDZ($A$1,$B70,AQ$5,$B$1)</f>
        <v>#NAME?</v>
      </c>
      <c r="AR70" s="55" t="e">
        <f ca="1">_xll.EQNXTDZ($A$1,$B70,AR$5,$B$1)</f>
        <v>#NAME?</v>
      </c>
      <c r="AS70" s="55" t="e">
        <f ca="1">_xll.EQNXTDZ($A$1,$B70,AS$5,$B$1)</f>
        <v>#NAME?</v>
      </c>
      <c r="AT70" s="55" t="e">
        <f ca="1">_xll.EQNXTDZ($A$1,$B70,AT$5,$B$1)</f>
        <v>#NAME?</v>
      </c>
      <c r="AU70" s="55" t="e">
        <f ca="1">_xll.EQNXTDZ($A$1,$B70,AU$5,$B$1)</f>
        <v>#NAME?</v>
      </c>
      <c r="AV70" s="55" t="e">
        <f ca="1">_xll.EQNXTDZ($A$1,$B70,AV$5,$B$1)</f>
        <v>#NAME?</v>
      </c>
      <c r="AW70" s="55" t="e">
        <f ca="1">_xll.EQNXTDZ($A$1,$B70,AW$5,$B$1)</f>
        <v>#NAME?</v>
      </c>
      <c r="AX70" s="55" t="e">
        <f ca="1">_xll.EQNXTDZ($A$1,$B70,AX$5,$B$1)</f>
        <v>#NAME?</v>
      </c>
      <c r="AY70" s="55" t="e">
        <f ca="1">_xll.EQNXTDZ($A$1,$B70,AY$5,$B$1)</f>
        <v>#NAME?</v>
      </c>
      <c r="AZ70" s="55" t="e">
        <f ca="1">_xll.EQNXTDZ($A$1,$B70,AZ$5,$B$1)</f>
        <v>#NAME?</v>
      </c>
      <c r="BA70" s="55" t="e">
        <f ca="1">_xll.EQNXTDZ($A$1,$B70,BA$5,$B$1)</f>
        <v>#NAME?</v>
      </c>
      <c r="BB70" s="55" t="e">
        <f ca="1">_xll.EQNXTDZ($A$1,$B70,BB$5,$B$1)</f>
        <v>#NAME?</v>
      </c>
      <c r="BC70" s="55" t="e">
        <f ca="1">_xll.EQNXTDZ($A$1,$B70,BC$5,$B$1)</f>
        <v>#NAME?</v>
      </c>
      <c r="BD70" s="55" t="e">
        <f ca="1">_xll.EQNXTDZ($A$1,$B70,BD$5,$B$1)</f>
        <v>#NAME?</v>
      </c>
      <c r="BE70" s="55" t="e">
        <f ca="1">_xll.EQNXTDZ($A$1,$B70,BE$5,$B$1)</f>
        <v>#NAME?</v>
      </c>
      <c r="BF70" s="55" t="e">
        <f ca="1">_xll.EQNXTDZ($A$1,$B70,BF$5,$B$1)</f>
        <v>#NAME?</v>
      </c>
      <c r="BG70" s="55" t="e">
        <f ca="1">_xll.EQNXTDZ($A$1,$B70,BG$5,$B$1)</f>
        <v>#NAME?</v>
      </c>
      <c r="BH70" s="55" t="e">
        <f ca="1">_xll.EQNXTDZ($A$1,$B70,BH$5,$B$1)</f>
        <v>#NAME?</v>
      </c>
      <c r="BI70" s="55" t="e">
        <f ca="1">_xll.EQNXTDZ($A$1,$B70,BI$5,$B$1)</f>
        <v>#NAME?</v>
      </c>
      <c r="BJ70" s="55" t="e">
        <f ca="1">_xll.EQNXTDZ($A$1,$B70,BJ$5,$B$1)</f>
        <v>#NAME?</v>
      </c>
      <c r="BK70" s="55" t="e">
        <f ca="1">_xll.EQNXTDZ($A$1,$B70,BK$5,$B$1)</f>
        <v>#NAME?</v>
      </c>
      <c r="BL70" s="55" t="e">
        <f ca="1">_xll.EQNXTDZ($A$1,$B70,BL$5,$B$1)</f>
        <v>#NAME?</v>
      </c>
      <c r="BM70" s="55" t="e">
        <f ca="1">_xll.EQNXTDZ($A$1,$B70,BM$5,$B$1)</f>
        <v>#NAME?</v>
      </c>
      <c r="BN70" s="55" t="e">
        <f ca="1">_xll.EQNXTDZ($A$1,$B70,BN$5,$B$1)</f>
        <v>#NAME?</v>
      </c>
      <c r="BO70" s="55" t="e">
        <f ca="1">_xll.EQNXTDZ($A$1,$B70,BO$5,$B$1)</f>
        <v>#NAME?</v>
      </c>
      <c r="BP70" s="55" t="e">
        <f ca="1">_xll.EQNXTDZ($A$1,$B70,BP$5,$B$1)</f>
        <v>#NAME?</v>
      </c>
      <c r="BQ70" s="55" t="e">
        <f ca="1">_xll.EQNXTDZ($A$1,$B70,BQ$5,$B$1)</f>
        <v>#NAME?</v>
      </c>
      <c r="BR70" s="55" t="e">
        <f ca="1">_xll.EQNXTDZ($A$1,$B70,BR$5,$B$1)</f>
        <v>#NAME?</v>
      </c>
      <c r="BS70" s="55" t="e">
        <f ca="1">_xll.EQNXTDZ($A$1,$B70,BS$5,$B$1)</f>
        <v>#NAME?</v>
      </c>
      <c r="BT70" s="55" t="e">
        <f ca="1">_xll.EQNXTDZ($A$1,$B70,BT$5,$B$1)</f>
        <v>#NAME?</v>
      </c>
      <c r="BU70" s="55" t="e">
        <f ca="1">_xll.EQNXTDZ($A$1,$B70,BU$5,$B$1)</f>
        <v>#NAME?</v>
      </c>
      <c r="BV70" s="55" t="e">
        <f ca="1">_xll.EQNXTDZ($A$1,$B70,BV$5,$B$1)</f>
        <v>#NAME?</v>
      </c>
    </row>
    <row r="71" spans="1:74" x14ac:dyDescent="0.25">
      <c r="A71" t="s">
        <v>359</v>
      </c>
      <c r="B71" t="s">
        <v>387</v>
      </c>
      <c r="C71" s="55" t="e">
        <f ca="1">_xll.EQNXTDZ($A$1,$B71,C$5,$B$1)</f>
        <v>#NAME?</v>
      </c>
      <c r="D71" s="55" t="e">
        <f ca="1">_xll.EQNXTDZ($A$1,$B71,D$5,$B$1)</f>
        <v>#NAME?</v>
      </c>
      <c r="E71" s="55" t="e">
        <f ca="1">_xll.EQNXTDZ($A$1,$B71,E$5,$B$1)</f>
        <v>#NAME?</v>
      </c>
      <c r="F71" s="55" t="e">
        <f ca="1">_xll.EQNXTDZ($A$1,$B71,F$5,$B$1)</f>
        <v>#NAME?</v>
      </c>
      <c r="G71" s="55" t="e">
        <f ca="1">_xll.EQNXTDZ($A$1,$B71,G$5,$B$1)</f>
        <v>#NAME?</v>
      </c>
      <c r="H71" s="55" t="e">
        <f ca="1">_xll.EQNXTDZ($A$1,$B71,H$5,$B$1)</f>
        <v>#NAME?</v>
      </c>
      <c r="I71" s="55" t="e">
        <f ca="1">_xll.EQNXTDZ($A$1,$B71,I$5,$B$1)</f>
        <v>#NAME?</v>
      </c>
      <c r="J71" s="55" t="e">
        <f ca="1">_xll.EQNXTDZ($A$1,$B71,J$5,$B$1)</f>
        <v>#NAME?</v>
      </c>
      <c r="K71" s="55" t="e">
        <f ca="1">_xll.EQNXTDZ($A$1,$B71,K$5,$B$1)</f>
        <v>#NAME?</v>
      </c>
      <c r="L71" s="55" t="e">
        <f ca="1">_xll.EQNXTDZ($A$1,$B71,L$5,$B$1)</f>
        <v>#NAME?</v>
      </c>
      <c r="M71" s="55" t="e">
        <f ca="1">_xll.EQNXTDZ($A$1,$B71,M$5,$B$1)</f>
        <v>#NAME?</v>
      </c>
      <c r="N71" s="55" t="e">
        <f ca="1">_xll.EQNXTDZ($A$1,$B71,N$5,$B$1)</f>
        <v>#NAME?</v>
      </c>
      <c r="O71" s="55" t="e">
        <f ca="1">_xll.EQNXTDZ($A$1,$B71,O$5,$B$1)</f>
        <v>#NAME?</v>
      </c>
      <c r="P71" s="55" t="e">
        <f ca="1">_xll.EQNXTDZ($A$1,$B71,P$5,$B$1)</f>
        <v>#NAME?</v>
      </c>
      <c r="Q71" s="55" t="e">
        <f ca="1">_xll.EQNXTDZ($A$1,$B71,Q$5,$B$1)</f>
        <v>#NAME?</v>
      </c>
      <c r="R71" s="55" t="e">
        <f ca="1">_xll.EQNXTDZ($A$1,$B71,R$5,$B$1)</f>
        <v>#NAME?</v>
      </c>
      <c r="S71" s="55" t="e">
        <f ca="1">_xll.EQNXTDZ($A$1,$B71,S$5,$B$1)</f>
        <v>#NAME?</v>
      </c>
      <c r="T71" s="55" t="e">
        <f ca="1">_xll.EQNXTDZ($A$1,$B71,T$5,$B$1)</f>
        <v>#NAME?</v>
      </c>
      <c r="U71" s="55" t="e">
        <f ca="1">_xll.EQNXTDZ($A$1,$B71,U$5,$B$1)</f>
        <v>#NAME?</v>
      </c>
      <c r="V71" s="55" t="e">
        <f ca="1">_xll.EQNXTDZ($A$1,$B71,V$5,$B$1)</f>
        <v>#NAME?</v>
      </c>
      <c r="W71" s="55" t="e">
        <f ca="1">_xll.EQNXTDZ($A$1,$B71,W$5,$B$1)</f>
        <v>#NAME?</v>
      </c>
      <c r="X71" s="55" t="e">
        <f ca="1">_xll.EQNXTDZ($A$1,$B71,X$5,$B$1)</f>
        <v>#NAME?</v>
      </c>
      <c r="Y71" s="55" t="e">
        <f ca="1">_xll.EQNXTDZ($A$1,$B71,Y$5,$B$1)</f>
        <v>#NAME?</v>
      </c>
      <c r="Z71" s="55" t="e">
        <f ca="1">_xll.EQNXTDZ($A$1,$B71,Z$5,$B$1)</f>
        <v>#NAME?</v>
      </c>
      <c r="AA71" s="55" t="e">
        <f ca="1">_xll.EQNXTDZ($A$1,$B71,AA$5,$B$1)</f>
        <v>#NAME?</v>
      </c>
      <c r="AB71" s="55" t="e">
        <f ca="1">_xll.EQNXTDZ($A$1,$B71,AB$5,$B$1)</f>
        <v>#NAME?</v>
      </c>
      <c r="AC71" s="55" t="e">
        <f ca="1">_xll.EQNXTDZ($A$1,$B71,AC$5,$B$1)</f>
        <v>#NAME?</v>
      </c>
      <c r="AD71" s="55" t="e">
        <f ca="1">_xll.EQNXTDZ($A$1,$B71,AD$5,$B$1)</f>
        <v>#NAME?</v>
      </c>
      <c r="AE71" s="55" t="e">
        <f ca="1">_xll.EQNXTDZ($A$1,$B71,AE$5,$B$1)</f>
        <v>#NAME?</v>
      </c>
      <c r="AF71" s="55" t="e">
        <f ca="1">_xll.EQNXTDZ($A$1,$B71,AF$5,$B$1)</f>
        <v>#NAME?</v>
      </c>
      <c r="AG71" s="55" t="e">
        <f ca="1">_xll.EQNXTDZ($A$1,$B71,AG$5,$B$1)</f>
        <v>#NAME?</v>
      </c>
      <c r="AH71" s="55" t="e">
        <f ca="1">_xll.EQNXTDZ($A$1,$B71,AH$5,$B$1)</f>
        <v>#NAME?</v>
      </c>
      <c r="AI71" s="55" t="e">
        <f ca="1">_xll.EQNXTDZ($A$1,$B71,AI$5,$B$1)</f>
        <v>#NAME?</v>
      </c>
      <c r="AJ71" s="55" t="e">
        <f ca="1">_xll.EQNXTDZ($A$1,$B71,AJ$5,$B$1)</f>
        <v>#NAME?</v>
      </c>
      <c r="AK71" s="55" t="e">
        <f ca="1">_xll.EQNXTDZ($A$1,$B71,AK$5,$B$1)</f>
        <v>#NAME?</v>
      </c>
      <c r="AL71" s="55" t="e">
        <f ca="1">_xll.EQNXTDZ($A$1,$B71,AL$5,$B$1)</f>
        <v>#NAME?</v>
      </c>
      <c r="AM71" s="55" t="e">
        <f ca="1">_xll.EQNXTDZ($A$1,$B71,AM$5,$B$1)</f>
        <v>#NAME?</v>
      </c>
      <c r="AN71" s="55" t="e">
        <f ca="1">_xll.EQNXTDZ($A$1,$B71,AN$5,$B$1)</f>
        <v>#NAME?</v>
      </c>
      <c r="AO71" s="55" t="e">
        <f ca="1">_xll.EQNXTDZ($A$1,$B71,AO$5,$B$1)</f>
        <v>#NAME?</v>
      </c>
      <c r="AP71" s="55" t="e">
        <f ca="1">_xll.EQNXTDZ($A$1,$B71,AP$5,$B$1)</f>
        <v>#NAME?</v>
      </c>
      <c r="AQ71" s="55" t="e">
        <f ca="1">_xll.EQNXTDZ($A$1,$B71,AQ$5,$B$1)</f>
        <v>#NAME?</v>
      </c>
      <c r="AR71" s="55" t="e">
        <f ca="1">_xll.EQNXTDZ($A$1,$B71,AR$5,$B$1)</f>
        <v>#NAME?</v>
      </c>
      <c r="AS71" s="55" t="e">
        <f ca="1">_xll.EQNXTDZ($A$1,$B71,AS$5,$B$1)</f>
        <v>#NAME?</v>
      </c>
      <c r="AT71" s="55" t="e">
        <f ca="1">_xll.EQNXTDZ($A$1,$B71,AT$5,$B$1)</f>
        <v>#NAME?</v>
      </c>
      <c r="AU71" s="55" t="e">
        <f ca="1">_xll.EQNXTDZ($A$1,$B71,AU$5,$B$1)</f>
        <v>#NAME?</v>
      </c>
      <c r="AV71" s="55" t="e">
        <f ca="1">_xll.EQNXTDZ($A$1,$B71,AV$5,$B$1)</f>
        <v>#NAME?</v>
      </c>
      <c r="AW71" s="55" t="e">
        <f ca="1">_xll.EQNXTDZ($A$1,$B71,AW$5,$B$1)</f>
        <v>#NAME?</v>
      </c>
      <c r="AX71" s="55" t="e">
        <f ca="1">_xll.EQNXTDZ($A$1,$B71,AX$5,$B$1)</f>
        <v>#NAME?</v>
      </c>
      <c r="AY71" s="55" t="e">
        <f ca="1">_xll.EQNXTDZ($A$1,$B71,AY$5,$B$1)</f>
        <v>#NAME?</v>
      </c>
      <c r="AZ71" s="55" t="e">
        <f ca="1">_xll.EQNXTDZ($A$1,$B71,AZ$5,$B$1)</f>
        <v>#NAME?</v>
      </c>
      <c r="BA71" s="55" t="e">
        <f ca="1">_xll.EQNXTDZ($A$1,$B71,BA$5,$B$1)</f>
        <v>#NAME?</v>
      </c>
      <c r="BB71" s="55" t="e">
        <f ca="1">_xll.EQNXTDZ($A$1,$B71,BB$5,$B$1)</f>
        <v>#NAME?</v>
      </c>
      <c r="BC71" s="55" t="e">
        <f ca="1">_xll.EQNXTDZ($A$1,$B71,BC$5,$B$1)</f>
        <v>#NAME?</v>
      </c>
      <c r="BD71" s="55" t="e">
        <f ca="1">_xll.EQNXTDZ($A$1,$B71,BD$5,$B$1)</f>
        <v>#NAME?</v>
      </c>
      <c r="BE71" s="55" t="e">
        <f ca="1">_xll.EQNXTDZ($A$1,$B71,BE$5,$B$1)</f>
        <v>#NAME?</v>
      </c>
      <c r="BF71" s="55" t="e">
        <f ca="1">_xll.EQNXTDZ($A$1,$B71,BF$5,$B$1)</f>
        <v>#NAME?</v>
      </c>
      <c r="BG71" s="55" t="e">
        <f ca="1">_xll.EQNXTDZ($A$1,$B71,BG$5,$B$1)</f>
        <v>#NAME?</v>
      </c>
      <c r="BH71" s="55" t="e">
        <f ca="1">_xll.EQNXTDZ($A$1,$B71,BH$5,$B$1)</f>
        <v>#NAME?</v>
      </c>
      <c r="BI71" s="55" t="e">
        <f ca="1">_xll.EQNXTDZ($A$1,$B71,BI$5,$B$1)</f>
        <v>#NAME?</v>
      </c>
      <c r="BJ71" s="55" t="e">
        <f ca="1">_xll.EQNXTDZ($A$1,$B71,BJ$5,$B$1)</f>
        <v>#NAME?</v>
      </c>
      <c r="BK71" s="55" t="e">
        <f ca="1">_xll.EQNXTDZ($A$1,$B71,BK$5,$B$1)</f>
        <v>#NAME?</v>
      </c>
      <c r="BL71" s="55" t="e">
        <f ca="1">_xll.EQNXTDZ($A$1,$B71,BL$5,$B$1)</f>
        <v>#NAME?</v>
      </c>
      <c r="BM71" s="55" t="e">
        <f ca="1">_xll.EQNXTDZ($A$1,$B71,BM$5,$B$1)</f>
        <v>#NAME?</v>
      </c>
      <c r="BN71" s="55" t="e">
        <f ca="1">_xll.EQNXTDZ($A$1,$B71,BN$5,$B$1)</f>
        <v>#NAME?</v>
      </c>
      <c r="BO71" s="55" t="e">
        <f ca="1">_xll.EQNXTDZ($A$1,$B71,BO$5,$B$1)</f>
        <v>#NAME?</v>
      </c>
      <c r="BP71" s="55" t="e">
        <f ca="1">_xll.EQNXTDZ($A$1,$B71,BP$5,$B$1)</f>
        <v>#NAME?</v>
      </c>
      <c r="BQ71" s="55" t="e">
        <f ca="1">_xll.EQNXTDZ($A$1,$B71,BQ$5,$B$1)</f>
        <v>#NAME?</v>
      </c>
      <c r="BR71" s="55" t="e">
        <f ca="1">_xll.EQNXTDZ($A$1,$B71,BR$5,$B$1)</f>
        <v>#NAME?</v>
      </c>
      <c r="BS71" s="55" t="e">
        <f ca="1">_xll.EQNXTDZ($A$1,$B71,BS$5,$B$1)</f>
        <v>#NAME?</v>
      </c>
      <c r="BT71" s="55" t="e">
        <f ca="1">_xll.EQNXTDZ($A$1,$B71,BT$5,$B$1)</f>
        <v>#NAME?</v>
      </c>
      <c r="BU71" s="55" t="e">
        <f ca="1">_xll.EQNXTDZ($A$1,$B71,BU$5,$B$1)</f>
        <v>#NAME?</v>
      </c>
      <c r="BV71" s="55" t="e">
        <f ca="1">_xll.EQNXTDZ($A$1,$B71,BV$5,$B$1)</f>
        <v>#NAME?</v>
      </c>
    </row>
    <row r="72" spans="1:74" x14ac:dyDescent="0.25">
      <c r="A72" t="s">
        <v>360</v>
      </c>
      <c r="B72" t="s">
        <v>388</v>
      </c>
      <c r="C72" s="55" t="e">
        <f ca="1">_xll.EQNXTDZ($A$1,$B72,C$5,$B$1)</f>
        <v>#NAME?</v>
      </c>
      <c r="D72" s="55" t="e">
        <f ca="1">_xll.EQNXTDZ($A$1,$B72,D$5,$B$1)</f>
        <v>#NAME?</v>
      </c>
      <c r="E72" s="55" t="e">
        <f ca="1">_xll.EQNXTDZ($A$1,$B72,E$5,$B$1)</f>
        <v>#NAME?</v>
      </c>
      <c r="F72" s="55" t="e">
        <f ca="1">_xll.EQNXTDZ($A$1,$B72,F$5,$B$1)</f>
        <v>#NAME?</v>
      </c>
      <c r="G72" s="55" t="e">
        <f ca="1">_xll.EQNXTDZ($A$1,$B72,G$5,$B$1)</f>
        <v>#NAME?</v>
      </c>
      <c r="H72" s="55" t="e">
        <f ca="1">_xll.EQNXTDZ($A$1,$B72,H$5,$B$1)</f>
        <v>#NAME?</v>
      </c>
      <c r="I72" s="55" t="e">
        <f ca="1">_xll.EQNXTDZ($A$1,$B72,I$5,$B$1)</f>
        <v>#NAME?</v>
      </c>
      <c r="J72" s="55" t="e">
        <f ca="1">_xll.EQNXTDZ($A$1,$B72,J$5,$B$1)</f>
        <v>#NAME?</v>
      </c>
      <c r="K72" s="55" t="e">
        <f ca="1">_xll.EQNXTDZ($A$1,$B72,K$5,$B$1)</f>
        <v>#NAME?</v>
      </c>
      <c r="L72" s="55" t="e">
        <f ca="1">_xll.EQNXTDZ($A$1,$B72,L$5,$B$1)</f>
        <v>#NAME?</v>
      </c>
      <c r="M72" s="55" t="e">
        <f ca="1">_xll.EQNXTDZ($A$1,$B72,M$5,$B$1)</f>
        <v>#NAME?</v>
      </c>
      <c r="N72" s="55" t="e">
        <f ca="1">_xll.EQNXTDZ($A$1,$B72,N$5,$B$1)</f>
        <v>#NAME?</v>
      </c>
      <c r="O72" s="55" t="e">
        <f ca="1">_xll.EQNXTDZ($A$1,$B72,O$5,$B$1)</f>
        <v>#NAME?</v>
      </c>
      <c r="P72" s="55" t="e">
        <f ca="1">_xll.EQNXTDZ($A$1,$B72,P$5,$B$1)</f>
        <v>#NAME?</v>
      </c>
      <c r="Q72" s="55" t="e">
        <f ca="1">_xll.EQNXTDZ($A$1,$B72,Q$5,$B$1)</f>
        <v>#NAME?</v>
      </c>
      <c r="R72" s="55" t="e">
        <f ca="1">_xll.EQNXTDZ($A$1,$B72,R$5,$B$1)</f>
        <v>#NAME?</v>
      </c>
      <c r="S72" s="55" t="e">
        <f ca="1">_xll.EQNXTDZ($A$1,$B72,S$5,$B$1)</f>
        <v>#NAME?</v>
      </c>
      <c r="T72" s="55" t="e">
        <f ca="1">_xll.EQNXTDZ($A$1,$B72,T$5,$B$1)</f>
        <v>#NAME?</v>
      </c>
      <c r="U72" s="55" t="e">
        <f ca="1">_xll.EQNXTDZ($A$1,$B72,U$5,$B$1)</f>
        <v>#NAME?</v>
      </c>
      <c r="V72" s="55" t="e">
        <f ca="1">_xll.EQNXTDZ($A$1,$B72,V$5,$B$1)</f>
        <v>#NAME?</v>
      </c>
      <c r="W72" s="55" t="e">
        <f ca="1">_xll.EQNXTDZ($A$1,$B72,W$5,$B$1)</f>
        <v>#NAME?</v>
      </c>
      <c r="X72" s="55" t="e">
        <f ca="1">_xll.EQNXTDZ($A$1,$B72,X$5,$B$1)</f>
        <v>#NAME?</v>
      </c>
      <c r="Y72" s="55" t="e">
        <f ca="1">_xll.EQNXTDZ($A$1,$B72,Y$5,$B$1)</f>
        <v>#NAME?</v>
      </c>
      <c r="Z72" s="55" t="e">
        <f ca="1">_xll.EQNXTDZ($A$1,$B72,Z$5,$B$1)</f>
        <v>#NAME?</v>
      </c>
      <c r="AA72" s="55" t="e">
        <f ca="1">_xll.EQNXTDZ($A$1,$B72,AA$5,$B$1)</f>
        <v>#NAME?</v>
      </c>
      <c r="AB72" s="55" t="e">
        <f ca="1">_xll.EQNXTDZ($A$1,$B72,AB$5,$B$1)</f>
        <v>#NAME?</v>
      </c>
      <c r="AC72" s="55" t="e">
        <f ca="1">_xll.EQNXTDZ($A$1,$B72,AC$5,$B$1)</f>
        <v>#NAME?</v>
      </c>
      <c r="AD72" s="55" t="e">
        <f ca="1">_xll.EQNXTDZ($A$1,$B72,AD$5,$B$1)</f>
        <v>#NAME?</v>
      </c>
      <c r="AE72" s="55" t="e">
        <f ca="1">_xll.EQNXTDZ($A$1,$B72,AE$5,$B$1)</f>
        <v>#NAME?</v>
      </c>
      <c r="AF72" s="55" t="e">
        <f ca="1">_xll.EQNXTDZ($A$1,$B72,AF$5,$B$1)</f>
        <v>#NAME?</v>
      </c>
      <c r="AG72" s="55" t="e">
        <f ca="1">_xll.EQNXTDZ($A$1,$B72,AG$5,$B$1)</f>
        <v>#NAME?</v>
      </c>
      <c r="AH72" s="55" t="e">
        <f ca="1">_xll.EQNXTDZ($A$1,$B72,AH$5,$B$1)</f>
        <v>#NAME?</v>
      </c>
      <c r="AI72" s="55" t="e">
        <f ca="1">_xll.EQNXTDZ($A$1,$B72,AI$5,$B$1)</f>
        <v>#NAME?</v>
      </c>
      <c r="AJ72" s="55" t="e">
        <f ca="1">_xll.EQNXTDZ($A$1,$B72,AJ$5,$B$1)</f>
        <v>#NAME?</v>
      </c>
      <c r="AK72" s="55" t="e">
        <f ca="1">_xll.EQNXTDZ($A$1,$B72,AK$5,$B$1)</f>
        <v>#NAME?</v>
      </c>
      <c r="AL72" s="55" t="e">
        <f ca="1">_xll.EQNXTDZ($A$1,$B72,AL$5,$B$1)</f>
        <v>#NAME?</v>
      </c>
      <c r="AM72" s="55" t="e">
        <f ca="1">_xll.EQNXTDZ($A$1,$B72,AM$5,$B$1)</f>
        <v>#NAME?</v>
      </c>
      <c r="AN72" s="55" t="e">
        <f ca="1">_xll.EQNXTDZ($A$1,$B72,AN$5,$B$1)</f>
        <v>#NAME?</v>
      </c>
      <c r="AO72" s="55" t="e">
        <f ca="1">_xll.EQNXTDZ($A$1,$B72,AO$5,$B$1)</f>
        <v>#NAME?</v>
      </c>
      <c r="AP72" s="55" t="e">
        <f ca="1">_xll.EQNXTDZ($A$1,$B72,AP$5,$B$1)</f>
        <v>#NAME?</v>
      </c>
      <c r="AQ72" s="55" t="e">
        <f ca="1">_xll.EQNXTDZ($A$1,$B72,AQ$5,$B$1)</f>
        <v>#NAME?</v>
      </c>
      <c r="AR72" s="55" t="e">
        <f ca="1">_xll.EQNXTDZ($A$1,$B72,AR$5,$B$1)</f>
        <v>#NAME?</v>
      </c>
      <c r="AS72" s="55" t="e">
        <f ca="1">_xll.EQNXTDZ($A$1,$B72,AS$5,$B$1)</f>
        <v>#NAME?</v>
      </c>
      <c r="AT72" s="55" t="e">
        <f ca="1">_xll.EQNXTDZ($A$1,$B72,AT$5,$B$1)</f>
        <v>#NAME?</v>
      </c>
      <c r="AU72" s="55" t="e">
        <f ca="1">_xll.EQNXTDZ($A$1,$B72,AU$5,$B$1)</f>
        <v>#NAME?</v>
      </c>
      <c r="AV72" s="55" t="e">
        <f ca="1">_xll.EQNXTDZ($A$1,$B72,AV$5,$B$1)</f>
        <v>#NAME?</v>
      </c>
      <c r="AW72" s="55" t="e">
        <f ca="1">_xll.EQNXTDZ($A$1,$B72,AW$5,$B$1)</f>
        <v>#NAME?</v>
      </c>
      <c r="AX72" s="55" t="e">
        <f ca="1">_xll.EQNXTDZ($A$1,$B72,AX$5,$B$1)</f>
        <v>#NAME?</v>
      </c>
      <c r="AY72" s="55" t="e">
        <f ca="1">_xll.EQNXTDZ($A$1,$B72,AY$5,$B$1)</f>
        <v>#NAME?</v>
      </c>
      <c r="AZ72" s="55" t="e">
        <f ca="1">_xll.EQNXTDZ($A$1,$B72,AZ$5,$B$1)</f>
        <v>#NAME?</v>
      </c>
      <c r="BA72" s="55" t="e">
        <f ca="1">_xll.EQNXTDZ($A$1,$B72,BA$5,$B$1)</f>
        <v>#NAME?</v>
      </c>
      <c r="BB72" s="55" t="e">
        <f ca="1">_xll.EQNXTDZ($A$1,$B72,BB$5,$B$1)</f>
        <v>#NAME?</v>
      </c>
      <c r="BC72" s="55" t="e">
        <f ca="1">_xll.EQNXTDZ($A$1,$B72,BC$5,$B$1)</f>
        <v>#NAME?</v>
      </c>
      <c r="BD72" s="55" t="e">
        <f ca="1">_xll.EQNXTDZ($A$1,$B72,BD$5,$B$1)</f>
        <v>#NAME?</v>
      </c>
      <c r="BE72" s="55" t="e">
        <f ca="1">_xll.EQNXTDZ($A$1,$B72,BE$5,$B$1)</f>
        <v>#NAME?</v>
      </c>
      <c r="BF72" s="55" t="e">
        <f ca="1">_xll.EQNXTDZ($A$1,$B72,BF$5,$B$1)</f>
        <v>#NAME?</v>
      </c>
      <c r="BG72" s="55" t="e">
        <f ca="1">_xll.EQNXTDZ($A$1,$B72,BG$5,$B$1)</f>
        <v>#NAME?</v>
      </c>
      <c r="BH72" s="55" t="e">
        <f ca="1">_xll.EQNXTDZ($A$1,$B72,BH$5,$B$1)</f>
        <v>#NAME?</v>
      </c>
      <c r="BI72" s="55" t="e">
        <f ca="1">_xll.EQNXTDZ($A$1,$B72,BI$5,$B$1)</f>
        <v>#NAME?</v>
      </c>
      <c r="BJ72" s="55" t="e">
        <f ca="1">_xll.EQNXTDZ($A$1,$B72,BJ$5,$B$1)</f>
        <v>#NAME?</v>
      </c>
      <c r="BK72" s="55" t="e">
        <f ca="1">_xll.EQNXTDZ($A$1,$B72,BK$5,$B$1)</f>
        <v>#NAME?</v>
      </c>
      <c r="BL72" s="55" t="e">
        <f ca="1">_xll.EQNXTDZ($A$1,$B72,BL$5,$B$1)</f>
        <v>#NAME?</v>
      </c>
      <c r="BM72" s="55" t="e">
        <f ca="1">_xll.EQNXTDZ($A$1,$B72,BM$5,$B$1)</f>
        <v>#NAME?</v>
      </c>
      <c r="BN72" s="55" t="e">
        <f ca="1">_xll.EQNXTDZ($A$1,$B72,BN$5,$B$1)</f>
        <v>#NAME?</v>
      </c>
      <c r="BO72" s="55" t="e">
        <f ca="1">_xll.EQNXTDZ($A$1,$B72,BO$5,$B$1)</f>
        <v>#NAME?</v>
      </c>
      <c r="BP72" s="55" t="e">
        <f ca="1">_xll.EQNXTDZ($A$1,$B72,BP$5,$B$1)</f>
        <v>#NAME?</v>
      </c>
      <c r="BQ72" s="55" t="e">
        <f ca="1">_xll.EQNXTDZ($A$1,$B72,BQ$5,$B$1)</f>
        <v>#NAME?</v>
      </c>
      <c r="BR72" s="55" t="e">
        <f ca="1">_xll.EQNXTDZ($A$1,$B72,BR$5,$B$1)</f>
        <v>#NAME?</v>
      </c>
      <c r="BS72" s="55" t="e">
        <f ca="1">_xll.EQNXTDZ($A$1,$B72,BS$5,$B$1)</f>
        <v>#NAME?</v>
      </c>
      <c r="BT72" s="55" t="e">
        <f ca="1">_xll.EQNXTDZ($A$1,$B72,BT$5,$B$1)</f>
        <v>#NAME?</v>
      </c>
      <c r="BU72" s="55" t="e">
        <f ca="1">_xll.EQNXTDZ($A$1,$B72,BU$5,$B$1)</f>
        <v>#NAME?</v>
      </c>
      <c r="BV72" s="55" t="e">
        <f ca="1">_xll.EQNXTDZ($A$1,$B72,BV$5,$B$1)</f>
        <v>#NAME?</v>
      </c>
    </row>
    <row r="73" spans="1:74" x14ac:dyDescent="0.25">
      <c r="A73" t="s">
        <v>361</v>
      </c>
      <c r="B73" t="s">
        <v>389</v>
      </c>
      <c r="C73" s="55" t="e">
        <f ca="1">_xll.EQNXTDZ($A$1,$B73,C$5,$B$1)</f>
        <v>#NAME?</v>
      </c>
      <c r="D73" s="55" t="e">
        <f ca="1">_xll.EQNXTDZ($A$1,$B73,D$5,$B$1)</f>
        <v>#NAME?</v>
      </c>
      <c r="E73" s="55" t="e">
        <f ca="1">_xll.EQNXTDZ($A$1,$B73,E$5,$B$1)</f>
        <v>#NAME?</v>
      </c>
      <c r="F73" s="55" t="e">
        <f ca="1">_xll.EQNXTDZ($A$1,$B73,F$5,$B$1)</f>
        <v>#NAME?</v>
      </c>
      <c r="G73" s="55" t="e">
        <f ca="1">_xll.EQNXTDZ($A$1,$B73,G$5,$B$1)</f>
        <v>#NAME?</v>
      </c>
      <c r="H73" s="55" t="e">
        <f ca="1">_xll.EQNXTDZ($A$1,$B73,H$5,$B$1)</f>
        <v>#NAME?</v>
      </c>
      <c r="I73" s="55" t="e">
        <f ca="1">_xll.EQNXTDZ($A$1,$B73,I$5,$B$1)</f>
        <v>#NAME?</v>
      </c>
      <c r="J73" s="55" t="e">
        <f ca="1">_xll.EQNXTDZ($A$1,$B73,J$5,$B$1)</f>
        <v>#NAME?</v>
      </c>
      <c r="K73" s="55" t="e">
        <f ca="1">_xll.EQNXTDZ($A$1,$B73,K$5,$B$1)</f>
        <v>#NAME?</v>
      </c>
      <c r="L73" s="55" t="e">
        <f ca="1">_xll.EQNXTDZ($A$1,$B73,L$5,$B$1)</f>
        <v>#NAME?</v>
      </c>
      <c r="M73" s="55" t="e">
        <f ca="1">_xll.EQNXTDZ($A$1,$B73,M$5,$B$1)</f>
        <v>#NAME?</v>
      </c>
      <c r="N73" s="55" t="e">
        <f ca="1">_xll.EQNXTDZ($A$1,$B73,N$5,$B$1)</f>
        <v>#NAME?</v>
      </c>
      <c r="O73" s="55" t="e">
        <f ca="1">_xll.EQNXTDZ($A$1,$B73,O$5,$B$1)</f>
        <v>#NAME?</v>
      </c>
      <c r="P73" s="55" t="e">
        <f ca="1">_xll.EQNXTDZ($A$1,$B73,P$5,$B$1)</f>
        <v>#NAME?</v>
      </c>
      <c r="Q73" s="55" t="e">
        <f ca="1">_xll.EQNXTDZ($A$1,$B73,Q$5,$B$1)</f>
        <v>#NAME?</v>
      </c>
      <c r="R73" s="55" t="e">
        <f ca="1">_xll.EQNXTDZ($A$1,$B73,R$5,$B$1)</f>
        <v>#NAME?</v>
      </c>
      <c r="S73" s="55" t="e">
        <f ca="1">_xll.EQNXTDZ($A$1,$B73,S$5,$B$1)</f>
        <v>#NAME?</v>
      </c>
      <c r="T73" s="55" t="e">
        <f ca="1">_xll.EQNXTDZ($A$1,$B73,T$5,$B$1)</f>
        <v>#NAME?</v>
      </c>
      <c r="U73" s="55" t="e">
        <f ca="1">_xll.EQNXTDZ($A$1,$B73,U$5,$B$1)</f>
        <v>#NAME?</v>
      </c>
      <c r="V73" s="55" t="e">
        <f ca="1">_xll.EQNXTDZ($A$1,$B73,V$5,$B$1)</f>
        <v>#NAME?</v>
      </c>
      <c r="W73" s="55" t="e">
        <f ca="1">_xll.EQNXTDZ($A$1,$B73,W$5,$B$1)</f>
        <v>#NAME?</v>
      </c>
      <c r="X73" s="55" t="e">
        <f ca="1">_xll.EQNXTDZ($A$1,$B73,X$5,$B$1)</f>
        <v>#NAME?</v>
      </c>
      <c r="Y73" s="55" t="e">
        <f ca="1">_xll.EQNXTDZ($A$1,$B73,Y$5,$B$1)</f>
        <v>#NAME?</v>
      </c>
      <c r="Z73" s="55" t="e">
        <f ca="1">_xll.EQNXTDZ($A$1,$B73,Z$5,$B$1)</f>
        <v>#NAME?</v>
      </c>
      <c r="AA73" s="55" t="e">
        <f ca="1">_xll.EQNXTDZ($A$1,$B73,AA$5,$B$1)</f>
        <v>#NAME?</v>
      </c>
      <c r="AB73" s="55" t="e">
        <f ca="1">_xll.EQNXTDZ($A$1,$B73,AB$5,$B$1)</f>
        <v>#NAME?</v>
      </c>
      <c r="AC73" s="55" t="e">
        <f ca="1">_xll.EQNXTDZ($A$1,$B73,AC$5,$B$1)</f>
        <v>#NAME?</v>
      </c>
      <c r="AD73" s="55" t="e">
        <f ca="1">_xll.EQNXTDZ($A$1,$B73,AD$5,$B$1)</f>
        <v>#NAME?</v>
      </c>
      <c r="AE73" s="55" t="e">
        <f ca="1">_xll.EQNXTDZ($A$1,$B73,AE$5,$B$1)</f>
        <v>#NAME?</v>
      </c>
      <c r="AF73" s="55" t="e">
        <f ca="1">_xll.EQNXTDZ($A$1,$B73,AF$5,$B$1)</f>
        <v>#NAME?</v>
      </c>
      <c r="AG73" s="55" t="e">
        <f ca="1">_xll.EQNXTDZ($A$1,$B73,AG$5,$B$1)</f>
        <v>#NAME?</v>
      </c>
      <c r="AH73" s="55" t="e">
        <f ca="1">_xll.EQNXTDZ($A$1,$B73,AH$5,$B$1)</f>
        <v>#NAME?</v>
      </c>
      <c r="AI73" s="55" t="e">
        <f ca="1">_xll.EQNXTDZ($A$1,$B73,AI$5,$B$1)</f>
        <v>#NAME?</v>
      </c>
      <c r="AJ73" s="55" t="e">
        <f ca="1">_xll.EQNXTDZ($A$1,$B73,AJ$5,$B$1)</f>
        <v>#NAME?</v>
      </c>
      <c r="AK73" s="55" t="e">
        <f ca="1">_xll.EQNXTDZ($A$1,$B73,AK$5,$B$1)</f>
        <v>#NAME?</v>
      </c>
      <c r="AL73" s="55" t="e">
        <f ca="1">_xll.EQNXTDZ($A$1,$B73,AL$5,$B$1)</f>
        <v>#NAME?</v>
      </c>
      <c r="AM73" s="55" t="e">
        <f ca="1">_xll.EQNXTDZ($A$1,$B73,AM$5,$B$1)</f>
        <v>#NAME?</v>
      </c>
      <c r="AN73" s="55" t="e">
        <f ca="1">_xll.EQNXTDZ($A$1,$B73,AN$5,$B$1)</f>
        <v>#NAME?</v>
      </c>
      <c r="AO73" s="55" t="e">
        <f ca="1">_xll.EQNXTDZ($A$1,$B73,AO$5,$B$1)</f>
        <v>#NAME?</v>
      </c>
      <c r="AP73" s="55" t="e">
        <f ca="1">_xll.EQNXTDZ($A$1,$B73,AP$5,$B$1)</f>
        <v>#NAME?</v>
      </c>
      <c r="AQ73" s="55" t="e">
        <f ca="1">_xll.EQNXTDZ($A$1,$B73,AQ$5,$B$1)</f>
        <v>#NAME?</v>
      </c>
      <c r="AR73" s="55" t="e">
        <f ca="1">_xll.EQNXTDZ($A$1,$B73,AR$5,$B$1)</f>
        <v>#NAME?</v>
      </c>
      <c r="AS73" s="55" t="e">
        <f ca="1">_xll.EQNXTDZ($A$1,$B73,AS$5,$B$1)</f>
        <v>#NAME?</v>
      </c>
      <c r="AT73" s="55" t="e">
        <f ca="1">_xll.EQNXTDZ($A$1,$B73,AT$5,$B$1)</f>
        <v>#NAME?</v>
      </c>
      <c r="AU73" s="55" t="e">
        <f ca="1">_xll.EQNXTDZ($A$1,$B73,AU$5,$B$1)</f>
        <v>#NAME?</v>
      </c>
      <c r="AV73" s="55" t="e">
        <f ca="1">_xll.EQNXTDZ($A$1,$B73,AV$5,$B$1)</f>
        <v>#NAME?</v>
      </c>
      <c r="AW73" s="55" t="e">
        <f ca="1">_xll.EQNXTDZ($A$1,$B73,AW$5,$B$1)</f>
        <v>#NAME?</v>
      </c>
      <c r="AX73" s="55" t="e">
        <f ca="1">_xll.EQNXTDZ($A$1,$B73,AX$5,$B$1)</f>
        <v>#NAME?</v>
      </c>
      <c r="AY73" s="55" t="e">
        <f ca="1">_xll.EQNXTDZ($A$1,$B73,AY$5,$B$1)</f>
        <v>#NAME?</v>
      </c>
      <c r="AZ73" s="55" t="e">
        <f ca="1">_xll.EQNXTDZ($A$1,$B73,AZ$5,$B$1)</f>
        <v>#NAME?</v>
      </c>
      <c r="BA73" s="55" t="e">
        <f ca="1">_xll.EQNXTDZ($A$1,$B73,BA$5,$B$1)</f>
        <v>#NAME?</v>
      </c>
      <c r="BB73" s="55" t="e">
        <f ca="1">_xll.EQNXTDZ($A$1,$B73,BB$5,$B$1)</f>
        <v>#NAME?</v>
      </c>
      <c r="BC73" s="55" t="e">
        <f ca="1">_xll.EQNXTDZ($A$1,$B73,BC$5,$B$1)</f>
        <v>#NAME?</v>
      </c>
      <c r="BD73" s="55" t="e">
        <f ca="1">_xll.EQNXTDZ($A$1,$B73,BD$5,$B$1)</f>
        <v>#NAME?</v>
      </c>
      <c r="BE73" s="55" t="e">
        <f ca="1">_xll.EQNXTDZ($A$1,$B73,BE$5,$B$1)</f>
        <v>#NAME?</v>
      </c>
      <c r="BF73" s="55" t="e">
        <f ca="1">_xll.EQNXTDZ($A$1,$B73,BF$5,$B$1)</f>
        <v>#NAME?</v>
      </c>
      <c r="BG73" s="55" t="e">
        <f ca="1">_xll.EQNXTDZ($A$1,$B73,BG$5,$B$1)</f>
        <v>#NAME?</v>
      </c>
      <c r="BH73" s="55" t="e">
        <f ca="1">_xll.EQNXTDZ($A$1,$B73,BH$5,$B$1)</f>
        <v>#NAME?</v>
      </c>
      <c r="BI73" s="55" t="e">
        <f ca="1">_xll.EQNXTDZ($A$1,$B73,BI$5,$B$1)</f>
        <v>#NAME?</v>
      </c>
      <c r="BJ73" s="55" t="e">
        <f ca="1">_xll.EQNXTDZ($A$1,$B73,BJ$5,$B$1)</f>
        <v>#NAME?</v>
      </c>
      <c r="BK73" s="55" t="e">
        <f ca="1">_xll.EQNXTDZ($A$1,$B73,BK$5,$B$1)</f>
        <v>#NAME?</v>
      </c>
      <c r="BL73" s="55" t="e">
        <f ca="1">_xll.EQNXTDZ($A$1,$B73,BL$5,$B$1)</f>
        <v>#NAME?</v>
      </c>
      <c r="BM73" s="55" t="e">
        <f ca="1">_xll.EQNXTDZ($A$1,$B73,BM$5,$B$1)</f>
        <v>#NAME?</v>
      </c>
      <c r="BN73" s="55" t="e">
        <f ca="1">_xll.EQNXTDZ($A$1,$B73,BN$5,$B$1)</f>
        <v>#NAME?</v>
      </c>
      <c r="BO73" s="55" t="e">
        <f ca="1">_xll.EQNXTDZ($A$1,$B73,BO$5,$B$1)</f>
        <v>#NAME?</v>
      </c>
      <c r="BP73" s="55" t="e">
        <f ca="1">_xll.EQNXTDZ($A$1,$B73,BP$5,$B$1)</f>
        <v>#NAME?</v>
      </c>
      <c r="BQ73" s="55" t="e">
        <f ca="1">_xll.EQNXTDZ($A$1,$B73,BQ$5,$B$1)</f>
        <v>#NAME?</v>
      </c>
      <c r="BR73" s="55" t="e">
        <f ca="1">_xll.EQNXTDZ($A$1,$B73,BR$5,$B$1)</f>
        <v>#NAME?</v>
      </c>
      <c r="BS73" s="55" t="e">
        <f ca="1">_xll.EQNXTDZ($A$1,$B73,BS$5,$B$1)</f>
        <v>#NAME?</v>
      </c>
      <c r="BT73" s="55" t="e">
        <f ca="1">_xll.EQNXTDZ($A$1,$B73,BT$5,$B$1)</f>
        <v>#NAME?</v>
      </c>
      <c r="BU73" s="55" t="e">
        <f ca="1">_xll.EQNXTDZ($A$1,$B73,BU$5,$B$1)</f>
        <v>#NAME?</v>
      </c>
      <c r="BV73" s="55" t="e">
        <f ca="1">_xll.EQNXTDZ($A$1,$B73,BV$5,$B$1)</f>
        <v>#NAME?</v>
      </c>
    </row>
    <row r="74" spans="1:74" x14ac:dyDescent="0.25">
      <c r="A74" t="s">
        <v>362</v>
      </c>
      <c r="B74" t="s">
        <v>390</v>
      </c>
      <c r="C74" s="55" t="e">
        <f ca="1">_xll.EQNXTDZ($A$1,$B74,C$5,$B$1)</f>
        <v>#NAME?</v>
      </c>
      <c r="D74" s="55" t="e">
        <f ca="1">_xll.EQNXTDZ($A$1,$B74,D$5,$B$1)</f>
        <v>#NAME?</v>
      </c>
      <c r="E74" s="55" t="e">
        <f ca="1">_xll.EQNXTDZ($A$1,$B74,E$5,$B$1)</f>
        <v>#NAME?</v>
      </c>
      <c r="F74" s="55" t="e">
        <f ca="1">_xll.EQNXTDZ($A$1,$B74,F$5,$B$1)</f>
        <v>#NAME?</v>
      </c>
      <c r="G74" s="55" t="e">
        <f ca="1">_xll.EQNXTDZ($A$1,$B74,G$5,$B$1)</f>
        <v>#NAME?</v>
      </c>
      <c r="H74" s="55" t="e">
        <f ca="1">_xll.EQNXTDZ($A$1,$B74,H$5,$B$1)</f>
        <v>#NAME?</v>
      </c>
      <c r="I74" s="55" t="e">
        <f ca="1">_xll.EQNXTDZ($A$1,$B74,I$5,$B$1)</f>
        <v>#NAME?</v>
      </c>
      <c r="J74" s="55" t="e">
        <f ca="1">_xll.EQNXTDZ($A$1,$B74,J$5,$B$1)</f>
        <v>#NAME?</v>
      </c>
      <c r="K74" s="55" t="e">
        <f ca="1">_xll.EQNXTDZ($A$1,$B74,K$5,$B$1)</f>
        <v>#NAME?</v>
      </c>
      <c r="L74" s="55" t="e">
        <f ca="1">_xll.EQNXTDZ($A$1,$B74,L$5,$B$1)</f>
        <v>#NAME?</v>
      </c>
      <c r="M74" s="55" t="e">
        <f ca="1">_xll.EQNXTDZ($A$1,$B74,M$5,$B$1)</f>
        <v>#NAME?</v>
      </c>
      <c r="N74" s="55" t="e">
        <f ca="1">_xll.EQNXTDZ($A$1,$B74,N$5,$B$1)</f>
        <v>#NAME?</v>
      </c>
      <c r="O74" s="55" t="e">
        <f ca="1">_xll.EQNXTDZ($A$1,$B74,O$5,$B$1)</f>
        <v>#NAME?</v>
      </c>
      <c r="P74" s="55" t="e">
        <f ca="1">_xll.EQNXTDZ($A$1,$B74,P$5,$B$1)</f>
        <v>#NAME?</v>
      </c>
      <c r="Q74" s="55" t="e">
        <f ca="1">_xll.EQNXTDZ($A$1,$B74,Q$5,$B$1)</f>
        <v>#NAME?</v>
      </c>
      <c r="R74" s="55" t="e">
        <f ca="1">_xll.EQNXTDZ($A$1,$B74,R$5,$B$1)</f>
        <v>#NAME?</v>
      </c>
      <c r="S74" s="55" t="e">
        <f ca="1">_xll.EQNXTDZ($A$1,$B74,S$5,$B$1)</f>
        <v>#NAME?</v>
      </c>
      <c r="T74" s="55" t="e">
        <f ca="1">_xll.EQNXTDZ($A$1,$B74,T$5,$B$1)</f>
        <v>#NAME?</v>
      </c>
      <c r="U74" s="55" t="e">
        <f ca="1">_xll.EQNXTDZ($A$1,$B74,U$5,$B$1)</f>
        <v>#NAME?</v>
      </c>
      <c r="V74" s="55" t="e">
        <f ca="1">_xll.EQNXTDZ($A$1,$B74,V$5,$B$1)</f>
        <v>#NAME?</v>
      </c>
      <c r="W74" s="55" t="e">
        <f ca="1">_xll.EQNXTDZ($A$1,$B74,W$5,$B$1)</f>
        <v>#NAME?</v>
      </c>
      <c r="X74" s="55" t="e">
        <f ca="1">_xll.EQNXTDZ($A$1,$B74,X$5,$B$1)</f>
        <v>#NAME?</v>
      </c>
      <c r="Y74" s="55" t="e">
        <f ca="1">_xll.EQNXTDZ($A$1,$B74,Y$5,$B$1)</f>
        <v>#NAME?</v>
      </c>
      <c r="Z74" s="55" t="e">
        <f ca="1">_xll.EQNXTDZ($A$1,$B74,Z$5,$B$1)</f>
        <v>#NAME?</v>
      </c>
      <c r="AA74" s="55" t="e">
        <f ca="1">_xll.EQNXTDZ($A$1,$B74,AA$5,$B$1)</f>
        <v>#NAME?</v>
      </c>
      <c r="AB74" s="55" t="e">
        <f ca="1">_xll.EQNXTDZ($A$1,$B74,AB$5,$B$1)</f>
        <v>#NAME?</v>
      </c>
      <c r="AC74" s="55" t="e">
        <f ca="1">_xll.EQNXTDZ($A$1,$B74,AC$5,$B$1)</f>
        <v>#NAME?</v>
      </c>
      <c r="AD74" s="55" t="e">
        <f ca="1">_xll.EQNXTDZ($A$1,$B74,AD$5,$B$1)</f>
        <v>#NAME?</v>
      </c>
      <c r="AE74" s="55" t="e">
        <f ca="1">_xll.EQNXTDZ($A$1,$B74,AE$5,$B$1)</f>
        <v>#NAME?</v>
      </c>
      <c r="AF74" s="55" t="e">
        <f ca="1">_xll.EQNXTDZ($A$1,$B74,AF$5,$B$1)</f>
        <v>#NAME?</v>
      </c>
      <c r="AG74" s="55" t="e">
        <f ca="1">_xll.EQNXTDZ($A$1,$B74,AG$5,$B$1)</f>
        <v>#NAME?</v>
      </c>
      <c r="AH74" s="55" t="e">
        <f ca="1">_xll.EQNXTDZ($A$1,$B74,AH$5,$B$1)</f>
        <v>#NAME?</v>
      </c>
      <c r="AI74" s="55" t="e">
        <f ca="1">_xll.EQNXTDZ($A$1,$B74,AI$5,$B$1)</f>
        <v>#NAME?</v>
      </c>
      <c r="AJ74" s="55" t="e">
        <f ca="1">_xll.EQNXTDZ($A$1,$B74,AJ$5,$B$1)</f>
        <v>#NAME?</v>
      </c>
      <c r="AK74" s="55" t="e">
        <f ca="1">_xll.EQNXTDZ($A$1,$B74,AK$5,$B$1)</f>
        <v>#NAME?</v>
      </c>
      <c r="AL74" s="55" t="e">
        <f ca="1">_xll.EQNXTDZ($A$1,$B74,AL$5,$B$1)</f>
        <v>#NAME?</v>
      </c>
      <c r="AM74" s="55" t="e">
        <f ca="1">_xll.EQNXTDZ($A$1,$B74,AM$5,$B$1)</f>
        <v>#NAME?</v>
      </c>
      <c r="AN74" s="55" t="e">
        <f ca="1">_xll.EQNXTDZ($A$1,$B74,AN$5,$B$1)</f>
        <v>#NAME?</v>
      </c>
      <c r="AO74" s="55" t="e">
        <f ca="1">_xll.EQNXTDZ($A$1,$B74,AO$5,$B$1)</f>
        <v>#NAME?</v>
      </c>
      <c r="AP74" s="55" t="e">
        <f ca="1">_xll.EQNXTDZ($A$1,$B74,AP$5,$B$1)</f>
        <v>#NAME?</v>
      </c>
      <c r="AQ74" s="55" t="e">
        <f ca="1">_xll.EQNXTDZ($A$1,$B74,AQ$5,$B$1)</f>
        <v>#NAME?</v>
      </c>
      <c r="AR74" s="55" t="e">
        <f ca="1">_xll.EQNXTDZ($A$1,$B74,AR$5,$B$1)</f>
        <v>#NAME?</v>
      </c>
      <c r="AS74" s="55" t="e">
        <f ca="1">_xll.EQNXTDZ($A$1,$B74,AS$5,$B$1)</f>
        <v>#NAME?</v>
      </c>
      <c r="AT74" s="55" t="e">
        <f ca="1">_xll.EQNXTDZ($A$1,$B74,AT$5,$B$1)</f>
        <v>#NAME?</v>
      </c>
      <c r="AU74" s="55" t="e">
        <f ca="1">_xll.EQNXTDZ($A$1,$B74,AU$5,$B$1)</f>
        <v>#NAME?</v>
      </c>
      <c r="AV74" s="55" t="e">
        <f ca="1">_xll.EQNXTDZ($A$1,$B74,AV$5,$B$1)</f>
        <v>#NAME?</v>
      </c>
      <c r="AW74" s="55" t="e">
        <f ca="1">_xll.EQNXTDZ($A$1,$B74,AW$5,$B$1)</f>
        <v>#NAME?</v>
      </c>
      <c r="AX74" s="55" t="e">
        <f ca="1">_xll.EQNXTDZ($A$1,$B74,AX$5,$B$1)</f>
        <v>#NAME?</v>
      </c>
      <c r="AY74" s="55" t="e">
        <f ca="1">_xll.EQNXTDZ($A$1,$B74,AY$5,$B$1)</f>
        <v>#NAME?</v>
      </c>
      <c r="AZ74" s="55" t="e">
        <f ca="1">_xll.EQNXTDZ($A$1,$B74,AZ$5,$B$1)</f>
        <v>#NAME?</v>
      </c>
      <c r="BA74" s="55" t="e">
        <f ca="1">_xll.EQNXTDZ($A$1,$B74,BA$5,$B$1)</f>
        <v>#NAME?</v>
      </c>
      <c r="BB74" s="55" t="e">
        <f ca="1">_xll.EQNXTDZ($A$1,$B74,BB$5,$B$1)</f>
        <v>#NAME?</v>
      </c>
      <c r="BC74" s="55" t="e">
        <f ca="1">_xll.EQNXTDZ($A$1,$B74,BC$5,$B$1)</f>
        <v>#NAME?</v>
      </c>
      <c r="BD74" s="55" t="e">
        <f ca="1">_xll.EQNXTDZ($A$1,$B74,BD$5,$B$1)</f>
        <v>#NAME?</v>
      </c>
      <c r="BE74" s="55" t="e">
        <f ca="1">_xll.EQNXTDZ($A$1,$B74,BE$5,$B$1)</f>
        <v>#NAME?</v>
      </c>
      <c r="BF74" s="55" t="e">
        <f ca="1">_xll.EQNXTDZ($A$1,$B74,BF$5,$B$1)</f>
        <v>#NAME?</v>
      </c>
      <c r="BG74" s="55" t="e">
        <f ca="1">_xll.EQNXTDZ($A$1,$B74,BG$5,$B$1)</f>
        <v>#NAME?</v>
      </c>
      <c r="BH74" s="55" t="e">
        <f ca="1">_xll.EQNXTDZ($A$1,$B74,BH$5,$B$1)</f>
        <v>#NAME?</v>
      </c>
      <c r="BI74" s="55" t="e">
        <f ca="1">_xll.EQNXTDZ($A$1,$B74,BI$5,$B$1)</f>
        <v>#NAME?</v>
      </c>
      <c r="BJ74" s="55" t="e">
        <f ca="1">_xll.EQNXTDZ($A$1,$B74,BJ$5,$B$1)</f>
        <v>#NAME?</v>
      </c>
      <c r="BK74" s="55" t="e">
        <f ca="1">_xll.EQNXTDZ($A$1,$B74,BK$5,$B$1)</f>
        <v>#NAME?</v>
      </c>
      <c r="BL74" s="55" t="e">
        <f ca="1">_xll.EQNXTDZ($A$1,$B74,BL$5,$B$1)</f>
        <v>#NAME?</v>
      </c>
      <c r="BM74" s="55" t="e">
        <f ca="1">_xll.EQNXTDZ($A$1,$B74,BM$5,$B$1)</f>
        <v>#NAME?</v>
      </c>
      <c r="BN74" s="55" t="e">
        <f ca="1">_xll.EQNXTDZ($A$1,$B74,BN$5,$B$1)</f>
        <v>#NAME?</v>
      </c>
      <c r="BO74" s="55" t="e">
        <f ca="1">_xll.EQNXTDZ($A$1,$B74,BO$5,$B$1)</f>
        <v>#NAME?</v>
      </c>
      <c r="BP74" s="55" t="e">
        <f ca="1">_xll.EQNXTDZ($A$1,$B74,BP$5,$B$1)</f>
        <v>#NAME?</v>
      </c>
      <c r="BQ74" s="55" t="e">
        <f ca="1">_xll.EQNXTDZ($A$1,$B74,BQ$5,$B$1)</f>
        <v>#NAME?</v>
      </c>
      <c r="BR74" s="55" t="e">
        <f ca="1">_xll.EQNXTDZ($A$1,$B74,BR$5,$B$1)</f>
        <v>#NAME?</v>
      </c>
      <c r="BS74" s="55" t="e">
        <f ca="1">_xll.EQNXTDZ($A$1,$B74,BS$5,$B$1)</f>
        <v>#NAME?</v>
      </c>
      <c r="BT74" s="55" t="e">
        <f ca="1">_xll.EQNXTDZ($A$1,$B74,BT$5,$B$1)</f>
        <v>#NAME?</v>
      </c>
      <c r="BU74" s="55" t="e">
        <f ca="1">_xll.EQNXTDZ($A$1,$B74,BU$5,$B$1)</f>
        <v>#NAME?</v>
      </c>
      <c r="BV74" s="55" t="e">
        <f ca="1">_xll.EQNXTDZ($A$1,$B74,BV$5,$B$1)</f>
        <v>#NAME?</v>
      </c>
    </row>
    <row r="75" spans="1:74" x14ac:dyDescent="0.25">
      <c r="A75" t="s">
        <v>363</v>
      </c>
      <c r="B75" t="s">
        <v>391</v>
      </c>
      <c r="C75" s="55" t="e">
        <f ca="1">_xll.EQNXTDZ($A$1,$B75,C$5,$B$1)</f>
        <v>#NAME?</v>
      </c>
      <c r="D75" s="55" t="e">
        <f ca="1">_xll.EQNXTDZ($A$1,$B75,D$5,$B$1)</f>
        <v>#NAME?</v>
      </c>
      <c r="E75" s="55" t="e">
        <f ca="1">_xll.EQNXTDZ($A$1,$B75,E$5,$B$1)</f>
        <v>#NAME?</v>
      </c>
      <c r="F75" s="55" t="e">
        <f ca="1">_xll.EQNXTDZ($A$1,$B75,F$5,$B$1)</f>
        <v>#NAME?</v>
      </c>
      <c r="G75" s="55" t="e">
        <f ca="1">_xll.EQNXTDZ($A$1,$B75,G$5,$B$1)</f>
        <v>#NAME?</v>
      </c>
      <c r="H75" s="55" t="e">
        <f ca="1">_xll.EQNXTDZ($A$1,$B75,H$5,$B$1)</f>
        <v>#NAME?</v>
      </c>
      <c r="I75" s="55" t="e">
        <f ca="1">_xll.EQNXTDZ($A$1,$B75,I$5,$B$1)</f>
        <v>#NAME?</v>
      </c>
      <c r="J75" s="55" t="e">
        <f ca="1">_xll.EQNXTDZ($A$1,$B75,J$5,$B$1)</f>
        <v>#NAME?</v>
      </c>
      <c r="K75" s="55" t="e">
        <f ca="1">_xll.EQNXTDZ($A$1,$B75,K$5,$B$1)</f>
        <v>#NAME?</v>
      </c>
      <c r="L75" s="55" t="e">
        <f ca="1">_xll.EQNXTDZ($A$1,$B75,L$5,$B$1)</f>
        <v>#NAME?</v>
      </c>
      <c r="M75" s="55" t="e">
        <f ca="1">_xll.EQNXTDZ($A$1,$B75,M$5,$B$1)</f>
        <v>#NAME?</v>
      </c>
      <c r="N75" s="55" t="e">
        <f ca="1">_xll.EQNXTDZ($A$1,$B75,N$5,$B$1)</f>
        <v>#NAME?</v>
      </c>
      <c r="O75" s="55" t="e">
        <f ca="1">_xll.EQNXTDZ($A$1,$B75,O$5,$B$1)</f>
        <v>#NAME?</v>
      </c>
      <c r="P75" s="55" t="e">
        <f ca="1">_xll.EQNXTDZ($A$1,$B75,P$5,$B$1)</f>
        <v>#NAME?</v>
      </c>
      <c r="Q75" s="55" t="e">
        <f ca="1">_xll.EQNXTDZ($A$1,$B75,Q$5,$B$1)</f>
        <v>#NAME?</v>
      </c>
      <c r="R75" s="55" t="e">
        <f ca="1">_xll.EQNXTDZ($A$1,$B75,R$5,$B$1)</f>
        <v>#NAME?</v>
      </c>
      <c r="S75" s="55" t="e">
        <f ca="1">_xll.EQNXTDZ($A$1,$B75,S$5,$B$1)</f>
        <v>#NAME?</v>
      </c>
      <c r="T75" s="55" t="e">
        <f ca="1">_xll.EQNXTDZ($A$1,$B75,T$5,$B$1)</f>
        <v>#NAME?</v>
      </c>
      <c r="U75" s="55" t="e">
        <f ca="1">_xll.EQNXTDZ($A$1,$B75,U$5,$B$1)</f>
        <v>#NAME?</v>
      </c>
      <c r="V75" s="55" t="e">
        <f ca="1">_xll.EQNXTDZ($A$1,$B75,V$5,$B$1)</f>
        <v>#NAME?</v>
      </c>
      <c r="W75" s="55" t="e">
        <f ca="1">_xll.EQNXTDZ($A$1,$B75,W$5,$B$1)</f>
        <v>#NAME?</v>
      </c>
      <c r="X75" s="55" t="e">
        <f ca="1">_xll.EQNXTDZ($A$1,$B75,X$5,$B$1)</f>
        <v>#NAME?</v>
      </c>
      <c r="Y75" s="55" t="e">
        <f ca="1">_xll.EQNXTDZ($A$1,$B75,Y$5,$B$1)</f>
        <v>#NAME?</v>
      </c>
      <c r="Z75" s="55" t="e">
        <f ca="1">_xll.EQNXTDZ($A$1,$B75,Z$5,$B$1)</f>
        <v>#NAME?</v>
      </c>
      <c r="AA75" s="55" t="e">
        <f ca="1">_xll.EQNXTDZ($A$1,$B75,AA$5,$B$1)</f>
        <v>#NAME?</v>
      </c>
      <c r="AB75" s="55" t="e">
        <f ca="1">_xll.EQNXTDZ($A$1,$B75,AB$5,$B$1)</f>
        <v>#NAME?</v>
      </c>
      <c r="AC75" s="55" t="e">
        <f ca="1">_xll.EQNXTDZ($A$1,$B75,AC$5,$B$1)</f>
        <v>#NAME?</v>
      </c>
      <c r="AD75" s="55" t="e">
        <f ca="1">_xll.EQNXTDZ($A$1,$B75,AD$5,$B$1)</f>
        <v>#NAME?</v>
      </c>
      <c r="AE75" s="55" t="e">
        <f ca="1">_xll.EQNXTDZ($A$1,$B75,AE$5,$B$1)</f>
        <v>#NAME?</v>
      </c>
      <c r="AF75" s="55" t="e">
        <f ca="1">_xll.EQNXTDZ($A$1,$B75,AF$5,$B$1)</f>
        <v>#NAME?</v>
      </c>
      <c r="AG75" s="55" t="e">
        <f ca="1">_xll.EQNXTDZ($A$1,$B75,AG$5,$B$1)</f>
        <v>#NAME?</v>
      </c>
      <c r="AH75" s="55" t="e">
        <f ca="1">_xll.EQNXTDZ($A$1,$B75,AH$5,$B$1)</f>
        <v>#NAME?</v>
      </c>
      <c r="AI75" s="55" t="e">
        <f ca="1">_xll.EQNXTDZ($A$1,$B75,AI$5,$B$1)</f>
        <v>#NAME?</v>
      </c>
      <c r="AJ75" s="55" t="e">
        <f ca="1">_xll.EQNXTDZ($A$1,$B75,AJ$5,$B$1)</f>
        <v>#NAME?</v>
      </c>
      <c r="AK75" s="55" t="e">
        <f ca="1">_xll.EQNXTDZ($A$1,$B75,AK$5,$B$1)</f>
        <v>#NAME?</v>
      </c>
      <c r="AL75" s="55" t="e">
        <f ca="1">_xll.EQNXTDZ($A$1,$B75,AL$5,$B$1)</f>
        <v>#NAME?</v>
      </c>
      <c r="AM75" s="55" t="e">
        <f ca="1">_xll.EQNXTDZ($A$1,$B75,AM$5,$B$1)</f>
        <v>#NAME?</v>
      </c>
      <c r="AN75" s="55" t="e">
        <f ca="1">_xll.EQNXTDZ($A$1,$B75,AN$5,$B$1)</f>
        <v>#NAME?</v>
      </c>
      <c r="AO75" s="55" t="e">
        <f ca="1">_xll.EQNXTDZ($A$1,$B75,AO$5,$B$1)</f>
        <v>#NAME?</v>
      </c>
      <c r="AP75" s="55" t="e">
        <f ca="1">_xll.EQNXTDZ($A$1,$B75,AP$5,$B$1)</f>
        <v>#NAME?</v>
      </c>
      <c r="AQ75" s="55" t="e">
        <f ca="1">_xll.EQNXTDZ($A$1,$B75,AQ$5,$B$1)</f>
        <v>#NAME?</v>
      </c>
      <c r="AR75" s="55" t="e">
        <f ca="1">_xll.EQNXTDZ($A$1,$B75,AR$5,$B$1)</f>
        <v>#NAME?</v>
      </c>
      <c r="AS75" s="55" t="e">
        <f ca="1">_xll.EQNXTDZ($A$1,$B75,AS$5,$B$1)</f>
        <v>#NAME?</v>
      </c>
      <c r="AT75" s="55" t="e">
        <f ca="1">_xll.EQNXTDZ($A$1,$B75,AT$5,$B$1)</f>
        <v>#NAME?</v>
      </c>
      <c r="AU75" s="55" t="e">
        <f ca="1">_xll.EQNXTDZ($A$1,$B75,AU$5,$B$1)</f>
        <v>#NAME?</v>
      </c>
      <c r="AV75" s="55" t="e">
        <f ca="1">_xll.EQNXTDZ($A$1,$B75,AV$5,$B$1)</f>
        <v>#NAME?</v>
      </c>
      <c r="AW75" s="55" t="e">
        <f ca="1">_xll.EQNXTDZ($A$1,$B75,AW$5,$B$1)</f>
        <v>#NAME?</v>
      </c>
      <c r="AX75" s="55" t="e">
        <f ca="1">_xll.EQNXTDZ($A$1,$B75,AX$5,$B$1)</f>
        <v>#NAME?</v>
      </c>
      <c r="AY75" s="55" t="e">
        <f ca="1">_xll.EQNXTDZ($A$1,$B75,AY$5,$B$1)</f>
        <v>#NAME?</v>
      </c>
      <c r="AZ75" s="55" t="e">
        <f ca="1">_xll.EQNXTDZ($A$1,$B75,AZ$5,$B$1)</f>
        <v>#NAME?</v>
      </c>
      <c r="BA75" s="55" t="e">
        <f ca="1">_xll.EQNXTDZ($A$1,$B75,BA$5,$B$1)</f>
        <v>#NAME?</v>
      </c>
      <c r="BB75" s="55" t="e">
        <f ca="1">_xll.EQNXTDZ($A$1,$B75,BB$5,$B$1)</f>
        <v>#NAME?</v>
      </c>
      <c r="BC75" s="55" t="e">
        <f ca="1">_xll.EQNXTDZ($A$1,$B75,BC$5,$B$1)</f>
        <v>#NAME?</v>
      </c>
      <c r="BD75" s="55" t="e">
        <f ca="1">_xll.EQNXTDZ($A$1,$B75,BD$5,$B$1)</f>
        <v>#NAME?</v>
      </c>
      <c r="BE75" s="55" t="e">
        <f ca="1">_xll.EQNXTDZ($A$1,$B75,BE$5,$B$1)</f>
        <v>#NAME?</v>
      </c>
      <c r="BF75" s="55" t="e">
        <f ca="1">_xll.EQNXTDZ($A$1,$B75,BF$5,$B$1)</f>
        <v>#NAME?</v>
      </c>
      <c r="BG75" s="55" t="e">
        <f ca="1">_xll.EQNXTDZ($A$1,$B75,BG$5,$B$1)</f>
        <v>#NAME?</v>
      </c>
      <c r="BH75" s="55" t="e">
        <f ca="1">_xll.EQNXTDZ($A$1,$B75,BH$5,$B$1)</f>
        <v>#NAME?</v>
      </c>
      <c r="BI75" s="55" t="e">
        <f ca="1">_xll.EQNXTDZ($A$1,$B75,BI$5,$B$1)</f>
        <v>#NAME?</v>
      </c>
      <c r="BJ75" s="55" t="e">
        <f ca="1">_xll.EQNXTDZ($A$1,$B75,BJ$5,$B$1)</f>
        <v>#NAME?</v>
      </c>
      <c r="BK75" s="55" t="e">
        <f ca="1">_xll.EQNXTDZ($A$1,$B75,BK$5,$B$1)</f>
        <v>#NAME?</v>
      </c>
      <c r="BL75" s="55" t="e">
        <f ca="1">_xll.EQNXTDZ($A$1,$B75,BL$5,$B$1)</f>
        <v>#NAME?</v>
      </c>
      <c r="BM75" s="55" t="e">
        <f ca="1">_xll.EQNXTDZ($A$1,$B75,BM$5,$B$1)</f>
        <v>#NAME?</v>
      </c>
      <c r="BN75" s="55" t="e">
        <f ca="1">_xll.EQNXTDZ($A$1,$B75,BN$5,$B$1)</f>
        <v>#NAME?</v>
      </c>
      <c r="BO75" s="55" t="e">
        <f ca="1">_xll.EQNXTDZ($A$1,$B75,BO$5,$B$1)</f>
        <v>#NAME?</v>
      </c>
      <c r="BP75" s="55" t="e">
        <f ca="1">_xll.EQNXTDZ($A$1,$B75,BP$5,$B$1)</f>
        <v>#NAME?</v>
      </c>
      <c r="BQ75" s="55" t="e">
        <f ca="1">_xll.EQNXTDZ($A$1,$B75,BQ$5,$B$1)</f>
        <v>#NAME?</v>
      </c>
      <c r="BR75" s="55" t="e">
        <f ca="1">_xll.EQNXTDZ($A$1,$B75,BR$5,$B$1)</f>
        <v>#NAME?</v>
      </c>
      <c r="BS75" s="55" t="e">
        <f ca="1">_xll.EQNXTDZ($A$1,$B75,BS$5,$B$1)</f>
        <v>#NAME?</v>
      </c>
      <c r="BT75" s="55" t="e">
        <f ca="1">_xll.EQNXTDZ($A$1,$B75,BT$5,$B$1)</f>
        <v>#NAME?</v>
      </c>
      <c r="BU75" s="55" t="e">
        <f ca="1">_xll.EQNXTDZ($A$1,$B75,BU$5,$B$1)</f>
        <v>#NAME?</v>
      </c>
      <c r="BV75" s="55" t="e">
        <f ca="1">_xll.EQNXTDZ($A$1,$B75,BV$5,$B$1)</f>
        <v>#NAME?</v>
      </c>
    </row>
    <row r="76" spans="1:74" x14ac:dyDescent="0.25">
      <c r="A76" t="s">
        <v>364</v>
      </c>
      <c r="B76" t="s">
        <v>392</v>
      </c>
      <c r="C76" s="55" t="e">
        <f ca="1">_xll.EQNXTDZ($A$1,$B76,C$5,$B$1)</f>
        <v>#NAME?</v>
      </c>
      <c r="D76" s="55" t="e">
        <f ca="1">_xll.EQNXTDZ($A$1,$B76,D$5,$B$1)</f>
        <v>#NAME?</v>
      </c>
      <c r="E76" s="55" t="e">
        <f ca="1">_xll.EQNXTDZ($A$1,$B76,E$5,$B$1)</f>
        <v>#NAME?</v>
      </c>
      <c r="F76" s="55" t="e">
        <f ca="1">_xll.EQNXTDZ($A$1,$B76,F$5,$B$1)</f>
        <v>#NAME?</v>
      </c>
      <c r="G76" s="55" t="e">
        <f ca="1">_xll.EQNXTDZ($A$1,$B76,G$5,$B$1)</f>
        <v>#NAME?</v>
      </c>
      <c r="H76" s="55" t="e">
        <f ca="1">_xll.EQNXTDZ($A$1,$B76,H$5,$B$1)</f>
        <v>#NAME?</v>
      </c>
      <c r="I76" s="55" t="e">
        <f ca="1">_xll.EQNXTDZ($A$1,$B76,I$5,$B$1)</f>
        <v>#NAME?</v>
      </c>
      <c r="J76" s="55" t="e">
        <f ca="1">_xll.EQNXTDZ($A$1,$B76,J$5,$B$1)</f>
        <v>#NAME?</v>
      </c>
      <c r="K76" s="55" t="e">
        <f ca="1">_xll.EQNXTDZ($A$1,$B76,K$5,$B$1)</f>
        <v>#NAME?</v>
      </c>
      <c r="L76" s="55" t="e">
        <f ca="1">_xll.EQNXTDZ($A$1,$B76,L$5,$B$1)</f>
        <v>#NAME?</v>
      </c>
      <c r="M76" s="55" t="e">
        <f ca="1">_xll.EQNXTDZ($A$1,$B76,M$5,$B$1)</f>
        <v>#NAME?</v>
      </c>
      <c r="N76" s="55" t="e">
        <f ca="1">_xll.EQNXTDZ($A$1,$B76,N$5,$B$1)</f>
        <v>#NAME?</v>
      </c>
      <c r="O76" s="55" t="e">
        <f ca="1">_xll.EQNXTDZ($A$1,$B76,O$5,$B$1)</f>
        <v>#NAME?</v>
      </c>
      <c r="P76" s="55" t="e">
        <f ca="1">_xll.EQNXTDZ($A$1,$B76,P$5,$B$1)</f>
        <v>#NAME?</v>
      </c>
      <c r="Q76" s="55" t="e">
        <f ca="1">_xll.EQNXTDZ($A$1,$B76,Q$5,$B$1)</f>
        <v>#NAME?</v>
      </c>
      <c r="R76" s="55" t="e">
        <f ca="1">_xll.EQNXTDZ($A$1,$B76,R$5,$B$1)</f>
        <v>#NAME?</v>
      </c>
      <c r="S76" s="55" t="e">
        <f ca="1">_xll.EQNXTDZ($A$1,$B76,S$5,$B$1)</f>
        <v>#NAME?</v>
      </c>
      <c r="T76" s="55" t="e">
        <f ca="1">_xll.EQNXTDZ($A$1,$B76,T$5,$B$1)</f>
        <v>#NAME?</v>
      </c>
      <c r="U76" s="55" t="e">
        <f ca="1">_xll.EQNXTDZ($A$1,$B76,U$5,$B$1)</f>
        <v>#NAME?</v>
      </c>
      <c r="V76" s="55" t="e">
        <f ca="1">_xll.EQNXTDZ($A$1,$B76,V$5,$B$1)</f>
        <v>#NAME?</v>
      </c>
      <c r="W76" s="55" t="e">
        <f ca="1">_xll.EQNXTDZ($A$1,$B76,W$5,$B$1)</f>
        <v>#NAME?</v>
      </c>
      <c r="X76" s="55" t="e">
        <f ca="1">_xll.EQNXTDZ($A$1,$B76,X$5,$B$1)</f>
        <v>#NAME?</v>
      </c>
      <c r="Y76" s="55" t="e">
        <f ca="1">_xll.EQNXTDZ($A$1,$B76,Y$5,$B$1)</f>
        <v>#NAME?</v>
      </c>
      <c r="Z76" s="55" t="e">
        <f ca="1">_xll.EQNXTDZ($A$1,$B76,Z$5,$B$1)</f>
        <v>#NAME?</v>
      </c>
      <c r="AA76" s="55" t="e">
        <f ca="1">_xll.EQNXTDZ($A$1,$B76,AA$5,$B$1)</f>
        <v>#NAME?</v>
      </c>
      <c r="AB76" s="55" t="e">
        <f ca="1">_xll.EQNXTDZ($A$1,$B76,AB$5,$B$1)</f>
        <v>#NAME?</v>
      </c>
      <c r="AC76" s="55" t="e">
        <f ca="1">_xll.EQNXTDZ($A$1,$B76,AC$5,$B$1)</f>
        <v>#NAME?</v>
      </c>
      <c r="AD76" s="55" t="e">
        <f ca="1">_xll.EQNXTDZ($A$1,$B76,AD$5,$B$1)</f>
        <v>#NAME?</v>
      </c>
      <c r="AE76" s="55" t="e">
        <f ca="1">_xll.EQNXTDZ($A$1,$B76,AE$5,$B$1)</f>
        <v>#NAME?</v>
      </c>
      <c r="AF76" s="55" t="e">
        <f ca="1">_xll.EQNXTDZ($A$1,$B76,AF$5,$B$1)</f>
        <v>#NAME?</v>
      </c>
      <c r="AG76" s="55" t="e">
        <f ca="1">_xll.EQNXTDZ($A$1,$B76,AG$5,$B$1)</f>
        <v>#NAME?</v>
      </c>
      <c r="AH76" s="55" t="e">
        <f ca="1">_xll.EQNXTDZ($A$1,$B76,AH$5,$B$1)</f>
        <v>#NAME?</v>
      </c>
      <c r="AI76" s="55" t="e">
        <f ca="1">_xll.EQNXTDZ($A$1,$B76,AI$5,$B$1)</f>
        <v>#NAME?</v>
      </c>
      <c r="AJ76" s="55" t="e">
        <f ca="1">_xll.EQNXTDZ($A$1,$B76,AJ$5,$B$1)</f>
        <v>#NAME?</v>
      </c>
      <c r="AK76" s="55" t="e">
        <f ca="1">_xll.EQNXTDZ($A$1,$B76,AK$5,$B$1)</f>
        <v>#NAME?</v>
      </c>
      <c r="AL76" s="55" t="e">
        <f ca="1">_xll.EQNXTDZ($A$1,$B76,AL$5,$B$1)</f>
        <v>#NAME?</v>
      </c>
      <c r="AM76" s="55" t="e">
        <f ca="1">_xll.EQNXTDZ($A$1,$B76,AM$5,$B$1)</f>
        <v>#NAME?</v>
      </c>
      <c r="AN76" s="55" t="e">
        <f ca="1">_xll.EQNXTDZ($A$1,$B76,AN$5,$B$1)</f>
        <v>#NAME?</v>
      </c>
      <c r="AO76" s="55" t="e">
        <f ca="1">_xll.EQNXTDZ($A$1,$B76,AO$5,$B$1)</f>
        <v>#NAME?</v>
      </c>
      <c r="AP76" s="55" t="e">
        <f ca="1">_xll.EQNXTDZ($A$1,$B76,AP$5,$B$1)</f>
        <v>#NAME?</v>
      </c>
      <c r="AQ76" s="55" t="e">
        <f ca="1">_xll.EQNXTDZ($A$1,$B76,AQ$5,$B$1)</f>
        <v>#NAME?</v>
      </c>
      <c r="AR76" s="55" t="e">
        <f ca="1">_xll.EQNXTDZ($A$1,$B76,AR$5,$B$1)</f>
        <v>#NAME?</v>
      </c>
      <c r="AS76" s="55" t="e">
        <f ca="1">_xll.EQNXTDZ($A$1,$B76,AS$5,$B$1)</f>
        <v>#NAME?</v>
      </c>
      <c r="AT76" s="55" t="e">
        <f ca="1">_xll.EQNXTDZ($A$1,$B76,AT$5,$B$1)</f>
        <v>#NAME?</v>
      </c>
      <c r="AU76" s="55" t="e">
        <f ca="1">_xll.EQNXTDZ($A$1,$B76,AU$5,$B$1)</f>
        <v>#NAME?</v>
      </c>
      <c r="AV76" s="55" t="e">
        <f ca="1">_xll.EQNXTDZ($A$1,$B76,AV$5,$B$1)</f>
        <v>#NAME?</v>
      </c>
      <c r="AW76" s="55" t="e">
        <f ca="1">_xll.EQNXTDZ($A$1,$B76,AW$5,$B$1)</f>
        <v>#NAME?</v>
      </c>
      <c r="AX76" s="55" t="e">
        <f ca="1">_xll.EQNXTDZ($A$1,$B76,AX$5,$B$1)</f>
        <v>#NAME?</v>
      </c>
      <c r="AY76" s="55" t="e">
        <f ca="1">_xll.EQNXTDZ($A$1,$B76,AY$5,$B$1)</f>
        <v>#NAME?</v>
      </c>
      <c r="AZ76" s="55" t="e">
        <f ca="1">_xll.EQNXTDZ($A$1,$B76,AZ$5,$B$1)</f>
        <v>#NAME?</v>
      </c>
      <c r="BA76" s="55" t="e">
        <f ca="1">_xll.EQNXTDZ($A$1,$B76,BA$5,$B$1)</f>
        <v>#NAME?</v>
      </c>
      <c r="BB76" s="55" t="e">
        <f ca="1">_xll.EQNXTDZ($A$1,$B76,BB$5,$B$1)</f>
        <v>#NAME?</v>
      </c>
      <c r="BC76" s="55" t="e">
        <f ca="1">_xll.EQNXTDZ($A$1,$B76,BC$5,$B$1)</f>
        <v>#NAME?</v>
      </c>
      <c r="BD76" s="55" t="e">
        <f ca="1">_xll.EQNXTDZ($A$1,$B76,BD$5,$B$1)</f>
        <v>#NAME?</v>
      </c>
      <c r="BE76" s="55" t="e">
        <f ca="1">_xll.EQNXTDZ($A$1,$B76,BE$5,$B$1)</f>
        <v>#NAME?</v>
      </c>
      <c r="BF76" s="55" t="e">
        <f ca="1">_xll.EQNXTDZ($A$1,$B76,BF$5,$B$1)</f>
        <v>#NAME?</v>
      </c>
      <c r="BG76" s="55" t="e">
        <f ca="1">_xll.EQNXTDZ($A$1,$B76,BG$5,$B$1)</f>
        <v>#NAME?</v>
      </c>
      <c r="BH76" s="55" t="e">
        <f ca="1">_xll.EQNXTDZ($A$1,$B76,BH$5,$B$1)</f>
        <v>#NAME?</v>
      </c>
      <c r="BI76" s="55" t="e">
        <f ca="1">_xll.EQNXTDZ($A$1,$B76,BI$5,$B$1)</f>
        <v>#NAME?</v>
      </c>
      <c r="BJ76" s="55" t="e">
        <f ca="1">_xll.EQNXTDZ($A$1,$B76,BJ$5,$B$1)</f>
        <v>#NAME?</v>
      </c>
      <c r="BK76" s="55" t="e">
        <f ca="1">_xll.EQNXTDZ($A$1,$B76,BK$5,$B$1)</f>
        <v>#NAME?</v>
      </c>
      <c r="BL76" s="55" t="e">
        <f ca="1">_xll.EQNXTDZ($A$1,$B76,BL$5,$B$1)</f>
        <v>#NAME?</v>
      </c>
      <c r="BM76" s="55" t="e">
        <f ca="1">_xll.EQNXTDZ($A$1,$B76,BM$5,$B$1)</f>
        <v>#NAME?</v>
      </c>
      <c r="BN76" s="55" t="e">
        <f ca="1">_xll.EQNXTDZ($A$1,$B76,BN$5,$B$1)</f>
        <v>#NAME?</v>
      </c>
      <c r="BO76" s="55" t="e">
        <f ca="1">_xll.EQNXTDZ($A$1,$B76,BO$5,$B$1)</f>
        <v>#NAME?</v>
      </c>
      <c r="BP76" s="55" t="e">
        <f ca="1">_xll.EQNXTDZ($A$1,$B76,BP$5,$B$1)</f>
        <v>#NAME?</v>
      </c>
      <c r="BQ76" s="55" t="e">
        <f ca="1">_xll.EQNXTDZ($A$1,$B76,BQ$5,$B$1)</f>
        <v>#NAME?</v>
      </c>
      <c r="BR76" s="55" t="e">
        <f ca="1">_xll.EQNXTDZ($A$1,$B76,BR$5,$B$1)</f>
        <v>#NAME?</v>
      </c>
      <c r="BS76" s="55" t="e">
        <f ca="1">_xll.EQNXTDZ($A$1,$B76,BS$5,$B$1)</f>
        <v>#NAME?</v>
      </c>
      <c r="BT76" s="55" t="e">
        <f ca="1">_xll.EQNXTDZ($A$1,$B76,BT$5,$B$1)</f>
        <v>#NAME?</v>
      </c>
      <c r="BU76" s="55" t="e">
        <f ca="1">_xll.EQNXTDZ($A$1,$B76,BU$5,$B$1)</f>
        <v>#NAME?</v>
      </c>
      <c r="BV76" s="55" t="e">
        <f ca="1">_xll.EQNXTDZ($A$1,$B76,BV$5,$B$1)</f>
        <v>#NAME?</v>
      </c>
    </row>
    <row r="77" spans="1:74" x14ac:dyDescent="0.25">
      <c r="A77" t="s">
        <v>365</v>
      </c>
      <c r="B77" t="s">
        <v>393</v>
      </c>
      <c r="C77" s="55" t="e">
        <f ca="1">_xll.EQNXTDZ($A$1,$B77,C$5,$B$1)</f>
        <v>#NAME?</v>
      </c>
      <c r="D77" s="55" t="e">
        <f ca="1">_xll.EQNXTDZ($A$1,$B77,D$5,$B$1)</f>
        <v>#NAME?</v>
      </c>
      <c r="E77" s="55" t="e">
        <f ca="1">_xll.EQNXTDZ($A$1,$B77,E$5,$B$1)</f>
        <v>#NAME?</v>
      </c>
      <c r="F77" s="55" t="e">
        <f ca="1">_xll.EQNXTDZ($A$1,$B77,F$5,$B$1)</f>
        <v>#NAME?</v>
      </c>
      <c r="G77" s="55" t="e">
        <f ca="1">_xll.EQNXTDZ($A$1,$B77,G$5,$B$1)</f>
        <v>#NAME?</v>
      </c>
      <c r="H77" s="55" t="e">
        <f ca="1">_xll.EQNXTDZ($A$1,$B77,H$5,$B$1)</f>
        <v>#NAME?</v>
      </c>
      <c r="I77" s="55" t="e">
        <f ca="1">_xll.EQNXTDZ($A$1,$B77,I$5,$B$1)</f>
        <v>#NAME?</v>
      </c>
      <c r="J77" s="55" t="e">
        <f ca="1">_xll.EQNXTDZ($A$1,$B77,J$5,$B$1)</f>
        <v>#NAME?</v>
      </c>
      <c r="K77" s="55" t="e">
        <f ca="1">_xll.EQNXTDZ($A$1,$B77,K$5,$B$1)</f>
        <v>#NAME?</v>
      </c>
      <c r="L77" s="55" t="e">
        <f ca="1">_xll.EQNXTDZ($A$1,$B77,L$5,$B$1)</f>
        <v>#NAME?</v>
      </c>
      <c r="M77" s="55" t="e">
        <f ca="1">_xll.EQNXTDZ($A$1,$B77,M$5,$B$1)</f>
        <v>#NAME?</v>
      </c>
      <c r="N77" s="55" t="e">
        <f ca="1">_xll.EQNXTDZ($A$1,$B77,N$5,$B$1)</f>
        <v>#NAME?</v>
      </c>
      <c r="O77" s="55" t="e">
        <f ca="1">_xll.EQNXTDZ($A$1,$B77,O$5,$B$1)</f>
        <v>#NAME?</v>
      </c>
      <c r="P77" s="55" t="e">
        <f ca="1">_xll.EQNXTDZ($A$1,$B77,P$5,$B$1)</f>
        <v>#NAME?</v>
      </c>
      <c r="Q77" s="55" t="e">
        <f ca="1">_xll.EQNXTDZ($A$1,$B77,Q$5,$B$1)</f>
        <v>#NAME?</v>
      </c>
      <c r="R77" s="55" t="e">
        <f ca="1">_xll.EQNXTDZ($A$1,$B77,R$5,$B$1)</f>
        <v>#NAME?</v>
      </c>
      <c r="S77" s="55" t="e">
        <f ca="1">_xll.EQNXTDZ($A$1,$B77,S$5,$B$1)</f>
        <v>#NAME?</v>
      </c>
      <c r="T77" s="55" t="e">
        <f ca="1">_xll.EQNXTDZ($A$1,$B77,T$5,$B$1)</f>
        <v>#NAME?</v>
      </c>
      <c r="U77" s="55" t="e">
        <f ca="1">_xll.EQNXTDZ($A$1,$B77,U$5,$B$1)</f>
        <v>#NAME?</v>
      </c>
      <c r="V77" s="55" t="e">
        <f ca="1">_xll.EQNXTDZ($A$1,$B77,V$5,$B$1)</f>
        <v>#NAME?</v>
      </c>
      <c r="W77" s="55" t="e">
        <f ca="1">_xll.EQNXTDZ($A$1,$B77,W$5,$B$1)</f>
        <v>#NAME?</v>
      </c>
      <c r="X77" s="55" t="e">
        <f ca="1">_xll.EQNXTDZ($A$1,$B77,X$5,$B$1)</f>
        <v>#NAME?</v>
      </c>
      <c r="Y77" s="55" t="e">
        <f ca="1">_xll.EQNXTDZ($A$1,$B77,Y$5,$B$1)</f>
        <v>#NAME?</v>
      </c>
      <c r="Z77" s="55" t="e">
        <f ca="1">_xll.EQNXTDZ($A$1,$B77,Z$5,$B$1)</f>
        <v>#NAME?</v>
      </c>
      <c r="AA77" s="55" t="e">
        <f ca="1">_xll.EQNXTDZ($A$1,$B77,AA$5,$B$1)</f>
        <v>#NAME?</v>
      </c>
      <c r="AB77" s="55" t="e">
        <f ca="1">_xll.EQNXTDZ($A$1,$B77,AB$5,$B$1)</f>
        <v>#NAME?</v>
      </c>
      <c r="AC77" s="55" t="e">
        <f ca="1">_xll.EQNXTDZ($A$1,$B77,AC$5,$B$1)</f>
        <v>#NAME?</v>
      </c>
      <c r="AD77" s="55" t="e">
        <f ca="1">_xll.EQNXTDZ($A$1,$B77,AD$5,$B$1)</f>
        <v>#NAME?</v>
      </c>
      <c r="AE77" s="55" t="e">
        <f ca="1">_xll.EQNXTDZ($A$1,$B77,AE$5,$B$1)</f>
        <v>#NAME?</v>
      </c>
      <c r="AF77" s="55" t="e">
        <f ca="1">_xll.EQNXTDZ($A$1,$B77,AF$5,$B$1)</f>
        <v>#NAME?</v>
      </c>
      <c r="AG77" s="55" t="e">
        <f ca="1">_xll.EQNXTDZ($A$1,$B77,AG$5,$B$1)</f>
        <v>#NAME?</v>
      </c>
      <c r="AH77" s="55" t="e">
        <f ca="1">_xll.EQNXTDZ($A$1,$B77,AH$5,$B$1)</f>
        <v>#NAME?</v>
      </c>
      <c r="AI77" s="55" t="e">
        <f ca="1">_xll.EQNXTDZ($A$1,$B77,AI$5,$B$1)</f>
        <v>#NAME?</v>
      </c>
      <c r="AJ77" s="55" t="e">
        <f ca="1">_xll.EQNXTDZ($A$1,$B77,AJ$5,$B$1)</f>
        <v>#NAME?</v>
      </c>
      <c r="AK77" s="55" t="e">
        <f ca="1">_xll.EQNXTDZ($A$1,$B77,AK$5,$B$1)</f>
        <v>#NAME?</v>
      </c>
      <c r="AL77" s="55" t="e">
        <f ca="1">_xll.EQNXTDZ($A$1,$B77,AL$5,$B$1)</f>
        <v>#NAME?</v>
      </c>
      <c r="AM77" s="55" t="e">
        <f ca="1">_xll.EQNXTDZ($A$1,$B77,AM$5,$B$1)</f>
        <v>#NAME?</v>
      </c>
      <c r="AN77" s="55" t="e">
        <f ca="1">_xll.EQNXTDZ($A$1,$B77,AN$5,$B$1)</f>
        <v>#NAME?</v>
      </c>
      <c r="AO77" s="55" t="e">
        <f ca="1">_xll.EQNXTDZ($A$1,$B77,AO$5,$B$1)</f>
        <v>#NAME?</v>
      </c>
      <c r="AP77" s="55" t="e">
        <f ca="1">_xll.EQNXTDZ($A$1,$B77,AP$5,$B$1)</f>
        <v>#NAME?</v>
      </c>
      <c r="AQ77" s="55" t="e">
        <f ca="1">_xll.EQNXTDZ($A$1,$B77,AQ$5,$B$1)</f>
        <v>#NAME?</v>
      </c>
      <c r="AR77" s="55" t="e">
        <f ca="1">_xll.EQNXTDZ($A$1,$B77,AR$5,$B$1)</f>
        <v>#NAME?</v>
      </c>
      <c r="AS77" s="55" t="e">
        <f ca="1">_xll.EQNXTDZ($A$1,$B77,AS$5,$B$1)</f>
        <v>#NAME?</v>
      </c>
      <c r="AT77" s="55" t="e">
        <f ca="1">_xll.EQNXTDZ($A$1,$B77,AT$5,$B$1)</f>
        <v>#NAME?</v>
      </c>
      <c r="AU77" s="55" t="e">
        <f ca="1">_xll.EQNXTDZ($A$1,$B77,AU$5,$B$1)</f>
        <v>#NAME?</v>
      </c>
      <c r="AV77" s="55" t="e">
        <f ca="1">_xll.EQNXTDZ($A$1,$B77,AV$5,$B$1)</f>
        <v>#NAME?</v>
      </c>
      <c r="AW77" s="55" t="e">
        <f ca="1">_xll.EQNXTDZ($A$1,$B77,AW$5,$B$1)</f>
        <v>#NAME?</v>
      </c>
      <c r="AX77" s="55" t="e">
        <f ca="1">_xll.EQNXTDZ($A$1,$B77,AX$5,$B$1)</f>
        <v>#NAME?</v>
      </c>
      <c r="AY77" s="55" t="e">
        <f ca="1">_xll.EQNXTDZ($A$1,$B77,AY$5,$B$1)</f>
        <v>#NAME?</v>
      </c>
      <c r="AZ77" s="55" t="e">
        <f ca="1">_xll.EQNXTDZ($A$1,$B77,AZ$5,$B$1)</f>
        <v>#NAME?</v>
      </c>
      <c r="BA77" s="55" t="e">
        <f ca="1">_xll.EQNXTDZ($A$1,$B77,BA$5,$B$1)</f>
        <v>#NAME?</v>
      </c>
      <c r="BB77" s="55" t="e">
        <f ca="1">_xll.EQNXTDZ($A$1,$B77,BB$5,$B$1)</f>
        <v>#NAME?</v>
      </c>
      <c r="BC77" s="55" t="e">
        <f ca="1">_xll.EQNXTDZ($A$1,$B77,BC$5,$B$1)</f>
        <v>#NAME?</v>
      </c>
      <c r="BD77" s="55" t="e">
        <f ca="1">_xll.EQNXTDZ($A$1,$B77,BD$5,$B$1)</f>
        <v>#NAME?</v>
      </c>
      <c r="BE77" s="55" t="e">
        <f ca="1">_xll.EQNXTDZ($A$1,$B77,BE$5,$B$1)</f>
        <v>#NAME?</v>
      </c>
      <c r="BF77" s="55" t="e">
        <f ca="1">_xll.EQNXTDZ($A$1,$B77,BF$5,$B$1)</f>
        <v>#NAME?</v>
      </c>
      <c r="BG77" s="55" t="e">
        <f ca="1">_xll.EQNXTDZ($A$1,$B77,BG$5,$B$1)</f>
        <v>#NAME?</v>
      </c>
      <c r="BH77" s="55" t="e">
        <f ca="1">_xll.EQNXTDZ($A$1,$B77,BH$5,$B$1)</f>
        <v>#NAME?</v>
      </c>
      <c r="BI77" s="55" t="e">
        <f ca="1">_xll.EQNXTDZ($A$1,$B77,BI$5,$B$1)</f>
        <v>#NAME?</v>
      </c>
      <c r="BJ77" s="55" t="e">
        <f ca="1">_xll.EQNXTDZ($A$1,$B77,BJ$5,$B$1)</f>
        <v>#NAME?</v>
      </c>
      <c r="BK77" s="55" t="e">
        <f ca="1">_xll.EQNXTDZ($A$1,$B77,BK$5,$B$1)</f>
        <v>#NAME?</v>
      </c>
      <c r="BL77" s="55" t="e">
        <f ca="1">_xll.EQNXTDZ($A$1,$B77,BL$5,$B$1)</f>
        <v>#NAME?</v>
      </c>
      <c r="BM77" s="55" t="e">
        <f ca="1">_xll.EQNXTDZ($A$1,$B77,BM$5,$B$1)</f>
        <v>#NAME?</v>
      </c>
      <c r="BN77" s="55" t="e">
        <f ca="1">_xll.EQNXTDZ($A$1,$B77,BN$5,$B$1)</f>
        <v>#NAME?</v>
      </c>
      <c r="BO77" s="55" t="e">
        <f ca="1">_xll.EQNXTDZ($A$1,$B77,BO$5,$B$1)</f>
        <v>#NAME?</v>
      </c>
      <c r="BP77" s="55" t="e">
        <f ca="1">_xll.EQNXTDZ($A$1,$B77,BP$5,$B$1)</f>
        <v>#NAME?</v>
      </c>
      <c r="BQ77" s="55" t="e">
        <f ca="1">_xll.EQNXTDZ($A$1,$B77,BQ$5,$B$1)</f>
        <v>#NAME?</v>
      </c>
      <c r="BR77" s="55" t="e">
        <f ca="1">_xll.EQNXTDZ($A$1,$B77,BR$5,$B$1)</f>
        <v>#NAME?</v>
      </c>
      <c r="BS77" s="55" t="e">
        <f ca="1">_xll.EQNXTDZ($A$1,$B77,BS$5,$B$1)</f>
        <v>#NAME?</v>
      </c>
      <c r="BT77" s="55" t="e">
        <f ca="1">_xll.EQNXTDZ($A$1,$B77,BT$5,$B$1)</f>
        <v>#NAME?</v>
      </c>
      <c r="BU77" s="55" t="e">
        <f ca="1">_xll.EQNXTDZ($A$1,$B77,BU$5,$B$1)</f>
        <v>#NAME?</v>
      </c>
      <c r="BV77" s="55" t="e">
        <f ca="1">_xll.EQNXTDZ($A$1,$B77,BV$5,$B$1)</f>
        <v>#NAME?</v>
      </c>
    </row>
    <row r="78" spans="1:74" x14ac:dyDescent="0.25">
      <c r="A78" t="s">
        <v>59</v>
      </c>
      <c r="B78" t="s">
        <v>394</v>
      </c>
      <c r="C78" s="55" t="e">
        <f ca="1">_xll.EQNXTDZ($A$1,$B78,C$5,$B$1)</f>
        <v>#NAME?</v>
      </c>
      <c r="D78" s="55" t="e">
        <f ca="1">_xll.EQNXTDZ($A$1,$B78,D$5,$B$1)</f>
        <v>#NAME?</v>
      </c>
      <c r="E78" s="55" t="e">
        <f ca="1">_xll.EQNXTDZ($A$1,$B78,E$5,$B$1)</f>
        <v>#NAME?</v>
      </c>
      <c r="F78" s="55" t="e">
        <f ca="1">_xll.EQNXTDZ($A$1,$B78,F$5,$B$1)</f>
        <v>#NAME?</v>
      </c>
      <c r="G78" s="55" t="e">
        <f ca="1">_xll.EQNXTDZ($A$1,$B78,G$5,$B$1)</f>
        <v>#NAME?</v>
      </c>
      <c r="H78" s="55" t="e">
        <f ca="1">_xll.EQNXTDZ($A$1,$B78,H$5,$B$1)</f>
        <v>#NAME?</v>
      </c>
      <c r="I78" s="55" t="e">
        <f ca="1">_xll.EQNXTDZ($A$1,$B78,I$5,$B$1)</f>
        <v>#NAME?</v>
      </c>
      <c r="J78" s="55" t="e">
        <f ca="1">_xll.EQNXTDZ($A$1,$B78,J$5,$B$1)</f>
        <v>#NAME?</v>
      </c>
      <c r="K78" s="55" t="e">
        <f ca="1">_xll.EQNXTDZ($A$1,$B78,K$5,$B$1)</f>
        <v>#NAME?</v>
      </c>
      <c r="L78" s="55" t="e">
        <f ca="1">_xll.EQNXTDZ($A$1,$B78,L$5,$B$1)</f>
        <v>#NAME?</v>
      </c>
      <c r="M78" s="55" t="e">
        <f ca="1">_xll.EQNXTDZ($A$1,$B78,M$5,$B$1)</f>
        <v>#NAME?</v>
      </c>
      <c r="N78" s="55" t="e">
        <f ca="1">_xll.EQNXTDZ($A$1,$B78,N$5,$B$1)</f>
        <v>#NAME?</v>
      </c>
      <c r="O78" s="55" t="e">
        <f ca="1">_xll.EQNXTDZ($A$1,$B78,O$5,$B$1)</f>
        <v>#NAME?</v>
      </c>
      <c r="P78" s="55" t="e">
        <f ca="1">_xll.EQNXTDZ($A$1,$B78,P$5,$B$1)</f>
        <v>#NAME?</v>
      </c>
      <c r="Q78" s="55" t="e">
        <f ca="1">_xll.EQNXTDZ($A$1,$B78,Q$5,$B$1)</f>
        <v>#NAME?</v>
      </c>
      <c r="R78" s="55" t="e">
        <f ca="1">_xll.EQNXTDZ($A$1,$B78,R$5,$B$1)</f>
        <v>#NAME?</v>
      </c>
      <c r="S78" s="55" t="e">
        <f ca="1">_xll.EQNXTDZ($A$1,$B78,S$5,$B$1)</f>
        <v>#NAME?</v>
      </c>
      <c r="T78" s="55" t="e">
        <f ca="1">_xll.EQNXTDZ($A$1,$B78,T$5,$B$1)</f>
        <v>#NAME?</v>
      </c>
      <c r="U78" s="55" t="e">
        <f ca="1">_xll.EQNXTDZ($A$1,$B78,U$5,$B$1)</f>
        <v>#NAME?</v>
      </c>
      <c r="V78" s="55" t="e">
        <f ca="1">_xll.EQNXTDZ($A$1,$B78,V$5,$B$1)</f>
        <v>#NAME?</v>
      </c>
      <c r="W78" s="55" t="e">
        <f ca="1">_xll.EQNXTDZ($A$1,$B78,W$5,$B$1)</f>
        <v>#NAME?</v>
      </c>
      <c r="X78" s="55" t="e">
        <f ca="1">_xll.EQNXTDZ($A$1,$B78,X$5,$B$1)</f>
        <v>#NAME?</v>
      </c>
      <c r="Y78" s="55" t="e">
        <f ca="1">_xll.EQNXTDZ($A$1,$B78,Y$5,$B$1)</f>
        <v>#NAME?</v>
      </c>
      <c r="Z78" s="55" t="e">
        <f ca="1">_xll.EQNXTDZ($A$1,$B78,Z$5,$B$1)</f>
        <v>#NAME?</v>
      </c>
      <c r="AA78" s="55" t="e">
        <f ca="1">_xll.EQNXTDZ($A$1,$B78,AA$5,$B$1)</f>
        <v>#NAME?</v>
      </c>
      <c r="AB78" s="55" t="e">
        <f ca="1">_xll.EQNXTDZ($A$1,$B78,AB$5,$B$1)</f>
        <v>#NAME?</v>
      </c>
      <c r="AC78" s="55" t="e">
        <f ca="1">_xll.EQNXTDZ($A$1,$B78,AC$5,$B$1)</f>
        <v>#NAME?</v>
      </c>
      <c r="AD78" s="55" t="e">
        <f ca="1">_xll.EQNXTDZ($A$1,$B78,AD$5,$B$1)</f>
        <v>#NAME?</v>
      </c>
      <c r="AE78" s="55" t="e">
        <f ca="1">_xll.EQNXTDZ($A$1,$B78,AE$5,$B$1)</f>
        <v>#NAME?</v>
      </c>
      <c r="AF78" s="55" t="e">
        <f ca="1">_xll.EQNXTDZ($A$1,$B78,AF$5,$B$1)</f>
        <v>#NAME?</v>
      </c>
      <c r="AG78" s="55" t="e">
        <f ca="1">_xll.EQNXTDZ($A$1,$B78,AG$5,$B$1)</f>
        <v>#NAME?</v>
      </c>
      <c r="AH78" s="55" t="e">
        <f ca="1">_xll.EQNXTDZ($A$1,$B78,AH$5,$B$1)</f>
        <v>#NAME?</v>
      </c>
      <c r="AI78" s="55" t="e">
        <f ca="1">_xll.EQNXTDZ($A$1,$B78,AI$5,$B$1)</f>
        <v>#NAME?</v>
      </c>
      <c r="AJ78" s="55" t="e">
        <f ca="1">_xll.EQNXTDZ($A$1,$B78,AJ$5,$B$1)</f>
        <v>#NAME?</v>
      </c>
      <c r="AK78" s="55" t="e">
        <f ca="1">_xll.EQNXTDZ($A$1,$B78,AK$5,$B$1)</f>
        <v>#NAME?</v>
      </c>
      <c r="AL78" s="55" t="e">
        <f ca="1">_xll.EQNXTDZ($A$1,$B78,AL$5,$B$1)</f>
        <v>#NAME?</v>
      </c>
      <c r="AM78" s="55" t="e">
        <f ca="1">_xll.EQNXTDZ($A$1,$B78,AM$5,$B$1)</f>
        <v>#NAME?</v>
      </c>
      <c r="AN78" s="55" t="e">
        <f ca="1">_xll.EQNXTDZ($A$1,$B78,AN$5,$B$1)</f>
        <v>#NAME?</v>
      </c>
      <c r="AO78" s="55" t="e">
        <f ca="1">_xll.EQNXTDZ($A$1,$B78,AO$5,$B$1)</f>
        <v>#NAME?</v>
      </c>
      <c r="AP78" s="55" t="e">
        <f ca="1">_xll.EQNXTDZ($A$1,$B78,AP$5,$B$1)</f>
        <v>#NAME?</v>
      </c>
      <c r="AQ78" s="55" t="e">
        <f ca="1">_xll.EQNXTDZ($A$1,$B78,AQ$5,$B$1)</f>
        <v>#NAME?</v>
      </c>
      <c r="AR78" s="55" t="e">
        <f ca="1">_xll.EQNXTDZ($A$1,$B78,AR$5,$B$1)</f>
        <v>#NAME?</v>
      </c>
      <c r="AS78" s="55" t="e">
        <f ca="1">_xll.EQNXTDZ($A$1,$B78,AS$5,$B$1)</f>
        <v>#NAME?</v>
      </c>
      <c r="AT78" s="55" t="e">
        <f ca="1">_xll.EQNXTDZ($A$1,$B78,AT$5,$B$1)</f>
        <v>#NAME?</v>
      </c>
      <c r="AU78" s="55" t="e">
        <f ca="1">_xll.EQNXTDZ($A$1,$B78,AU$5,$B$1)</f>
        <v>#NAME?</v>
      </c>
      <c r="AV78" s="55" t="e">
        <f ca="1">_xll.EQNXTDZ($A$1,$B78,AV$5,$B$1)</f>
        <v>#NAME?</v>
      </c>
      <c r="AW78" s="55" t="e">
        <f ca="1">_xll.EQNXTDZ($A$1,$B78,AW$5,$B$1)</f>
        <v>#NAME?</v>
      </c>
      <c r="AX78" s="55" t="e">
        <f ca="1">_xll.EQNXTDZ($A$1,$B78,AX$5,$B$1)</f>
        <v>#NAME?</v>
      </c>
      <c r="AY78" s="55" t="e">
        <f ca="1">_xll.EQNXTDZ($A$1,$B78,AY$5,$B$1)</f>
        <v>#NAME?</v>
      </c>
      <c r="AZ78" s="55" t="e">
        <f ca="1">_xll.EQNXTDZ($A$1,$B78,AZ$5,$B$1)</f>
        <v>#NAME?</v>
      </c>
      <c r="BA78" s="55" t="e">
        <f ca="1">_xll.EQNXTDZ($A$1,$B78,BA$5,$B$1)</f>
        <v>#NAME?</v>
      </c>
      <c r="BB78" s="55" t="e">
        <f ca="1">_xll.EQNXTDZ($A$1,$B78,BB$5,$B$1)</f>
        <v>#NAME?</v>
      </c>
      <c r="BC78" s="55" t="e">
        <f ca="1">_xll.EQNXTDZ($A$1,$B78,BC$5,$B$1)</f>
        <v>#NAME?</v>
      </c>
      <c r="BD78" s="55" t="e">
        <f ca="1">_xll.EQNXTDZ($A$1,$B78,BD$5,$B$1)</f>
        <v>#NAME?</v>
      </c>
      <c r="BE78" s="55" t="e">
        <f ca="1">_xll.EQNXTDZ($A$1,$B78,BE$5,$B$1)</f>
        <v>#NAME?</v>
      </c>
      <c r="BF78" s="55" t="e">
        <f ca="1">_xll.EQNXTDZ($A$1,$B78,BF$5,$B$1)</f>
        <v>#NAME?</v>
      </c>
      <c r="BG78" s="55" t="e">
        <f ca="1">_xll.EQNXTDZ($A$1,$B78,BG$5,$B$1)</f>
        <v>#NAME?</v>
      </c>
      <c r="BH78" s="55" t="e">
        <f ca="1">_xll.EQNXTDZ($A$1,$B78,BH$5,$B$1)</f>
        <v>#NAME?</v>
      </c>
      <c r="BI78" s="55" t="e">
        <f ca="1">_xll.EQNXTDZ($A$1,$B78,BI$5,$B$1)</f>
        <v>#NAME?</v>
      </c>
      <c r="BJ78" s="55" t="e">
        <f ca="1">_xll.EQNXTDZ($A$1,$B78,BJ$5,$B$1)</f>
        <v>#NAME?</v>
      </c>
      <c r="BK78" s="55" t="e">
        <f ca="1">_xll.EQNXTDZ($A$1,$B78,BK$5,$B$1)</f>
        <v>#NAME?</v>
      </c>
      <c r="BL78" s="55" t="e">
        <f ca="1">_xll.EQNXTDZ($A$1,$B78,BL$5,$B$1)</f>
        <v>#NAME?</v>
      </c>
      <c r="BM78" s="55" t="e">
        <f ca="1">_xll.EQNXTDZ($A$1,$B78,BM$5,$B$1)</f>
        <v>#NAME?</v>
      </c>
      <c r="BN78" s="55" t="e">
        <f ca="1">_xll.EQNXTDZ($A$1,$B78,BN$5,$B$1)</f>
        <v>#NAME?</v>
      </c>
      <c r="BO78" s="55" t="e">
        <f ca="1">_xll.EQNXTDZ($A$1,$B78,BO$5,$B$1)</f>
        <v>#NAME?</v>
      </c>
      <c r="BP78" s="55" t="e">
        <f ca="1">_xll.EQNXTDZ($A$1,$B78,BP$5,$B$1)</f>
        <v>#NAME?</v>
      </c>
      <c r="BQ78" s="55" t="e">
        <f ca="1">_xll.EQNXTDZ($A$1,$B78,BQ$5,$B$1)</f>
        <v>#NAME?</v>
      </c>
      <c r="BR78" s="55" t="e">
        <f ca="1">_xll.EQNXTDZ($A$1,$B78,BR$5,$B$1)</f>
        <v>#NAME?</v>
      </c>
      <c r="BS78" s="55" t="e">
        <f ca="1">_xll.EQNXTDZ($A$1,$B78,BS$5,$B$1)</f>
        <v>#NAME?</v>
      </c>
      <c r="BT78" s="55" t="e">
        <f ca="1">_xll.EQNXTDZ($A$1,$B78,BT$5,$B$1)</f>
        <v>#NAME?</v>
      </c>
      <c r="BU78" s="55" t="e">
        <f ca="1">_xll.EQNXTDZ($A$1,$B78,BU$5,$B$1)</f>
        <v>#NAME?</v>
      </c>
      <c r="BV78" s="55" t="e">
        <f ca="1">_xll.EQNXTDZ($A$1,$B78,BV$5,$B$1)</f>
        <v>#NAME?</v>
      </c>
    </row>
    <row r="79" spans="1:74" x14ac:dyDescent="0.25">
      <c r="A79" t="s">
        <v>60</v>
      </c>
      <c r="B79" t="s">
        <v>395</v>
      </c>
      <c r="C79" s="55" t="e">
        <f ca="1">_xll.EQNXTDZ($A$1,$B79,C$5,$B$1)</f>
        <v>#NAME?</v>
      </c>
      <c r="D79" s="55" t="e">
        <f ca="1">_xll.EQNXTDZ($A$1,$B79,D$5,$B$1)</f>
        <v>#NAME?</v>
      </c>
      <c r="E79" s="55" t="e">
        <f ca="1">_xll.EQNXTDZ($A$1,$B79,E$5,$B$1)</f>
        <v>#NAME?</v>
      </c>
      <c r="F79" s="55" t="e">
        <f ca="1">_xll.EQNXTDZ($A$1,$B79,F$5,$B$1)</f>
        <v>#NAME?</v>
      </c>
      <c r="G79" s="55" t="e">
        <f ca="1">_xll.EQNXTDZ($A$1,$B79,G$5,$B$1)</f>
        <v>#NAME?</v>
      </c>
      <c r="H79" s="55" t="e">
        <f ca="1">_xll.EQNXTDZ($A$1,$B79,H$5,$B$1)</f>
        <v>#NAME?</v>
      </c>
      <c r="I79" s="55" t="e">
        <f ca="1">_xll.EQNXTDZ($A$1,$B79,I$5,$B$1)</f>
        <v>#NAME?</v>
      </c>
      <c r="J79" s="55" t="e">
        <f ca="1">_xll.EQNXTDZ($A$1,$B79,J$5,$B$1)</f>
        <v>#NAME?</v>
      </c>
      <c r="K79" s="55" t="e">
        <f ca="1">_xll.EQNXTDZ($A$1,$B79,K$5,$B$1)</f>
        <v>#NAME?</v>
      </c>
      <c r="L79" s="55" t="e">
        <f ca="1">_xll.EQNXTDZ($A$1,$B79,L$5,$B$1)</f>
        <v>#NAME?</v>
      </c>
      <c r="M79" s="55" t="e">
        <f ca="1">_xll.EQNXTDZ($A$1,$B79,M$5,$B$1)</f>
        <v>#NAME?</v>
      </c>
      <c r="N79" s="55" t="e">
        <f ca="1">_xll.EQNXTDZ($A$1,$B79,N$5,$B$1)</f>
        <v>#NAME?</v>
      </c>
      <c r="O79" s="55" t="e">
        <f ca="1">_xll.EQNXTDZ($A$1,$B79,O$5,$B$1)</f>
        <v>#NAME?</v>
      </c>
      <c r="P79" s="55" t="e">
        <f ca="1">_xll.EQNXTDZ($A$1,$B79,P$5,$B$1)</f>
        <v>#NAME?</v>
      </c>
      <c r="Q79" s="55" t="e">
        <f ca="1">_xll.EQNXTDZ($A$1,$B79,Q$5,$B$1)</f>
        <v>#NAME?</v>
      </c>
      <c r="R79" s="55" t="e">
        <f ca="1">_xll.EQNXTDZ($A$1,$B79,R$5,$B$1)</f>
        <v>#NAME?</v>
      </c>
      <c r="S79" s="55" t="e">
        <f ca="1">_xll.EQNXTDZ($A$1,$B79,S$5,$B$1)</f>
        <v>#NAME?</v>
      </c>
      <c r="T79" s="55" t="e">
        <f ca="1">_xll.EQNXTDZ($A$1,$B79,T$5,$B$1)</f>
        <v>#NAME?</v>
      </c>
      <c r="U79" s="55" t="e">
        <f ca="1">_xll.EQNXTDZ($A$1,$B79,U$5,$B$1)</f>
        <v>#NAME?</v>
      </c>
      <c r="V79" s="55" t="e">
        <f ca="1">_xll.EQNXTDZ($A$1,$B79,V$5,$B$1)</f>
        <v>#NAME?</v>
      </c>
      <c r="W79" s="55" t="e">
        <f ca="1">_xll.EQNXTDZ($A$1,$B79,W$5,$B$1)</f>
        <v>#NAME?</v>
      </c>
      <c r="X79" s="55" t="e">
        <f ca="1">_xll.EQNXTDZ($A$1,$B79,X$5,$B$1)</f>
        <v>#NAME?</v>
      </c>
      <c r="Y79" s="55" t="e">
        <f ca="1">_xll.EQNXTDZ($A$1,$B79,Y$5,$B$1)</f>
        <v>#NAME?</v>
      </c>
      <c r="Z79" s="55" t="e">
        <f ca="1">_xll.EQNXTDZ($A$1,$B79,Z$5,$B$1)</f>
        <v>#NAME?</v>
      </c>
      <c r="AA79" s="55" t="e">
        <f ca="1">_xll.EQNXTDZ($A$1,$B79,AA$5,$B$1)</f>
        <v>#NAME?</v>
      </c>
      <c r="AB79" s="55" t="e">
        <f ca="1">_xll.EQNXTDZ($A$1,$B79,AB$5,$B$1)</f>
        <v>#NAME?</v>
      </c>
      <c r="AC79" s="55" t="e">
        <f ca="1">_xll.EQNXTDZ($A$1,$B79,AC$5,$B$1)</f>
        <v>#NAME?</v>
      </c>
      <c r="AD79" s="55" t="e">
        <f ca="1">_xll.EQNXTDZ($A$1,$B79,AD$5,$B$1)</f>
        <v>#NAME?</v>
      </c>
      <c r="AE79" s="55" t="e">
        <f ca="1">_xll.EQNXTDZ($A$1,$B79,AE$5,$B$1)</f>
        <v>#NAME?</v>
      </c>
      <c r="AF79" s="55" t="e">
        <f ca="1">_xll.EQNXTDZ($A$1,$B79,AF$5,$B$1)</f>
        <v>#NAME?</v>
      </c>
      <c r="AG79" s="55" t="e">
        <f ca="1">_xll.EQNXTDZ($A$1,$B79,AG$5,$B$1)</f>
        <v>#NAME?</v>
      </c>
      <c r="AH79" s="55" t="e">
        <f ca="1">_xll.EQNXTDZ($A$1,$B79,AH$5,$B$1)</f>
        <v>#NAME?</v>
      </c>
      <c r="AI79" s="55" t="e">
        <f ca="1">_xll.EQNXTDZ($A$1,$B79,AI$5,$B$1)</f>
        <v>#NAME?</v>
      </c>
      <c r="AJ79" s="55" t="e">
        <f ca="1">_xll.EQNXTDZ($A$1,$B79,AJ$5,$B$1)</f>
        <v>#NAME?</v>
      </c>
      <c r="AK79" s="55" t="e">
        <f ca="1">_xll.EQNXTDZ($A$1,$B79,AK$5,$B$1)</f>
        <v>#NAME?</v>
      </c>
      <c r="AL79" s="55" t="e">
        <f ca="1">_xll.EQNXTDZ($A$1,$B79,AL$5,$B$1)</f>
        <v>#NAME?</v>
      </c>
      <c r="AM79" s="55" t="e">
        <f ca="1">_xll.EQNXTDZ($A$1,$B79,AM$5,$B$1)</f>
        <v>#NAME?</v>
      </c>
      <c r="AN79" s="55" t="e">
        <f ca="1">_xll.EQNXTDZ($A$1,$B79,AN$5,$B$1)</f>
        <v>#NAME?</v>
      </c>
      <c r="AO79" s="55" t="e">
        <f ca="1">_xll.EQNXTDZ($A$1,$B79,AO$5,$B$1)</f>
        <v>#NAME?</v>
      </c>
      <c r="AP79" s="55" t="e">
        <f ca="1">_xll.EQNXTDZ($A$1,$B79,AP$5,$B$1)</f>
        <v>#NAME?</v>
      </c>
      <c r="AQ79" s="55" t="e">
        <f ca="1">_xll.EQNXTDZ($A$1,$B79,AQ$5,$B$1)</f>
        <v>#NAME?</v>
      </c>
      <c r="AR79" s="55" t="e">
        <f ca="1">_xll.EQNXTDZ($A$1,$B79,AR$5,$B$1)</f>
        <v>#NAME?</v>
      </c>
      <c r="AS79" s="55" t="e">
        <f ca="1">_xll.EQNXTDZ($A$1,$B79,AS$5,$B$1)</f>
        <v>#NAME?</v>
      </c>
      <c r="AT79" s="55" t="e">
        <f ca="1">_xll.EQNXTDZ($A$1,$B79,AT$5,$B$1)</f>
        <v>#NAME?</v>
      </c>
      <c r="AU79" s="55" t="e">
        <f ca="1">_xll.EQNXTDZ($A$1,$B79,AU$5,$B$1)</f>
        <v>#NAME?</v>
      </c>
      <c r="AV79" s="55" t="e">
        <f ca="1">_xll.EQNXTDZ($A$1,$B79,AV$5,$B$1)</f>
        <v>#NAME?</v>
      </c>
      <c r="AW79" s="55" t="e">
        <f ca="1">_xll.EQNXTDZ($A$1,$B79,AW$5,$B$1)</f>
        <v>#NAME?</v>
      </c>
      <c r="AX79" s="55" t="e">
        <f ca="1">_xll.EQNXTDZ($A$1,$B79,AX$5,$B$1)</f>
        <v>#NAME?</v>
      </c>
      <c r="AY79" s="55" t="e">
        <f ca="1">_xll.EQNXTDZ($A$1,$B79,AY$5,$B$1)</f>
        <v>#NAME?</v>
      </c>
      <c r="AZ79" s="55" t="e">
        <f ca="1">_xll.EQNXTDZ($A$1,$B79,AZ$5,$B$1)</f>
        <v>#NAME?</v>
      </c>
      <c r="BA79" s="55" t="e">
        <f ca="1">_xll.EQNXTDZ($A$1,$B79,BA$5,$B$1)</f>
        <v>#NAME?</v>
      </c>
      <c r="BB79" s="55" t="e">
        <f ca="1">_xll.EQNXTDZ($A$1,$B79,BB$5,$B$1)</f>
        <v>#NAME?</v>
      </c>
      <c r="BC79" s="55" t="e">
        <f ca="1">_xll.EQNXTDZ($A$1,$B79,BC$5,$B$1)</f>
        <v>#NAME?</v>
      </c>
      <c r="BD79" s="55" t="e">
        <f ca="1">_xll.EQNXTDZ($A$1,$B79,BD$5,$B$1)</f>
        <v>#NAME?</v>
      </c>
      <c r="BE79" s="55" t="e">
        <f ca="1">_xll.EQNXTDZ($A$1,$B79,BE$5,$B$1)</f>
        <v>#NAME?</v>
      </c>
      <c r="BF79" s="55" t="e">
        <f ca="1">_xll.EQNXTDZ($A$1,$B79,BF$5,$B$1)</f>
        <v>#NAME?</v>
      </c>
      <c r="BG79" s="55" t="e">
        <f ca="1">_xll.EQNXTDZ($A$1,$B79,BG$5,$B$1)</f>
        <v>#NAME?</v>
      </c>
      <c r="BH79" s="55" t="e">
        <f ca="1">_xll.EQNXTDZ($A$1,$B79,BH$5,$B$1)</f>
        <v>#NAME?</v>
      </c>
      <c r="BI79" s="55" t="e">
        <f ca="1">_xll.EQNXTDZ($A$1,$B79,BI$5,$B$1)</f>
        <v>#NAME?</v>
      </c>
      <c r="BJ79" s="55" t="e">
        <f ca="1">_xll.EQNXTDZ($A$1,$B79,BJ$5,$B$1)</f>
        <v>#NAME?</v>
      </c>
      <c r="BK79" s="55" t="e">
        <f ca="1">_xll.EQNXTDZ($A$1,$B79,BK$5,$B$1)</f>
        <v>#NAME?</v>
      </c>
      <c r="BL79" s="55" t="e">
        <f ca="1">_xll.EQNXTDZ($A$1,$B79,BL$5,$B$1)</f>
        <v>#NAME?</v>
      </c>
      <c r="BM79" s="55" t="e">
        <f ca="1">_xll.EQNXTDZ($A$1,$B79,BM$5,$B$1)</f>
        <v>#NAME?</v>
      </c>
      <c r="BN79" s="55" t="e">
        <f ca="1">_xll.EQNXTDZ($A$1,$B79,BN$5,$B$1)</f>
        <v>#NAME?</v>
      </c>
      <c r="BO79" s="55" t="e">
        <f ca="1">_xll.EQNXTDZ($A$1,$B79,BO$5,$B$1)</f>
        <v>#NAME?</v>
      </c>
      <c r="BP79" s="55" t="e">
        <f ca="1">_xll.EQNXTDZ($A$1,$B79,BP$5,$B$1)</f>
        <v>#NAME?</v>
      </c>
      <c r="BQ79" s="55" t="e">
        <f ca="1">_xll.EQNXTDZ($A$1,$B79,BQ$5,$B$1)</f>
        <v>#NAME?</v>
      </c>
      <c r="BR79" s="55" t="e">
        <f ca="1">_xll.EQNXTDZ($A$1,$B79,BR$5,$B$1)</f>
        <v>#NAME?</v>
      </c>
      <c r="BS79" s="55" t="e">
        <f ca="1">_xll.EQNXTDZ($A$1,$B79,BS$5,$B$1)</f>
        <v>#NAME?</v>
      </c>
      <c r="BT79" s="55" t="e">
        <f ca="1">_xll.EQNXTDZ($A$1,$B79,BT$5,$B$1)</f>
        <v>#NAME?</v>
      </c>
      <c r="BU79" s="55" t="e">
        <f ca="1">_xll.EQNXTDZ($A$1,$B79,BU$5,$B$1)</f>
        <v>#NAME?</v>
      </c>
      <c r="BV79" s="55" t="e">
        <f ca="1">_xll.EQNXTDZ($A$1,$B79,BV$5,$B$1)</f>
        <v>#NAME?</v>
      </c>
    </row>
    <row r="80" spans="1:74" x14ac:dyDescent="0.25">
      <c r="A80" t="s">
        <v>366</v>
      </c>
      <c r="B80" t="s">
        <v>396</v>
      </c>
      <c r="C80" s="55" t="e">
        <f ca="1">_xll.EQNXTDZ($A$1,$B80,C$5,$B$1)</f>
        <v>#NAME?</v>
      </c>
      <c r="D80" s="55" t="e">
        <f ca="1">_xll.EQNXTDZ($A$1,$B80,D$5,$B$1)</f>
        <v>#NAME?</v>
      </c>
      <c r="E80" s="55" t="e">
        <f ca="1">_xll.EQNXTDZ($A$1,$B80,E$5,$B$1)</f>
        <v>#NAME?</v>
      </c>
      <c r="F80" s="55" t="e">
        <f ca="1">_xll.EQNXTDZ($A$1,$B80,F$5,$B$1)</f>
        <v>#NAME?</v>
      </c>
      <c r="G80" s="55" t="e">
        <f ca="1">_xll.EQNXTDZ($A$1,$B80,G$5,$B$1)</f>
        <v>#NAME?</v>
      </c>
      <c r="H80" s="55" t="e">
        <f ca="1">_xll.EQNXTDZ($A$1,$B80,H$5,$B$1)</f>
        <v>#NAME?</v>
      </c>
      <c r="I80" s="55" t="e">
        <f ca="1">_xll.EQNXTDZ($A$1,$B80,I$5,$B$1)</f>
        <v>#NAME?</v>
      </c>
      <c r="J80" s="55" t="e">
        <f ca="1">_xll.EQNXTDZ($A$1,$B80,J$5,$B$1)</f>
        <v>#NAME?</v>
      </c>
      <c r="K80" s="55" t="e">
        <f ca="1">_xll.EQNXTDZ($A$1,$B80,K$5,$B$1)</f>
        <v>#NAME?</v>
      </c>
      <c r="L80" s="55" t="e">
        <f ca="1">_xll.EQNXTDZ($A$1,$B80,L$5,$B$1)</f>
        <v>#NAME?</v>
      </c>
      <c r="M80" s="55" t="e">
        <f ca="1">_xll.EQNXTDZ($A$1,$B80,M$5,$B$1)</f>
        <v>#NAME?</v>
      </c>
      <c r="N80" s="55" t="e">
        <f ca="1">_xll.EQNXTDZ($A$1,$B80,N$5,$B$1)</f>
        <v>#NAME?</v>
      </c>
      <c r="O80" s="55" t="e">
        <f ca="1">_xll.EQNXTDZ($A$1,$B80,O$5,$B$1)</f>
        <v>#NAME?</v>
      </c>
      <c r="P80" s="55" t="e">
        <f ca="1">_xll.EQNXTDZ($A$1,$B80,P$5,$B$1)</f>
        <v>#NAME?</v>
      </c>
      <c r="Q80" s="55" t="e">
        <f ca="1">_xll.EQNXTDZ($A$1,$B80,Q$5,$B$1)</f>
        <v>#NAME?</v>
      </c>
      <c r="R80" s="55" t="e">
        <f ca="1">_xll.EQNXTDZ($A$1,$B80,R$5,$B$1)</f>
        <v>#NAME?</v>
      </c>
      <c r="S80" s="55" t="e">
        <f ca="1">_xll.EQNXTDZ($A$1,$B80,S$5,$B$1)</f>
        <v>#NAME?</v>
      </c>
      <c r="T80" s="55" t="e">
        <f ca="1">_xll.EQNXTDZ($A$1,$B80,T$5,$B$1)</f>
        <v>#NAME?</v>
      </c>
      <c r="U80" s="55" t="e">
        <f ca="1">_xll.EQNXTDZ($A$1,$B80,U$5,$B$1)</f>
        <v>#NAME?</v>
      </c>
      <c r="V80" s="55" t="e">
        <f ca="1">_xll.EQNXTDZ($A$1,$B80,V$5,$B$1)</f>
        <v>#NAME?</v>
      </c>
      <c r="W80" s="55" t="e">
        <f ca="1">_xll.EQNXTDZ($A$1,$B80,W$5,$B$1)</f>
        <v>#NAME?</v>
      </c>
      <c r="X80" s="55" t="e">
        <f ca="1">_xll.EQNXTDZ($A$1,$B80,X$5,$B$1)</f>
        <v>#NAME?</v>
      </c>
      <c r="Y80" s="55" t="e">
        <f ca="1">_xll.EQNXTDZ($A$1,$B80,Y$5,$B$1)</f>
        <v>#NAME?</v>
      </c>
      <c r="Z80" s="55" t="e">
        <f ca="1">_xll.EQNXTDZ($A$1,$B80,Z$5,$B$1)</f>
        <v>#NAME?</v>
      </c>
      <c r="AA80" s="55" t="e">
        <f ca="1">_xll.EQNXTDZ($A$1,$B80,AA$5,$B$1)</f>
        <v>#NAME?</v>
      </c>
      <c r="AB80" s="55" t="e">
        <f ca="1">_xll.EQNXTDZ($A$1,$B80,AB$5,$B$1)</f>
        <v>#NAME?</v>
      </c>
      <c r="AC80" s="55" t="e">
        <f ca="1">_xll.EQNXTDZ($A$1,$B80,AC$5,$B$1)</f>
        <v>#NAME?</v>
      </c>
      <c r="AD80" s="55" t="e">
        <f ca="1">_xll.EQNXTDZ($A$1,$B80,AD$5,$B$1)</f>
        <v>#NAME?</v>
      </c>
      <c r="AE80" s="55" t="e">
        <f ca="1">_xll.EQNXTDZ($A$1,$B80,AE$5,$B$1)</f>
        <v>#NAME?</v>
      </c>
      <c r="AF80" s="55" t="e">
        <f ca="1">_xll.EQNXTDZ($A$1,$B80,AF$5,$B$1)</f>
        <v>#NAME?</v>
      </c>
      <c r="AG80" s="55" t="e">
        <f ca="1">_xll.EQNXTDZ($A$1,$B80,AG$5,$B$1)</f>
        <v>#NAME?</v>
      </c>
      <c r="AH80" s="55" t="e">
        <f ca="1">_xll.EQNXTDZ($A$1,$B80,AH$5,$B$1)</f>
        <v>#NAME?</v>
      </c>
      <c r="AI80" s="55" t="e">
        <f ca="1">_xll.EQNXTDZ($A$1,$B80,AI$5,$B$1)</f>
        <v>#NAME?</v>
      </c>
      <c r="AJ80" s="55" t="e">
        <f ca="1">_xll.EQNXTDZ($A$1,$B80,AJ$5,$B$1)</f>
        <v>#NAME?</v>
      </c>
      <c r="AK80" s="55" t="e">
        <f ca="1">_xll.EQNXTDZ($A$1,$B80,AK$5,$B$1)</f>
        <v>#NAME?</v>
      </c>
      <c r="AL80" s="55" t="e">
        <f ca="1">_xll.EQNXTDZ($A$1,$B80,AL$5,$B$1)</f>
        <v>#NAME?</v>
      </c>
      <c r="AM80" s="55" t="e">
        <f ca="1">_xll.EQNXTDZ($A$1,$B80,AM$5,$B$1)</f>
        <v>#NAME?</v>
      </c>
      <c r="AN80" s="55" t="e">
        <f ca="1">_xll.EQNXTDZ($A$1,$B80,AN$5,$B$1)</f>
        <v>#NAME?</v>
      </c>
      <c r="AO80" s="55" t="e">
        <f ca="1">_xll.EQNXTDZ($A$1,$B80,AO$5,$B$1)</f>
        <v>#NAME?</v>
      </c>
      <c r="AP80" s="55" t="e">
        <f ca="1">_xll.EQNXTDZ($A$1,$B80,AP$5,$B$1)</f>
        <v>#NAME?</v>
      </c>
      <c r="AQ80" s="55" t="e">
        <f ca="1">_xll.EQNXTDZ($A$1,$B80,AQ$5,$B$1)</f>
        <v>#NAME?</v>
      </c>
      <c r="AR80" s="55" t="e">
        <f ca="1">_xll.EQNXTDZ($A$1,$B80,AR$5,$B$1)</f>
        <v>#NAME?</v>
      </c>
      <c r="AS80" s="55" t="e">
        <f ca="1">_xll.EQNXTDZ($A$1,$B80,AS$5,$B$1)</f>
        <v>#NAME?</v>
      </c>
      <c r="AT80" s="55" t="e">
        <f ca="1">_xll.EQNXTDZ($A$1,$B80,AT$5,$B$1)</f>
        <v>#NAME?</v>
      </c>
      <c r="AU80" s="55" t="e">
        <f ca="1">_xll.EQNXTDZ($A$1,$B80,AU$5,$B$1)</f>
        <v>#NAME?</v>
      </c>
      <c r="AV80" s="55" t="e">
        <f ca="1">_xll.EQNXTDZ($A$1,$B80,AV$5,$B$1)</f>
        <v>#NAME?</v>
      </c>
      <c r="AW80" s="55" t="e">
        <f ca="1">_xll.EQNXTDZ($A$1,$B80,AW$5,$B$1)</f>
        <v>#NAME?</v>
      </c>
      <c r="AX80" s="55" t="e">
        <f ca="1">_xll.EQNXTDZ($A$1,$B80,AX$5,$B$1)</f>
        <v>#NAME?</v>
      </c>
      <c r="AY80" s="55" t="e">
        <f ca="1">_xll.EQNXTDZ($A$1,$B80,AY$5,$B$1)</f>
        <v>#NAME?</v>
      </c>
      <c r="AZ80" s="55" t="e">
        <f ca="1">_xll.EQNXTDZ($A$1,$B80,AZ$5,$B$1)</f>
        <v>#NAME?</v>
      </c>
      <c r="BA80" s="55" t="e">
        <f ca="1">_xll.EQNXTDZ($A$1,$B80,BA$5,$B$1)</f>
        <v>#NAME?</v>
      </c>
      <c r="BB80" s="55" t="e">
        <f ca="1">_xll.EQNXTDZ($A$1,$B80,BB$5,$B$1)</f>
        <v>#NAME?</v>
      </c>
      <c r="BC80" s="55" t="e">
        <f ca="1">_xll.EQNXTDZ($A$1,$B80,BC$5,$B$1)</f>
        <v>#NAME?</v>
      </c>
      <c r="BD80" s="55" t="e">
        <f ca="1">_xll.EQNXTDZ($A$1,$B80,BD$5,$B$1)</f>
        <v>#NAME?</v>
      </c>
      <c r="BE80" s="55" t="e">
        <f ca="1">_xll.EQNXTDZ($A$1,$B80,BE$5,$B$1)</f>
        <v>#NAME?</v>
      </c>
      <c r="BF80" s="55" t="e">
        <f ca="1">_xll.EQNXTDZ($A$1,$B80,BF$5,$B$1)</f>
        <v>#NAME?</v>
      </c>
      <c r="BG80" s="55" t="e">
        <f ca="1">_xll.EQNXTDZ($A$1,$B80,BG$5,$B$1)</f>
        <v>#NAME?</v>
      </c>
      <c r="BH80" s="55" t="e">
        <f ca="1">_xll.EQNXTDZ($A$1,$B80,BH$5,$B$1)</f>
        <v>#NAME?</v>
      </c>
      <c r="BI80" s="55" t="e">
        <f ca="1">_xll.EQNXTDZ($A$1,$B80,BI$5,$B$1)</f>
        <v>#NAME?</v>
      </c>
      <c r="BJ80" s="55" t="e">
        <f ca="1">_xll.EQNXTDZ($A$1,$B80,BJ$5,$B$1)</f>
        <v>#NAME?</v>
      </c>
      <c r="BK80" s="55" t="e">
        <f ca="1">_xll.EQNXTDZ($A$1,$B80,BK$5,$B$1)</f>
        <v>#NAME?</v>
      </c>
      <c r="BL80" s="55" t="e">
        <f ca="1">_xll.EQNXTDZ($A$1,$B80,BL$5,$B$1)</f>
        <v>#NAME?</v>
      </c>
      <c r="BM80" s="55" t="e">
        <f ca="1">_xll.EQNXTDZ($A$1,$B80,BM$5,$B$1)</f>
        <v>#NAME?</v>
      </c>
      <c r="BN80" s="55" t="e">
        <f ca="1">_xll.EQNXTDZ($A$1,$B80,BN$5,$B$1)</f>
        <v>#NAME?</v>
      </c>
      <c r="BO80" s="55" t="e">
        <f ca="1">_xll.EQNXTDZ($A$1,$B80,BO$5,$B$1)</f>
        <v>#NAME?</v>
      </c>
      <c r="BP80" s="55" t="e">
        <f ca="1">_xll.EQNXTDZ($A$1,$B80,BP$5,$B$1)</f>
        <v>#NAME?</v>
      </c>
      <c r="BQ80" s="55" t="e">
        <f ca="1">_xll.EQNXTDZ($A$1,$B80,BQ$5,$B$1)</f>
        <v>#NAME?</v>
      </c>
      <c r="BR80" s="55" t="e">
        <f ca="1">_xll.EQNXTDZ($A$1,$B80,BR$5,$B$1)</f>
        <v>#NAME?</v>
      </c>
      <c r="BS80" s="55" t="e">
        <f ca="1">_xll.EQNXTDZ($A$1,$B80,BS$5,$B$1)</f>
        <v>#NAME?</v>
      </c>
      <c r="BT80" s="55" t="e">
        <f ca="1">_xll.EQNXTDZ($A$1,$B80,BT$5,$B$1)</f>
        <v>#NAME?</v>
      </c>
      <c r="BU80" s="55" t="e">
        <f ca="1">_xll.EQNXTDZ($A$1,$B80,BU$5,$B$1)</f>
        <v>#NAME?</v>
      </c>
      <c r="BV80" s="55" t="e">
        <f ca="1">_xll.EQNXTDZ($A$1,$B80,BV$5,$B$1)</f>
        <v>#NAME?</v>
      </c>
    </row>
    <row r="81" spans="1:74" x14ac:dyDescent="0.25">
      <c r="A81" t="s">
        <v>61</v>
      </c>
      <c r="B81" t="s">
        <v>397</v>
      </c>
      <c r="C81" s="55" t="e">
        <f ca="1">_xll.EQNXTDZ($A$1,$B81,C$5,$B$1)</f>
        <v>#NAME?</v>
      </c>
      <c r="D81" s="55" t="e">
        <f ca="1">_xll.EQNXTDZ($A$1,$B81,D$5,$B$1)</f>
        <v>#NAME?</v>
      </c>
      <c r="E81" s="55" t="e">
        <f ca="1">_xll.EQNXTDZ($A$1,$B81,E$5,$B$1)</f>
        <v>#NAME?</v>
      </c>
      <c r="F81" s="55" t="e">
        <f ca="1">_xll.EQNXTDZ($A$1,$B81,F$5,$B$1)</f>
        <v>#NAME?</v>
      </c>
      <c r="G81" s="55" t="e">
        <f ca="1">_xll.EQNXTDZ($A$1,$B81,G$5,$B$1)</f>
        <v>#NAME?</v>
      </c>
      <c r="H81" s="55" t="e">
        <f ca="1">_xll.EQNXTDZ($A$1,$B81,H$5,$B$1)</f>
        <v>#NAME?</v>
      </c>
      <c r="I81" s="55" t="e">
        <f ca="1">_xll.EQNXTDZ($A$1,$B81,I$5,$B$1)</f>
        <v>#NAME?</v>
      </c>
      <c r="J81" s="55" t="e">
        <f ca="1">_xll.EQNXTDZ($A$1,$B81,J$5,$B$1)</f>
        <v>#NAME?</v>
      </c>
      <c r="K81" s="55" t="e">
        <f ca="1">_xll.EQNXTDZ($A$1,$B81,K$5,$B$1)</f>
        <v>#NAME?</v>
      </c>
      <c r="L81" s="55" t="e">
        <f ca="1">_xll.EQNXTDZ($A$1,$B81,L$5,$B$1)</f>
        <v>#NAME?</v>
      </c>
      <c r="M81" s="55" t="e">
        <f ca="1">_xll.EQNXTDZ($A$1,$B81,M$5,$B$1)</f>
        <v>#NAME?</v>
      </c>
      <c r="N81" s="55" t="e">
        <f ca="1">_xll.EQNXTDZ($A$1,$B81,N$5,$B$1)</f>
        <v>#NAME?</v>
      </c>
      <c r="O81" s="55" t="e">
        <f ca="1">_xll.EQNXTDZ($A$1,$B81,O$5,$B$1)</f>
        <v>#NAME?</v>
      </c>
      <c r="P81" s="55" t="e">
        <f ca="1">_xll.EQNXTDZ($A$1,$B81,P$5,$B$1)</f>
        <v>#NAME?</v>
      </c>
      <c r="Q81" s="55" t="e">
        <f ca="1">_xll.EQNXTDZ($A$1,$B81,Q$5,$B$1)</f>
        <v>#NAME?</v>
      </c>
      <c r="R81" s="55" t="e">
        <f ca="1">_xll.EQNXTDZ($A$1,$B81,R$5,$B$1)</f>
        <v>#NAME?</v>
      </c>
      <c r="S81" s="55" t="e">
        <f ca="1">_xll.EQNXTDZ($A$1,$B81,S$5,$B$1)</f>
        <v>#NAME?</v>
      </c>
      <c r="T81" s="55" t="e">
        <f ca="1">_xll.EQNXTDZ($A$1,$B81,T$5,$B$1)</f>
        <v>#NAME?</v>
      </c>
      <c r="U81" s="55" t="e">
        <f ca="1">_xll.EQNXTDZ($A$1,$B81,U$5,$B$1)</f>
        <v>#NAME?</v>
      </c>
      <c r="V81" s="55" t="e">
        <f ca="1">_xll.EQNXTDZ($A$1,$B81,V$5,$B$1)</f>
        <v>#NAME?</v>
      </c>
      <c r="W81" s="55" t="e">
        <f ca="1">_xll.EQNXTDZ($A$1,$B81,W$5,$B$1)</f>
        <v>#NAME?</v>
      </c>
      <c r="X81" s="55" t="e">
        <f ca="1">_xll.EQNXTDZ($A$1,$B81,X$5,$B$1)</f>
        <v>#NAME?</v>
      </c>
      <c r="Y81" s="55" t="e">
        <f ca="1">_xll.EQNXTDZ($A$1,$B81,Y$5,$B$1)</f>
        <v>#NAME?</v>
      </c>
      <c r="Z81" s="55" t="e">
        <f ca="1">_xll.EQNXTDZ($A$1,$B81,Z$5,$B$1)</f>
        <v>#NAME?</v>
      </c>
      <c r="AA81" s="55" t="e">
        <f ca="1">_xll.EQNXTDZ($A$1,$B81,AA$5,$B$1)</f>
        <v>#NAME?</v>
      </c>
      <c r="AB81" s="55" t="e">
        <f ca="1">_xll.EQNXTDZ($A$1,$B81,AB$5,$B$1)</f>
        <v>#NAME?</v>
      </c>
      <c r="AC81" s="55" t="e">
        <f ca="1">_xll.EQNXTDZ($A$1,$B81,AC$5,$B$1)</f>
        <v>#NAME?</v>
      </c>
      <c r="AD81" s="55" t="e">
        <f ca="1">_xll.EQNXTDZ($A$1,$B81,AD$5,$B$1)</f>
        <v>#NAME?</v>
      </c>
      <c r="AE81" s="55" t="e">
        <f ca="1">_xll.EQNXTDZ($A$1,$B81,AE$5,$B$1)</f>
        <v>#NAME?</v>
      </c>
      <c r="AF81" s="55" t="e">
        <f ca="1">_xll.EQNXTDZ($A$1,$B81,AF$5,$B$1)</f>
        <v>#NAME?</v>
      </c>
      <c r="AG81" s="55" t="e">
        <f ca="1">_xll.EQNXTDZ($A$1,$B81,AG$5,$B$1)</f>
        <v>#NAME?</v>
      </c>
      <c r="AH81" s="55" t="e">
        <f ca="1">_xll.EQNXTDZ($A$1,$B81,AH$5,$B$1)</f>
        <v>#NAME?</v>
      </c>
      <c r="AI81" s="55" t="e">
        <f ca="1">_xll.EQNXTDZ($A$1,$B81,AI$5,$B$1)</f>
        <v>#NAME?</v>
      </c>
      <c r="AJ81" s="55" t="e">
        <f ca="1">_xll.EQNXTDZ($A$1,$B81,AJ$5,$B$1)</f>
        <v>#NAME?</v>
      </c>
      <c r="AK81" s="55" t="e">
        <f ca="1">_xll.EQNXTDZ($A$1,$B81,AK$5,$B$1)</f>
        <v>#NAME?</v>
      </c>
      <c r="AL81" s="55" t="e">
        <f ca="1">_xll.EQNXTDZ($A$1,$B81,AL$5,$B$1)</f>
        <v>#NAME?</v>
      </c>
      <c r="AM81" s="55" t="e">
        <f ca="1">_xll.EQNXTDZ($A$1,$B81,AM$5,$B$1)</f>
        <v>#NAME?</v>
      </c>
      <c r="AN81" s="55" t="e">
        <f ca="1">_xll.EQNXTDZ($A$1,$B81,AN$5,$B$1)</f>
        <v>#NAME?</v>
      </c>
      <c r="AO81" s="55" t="e">
        <f ca="1">_xll.EQNXTDZ($A$1,$B81,AO$5,$B$1)</f>
        <v>#NAME?</v>
      </c>
      <c r="AP81" s="55" t="e">
        <f ca="1">_xll.EQNXTDZ($A$1,$B81,AP$5,$B$1)</f>
        <v>#NAME?</v>
      </c>
      <c r="AQ81" s="55" t="e">
        <f ca="1">_xll.EQNXTDZ($A$1,$B81,AQ$5,$B$1)</f>
        <v>#NAME?</v>
      </c>
      <c r="AR81" s="55" t="e">
        <f ca="1">_xll.EQNXTDZ($A$1,$B81,AR$5,$B$1)</f>
        <v>#NAME?</v>
      </c>
      <c r="AS81" s="55" t="e">
        <f ca="1">_xll.EQNXTDZ($A$1,$B81,AS$5,$B$1)</f>
        <v>#NAME?</v>
      </c>
      <c r="AT81" s="55" t="e">
        <f ca="1">_xll.EQNXTDZ($A$1,$B81,AT$5,$B$1)</f>
        <v>#NAME?</v>
      </c>
      <c r="AU81" s="55" t="e">
        <f ca="1">_xll.EQNXTDZ($A$1,$B81,AU$5,$B$1)</f>
        <v>#NAME?</v>
      </c>
      <c r="AV81" s="55" t="e">
        <f ca="1">_xll.EQNXTDZ($A$1,$B81,AV$5,$B$1)</f>
        <v>#NAME?</v>
      </c>
      <c r="AW81" s="55" t="e">
        <f ca="1">_xll.EQNXTDZ($A$1,$B81,AW$5,$B$1)</f>
        <v>#NAME?</v>
      </c>
      <c r="AX81" s="55" t="e">
        <f ca="1">_xll.EQNXTDZ($A$1,$B81,AX$5,$B$1)</f>
        <v>#NAME?</v>
      </c>
      <c r="AY81" s="55" t="e">
        <f ca="1">_xll.EQNXTDZ($A$1,$B81,AY$5,$B$1)</f>
        <v>#NAME?</v>
      </c>
      <c r="AZ81" s="55" t="e">
        <f ca="1">_xll.EQNXTDZ($A$1,$B81,AZ$5,$B$1)</f>
        <v>#NAME?</v>
      </c>
      <c r="BA81" s="55" t="e">
        <f ca="1">_xll.EQNXTDZ($A$1,$B81,BA$5,$B$1)</f>
        <v>#NAME?</v>
      </c>
      <c r="BB81" s="55" t="e">
        <f ca="1">_xll.EQNXTDZ($A$1,$B81,BB$5,$B$1)</f>
        <v>#NAME?</v>
      </c>
      <c r="BC81" s="55" t="e">
        <f ca="1">_xll.EQNXTDZ($A$1,$B81,BC$5,$B$1)</f>
        <v>#NAME?</v>
      </c>
      <c r="BD81" s="55" t="e">
        <f ca="1">_xll.EQNXTDZ($A$1,$B81,BD$5,$B$1)</f>
        <v>#NAME?</v>
      </c>
      <c r="BE81" s="55" t="e">
        <f ca="1">_xll.EQNXTDZ($A$1,$B81,BE$5,$B$1)</f>
        <v>#NAME?</v>
      </c>
      <c r="BF81" s="55" t="e">
        <f ca="1">_xll.EQNXTDZ($A$1,$B81,BF$5,$B$1)</f>
        <v>#NAME?</v>
      </c>
      <c r="BG81" s="55" t="e">
        <f ca="1">_xll.EQNXTDZ($A$1,$B81,BG$5,$B$1)</f>
        <v>#NAME?</v>
      </c>
      <c r="BH81" s="55" t="e">
        <f ca="1">_xll.EQNXTDZ($A$1,$B81,BH$5,$B$1)</f>
        <v>#NAME?</v>
      </c>
      <c r="BI81" s="55" t="e">
        <f ca="1">_xll.EQNXTDZ($A$1,$B81,BI$5,$B$1)</f>
        <v>#NAME?</v>
      </c>
      <c r="BJ81" s="55" t="e">
        <f ca="1">_xll.EQNXTDZ($A$1,$B81,BJ$5,$B$1)</f>
        <v>#NAME?</v>
      </c>
      <c r="BK81" s="55" t="e">
        <f ca="1">_xll.EQNXTDZ($A$1,$B81,BK$5,$B$1)</f>
        <v>#NAME?</v>
      </c>
      <c r="BL81" s="55" t="e">
        <f ca="1">_xll.EQNXTDZ($A$1,$B81,BL$5,$B$1)</f>
        <v>#NAME?</v>
      </c>
      <c r="BM81" s="55" t="e">
        <f ca="1">_xll.EQNXTDZ($A$1,$B81,BM$5,$B$1)</f>
        <v>#NAME?</v>
      </c>
      <c r="BN81" s="55" t="e">
        <f ca="1">_xll.EQNXTDZ($A$1,$B81,BN$5,$B$1)</f>
        <v>#NAME?</v>
      </c>
      <c r="BO81" s="55" t="e">
        <f ca="1">_xll.EQNXTDZ($A$1,$B81,BO$5,$B$1)</f>
        <v>#NAME?</v>
      </c>
      <c r="BP81" s="55" t="e">
        <f ca="1">_xll.EQNXTDZ($A$1,$B81,BP$5,$B$1)</f>
        <v>#NAME?</v>
      </c>
      <c r="BQ81" s="55" t="e">
        <f ca="1">_xll.EQNXTDZ($A$1,$B81,BQ$5,$B$1)</f>
        <v>#NAME?</v>
      </c>
      <c r="BR81" s="55" t="e">
        <f ca="1">_xll.EQNXTDZ($A$1,$B81,BR$5,$B$1)</f>
        <v>#NAME?</v>
      </c>
      <c r="BS81" s="55" t="e">
        <f ca="1">_xll.EQNXTDZ($A$1,$B81,BS$5,$B$1)</f>
        <v>#NAME?</v>
      </c>
      <c r="BT81" s="55" t="e">
        <f ca="1">_xll.EQNXTDZ($A$1,$B81,BT$5,$B$1)</f>
        <v>#NAME?</v>
      </c>
      <c r="BU81" s="55" t="e">
        <f ca="1">_xll.EQNXTDZ($A$1,$B81,BU$5,$B$1)</f>
        <v>#NAME?</v>
      </c>
      <c r="BV81" s="55" t="e">
        <f ca="1">_xll.EQNXTDZ($A$1,$B81,BV$5,$B$1)</f>
        <v>#NAME?</v>
      </c>
    </row>
    <row r="82" spans="1:74" x14ac:dyDescent="0.25">
      <c r="A82" t="s">
        <v>62</v>
      </c>
      <c r="B82" t="s">
        <v>398</v>
      </c>
      <c r="C82" s="55" t="e">
        <f ca="1">_xll.EQNXTDZ($A$1,$B82,C$5,$B$1)</f>
        <v>#NAME?</v>
      </c>
      <c r="D82" s="55" t="e">
        <f ca="1">_xll.EQNXTDZ($A$1,$B82,D$5,$B$1)</f>
        <v>#NAME?</v>
      </c>
      <c r="E82" s="55" t="e">
        <f ca="1">_xll.EQNXTDZ($A$1,$B82,E$5,$B$1)</f>
        <v>#NAME?</v>
      </c>
      <c r="F82" s="55" t="e">
        <f ca="1">_xll.EQNXTDZ($A$1,$B82,F$5,$B$1)</f>
        <v>#NAME?</v>
      </c>
      <c r="G82" s="55" t="e">
        <f ca="1">_xll.EQNXTDZ($A$1,$B82,G$5,$B$1)</f>
        <v>#NAME?</v>
      </c>
      <c r="H82" s="55" t="e">
        <f ca="1">_xll.EQNXTDZ($A$1,$B82,H$5,$B$1)</f>
        <v>#NAME?</v>
      </c>
      <c r="I82" s="55" t="e">
        <f ca="1">_xll.EQNXTDZ($A$1,$B82,I$5,$B$1)</f>
        <v>#NAME?</v>
      </c>
      <c r="J82" s="55" t="e">
        <f ca="1">_xll.EQNXTDZ($A$1,$B82,J$5,$B$1)</f>
        <v>#NAME?</v>
      </c>
      <c r="K82" s="55" t="e">
        <f ca="1">_xll.EQNXTDZ($A$1,$B82,K$5,$B$1)</f>
        <v>#NAME?</v>
      </c>
      <c r="L82" s="55" t="e">
        <f ca="1">_xll.EQNXTDZ($A$1,$B82,L$5,$B$1)</f>
        <v>#NAME?</v>
      </c>
      <c r="M82" s="55" t="e">
        <f ca="1">_xll.EQNXTDZ($A$1,$B82,M$5,$B$1)</f>
        <v>#NAME?</v>
      </c>
      <c r="N82" s="55" t="e">
        <f ca="1">_xll.EQNXTDZ($A$1,$B82,N$5,$B$1)</f>
        <v>#NAME?</v>
      </c>
      <c r="O82" s="55" t="e">
        <f ca="1">_xll.EQNXTDZ($A$1,$B82,O$5,$B$1)</f>
        <v>#NAME?</v>
      </c>
      <c r="P82" s="55" t="e">
        <f ca="1">_xll.EQNXTDZ($A$1,$B82,P$5,$B$1)</f>
        <v>#NAME?</v>
      </c>
      <c r="Q82" s="55" t="e">
        <f ca="1">_xll.EQNXTDZ($A$1,$B82,Q$5,$B$1)</f>
        <v>#NAME?</v>
      </c>
      <c r="R82" s="55" t="e">
        <f ca="1">_xll.EQNXTDZ($A$1,$B82,R$5,$B$1)</f>
        <v>#NAME?</v>
      </c>
      <c r="S82" s="55" t="e">
        <f ca="1">_xll.EQNXTDZ($A$1,$B82,S$5,$B$1)</f>
        <v>#NAME?</v>
      </c>
      <c r="T82" s="55" t="e">
        <f ca="1">_xll.EQNXTDZ($A$1,$B82,T$5,$B$1)</f>
        <v>#NAME?</v>
      </c>
      <c r="U82" s="55" t="e">
        <f ca="1">_xll.EQNXTDZ($A$1,$B82,U$5,$B$1)</f>
        <v>#NAME?</v>
      </c>
      <c r="V82" s="55" t="e">
        <f ca="1">_xll.EQNXTDZ($A$1,$B82,V$5,$B$1)</f>
        <v>#NAME?</v>
      </c>
      <c r="W82" s="55" t="e">
        <f ca="1">_xll.EQNXTDZ($A$1,$B82,W$5,$B$1)</f>
        <v>#NAME?</v>
      </c>
      <c r="X82" s="55" t="e">
        <f ca="1">_xll.EQNXTDZ($A$1,$B82,X$5,$B$1)</f>
        <v>#NAME?</v>
      </c>
      <c r="Y82" s="55" t="e">
        <f ca="1">_xll.EQNXTDZ($A$1,$B82,Y$5,$B$1)</f>
        <v>#NAME?</v>
      </c>
      <c r="Z82" s="55" t="e">
        <f ca="1">_xll.EQNXTDZ($A$1,$B82,Z$5,$B$1)</f>
        <v>#NAME?</v>
      </c>
      <c r="AA82" s="55" t="e">
        <f ca="1">_xll.EQNXTDZ($A$1,$B82,AA$5,$B$1)</f>
        <v>#NAME?</v>
      </c>
      <c r="AB82" s="55" t="e">
        <f ca="1">_xll.EQNXTDZ($A$1,$B82,AB$5,$B$1)</f>
        <v>#NAME?</v>
      </c>
      <c r="AC82" s="55" t="e">
        <f ca="1">_xll.EQNXTDZ($A$1,$B82,AC$5,$B$1)</f>
        <v>#NAME?</v>
      </c>
      <c r="AD82" s="55" t="e">
        <f ca="1">_xll.EQNXTDZ($A$1,$B82,AD$5,$B$1)</f>
        <v>#NAME?</v>
      </c>
      <c r="AE82" s="55" t="e">
        <f ca="1">_xll.EQNXTDZ($A$1,$B82,AE$5,$B$1)</f>
        <v>#NAME?</v>
      </c>
      <c r="AF82" s="55" t="e">
        <f ca="1">_xll.EQNXTDZ($A$1,$B82,AF$5,$B$1)</f>
        <v>#NAME?</v>
      </c>
      <c r="AG82" s="55" t="e">
        <f ca="1">_xll.EQNXTDZ($A$1,$B82,AG$5,$B$1)</f>
        <v>#NAME?</v>
      </c>
      <c r="AH82" s="55" t="e">
        <f ca="1">_xll.EQNXTDZ($A$1,$B82,AH$5,$B$1)</f>
        <v>#NAME?</v>
      </c>
      <c r="AI82" s="55" t="e">
        <f ca="1">_xll.EQNXTDZ($A$1,$B82,AI$5,$B$1)</f>
        <v>#NAME?</v>
      </c>
      <c r="AJ82" s="55" t="e">
        <f ca="1">_xll.EQNXTDZ($A$1,$B82,AJ$5,$B$1)</f>
        <v>#NAME?</v>
      </c>
      <c r="AK82" s="55" t="e">
        <f ca="1">_xll.EQNXTDZ($A$1,$B82,AK$5,$B$1)</f>
        <v>#NAME?</v>
      </c>
      <c r="AL82" s="55" t="e">
        <f ca="1">_xll.EQNXTDZ($A$1,$B82,AL$5,$B$1)</f>
        <v>#NAME?</v>
      </c>
      <c r="AM82" s="55" t="e">
        <f ca="1">_xll.EQNXTDZ($A$1,$B82,AM$5,$B$1)</f>
        <v>#NAME?</v>
      </c>
      <c r="AN82" s="55" t="e">
        <f ca="1">_xll.EQNXTDZ($A$1,$B82,AN$5,$B$1)</f>
        <v>#NAME?</v>
      </c>
      <c r="AO82" s="55" t="e">
        <f ca="1">_xll.EQNXTDZ($A$1,$B82,AO$5,$B$1)</f>
        <v>#NAME?</v>
      </c>
      <c r="AP82" s="55" t="e">
        <f ca="1">_xll.EQNXTDZ($A$1,$B82,AP$5,$B$1)</f>
        <v>#NAME?</v>
      </c>
      <c r="AQ82" s="55" t="e">
        <f ca="1">_xll.EQNXTDZ($A$1,$B82,AQ$5,$B$1)</f>
        <v>#NAME?</v>
      </c>
      <c r="AR82" s="55" t="e">
        <f ca="1">_xll.EQNXTDZ($A$1,$B82,AR$5,$B$1)</f>
        <v>#NAME?</v>
      </c>
      <c r="AS82" s="55" t="e">
        <f ca="1">_xll.EQNXTDZ($A$1,$B82,AS$5,$B$1)</f>
        <v>#NAME?</v>
      </c>
      <c r="AT82" s="55" t="e">
        <f ca="1">_xll.EQNXTDZ($A$1,$B82,AT$5,$B$1)</f>
        <v>#NAME?</v>
      </c>
      <c r="AU82" s="55" t="e">
        <f ca="1">_xll.EQNXTDZ($A$1,$B82,AU$5,$B$1)</f>
        <v>#NAME?</v>
      </c>
      <c r="AV82" s="55" t="e">
        <f ca="1">_xll.EQNXTDZ($A$1,$B82,AV$5,$B$1)</f>
        <v>#NAME?</v>
      </c>
      <c r="AW82" s="55" t="e">
        <f ca="1">_xll.EQNXTDZ($A$1,$B82,AW$5,$B$1)</f>
        <v>#NAME?</v>
      </c>
      <c r="AX82" s="55" t="e">
        <f ca="1">_xll.EQNXTDZ($A$1,$B82,AX$5,$B$1)</f>
        <v>#NAME?</v>
      </c>
      <c r="AY82" s="55" t="e">
        <f ca="1">_xll.EQNXTDZ($A$1,$B82,AY$5,$B$1)</f>
        <v>#NAME?</v>
      </c>
      <c r="AZ82" s="55" t="e">
        <f ca="1">_xll.EQNXTDZ($A$1,$B82,AZ$5,$B$1)</f>
        <v>#NAME?</v>
      </c>
      <c r="BA82" s="55" t="e">
        <f ca="1">_xll.EQNXTDZ($A$1,$B82,BA$5,$B$1)</f>
        <v>#NAME?</v>
      </c>
      <c r="BB82" s="55" t="e">
        <f ca="1">_xll.EQNXTDZ($A$1,$B82,BB$5,$B$1)</f>
        <v>#NAME?</v>
      </c>
      <c r="BC82" s="55" t="e">
        <f ca="1">_xll.EQNXTDZ($A$1,$B82,BC$5,$B$1)</f>
        <v>#NAME?</v>
      </c>
      <c r="BD82" s="55" t="e">
        <f ca="1">_xll.EQNXTDZ($A$1,$B82,BD$5,$B$1)</f>
        <v>#NAME?</v>
      </c>
      <c r="BE82" s="55" t="e">
        <f ca="1">_xll.EQNXTDZ($A$1,$B82,BE$5,$B$1)</f>
        <v>#NAME?</v>
      </c>
      <c r="BF82" s="55" t="e">
        <f ca="1">_xll.EQNXTDZ($A$1,$B82,BF$5,$B$1)</f>
        <v>#NAME?</v>
      </c>
      <c r="BG82" s="55" t="e">
        <f ca="1">_xll.EQNXTDZ($A$1,$B82,BG$5,$B$1)</f>
        <v>#NAME?</v>
      </c>
      <c r="BH82" s="55" t="e">
        <f ca="1">_xll.EQNXTDZ($A$1,$B82,BH$5,$B$1)</f>
        <v>#NAME?</v>
      </c>
      <c r="BI82" s="55" t="e">
        <f ca="1">_xll.EQNXTDZ($A$1,$B82,BI$5,$B$1)</f>
        <v>#NAME?</v>
      </c>
      <c r="BJ82" s="55" t="e">
        <f ca="1">_xll.EQNXTDZ($A$1,$B82,BJ$5,$B$1)</f>
        <v>#NAME?</v>
      </c>
      <c r="BK82" s="55" t="e">
        <f ca="1">_xll.EQNXTDZ($A$1,$B82,BK$5,$B$1)</f>
        <v>#NAME?</v>
      </c>
      <c r="BL82" s="55" t="e">
        <f ca="1">_xll.EQNXTDZ($A$1,$B82,BL$5,$B$1)</f>
        <v>#NAME?</v>
      </c>
      <c r="BM82" s="55" t="e">
        <f ca="1">_xll.EQNXTDZ($A$1,$B82,BM$5,$B$1)</f>
        <v>#NAME?</v>
      </c>
      <c r="BN82" s="55" t="e">
        <f ca="1">_xll.EQNXTDZ($A$1,$B82,BN$5,$B$1)</f>
        <v>#NAME?</v>
      </c>
      <c r="BO82" s="55" t="e">
        <f ca="1">_xll.EQNXTDZ($A$1,$B82,BO$5,$B$1)</f>
        <v>#NAME?</v>
      </c>
      <c r="BP82" s="55" t="e">
        <f ca="1">_xll.EQNXTDZ($A$1,$B82,BP$5,$B$1)</f>
        <v>#NAME?</v>
      </c>
      <c r="BQ82" s="55" t="e">
        <f ca="1">_xll.EQNXTDZ($A$1,$B82,BQ$5,$B$1)</f>
        <v>#NAME?</v>
      </c>
      <c r="BR82" s="55" t="e">
        <f ca="1">_xll.EQNXTDZ($A$1,$B82,BR$5,$B$1)</f>
        <v>#NAME?</v>
      </c>
      <c r="BS82" s="55" t="e">
        <f ca="1">_xll.EQNXTDZ($A$1,$B82,BS$5,$B$1)</f>
        <v>#NAME?</v>
      </c>
      <c r="BT82" s="55" t="e">
        <f ca="1">_xll.EQNXTDZ($A$1,$B82,BT$5,$B$1)</f>
        <v>#NAME?</v>
      </c>
      <c r="BU82" s="55" t="e">
        <f ca="1">_xll.EQNXTDZ($A$1,$B82,BU$5,$B$1)</f>
        <v>#NAME?</v>
      </c>
      <c r="BV82" s="55" t="e">
        <f ca="1">_xll.EQNXTDZ($A$1,$B82,BV$5,$B$1)</f>
        <v>#NAME?</v>
      </c>
    </row>
    <row r="83" spans="1:74" x14ac:dyDescent="0.25">
      <c r="A83" t="s">
        <v>76</v>
      </c>
      <c r="B83" t="s">
        <v>399</v>
      </c>
      <c r="C83" s="55" t="e">
        <f ca="1">_xll.EQNXTDZ($A$1,$B83,C$5,$B$1)</f>
        <v>#NAME?</v>
      </c>
      <c r="D83" s="55" t="e">
        <f ca="1">_xll.EQNXTDZ($A$1,$B83,D$5,$B$1)</f>
        <v>#NAME?</v>
      </c>
      <c r="E83" s="55" t="e">
        <f ca="1">_xll.EQNXTDZ($A$1,$B83,E$5,$B$1)</f>
        <v>#NAME?</v>
      </c>
      <c r="F83" s="55" t="e">
        <f ca="1">_xll.EQNXTDZ($A$1,$B83,F$5,$B$1)</f>
        <v>#NAME?</v>
      </c>
      <c r="G83" s="55" t="e">
        <f ca="1">_xll.EQNXTDZ($A$1,$B83,G$5,$B$1)</f>
        <v>#NAME?</v>
      </c>
      <c r="H83" s="55" t="e">
        <f ca="1">_xll.EQNXTDZ($A$1,$B83,H$5,$B$1)</f>
        <v>#NAME?</v>
      </c>
      <c r="I83" s="55" t="e">
        <f ca="1">_xll.EQNXTDZ($A$1,$B83,I$5,$B$1)</f>
        <v>#NAME?</v>
      </c>
      <c r="J83" s="55" t="e">
        <f ca="1">_xll.EQNXTDZ($A$1,$B83,J$5,$B$1)</f>
        <v>#NAME?</v>
      </c>
      <c r="K83" s="55" t="e">
        <f ca="1">_xll.EQNXTDZ($A$1,$B83,K$5,$B$1)</f>
        <v>#NAME?</v>
      </c>
      <c r="L83" s="55" t="e">
        <f ca="1">_xll.EQNXTDZ($A$1,$B83,L$5,$B$1)</f>
        <v>#NAME?</v>
      </c>
      <c r="M83" s="55" t="e">
        <f ca="1">_xll.EQNXTDZ($A$1,$B83,M$5,$B$1)</f>
        <v>#NAME?</v>
      </c>
      <c r="N83" s="55" t="e">
        <f ca="1">_xll.EQNXTDZ($A$1,$B83,N$5,$B$1)</f>
        <v>#NAME?</v>
      </c>
      <c r="O83" s="55" t="e">
        <f ca="1">_xll.EQNXTDZ($A$1,$B83,O$5,$B$1)</f>
        <v>#NAME?</v>
      </c>
      <c r="P83" s="55" t="e">
        <f ca="1">_xll.EQNXTDZ($A$1,$B83,P$5,$B$1)</f>
        <v>#NAME?</v>
      </c>
      <c r="Q83" s="55" t="e">
        <f ca="1">_xll.EQNXTDZ($A$1,$B83,Q$5,$B$1)</f>
        <v>#NAME?</v>
      </c>
      <c r="R83" s="55" t="e">
        <f ca="1">_xll.EQNXTDZ($A$1,$B83,R$5,$B$1)</f>
        <v>#NAME?</v>
      </c>
      <c r="S83" s="55" t="e">
        <f ca="1">_xll.EQNXTDZ($A$1,$B83,S$5,$B$1)</f>
        <v>#NAME?</v>
      </c>
      <c r="T83" s="55" t="e">
        <f ca="1">_xll.EQNXTDZ($A$1,$B83,T$5,$B$1)</f>
        <v>#NAME?</v>
      </c>
      <c r="U83" s="55" t="e">
        <f ca="1">_xll.EQNXTDZ($A$1,$B83,U$5,$B$1)</f>
        <v>#NAME?</v>
      </c>
      <c r="V83" s="55" t="e">
        <f ca="1">_xll.EQNXTDZ($A$1,$B83,V$5,$B$1)</f>
        <v>#NAME?</v>
      </c>
      <c r="W83" s="55" t="e">
        <f ca="1">_xll.EQNXTDZ($A$1,$B83,W$5,$B$1)</f>
        <v>#NAME?</v>
      </c>
      <c r="X83" s="55" t="e">
        <f ca="1">_xll.EQNXTDZ($A$1,$B83,X$5,$B$1)</f>
        <v>#NAME?</v>
      </c>
      <c r="Y83" s="55" t="e">
        <f ca="1">_xll.EQNXTDZ($A$1,$B83,Y$5,$B$1)</f>
        <v>#NAME?</v>
      </c>
      <c r="Z83" s="55" t="e">
        <f ca="1">_xll.EQNXTDZ($A$1,$B83,Z$5,$B$1)</f>
        <v>#NAME?</v>
      </c>
      <c r="AA83" s="55" t="e">
        <f ca="1">_xll.EQNXTDZ($A$1,$B83,AA$5,$B$1)</f>
        <v>#NAME?</v>
      </c>
      <c r="AB83" s="55" t="e">
        <f ca="1">_xll.EQNXTDZ($A$1,$B83,AB$5,$B$1)</f>
        <v>#NAME?</v>
      </c>
      <c r="AC83" s="55" t="e">
        <f ca="1">_xll.EQNXTDZ($A$1,$B83,AC$5,$B$1)</f>
        <v>#NAME?</v>
      </c>
      <c r="AD83" s="55" t="e">
        <f ca="1">_xll.EQNXTDZ($A$1,$B83,AD$5,$B$1)</f>
        <v>#NAME?</v>
      </c>
      <c r="AE83" s="55" t="e">
        <f ca="1">_xll.EQNXTDZ($A$1,$B83,AE$5,$B$1)</f>
        <v>#NAME?</v>
      </c>
      <c r="AF83" s="55" t="e">
        <f ca="1">_xll.EQNXTDZ($A$1,$B83,AF$5,$B$1)</f>
        <v>#NAME?</v>
      </c>
      <c r="AG83" s="55" t="e">
        <f ca="1">_xll.EQNXTDZ($A$1,$B83,AG$5,$B$1)</f>
        <v>#NAME?</v>
      </c>
      <c r="AH83" s="55" t="e">
        <f ca="1">_xll.EQNXTDZ($A$1,$B83,AH$5,$B$1)</f>
        <v>#NAME?</v>
      </c>
      <c r="AI83" s="55" t="e">
        <f ca="1">_xll.EQNXTDZ($A$1,$B83,AI$5,$B$1)</f>
        <v>#NAME?</v>
      </c>
      <c r="AJ83" s="55" t="e">
        <f ca="1">_xll.EQNXTDZ($A$1,$B83,AJ$5,$B$1)</f>
        <v>#NAME?</v>
      </c>
      <c r="AK83" s="55" t="e">
        <f ca="1">_xll.EQNXTDZ($A$1,$B83,AK$5,$B$1)</f>
        <v>#NAME?</v>
      </c>
      <c r="AL83" s="55" t="e">
        <f ca="1">_xll.EQNXTDZ($A$1,$B83,AL$5,$B$1)</f>
        <v>#NAME?</v>
      </c>
      <c r="AM83" s="55" t="e">
        <f ca="1">_xll.EQNXTDZ($A$1,$B83,AM$5,$B$1)</f>
        <v>#NAME?</v>
      </c>
      <c r="AN83" s="55" t="e">
        <f ca="1">_xll.EQNXTDZ($A$1,$B83,AN$5,$B$1)</f>
        <v>#NAME?</v>
      </c>
      <c r="AO83" s="55" t="e">
        <f ca="1">_xll.EQNXTDZ($A$1,$B83,AO$5,$B$1)</f>
        <v>#NAME?</v>
      </c>
      <c r="AP83" s="55" t="e">
        <f ca="1">_xll.EQNXTDZ($A$1,$B83,AP$5,$B$1)</f>
        <v>#NAME?</v>
      </c>
      <c r="AQ83" s="55" t="e">
        <f ca="1">_xll.EQNXTDZ($A$1,$B83,AQ$5,$B$1)</f>
        <v>#NAME?</v>
      </c>
      <c r="AR83" s="55" t="e">
        <f ca="1">_xll.EQNXTDZ($A$1,$B83,AR$5,$B$1)</f>
        <v>#NAME?</v>
      </c>
      <c r="AS83" s="55" t="e">
        <f ca="1">_xll.EQNXTDZ($A$1,$B83,AS$5,$B$1)</f>
        <v>#NAME?</v>
      </c>
      <c r="AT83" s="55" t="e">
        <f ca="1">_xll.EQNXTDZ($A$1,$B83,AT$5,$B$1)</f>
        <v>#NAME?</v>
      </c>
      <c r="AU83" s="55" t="e">
        <f ca="1">_xll.EQNXTDZ($A$1,$B83,AU$5,$B$1)</f>
        <v>#NAME?</v>
      </c>
      <c r="AV83" s="55" t="e">
        <f ca="1">_xll.EQNXTDZ($A$1,$B83,AV$5,$B$1)</f>
        <v>#NAME?</v>
      </c>
      <c r="AW83" s="55" t="e">
        <f ca="1">_xll.EQNXTDZ($A$1,$B83,AW$5,$B$1)</f>
        <v>#NAME?</v>
      </c>
      <c r="AX83" s="55" t="e">
        <f ca="1">_xll.EQNXTDZ($A$1,$B83,AX$5,$B$1)</f>
        <v>#NAME?</v>
      </c>
      <c r="AY83" s="55" t="e">
        <f ca="1">_xll.EQNXTDZ($A$1,$B83,AY$5,$B$1)</f>
        <v>#NAME?</v>
      </c>
      <c r="AZ83" s="55" t="e">
        <f ca="1">_xll.EQNXTDZ($A$1,$B83,AZ$5,$B$1)</f>
        <v>#NAME?</v>
      </c>
      <c r="BA83" s="55" t="e">
        <f ca="1">_xll.EQNXTDZ($A$1,$B83,BA$5,$B$1)</f>
        <v>#NAME?</v>
      </c>
      <c r="BB83" s="55" t="e">
        <f ca="1">_xll.EQNXTDZ($A$1,$B83,BB$5,$B$1)</f>
        <v>#NAME?</v>
      </c>
      <c r="BC83" s="55" t="e">
        <f ca="1">_xll.EQNXTDZ($A$1,$B83,BC$5,$B$1)</f>
        <v>#NAME?</v>
      </c>
      <c r="BD83" s="55" t="e">
        <f ca="1">_xll.EQNXTDZ($A$1,$B83,BD$5,$B$1)</f>
        <v>#NAME?</v>
      </c>
      <c r="BE83" s="55" t="e">
        <f ca="1">_xll.EQNXTDZ($A$1,$B83,BE$5,$B$1)</f>
        <v>#NAME?</v>
      </c>
      <c r="BF83" s="55" t="e">
        <f ca="1">_xll.EQNXTDZ($A$1,$B83,BF$5,$B$1)</f>
        <v>#NAME?</v>
      </c>
      <c r="BG83" s="55" t="e">
        <f ca="1">_xll.EQNXTDZ($A$1,$B83,BG$5,$B$1)</f>
        <v>#NAME?</v>
      </c>
      <c r="BH83" s="55" t="e">
        <f ca="1">_xll.EQNXTDZ($A$1,$B83,BH$5,$B$1)</f>
        <v>#NAME?</v>
      </c>
      <c r="BI83" s="55" t="e">
        <f ca="1">_xll.EQNXTDZ($A$1,$B83,BI$5,$B$1)</f>
        <v>#NAME?</v>
      </c>
      <c r="BJ83" s="55" t="e">
        <f ca="1">_xll.EQNXTDZ($A$1,$B83,BJ$5,$B$1)</f>
        <v>#NAME?</v>
      </c>
      <c r="BK83" s="55" t="e">
        <f ca="1">_xll.EQNXTDZ($A$1,$B83,BK$5,$B$1)</f>
        <v>#NAME?</v>
      </c>
      <c r="BL83" s="55" t="e">
        <f ca="1">_xll.EQNXTDZ($A$1,$B83,BL$5,$B$1)</f>
        <v>#NAME?</v>
      </c>
      <c r="BM83" s="55" t="e">
        <f ca="1">_xll.EQNXTDZ($A$1,$B83,BM$5,$B$1)</f>
        <v>#NAME?</v>
      </c>
      <c r="BN83" s="55" t="e">
        <f ca="1">_xll.EQNXTDZ($A$1,$B83,BN$5,$B$1)</f>
        <v>#NAME?</v>
      </c>
      <c r="BO83" s="55" t="e">
        <f ca="1">_xll.EQNXTDZ($A$1,$B83,BO$5,$B$1)</f>
        <v>#NAME?</v>
      </c>
      <c r="BP83" s="55" t="e">
        <f ca="1">_xll.EQNXTDZ($A$1,$B83,BP$5,$B$1)</f>
        <v>#NAME?</v>
      </c>
      <c r="BQ83" s="55" t="e">
        <f ca="1">_xll.EQNXTDZ($A$1,$B83,BQ$5,$B$1)</f>
        <v>#NAME?</v>
      </c>
      <c r="BR83" s="55" t="e">
        <f ca="1">_xll.EQNXTDZ($A$1,$B83,BR$5,$B$1)</f>
        <v>#NAME?</v>
      </c>
      <c r="BS83" s="55" t="e">
        <f ca="1">_xll.EQNXTDZ($A$1,$B83,BS$5,$B$1)</f>
        <v>#NAME?</v>
      </c>
      <c r="BT83" s="55" t="e">
        <f ca="1">_xll.EQNXTDZ($A$1,$B83,BT$5,$B$1)</f>
        <v>#NAME?</v>
      </c>
      <c r="BU83" s="55" t="e">
        <f ca="1">_xll.EQNXTDZ($A$1,$B83,BU$5,$B$1)</f>
        <v>#NAME?</v>
      </c>
      <c r="BV83" s="55" t="e">
        <f ca="1">_xll.EQNXTDZ($A$1,$B83,BV$5,$B$1)</f>
        <v>#NAME?</v>
      </c>
    </row>
    <row r="84" spans="1:74" x14ac:dyDescent="0.25">
      <c r="A84" t="s">
        <v>63</v>
      </c>
      <c r="B84" t="s">
        <v>400</v>
      </c>
      <c r="C84" s="55" t="e">
        <f ca="1">_xll.EQNXTDZ($A$1,$B84,C$5,$B$1)</f>
        <v>#NAME?</v>
      </c>
      <c r="D84" s="55" t="e">
        <f ca="1">_xll.EQNXTDZ($A$1,$B84,D$5,$B$1)</f>
        <v>#NAME?</v>
      </c>
      <c r="E84" s="55" t="e">
        <f ca="1">_xll.EQNXTDZ($A$1,$B84,E$5,$B$1)</f>
        <v>#NAME?</v>
      </c>
      <c r="F84" s="55" t="e">
        <f ca="1">_xll.EQNXTDZ($A$1,$B84,F$5,$B$1)</f>
        <v>#NAME?</v>
      </c>
      <c r="G84" s="55" t="e">
        <f ca="1">_xll.EQNXTDZ($A$1,$B84,G$5,$B$1)</f>
        <v>#NAME?</v>
      </c>
      <c r="H84" s="55" t="e">
        <f ca="1">_xll.EQNXTDZ($A$1,$B84,H$5,$B$1)</f>
        <v>#NAME?</v>
      </c>
      <c r="I84" s="55" t="e">
        <f ca="1">_xll.EQNXTDZ($A$1,$B84,I$5,$B$1)</f>
        <v>#NAME?</v>
      </c>
      <c r="J84" s="55" t="e">
        <f ca="1">_xll.EQNXTDZ($A$1,$B84,J$5,$B$1)</f>
        <v>#NAME?</v>
      </c>
      <c r="K84" s="55" t="e">
        <f ca="1">_xll.EQNXTDZ($A$1,$B84,K$5,$B$1)</f>
        <v>#NAME?</v>
      </c>
      <c r="L84" s="55" t="e">
        <f ca="1">_xll.EQNXTDZ($A$1,$B84,L$5,$B$1)</f>
        <v>#NAME?</v>
      </c>
      <c r="M84" s="55" t="e">
        <f ca="1">_xll.EQNXTDZ($A$1,$B84,M$5,$B$1)</f>
        <v>#NAME?</v>
      </c>
      <c r="N84" s="55" t="e">
        <f ca="1">_xll.EQNXTDZ($A$1,$B84,N$5,$B$1)</f>
        <v>#NAME?</v>
      </c>
      <c r="O84" s="55" t="e">
        <f ca="1">_xll.EQNXTDZ($A$1,$B84,O$5,$B$1)</f>
        <v>#NAME?</v>
      </c>
      <c r="P84" s="55" t="e">
        <f ca="1">_xll.EQNXTDZ($A$1,$B84,P$5,$B$1)</f>
        <v>#NAME?</v>
      </c>
      <c r="Q84" s="55" t="e">
        <f ca="1">_xll.EQNXTDZ($A$1,$B84,Q$5,$B$1)</f>
        <v>#NAME?</v>
      </c>
      <c r="R84" s="55" t="e">
        <f ca="1">_xll.EQNXTDZ($A$1,$B84,R$5,$B$1)</f>
        <v>#NAME?</v>
      </c>
      <c r="S84" s="55" t="e">
        <f ca="1">_xll.EQNXTDZ($A$1,$B84,S$5,$B$1)</f>
        <v>#NAME?</v>
      </c>
      <c r="T84" s="55" t="e">
        <f ca="1">_xll.EQNXTDZ($A$1,$B84,T$5,$B$1)</f>
        <v>#NAME?</v>
      </c>
      <c r="U84" s="55" t="e">
        <f ca="1">_xll.EQNXTDZ($A$1,$B84,U$5,$B$1)</f>
        <v>#NAME?</v>
      </c>
      <c r="V84" s="55" t="e">
        <f ca="1">_xll.EQNXTDZ($A$1,$B84,V$5,$B$1)</f>
        <v>#NAME?</v>
      </c>
      <c r="W84" s="55" t="e">
        <f ca="1">_xll.EQNXTDZ($A$1,$B84,W$5,$B$1)</f>
        <v>#NAME?</v>
      </c>
      <c r="X84" s="55" t="e">
        <f ca="1">_xll.EQNXTDZ($A$1,$B84,X$5,$B$1)</f>
        <v>#NAME?</v>
      </c>
      <c r="Y84" s="55" t="e">
        <f ca="1">_xll.EQNXTDZ($A$1,$B84,Y$5,$B$1)</f>
        <v>#NAME?</v>
      </c>
      <c r="Z84" s="55" t="e">
        <f ca="1">_xll.EQNXTDZ($A$1,$B84,Z$5,$B$1)</f>
        <v>#NAME?</v>
      </c>
      <c r="AA84" s="55" t="e">
        <f ca="1">_xll.EQNXTDZ($A$1,$B84,AA$5,$B$1)</f>
        <v>#NAME?</v>
      </c>
      <c r="AB84" s="55" t="e">
        <f ca="1">_xll.EQNXTDZ($A$1,$B84,AB$5,$B$1)</f>
        <v>#NAME?</v>
      </c>
      <c r="AC84" s="55" t="e">
        <f ca="1">_xll.EQNXTDZ($A$1,$B84,AC$5,$B$1)</f>
        <v>#NAME?</v>
      </c>
      <c r="AD84" s="55" t="e">
        <f ca="1">_xll.EQNXTDZ($A$1,$B84,AD$5,$B$1)</f>
        <v>#NAME?</v>
      </c>
      <c r="AE84" s="55" t="e">
        <f ca="1">_xll.EQNXTDZ($A$1,$B84,AE$5,$B$1)</f>
        <v>#NAME?</v>
      </c>
      <c r="AF84" s="55" t="e">
        <f ca="1">_xll.EQNXTDZ($A$1,$B84,AF$5,$B$1)</f>
        <v>#NAME?</v>
      </c>
      <c r="AG84" s="55" t="e">
        <f ca="1">_xll.EQNXTDZ($A$1,$B84,AG$5,$B$1)</f>
        <v>#NAME?</v>
      </c>
      <c r="AH84" s="55" t="e">
        <f ca="1">_xll.EQNXTDZ($A$1,$B84,AH$5,$B$1)</f>
        <v>#NAME?</v>
      </c>
      <c r="AI84" s="55" t="e">
        <f ca="1">_xll.EQNXTDZ($A$1,$B84,AI$5,$B$1)</f>
        <v>#NAME?</v>
      </c>
      <c r="AJ84" s="55" t="e">
        <f ca="1">_xll.EQNXTDZ($A$1,$B84,AJ$5,$B$1)</f>
        <v>#NAME?</v>
      </c>
      <c r="AK84" s="55" t="e">
        <f ca="1">_xll.EQNXTDZ($A$1,$B84,AK$5,$B$1)</f>
        <v>#NAME?</v>
      </c>
      <c r="AL84" s="55" t="e">
        <f ca="1">_xll.EQNXTDZ($A$1,$B84,AL$5,$B$1)</f>
        <v>#NAME?</v>
      </c>
      <c r="AM84" s="55" t="e">
        <f ca="1">_xll.EQNXTDZ($A$1,$B84,AM$5,$B$1)</f>
        <v>#NAME?</v>
      </c>
      <c r="AN84" s="55" t="e">
        <f ca="1">_xll.EQNXTDZ($A$1,$B84,AN$5,$B$1)</f>
        <v>#NAME?</v>
      </c>
      <c r="AO84" s="55" t="e">
        <f ca="1">_xll.EQNXTDZ($A$1,$B84,AO$5,$B$1)</f>
        <v>#NAME?</v>
      </c>
      <c r="AP84" s="55" t="e">
        <f ca="1">_xll.EQNXTDZ($A$1,$B84,AP$5,$B$1)</f>
        <v>#NAME?</v>
      </c>
      <c r="AQ84" s="55" t="e">
        <f ca="1">_xll.EQNXTDZ($A$1,$B84,AQ$5,$B$1)</f>
        <v>#NAME?</v>
      </c>
      <c r="AR84" s="55" t="e">
        <f ca="1">_xll.EQNXTDZ($A$1,$B84,AR$5,$B$1)</f>
        <v>#NAME?</v>
      </c>
      <c r="AS84" s="55" t="e">
        <f ca="1">_xll.EQNXTDZ($A$1,$B84,AS$5,$B$1)</f>
        <v>#NAME?</v>
      </c>
      <c r="AT84" s="55" t="e">
        <f ca="1">_xll.EQNXTDZ($A$1,$B84,AT$5,$B$1)</f>
        <v>#NAME?</v>
      </c>
      <c r="AU84" s="55" t="e">
        <f ca="1">_xll.EQNXTDZ($A$1,$B84,AU$5,$B$1)</f>
        <v>#NAME?</v>
      </c>
      <c r="AV84" s="55" t="e">
        <f ca="1">_xll.EQNXTDZ($A$1,$B84,AV$5,$B$1)</f>
        <v>#NAME?</v>
      </c>
      <c r="AW84" s="55" t="e">
        <f ca="1">_xll.EQNXTDZ($A$1,$B84,AW$5,$B$1)</f>
        <v>#NAME?</v>
      </c>
      <c r="AX84" s="55" t="e">
        <f ca="1">_xll.EQNXTDZ($A$1,$B84,AX$5,$B$1)</f>
        <v>#NAME?</v>
      </c>
      <c r="AY84" s="55" t="e">
        <f ca="1">_xll.EQNXTDZ($A$1,$B84,AY$5,$B$1)</f>
        <v>#NAME?</v>
      </c>
      <c r="AZ84" s="55" t="e">
        <f ca="1">_xll.EQNXTDZ($A$1,$B84,AZ$5,$B$1)</f>
        <v>#NAME?</v>
      </c>
      <c r="BA84" s="55" t="e">
        <f ca="1">_xll.EQNXTDZ($A$1,$B84,BA$5,$B$1)</f>
        <v>#NAME?</v>
      </c>
      <c r="BB84" s="55" t="e">
        <f ca="1">_xll.EQNXTDZ($A$1,$B84,BB$5,$B$1)</f>
        <v>#NAME?</v>
      </c>
      <c r="BC84" s="55" t="e">
        <f ca="1">_xll.EQNXTDZ($A$1,$B84,BC$5,$B$1)</f>
        <v>#NAME?</v>
      </c>
      <c r="BD84" s="55" t="e">
        <f ca="1">_xll.EQNXTDZ($A$1,$B84,BD$5,$B$1)</f>
        <v>#NAME?</v>
      </c>
      <c r="BE84" s="55" t="e">
        <f ca="1">_xll.EQNXTDZ($A$1,$B84,BE$5,$B$1)</f>
        <v>#NAME?</v>
      </c>
      <c r="BF84" s="55" t="e">
        <f ca="1">_xll.EQNXTDZ($A$1,$B84,BF$5,$B$1)</f>
        <v>#NAME?</v>
      </c>
      <c r="BG84" s="55" t="e">
        <f ca="1">_xll.EQNXTDZ($A$1,$B84,BG$5,$B$1)</f>
        <v>#NAME?</v>
      </c>
      <c r="BH84" s="55" t="e">
        <f ca="1">_xll.EQNXTDZ($A$1,$B84,BH$5,$B$1)</f>
        <v>#NAME?</v>
      </c>
      <c r="BI84" s="55" t="e">
        <f ca="1">_xll.EQNXTDZ($A$1,$B84,BI$5,$B$1)</f>
        <v>#NAME?</v>
      </c>
      <c r="BJ84" s="55" t="e">
        <f ca="1">_xll.EQNXTDZ($A$1,$B84,BJ$5,$B$1)</f>
        <v>#NAME?</v>
      </c>
      <c r="BK84" s="55" t="e">
        <f ca="1">_xll.EQNXTDZ($A$1,$B84,BK$5,$B$1)</f>
        <v>#NAME?</v>
      </c>
      <c r="BL84" s="55" t="e">
        <f ca="1">_xll.EQNXTDZ($A$1,$B84,BL$5,$B$1)</f>
        <v>#NAME?</v>
      </c>
      <c r="BM84" s="55" t="e">
        <f ca="1">_xll.EQNXTDZ($A$1,$B84,BM$5,$B$1)</f>
        <v>#NAME?</v>
      </c>
      <c r="BN84" s="55" t="e">
        <f ca="1">_xll.EQNXTDZ($A$1,$B84,BN$5,$B$1)</f>
        <v>#NAME?</v>
      </c>
      <c r="BO84" s="55" t="e">
        <f ca="1">_xll.EQNXTDZ($A$1,$B84,BO$5,$B$1)</f>
        <v>#NAME?</v>
      </c>
      <c r="BP84" s="55" t="e">
        <f ca="1">_xll.EQNXTDZ($A$1,$B84,BP$5,$B$1)</f>
        <v>#NAME?</v>
      </c>
      <c r="BQ84" s="55" t="e">
        <f ca="1">_xll.EQNXTDZ($A$1,$B84,BQ$5,$B$1)</f>
        <v>#NAME?</v>
      </c>
      <c r="BR84" s="55" t="e">
        <f ca="1">_xll.EQNXTDZ($A$1,$B84,BR$5,$B$1)</f>
        <v>#NAME?</v>
      </c>
      <c r="BS84" s="55" t="e">
        <f ca="1">_xll.EQNXTDZ($A$1,$B84,BS$5,$B$1)</f>
        <v>#NAME?</v>
      </c>
      <c r="BT84" s="55" t="e">
        <f ca="1">_xll.EQNXTDZ($A$1,$B84,BT$5,$B$1)</f>
        <v>#NAME?</v>
      </c>
      <c r="BU84" s="55" t="e">
        <f ca="1">_xll.EQNXTDZ($A$1,$B84,BU$5,$B$1)</f>
        <v>#NAME?</v>
      </c>
      <c r="BV84" s="55" t="e">
        <f ca="1">_xll.EQNXTDZ($A$1,$B84,BV$5,$B$1)</f>
        <v>#NAME?</v>
      </c>
    </row>
    <row r="85" spans="1:74" x14ac:dyDescent="0.25">
      <c r="A85" t="s">
        <v>367</v>
      </c>
      <c r="B85" t="s">
        <v>401</v>
      </c>
      <c r="C85" s="55" t="e">
        <f ca="1">_xll.EQNXTDZ($A$1,$B85,C$5,$B$1)</f>
        <v>#NAME?</v>
      </c>
      <c r="D85" s="55" t="e">
        <f ca="1">_xll.EQNXTDZ($A$1,$B85,D$5,$B$1)</f>
        <v>#NAME?</v>
      </c>
      <c r="E85" s="55" t="e">
        <f ca="1">_xll.EQNXTDZ($A$1,$B85,E$5,$B$1)</f>
        <v>#NAME?</v>
      </c>
      <c r="F85" s="55" t="e">
        <f ca="1">_xll.EQNXTDZ($A$1,$B85,F$5,$B$1)</f>
        <v>#NAME?</v>
      </c>
      <c r="G85" s="55" t="e">
        <f ca="1">_xll.EQNXTDZ($A$1,$B85,G$5,$B$1)</f>
        <v>#NAME?</v>
      </c>
      <c r="H85" s="55" t="e">
        <f ca="1">_xll.EQNXTDZ($A$1,$B85,H$5,$B$1)</f>
        <v>#NAME?</v>
      </c>
      <c r="I85" s="55" t="e">
        <f ca="1">_xll.EQNXTDZ($A$1,$B85,I$5,$B$1)</f>
        <v>#NAME?</v>
      </c>
      <c r="J85" s="55" t="e">
        <f ca="1">_xll.EQNXTDZ($A$1,$B85,J$5,$B$1)</f>
        <v>#NAME?</v>
      </c>
      <c r="K85" s="55" t="e">
        <f ca="1">_xll.EQNXTDZ($A$1,$B85,K$5,$B$1)</f>
        <v>#NAME?</v>
      </c>
      <c r="L85" s="55" t="e">
        <f ca="1">_xll.EQNXTDZ($A$1,$B85,L$5,$B$1)</f>
        <v>#NAME?</v>
      </c>
      <c r="M85" s="55" t="e">
        <f ca="1">_xll.EQNXTDZ($A$1,$B85,M$5,$B$1)</f>
        <v>#NAME?</v>
      </c>
      <c r="N85" s="55" t="e">
        <f ca="1">_xll.EQNXTDZ($A$1,$B85,N$5,$B$1)</f>
        <v>#NAME?</v>
      </c>
      <c r="O85" s="55" t="e">
        <f ca="1">_xll.EQNXTDZ($A$1,$B85,O$5,$B$1)</f>
        <v>#NAME?</v>
      </c>
      <c r="P85" s="55" t="e">
        <f ca="1">_xll.EQNXTDZ($A$1,$B85,P$5,$B$1)</f>
        <v>#NAME?</v>
      </c>
      <c r="Q85" s="55" t="e">
        <f ca="1">_xll.EQNXTDZ($A$1,$B85,Q$5,$B$1)</f>
        <v>#NAME?</v>
      </c>
      <c r="R85" s="55" t="e">
        <f ca="1">_xll.EQNXTDZ($A$1,$B85,R$5,$B$1)</f>
        <v>#NAME?</v>
      </c>
      <c r="S85" s="55" t="e">
        <f ca="1">_xll.EQNXTDZ($A$1,$B85,S$5,$B$1)</f>
        <v>#NAME?</v>
      </c>
      <c r="T85" s="55" t="e">
        <f ca="1">_xll.EQNXTDZ($A$1,$B85,T$5,$B$1)</f>
        <v>#NAME?</v>
      </c>
      <c r="U85" s="55" t="e">
        <f ca="1">_xll.EQNXTDZ($A$1,$B85,U$5,$B$1)</f>
        <v>#NAME?</v>
      </c>
      <c r="V85" s="55" t="e">
        <f ca="1">_xll.EQNXTDZ($A$1,$B85,V$5,$B$1)</f>
        <v>#NAME?</v>
      </c>
      <c r="W85" s="55" t="e">
        <f ca="1">_xll.EQNXTDZ($A$1,$B85,W$5,$B$1)</f>
        <v>#NAME?</v>
      </c>
      <c r="X85" s="55" t="e">
        <f ca="1">_xll.EQNXTDZ($A$1,$B85,X$5,$B$1)</f>
        <v>#NAME?</v>
      </c>
      <c r="Y85" s="55" t="e">
        <f ca="1">_xll.EQNXTDZ($A$1,$B85,Y$5,$B$1)</f>
        <v>#NAME?</v>
      </c>
      <c r="Z85" s="55" t="e">
        <f ca="1">_xll.EQNXTDZ($A$1,$B85,Z$5,$B$1)</f>
        <v>#NAME?</v>
      </c>
      <c r="AA85" s="55" t="e">
        <f ca="1">_xll.EQNXTDZ($A$1,$B85,AA$5,$B$1)</f>
        <v>#NAME?</v>
      </c>
      <c r="AB85" s="55" t="e">
        <f ca="1">_xll.EQNXTDZ($A$1,$B85,AB$5,$B$1)</f>
        <v>#NAME?</v>
      </c>
      <c r="AC85" s="55" t="e">
        <f ca="1">_xll.EQNXTDZ($A$1,$B85,AC$5,$B$1)</f>
        <v>#NAME?</v>
      </c>
      <c r="AD85" s="55" t="e">
        <f ca="1">_xll.EQNXTDZ($A$1,$B85,AD$5,$B$1)</f>
        <v>#NAME?</v>
      </c>
      <c r="AE85" s="55" t="e">
        <f ca="1">_xll.EQNXTDZ($A$1,$B85,AE$5,$B$1)</f>
        <v>#NAME?</v>
      </c>
      <c r="AF85" s="55" t="e">
        <f ca="1">_xll.EQNXTDZ($A$1,$B85,AF$5,$B$1)</f>
        <v>#NAME?</v>
      </c>
      <c r="AG85" s="55" t="e">
        <f ca="1">_xll.EQNXTDZ($A$1,$B85,AG$5,$B$1)</f>
        <v>#NAME?</v>
      </c>
      <c r="AH85" s="55" t="e">
        <f ca="1">_xll.EQNXTDZ($A$1,$B85,AH$5,$B$1)</f>
        <v>#NAME?</v>
      </c>
      <c r="AI85" s="55" t="e">
        <f ca="1">_xll.EQNXTDZ($A$1,$B85,AI$5,$B$1)</f>
        <v>#NAME?</v>
      </c>
      <c r="AJ85" s="55" t="e">
        <f ca="1">_xll.EQNXTDZ($A$1,$B85,AJ$5,$B$1)</f>
        <v>#NAME?</v>
      </c>
      <c r="AK85" s="55" t="e">
        <f ca="1">_xll.EQNXTDZ($A$1,$B85,AK$5,$B$1)</f>
        <v>#NAME?</v>
      </c>
      <c r="AL85" s="55" t="e">
        <f ca="1">_xll.EQNXTDZ($A$1,$B85,AL$5,$B$1)</f>
        <v>#NAME?</v>
      </c>
      <c r="AM85" s="55" t="e">
        <f ca="1">_xll.EQNXTDZ($A$1,$B85,AM$5,$B$1)</f>
        <v>#NAME?</v>
      </c>
      <c r="AN85" s="55" t="e">
        <f ca="1">_xll.EQNXTDZ($A$1,$B85,AN$5,$B$1)</f>
        <v>#NAME?</v>
      </c>
      <c r="AO85" s="55" t="e">
        <f ca="1">_xll.EQNXTDZ($A$1,$B85,AO$5,$B$1)</f>
        <v>#NAME?</v>
      </c>
      <c r="AP85" s="55" t="e">
        <f ca="1">_xll.EQNXTDZ($A$1,$B85,AP$5,$B$1)</f>
        <v>#NAME?</v>
      </c>
      <c r="AQ85" s="55" t="e">
        <f ca="1">_xll.EQNXTDZ($A$1,$B85,AQ$5,$B$1)</f>
        <v>#NAME?</v>
      </c>
      <c r="AR85" s="55" t="e">
        <f ca="1">_xll.EQNXTDZ($A$1,$B85,AR$5,$B$1)</f>
        <v>#NAME?</v>
      </c>
      <c r="AS85" s="55" t="e">
        <f ca="1">_xll.EQNXTDZ($A$1,$B85,AS$5,$B$1)</f>
        <v>#NAME?</v>
      </c>
      <c r="AT85" s="55" t="e">
        <f ca="1">_xll.EQNXTDZ($A$1,$B85,AT$5,$B$1)</f>
        <v>#NAME?</v>
      </c>
      <c r="AU85" s="55" t="e">
        <f ca="1">_xll.EQNXTDZ($A$1,$B85,AU$5,$B$1)</f>
        <v>#NAME?</v>
      </c>
      <c r="AV85" s="55" t="e">
        <f ca="1">_xll.EQNXTDZ($A$1,$B85,AV$5,$B$1)</f>
        <v>#NAME?</v>
      </c>
      <c r="AW85" s="55" t="e">
        <f ca="1">_xll.EQNXTDZ($A$1,$B85,AW$5,$B$1)</f>
        <v>#NAME?</v>
      </c>
      <c r="AX85" s="55" t="e">
        <f ca="1">_xll.EQNXTDZ($A$1,$B85,AX$5,$B$1)</f>
        <v>#NAME?</v>
      </c>
      <c r="AY85" s="55" t="e">
        <f ca="1">_xll.EQNXTDZ($A$1,$B85,AY$5,$B$1)</f>
        <v>#NAME?</v>
      </c>
      <c r="AZ85" s="55" t="e">
        <f ca="1">_xll.EQNXTDZ($A$1,$B85,AZ$5,$B$1)</f>
        <v>#NAME?</v>
      </c>
      <c r="BA85" s="55" t="e">
        <f ca="1">_xll.EQNXTDZ($A$1,$B85,BA$5,$B$1)</f>
        <v>#NAME?</v>
      </c>
      <c r="BB85" s="55" t="e">
        <f ca="1">_xll.EQNXTDZ($A$1,$B85,BB$5,$B$1)</f>
        <v>#NAME?</v>
      </c>
      <c r="BC85" s="55" t="e">
        <f ca="1">_xll.EQNXTDZ($A$1,$B85,BC$5,$B$1)</f>
        <v>#NAME?</v>
      </c>
      <c r="BD85" s="55" t="e">
        <f ca="1">_xll.EQNXTDZ($A$1,$B85,BD$5,$B$1)</f>
        <v>#NAME?</v>
      </c>
      <c r="BE85" s="55" t="e">
        <f ca="1">_xll.EQNXTDZ($A$1,$B85,BE$5,$B$1)</f>
        <v>#NAME?</v>
      </c>
      <c r="BF85" s="55" t="e">
        <f ca="1">_xll.EQNXTDZ($A$1,$B85,BF$5,$B$1)</f>
        <v>#NAME?</v>
      </c>
      <c r="BG85" s="55" t="e">
        <f ca="1">_xll.EQNXTDZ($A$1,$B85,BG$5,$B$1)</f>
        <v>#NAME?</v>
      </c>
      <c r="BH85" s="55" t="e">
        <f ca="1">_xll.EQNXTDZ($A$1,$B85,BH$5,$B$1)</f>
        <v>#NAME?</v>
      </c>
      <c r="BI85" s="55" t="e">
        <f ca="1">_xll.EQNXTDZ($A$1,$B85,BI$5,$B$1)</f>
        <v>#NAME?</v>
      </c>
      <c r="BJ85" s="55" t="e">
        <f ca="1">_xll.EQNXTDZ($A$1,$B85,BJ$5,$B$1)</f>
        <v>#NAME?</v>
      </c>
      <c r="BK85" s="55" t="e">
        <f ca="1">_xll.EQNXTDZ($A$1,$B85,BK$5,$B$1)</f>
        <v>#NAME?</v>
      </c>
      <c r="BL85" s="55" t="e">
        <f ca="1">_xll.EQNXTDZ($A$1,$B85,BL$5,$B$1)</f>
        <v>#NAME?</v>
      </c>
      <c r="BM85" s="55" t="e">
        <f ca="1">_xll.EQNXTDZ($A$1,$B85,BM$5,$B$1)</f>
        <v>#NAME?</v>
      </c>
      <c r="BN85" s="55" t="e">
        <f ca="1">_xll.EQNXTDZ($A$1,$B85,BN$5,$B$1)</f>
        <v>#NAME?</v>
      </c>
      <c r="BO85" s="55" t="e">
        <f ca="1">_xll.EQNXTDZ($A$1,$B85,BO$5,$B$1)</f>
        <v>#NAME?</v>
      </c>
      <c r="BP85" s="55" t="e">
        <f ca="1">_xll.EQNXTDZ($A$1,$B85,BP$5,$B$1)</f>
        <v>#NAME?</v>
      </c>
      <c r="BQ85" s="55" t="e">
        <f ca="1">_xll.EQNXTDZ($A$1,$B85,BQ$5,$B$1)</f>
        <v>#NAME?</v>
      </c>
      <c r="BR85" s="55" t="e">
        <f ca="1">_xll.EQNXTDZ($A$1,$B85,BR$5,$B$1)</f>
        <v>#NAME?</v>
      </c>
      <c r="BS85" s="55" t="e">
        <f ca="1">_xll.EQNXTDZ($A$1,$B85,BS$5,$B$1)</f>
        <v>#NAME?</v>
      </c>
      <c r="BT85" s="55" t="e">
        <f ca="1">_xll.EQNXTDZ($A$1,$B85,BT$5,$B$1)</f>
        <v>#NAME?</v>
      </c>
      <c r="BU85" s="55" t="e">
        <f ca="1">_xll.EQNXTDZ($A$1,$B85,BU$5,$B$1)</f>
        <v>#NAME?</v>
      </c>
      <c r="BV85" s="55" t="e">
        <f ca="1">_xll.EQNXTDZ($A$1,$B85,BV$5,$B$1)</f>
        <v>#NAME?</v>
      </c>
    </row>
    <row r="86" spans="1:74" x14ac:dyDescent="0.25">
      <c r="A86" t="s">
        <v>173</v>
      </c>
      <c r="B86" t="s">
        <v>402</v>
      </c>
      <c r="C86" s="55" t="e">
        <f ca="1">_xll.EQNXTDZ($A$1,$B86,C$5,$B$1)</f>
        <v>#NAME?</v>
      </c>
      <c r="D86" s="55" t="e">
        <f ca="1">_xll.EQNXTDZ($A$1,$B86,D$5,$B$1)</f>
        <v>#NAME?</v>
      </c>
      <c r="E86" s="55" t="e">
        <f ca="1">_xll.EQNXTDZ($A$1,$B86,E$5,$B$1)</f>
        <v>#NAME?</v>
      </c>
      <c r="F86" s="55" t="e">
        <f ca="1">_xll.EQNXTDZ($A$1,$B86,F$5,$B$1)</f>
        <v>#NAME?</v>
      </c>
      <c r="G86" s="55" t="e">
        <f ca="1">_xll.EQNXTDZ($A$1,$B86,G$5,$B$1)</f>
        <v>#NAME?</v>
      </c>
      <c r="H86" s="55" t="e">
        <f ca="1">_xll.EQNXTDZ($A$1,$B86,H$5,$B$1)</f>
        <v>#NAME?</v>
      </c>
      <c r="I86" s="55" t="e">
        <f ca="1">_xll.EQNXTDZ($A$1,$B86,I$5,$B$1)</f>
        <v>#NAME?</v>
      </c>
      <c r="J86" s="55" t="e">
        <f ca="1">_xll.EQNXTDZ($A$1,$B86,J$5,$B$1)</f>
        <v>#NAME?</v>
      </c>
      <c r="K86" s="55" t="e">
        <f ca="1">_xll.EQNXTDZ($A$1,$B86,K$5,$B$1)</f>
        <v>#NAME?</v>
      </c>
      <c r="L86" s="55" t="e">
        <f ca="1">_xll.EQNXTDZ($A$1,$B86,L$5,$B$1)</f>
        <v>#NAME?</v>
      </c>
      <c r="M86" s="55" t="e">
        <f ca="1">_xll.EQNXTDZ($A$1,$B86,M$5,$B$1)</f>
        <v>#NAME?</v>
      </c>
      <c r="N86" s="55" t="e">
        <f ca="1">_xll.EQNXTDZ($A$1,$B86,N$5,$B$1)</f>
        <v>#NAME?</v>
      </c>
      <c r="O86" s="55" t="e">
        <f ca="1">_xll.EQNXTDZ($A$1,$B86,O$5,$B$1)</f>
        <v>#NAME?</v>
      </c>
      <c r="P86" s="55" t="e">
        <f ca="1">_xll.EQNXTDZ($A$1,$B86,P$5,$B$1)</f>
        <v>#NAME?</v>
      </c>
      <c r="Q86" s="55" t="e">
        <f ca="1">_xll.EQNXTDZ($A$1,$B86,Q$5,$B$1)</f>
        <v>#NAME?</v>
      </c>
      <c r="R86" s="55" t="e">
        <f ca="1">_xll.EQNXTDZ($A$1,$B86,R$5,$B$1)</f>
        <v>#NAME?</v>
      </c>
      <c r="S86" s="55" t="e">
        <f ca="1">_xll.EQNXTDZ($A$1,$B86,S$5,$B$1)</f>
        <v>#NAME?</v>
      </c>
      <c r="T86" s="55" t="e">
        <f ca="1">_xll.EQNXTDZ($A$1,$B86,T$5,$B$1)</f>
        <v>#NAME?</v>
      </c>
      <c r="U86" s="55" t="e">
        <f ca="1">_xll.EQNXTDZ($A$1,$B86,U$5,$B$1)</f>
        <v>#NAME?</v>
      </c>
      <c r="V86" s="55" t="e">
        <f ca="1">_xll.EQNXTDZ($A$1,$B86,V$5,$B$1)</f>
        <v>#NAME?</v>
      </c>
      <c r="W86" s="55" t="e">
        <f ca="1">_xll.EQNXTDZ($A$1,$B86,W$5,$B$1)</f>
        <v>#NAME?</v>
      </c>
      <c r="X86" s="55" t="e">
        <f ca="1">_xll.EQNXTDZ($A$1,$B86,X$5,$B$1)</f>
        <v>#NAME?</v>
      </c>
      <c r="Y86" s="55" t="e">
        <f ca="1">_xll.EQNXTDZ($A$1,$B86,Y$5,$B$1)</f>
        <v>#NAME?</v>
      </c>
      <c r="Z86" s="55" t="e">
        <f ca="1">_xll.EQNXTDZ($A$1,$B86,Z$5,$B$1)</f>
        <v>#NAME?</v>
      </c>
      <c r="AA86" s="55" t="e">
        <f ca="1">_xll.EQNXTDZ($A$1,$B86,AA$5,$B$1)</f>
        <v>#NAME?</v>
      </c>
      <c r="AB86" s="55" t="e">
        <f ca="1">_xll.EQNXTDZ($A$1,$B86,AB$5,$B$1)</f>
        <v>#NAME?</v>
      </c>
      <c r="AC86" s="55" t="e">
        <f ca="1">_xll.EQNXTDZ($A$1,$B86,AC$5,$B$1)</f>
        <v>#NAME?</v>
      </c>
      <c r="AD86" s="55" t="e">
        <f ca="1">_xll.EQNXTDZ($A$1,$B86,AD$5,$B$1)</f>
        <v>#NAME?</v>
      </c>
      <c r="AE86" s="55" t="e">
        <f ca="1">_xll.EQNXTDZ($A$1,$B86,AE$5,$B$1)</f>
        <v>#NAME?</v>
      </c>
      <c r="AF86" s="55" t="e">
        <f ca="1">_xll.EQNXTDZ($A$1,$B86,AF$5,$B$1)</f>
        <v>#NAME?</v>
      </c>
      <c r="AG86" s="55" t="e">
        <f ca="1">_xll.EQNXTDZ($A$1,$B86,AG$5,$B$1)</f>
        <v>#NAME?</v>
      </c>
      <c r="AH86" s="55" t="e">
        <f ca="1">_xll.EQNXTDZ($A$1,$B86,AH$5,$B$1)</f>
        <v>#NAME?</v>
      </c>
      <c r="AI86" s="55" t="e">
        <f ca="1">_xll.EQNXTDZ($A$1,$B86,AI$5,$B$1)</f>
        <v>#NAME?</v>
      </c>
      <c r="AJ86" s="55" t="e">
        <f ca="1">_xll.EQNXTDZ($A$1,$B86,AJ$5,$B$1)</f>
        <v>#NAME?</v>
      </c>
      <c r="AK86" s="55" t="e">
        <f ca="1">_xll.EQNXTDZ($A$1,$B86,AK$5,$B$1)</f>
        <v>#NAME?</v>
      </c>
      <c r="AL86" s="55" t="e">
        <f ca="1">_xll.EQNXTDZ($A$1,$B86,AL$5,$B$1)</f>
        <v>#NAME?</v>
      </c>
      <c r="AM86" s="55" t="e">
        <f ca="1">_xll.EQNXTDZ($A$1,$B86,AM$5,$B$1)</f>
        <v>#NAME?</v>
      </c>
      <c r="AN86" s="55" t="e">
        <f ca="1">_xll.EQNXTDZ($A$1,$B86,AN$5,$B$1)</f>
        <v>#NAME?</v>
      </c>
      <c r="AO86" s="55" t="e">
        <f ca="1">_xll.EQNXTDZ($A$1,$B86,AO$5,$B$1)</f>
        <v>#NAME?</v>
      </c>
      <c r="AP86" s="55" t="e">
        <f ca="1">_xll.EQNXTDZ($A$1,$B86,AP$5,$B$1)</f>
        <v>#NAME?</v>
      </c>
      <c r="AQ86" s="55" t="e">
        <f ca="1">_xll.EQNXTDZ($A$1,$B86,AQ$5,$B$1)</f>
        <v>#NAME?</v>
      </c>
      <c r="AR86" s="55" t="e">
        <f ca="1">_xll.EQNXTDZ($A$1,$B86,AR$5,$B$1)</f>
        <v>#NAME?</v>
      </c>
      <c r="AS86" s="55" t="e">
        <f ca="1">_xll.EQNXTDZ($A$1,$B86,AS$5,$B$1)</f>
        <v>#NAME?</v>
      </c>
      <c r="AT86" s="55" t="e">
        <f ca="1">_xll.EQNXTDZ($A$1,$B86,AT$5,$B$1)</f>
        <v>#NAME?</v>
      </c>
      <c r="AU86" s="55" t="e">
        <f ca="1">_xll.EQNXTDZ($A$1,$B86,AU$5,$B$1)</f>
        <v>#NAME?</v>
      </c>
      <c r="AV86" s="55" t="e">
        <f ca="1">_xll.EQNXTDZ($A$1,$B86,AV$5,$B$1)</f>
        <v>#NAME?</v>
      </c>
      <c r="AW86" s="55" t="e">
        <f ca="1">_xll.EQNXTDZ($A$1,$B86,AW$5,$B$1)</f>
        <v>#NAME?</v>
      </c>
      <c r="AX86" s="55" t="e">
        <f ca="1">_xll.EQNXTDZ($A$1,$B86,AX$5,$B$1)</f>
        <v>#NAME?</v>
      </c>
      <c r="AY86" s="55" t="e">
        <f ca="1">_xll.EQNXTDZ($A$1,$B86,AY$5,$B$1)</f>
        <v>#NAME?</v>
      </c>
      <c r="AZ86" s="55" t="e">
        <f ca="1">_xll.EQNXTDZ($A$1,$B86,AZ$5,$B$1)</f>
        <v>#NAME?</v>
      </c>
      <c r="BA86" s="55" t="e">
        <f ca="1">_xll.EQNXTDZ($A$1,$B86,BA$5,$B$1)</f>
        <v>#NAME?</v>
      </c>
      <c r="BB86" s="55" t="e">
        <f ca="1">_xll.EQNXTDZ($A$1,$B86,BB$5,$B$1)</f>
        <v>#NAME?</v>
      </c>
      <c r="BC86" s="55" t="e">
        <f ca="1">_xll.EQNXTDZ($A$1,$B86,BC$5,$B$1)</f>
        <v>#NAME?</v>
      </c>
      <c r="BD86" s="55" t="e">
        <f ca="1">_xll.EQNXTDZ($A$1,$B86,BD$5,$B$1)</f>
        <v>#NAME?</v>
      </c>
      <c r="BE86" s="55" t="e">
        <f ca="1">_xll.EQNXTDZ($A$1,$B86,BE$5,$B$1)</f>
        <v>#NAME?</v>
      </c>
      <c r="BF86" s="55" t="e">
        <f ca="1">_xll.EQNXTDZ($A$1,$B86,BF$5,$B$1)</f>
        <v>#NAME?</v>
      </c>
      <c r="BG86" s="55" t="e">
        <f ca="1">_xll.EQNXTDZ($A$1,$B86,BG$5,$B$1)</f>
        <v>#NAME?</v>
      </c>
      <c r="BH86" s="55" t="e">
        <f ca="1">_xll.EQNXTDZ($A$1,$B86,BH$5,$B$1)</f>
        <v>#NAME?</v>
      </c>
      <c r="BI86" s="55" t="e">
        <f ca="1">_xll.EQNXTDZ($A$1,$B86,BI$5,$B$1)</f>
        <v>#NAME?</v>
      </c>
      <c r="BJ86" s="55" t="e">
        <f ca="1">_xll.EQNXTDZ($A$1,$B86,BJ$5,$B$1)</f>
        <v>#NAME?</v>
      </c>
      <c r="BK86" s="55" t="e">
        <f ca="1">_xll.EQNXTDZ($A$1,$B86,BK$5,$B$1)</f>
        <v>#NAME?</v>
      </c>
      <c r="BL86" s="55" t="e">
        <f ca="1">_xll.EQNXTDZ($A$1,$B86,BL$5,$B$1)</f>
        <v>#NAME?</v>
      </c>
      <c r="BM86" s="55" t="e">
        <f ca="1">_xll.EQNXTDZ($A$1,$B86,BM$5,$B$1)</f>
        <v>#NAME?</v>
      </c>
      <c r="BN86" s="55" t="e">
        <f ca="1">_xll.EQNXTDZ($A$1,$B86,BN$5,$B$1)</f>
        <v>#NAME?</v>
      </c>
      <c r="BO86" s="55" t="e">
        <f ca="1">_xll.EQNXTDZ($A$1,$B86,BO$5,$B$1)</f>
        <v>#NAME?</v>
      </c>
      <c r="BP86" s="55" t="e">
        <f ca="1">_xll.EQNXTDZ($A$1,$B86,BP$5,$B$1)</f>
        <v>#NAME?</v>
      </c>
      <c r="BQ86" s="55" t="e">
        <f ca="1">_xll.EQNXTDZ($A$1,$B86,BQ$5,$B$1)</f>
        <v>#NAME?</v>
      </c>
      <c r="BR86" s="55" t="e">
        <f ca="1">_xll.EQNXTDZ($A$1,$B86,BR$5,$B$1)</f>
        <v>#NAME?</v>
      </c>
      <c r="BS86" s="55" t="e">
        <f ca="1">_xll.EQNXTDZ($A$1,$B86,BS$5,$B$1)</f>
        <v>#NAME?</v>
      </c>
      <c r="BT86" s="55" t="e">
        <f ca="1">_xll.EQNXTDZ($A$1,$B86,BT$5,$B$1)</f>
        <v>#NAME?</v>
      </c>
      <c r="BU86" s="55" t="e">
        <f ca="1">_xll.EQNXTDZ($A$1,$B86,BU$5,$B$1)</f>
        <v>#NAME?</v>
      </c>
      <c r="BV86" s="55" t="e">
        <f ca="1">_xll.EQNXTDZ($A$1,$B86,BV$5,$B$1)</f>
        <v>#NAME?</v>
      </c>
    </row>
    <row r="87" spans="1:74" x14ac:dyDescent="0.25">
      <c r="A87" t="s">
        <v>69</v>
      </c>
      <c r="B87" t="s">
        <v>403</v>
      </c>
      <c r="C87" s="55" t="e">
        <f ca="1">_xll.EQNXTDZ($A$1,$B87,C$5,$B$1)</f>
        <v>#NAME?</v>
      </c>
      <c r="D87" s="55" t="e">
        <f ca="1">_xll.EQNXTDZ($A$1,$B87,D$5,$B$1)</f>
        <v>#NAME?</v>
      </c>
      <c r="E87" s="55" t="e">
        <f ca="1">_xll.EQNXTDZ($A$1,$B87,E$5,$B$1)</f>
        <v>#NAME?</v>
      </c>
      <c r="F87" s="55" t="e">
        <f ca="1">_xll.EQNXTDZ($A$1,$B87,F$5,$B$1)</f>
        <v>#NAME?</v>
      </c>
      <c r="G87" s="55" t="e">
        <f ca="1">_xll.EQNXTDZ($A$1,$B87,G$5,$B$1)</f>
        <v>#NAME?</v>
      </c>
      <c r="H87" s="55" t="e">
        <f ca="1">_xll.EQNXTDZ($A$1,$B87,H$5,$B$1)</f>
        <v>#NAME?</v>
      </c>
      <c r="I87" s="55" t="e">
        <f ca="1">_xll.EQNXTDZ($A$1,$B87,I$5,$B$1)</f>
        <v>#NAME?</v>
      </c>
      <c r="J87" s="55" t="e">
        <f ca="1">_xll.EQNXTDZ($A$1,$B87,J$5,$B$1)</f>
        <v>#NAME?</v>
      </c>
      <c r="K87" s="55" t="e">
        <f ca="1">_xll.EQNXTDZ($A$1,$B87,K$5,$B$1)</f>
        <v>#NAME?</v>
      </c>
      <c r="L87" s="55" t="e">
        <f ca="1">_xll.EQNXTDZ($A$1,$B87,L$5,$B$1)</f>
        <v>#NAME?</v>
      </c>
      <c r="M87" s="55" t="e">
        <f ca="1">_xll.EQNXTDZ($A$1,$B87,M$5,$B$1)</f>
        <v>#NAME?</v>
      </c>
      <c r="N87" s="55" t="e">
        <f ca="1">_xll.EQNXTDZ($A$1,$B87,N$5,$B$1)</f>
        <v>#NAME?</v>
      </c>
      <c r="O87" s="55" t="e">
        <f ca="1">_xll.EQNXTDZ($A$1,$B87,O$5,$B$1)</f>
        <v>#NAME?</v>
      </c>
      <c r="P87" s="55" t="e">
        <f ca="1">_xll.EQNXTDZ($A$1,$B87,P$5,$B$1)</f>
        <v>#NAME?</v>
      </c>
      <c r="Q87" s="55" t="e">
        <f ca="1">_xll.EQNXTDZ($A$1,$B87,Q$5,$B$1)</f>
        <v>#NAME?</v>
      </c>
      <c r="R87" s="55" t="e">
        <f ca="1">_xll.EQNXTDZ($A$1,$B87,R$5,$B$1)</f>
        <v>#NAME?</v>
      </c>
      <c r="S87" s="55" t="e">
        <f ca="1">_xll.EQNXTDZ($A$1,$B87,S$5,$B$1)</f>
        <v>#NAME?</v>
      </c>
      <c r="T87" s="55" t="e">
        <f ca="1">_xll.EQNXTDZ($A$1,$B87,T$5,$B$1)</f>
        <v>#NAME?</v>
      </c>
      <c r="U87" s="55" t="e">
        <f ca="1">_xll.EQNXTDZ($A$1,$B87,U$5,$B$1)</f>
        <v>#NAME?</v>
      </c>
      <c r="V87" s="55" t="e">
        <f ca="1">_xll.EQNXTDZ($A$1,$B87,V$5,$B$1)</f>
        <v>#NAME?</v>
      </c>
      <c r="W87" s="55" t="e">
        <f ca="1">_xll.EQNXTDZ($A$1,$B87,W$5,$B$1)</f>
        <v>#NAME?</v>
      </c>
      <c r="X87" s="55" t="e">
        <f ca="1">_xll.EQNXTDZ($A$1,$B87,X$5,$B$1)</f>
        <v>#NAME?</v>
      </c>
      <c r="Y87" s="55" t="e">
        <f ca="1">_xll.EQNXTDZ($A$1,$B87,Y$5,$B$1)</f>
        <v>#NAME?</v>
      </c>
      <c r="Z87" s="55" t="e">
        <f ca="1">_xll.EQNXTDZ($A$1,$B87,Z$5,$B$1)</f>
        <v>#NAME?</v>
      </c>
      <c r="AA87" s="55" t="e">
        <f ca="1">_xll.EQNXTDZ($A$1,$B87,AA$5,$B$1)</f>
        <v>#NAME?</v>
      </c>
      <c r="AB87" s="55" t="e">
        <f ca="1">_xll.EQNXTDZ($A$1,$B87,AB$5,$B$1)</f>
        <v>#NAME?</v>
      </c>
      <c r="AC87" s="55" t="e">
        <f ca="1">_xll.EQNXTDZ($A$1,$B87,AC$5,$B$1)</f>
        <v>#NAME?</v>
      </c>
      <c r="AD87" s="55" t="e">
        <f ca="1">_xll.EQNXTDZ($A$1,$B87,AD$5,$B$1)</f>
        <v>#NAME?</v>
      </c>
      <c r="AE87" s="55" t="e">
        <f ca="1">_xll.EQNXTDZ($A$1,$B87,AE$5,$B$1)</f>
        <v>#NAME?</v>
      </c>
      <c r="AF87" s="55" t="e">
        <f ca="1">_xll.EQNXTDZ($A$1,$B87,AF$5,$B$1)</f>
        <v>#NAME?</v>
      </c>
      <c r="AG87" s="55" t="e">
        <f ca="1">_xll.EQNXTDZ($A$1,$B87,AG$5,$B$1)</f>
        <v>#NAME?</v>
      </c>
      <c r="AH87" s="55" t="e">
        <f ca="1">_xll.EQNXTDZ($A$1,$B87,AH$5,$B$1)</f>
        <v>#NAME?</v>
      </c>
      <c r="AI87" s="55" t="e">
        <f ca="1">_xll.EQNXTDZ($A$1,$B87,AI$5,$B$1)</f>
        <v>#NAME?</v>
      </c>
      <c r="AJ87" s="55" t="e">
        <f ca="1">_xll.EQNXTDZ($A$1,$B87,AJ$5,$B$1)</f>
        <v>#NAME?</v>
      </c>
      <c r="AK87" s="55" t="e">
        <f ca="1">_xll.EQNXTDZ($A$1,$B87,AK$5,$B$1)</f>
        <v>#NAME?</v>
      </c>
      <c r="AL87" s="55" t="e">
        <f ca="1">_xll.EQNXTDZ($A$1,$B87,AL$5,$B$1)</f>
        <v>#NAME?</v>
      </c>
      <c r="AM87" s="55" t="e">
        <f ca="1">_xll.EQNXTDZ($A$1,$B87,AM$5,$B$1)</f>
        <v>#NAME?</v>
      </c>
      <c r="AN87" s="55" t="e">
        <f ca="1">_xll.EQNXTDZ($A$1,$B87,AN$5,$B$1)</f>
        <v>#NAME?</v>
      </c>
      <c r="AO87" s="55" t="e">
        <f ca="1">_xll.EQNXTDZ($A$1,$B87,AO$5,$B$1)</f>
        <v>#NAME?</v>
      </c>
      <c r="AP87" s="55" t="e">
        <f ca="1">_xll.EQNXTDZ($A$1,$B87,AP$5,$B$1)</f>
        <v>#NAME?</v>
      </c>
      <c r="AQ87" s="55" t="e">
        <f ca="1">_xll.EQNXTDZ($A$1,$B87,AQ$5,$B$1)</f>
        <v>#NAME?</v>
      </c>
      <c r="AR87" s="55" t="e">
        <f ca="1">_xll.EQNXTDZ($A$1,$B87,AR$5,$B$1)</f>
        <v>#NAME?</v>
      </c>
      <c r="AS87" s="55" t="e">
        <f ca="1">_xll.EQNXTDZ($A$1,$B87,AS$5,$B$1)</f>
        <v>#NAME?</v>
      </c>
      <c r="AT87" s="55" t="e">
        <f ca="1">_xll.EQNXTDZ($A$1,$B87,AT$5,$B$1)</f>
        <v>#NAME?</v>
      </c>
      <c r="AU87" s="55" t="e">
        <f ca="1">_xll.EQNXTDZ($A$1,$B87,AU$5,$B$1)</f>
        <v>#NAME?</v>
      </c>
      <c r="AV87" s="55" t="e">
        <f ca="1">_xll.EQNXTDZ($A$1,$B87,AV$5,$B$1)</f>
        <v>#NAME?</v>
      </c>
      <c r="AW87" s="55" t="e">
        <f ca="1">_xll.EQNXTDZ($A$1,$B87,AW$5,$B$1)</f>
        <v>#NAME?</v>
      </c>
      <c r="AX87" s="55" t="e">
        <f ca="1">_xll.EQNXTDZ($A$1,$B87,AX$5,$B$1)</f>
        <v>#NAME?</v>
      </c>
      <c r="AY87" s="55" t="e">
        <f ca="1">_xll.EQNXTDZ($A$1,$B87,AY$5,$B$1)</f>
        <v>#NAME?</v>
      </c>
      <c r="AZ87" s="55" t="e">
        <f ca="1">_xll.EQNXTDZ($A$1,$B87,AZ$5,$B$1)</f>
        <v>#NAME?</v>
      </c>
      <c r="BA87" s="55" t="e">
        <f ca="1">_xll.EQNXTDZ($A$1,$B87,BA$5,$B$1)</f>
        <v>#NAME?</v>
      </c>
      <c r="BB87" s="55" t="e">
        <f ca="1">_xll.EQNXTDZ($A$1,$B87,BB$5,$B$1)</f>
        <v>#NAME?</v>
      </c>
      <c r="BC87" s="55" t="e">
        <f ca="1">_xll.EQNXTDZ($A$1,$B87,BC$5,$B$1)</f>
        <v>#NAME?</v>
      </c>
      <c r="BD87" s="55" t="e">
        <f ca="1">_xll.EQNXTDZ($A$1,$B87,BD$5,$B$1)</f>
        <v>#NAME?</v>
      </c>
      <c r="BE87" s="55" t="e">
        <f ca="1">_xll.EQNXTDZ($A$1,$B87,BE$5,$B$1)</f>
        <v>#NAME?</v>
      </c>
      <c r="BF87" s="55" t="e">
        <f ca="1">_xll.EQNXTDZ($A$1,$B87,BF$5,$B$1)</f>
        <v>#NAME?</v>
      </c>
      <c r="BG87" s="55" t="e">
        <f ca="1">_xll.EQNXTDZ($A$1,$B87,BG$5,$B$1)</f>
        <v>#NAME?</v>
      </c>
      <c r="BH87" s="55" t="e">
        <f ca="1">_xll.EQNXTDZ($A$1,$B87,BH$5,$B$1)</f>
        <v>#NAME?</v>
      </c>
      <c r="BI87" s="55" t="e">
        <f ca="1">_xll.EQNXTDZ($A$1,$B87,BI$5,$B$1)</f>
        <v>#NAME?</v>
      </c>
      <c r="BJ87" s="55" t="e">
        <f ca="1">_xll.EQNXTDZ($A$1,$B87,BJ$5,$B$1)</f>
        <v>#NAME?</v>
      </c>
      <c r="BK87" s="55" t="e">
        <f ca="1">_xll.EQNXTDZ($A$1,$B87,BK$5,$B$1)</f>
        <v>#NAME?</v>
      </c>
      <c r="BL87" s="55" t="e">
        <f ca="1">_xll.EQNXTDZ($A$1,$B87,BL$5,$B$1)</f>
        <v>#NAME?</v>
      </c>
      <c r="BM87" s="55" t="e">
        <f ca="1">_xll.EQNXTDZ($A$1,$B87,BM$5,$B$1)</f>
        <v>#NAME?</v>
      </c>
      <c r="BN87" s="55" t="e">
        <f ca="1">_xll.EQNXTDZ($A$1,$B87,BN$5,$B$1)</f>
        <v>#NAME?</v>
      </c>
      <c r="BO87" s="55" t="e">
        <f ca="1">_xll.EQNXTDZ($A$1,$B87,BO$5,$B$1)</f>
        <v>#NAME?</v>
      </c>
      <c r="BP87" s="55" t="e">
        <f ca="1">_xll.EQNXTDZ($A$1,$B87,BP$5,$B$1)</f>
        <v>#NAME?</v>
      </c>
      <c r="BQ87" s="55" t="e">
        <f ca="1">_xll.EQNXTDZ($A$1,$B87,BQ$5,$B$1)</f>
        <v>#NAME?</v>
      </c>
      <c r="BR87" s="55" t="e">
        <f ca="1">_xll.EQNXTDZ($A$1,$B87,BR$5,$B$1)</f>
        <v>#NAME?</v>
      </c>
      <c r="BS87" s="55" t="e">
        <f ca="1">_xll.EQNXTDZ($A$1,$B87,BS$5,$B$1)</f>
        <v>#NAME?</v>
      </c>
      <c r="BT87" s="55" t="e">
        <f ca="1">_xll.EQNXTDZ($A$1,$B87,BT$5,$B$1)</f>
        <v>#NAME?</v>
      </c>
      <c r="BU87" s="55" t="e">
        <f ca="1">_xll.EQNXTDZ($A$1,$B87,BU$5,$B$1)</f>
        <v>#NAME?</v>
      </c>
      <c r="BV87" s="55" t="e">
        <f ca="1">_xll.EQNXTDZ($A$1,$B87,BV$5,$B$1)</f>
        <v>#NAME?</v>
      </c>
    </row>
    <row r="88" spans="1:74" x14ac:dyDescent="0.25">
      <c r="A88" t="s">
        <v>48</v>
      </c>
      <c r="B88" t="s">
        <v>404</v>
      </c>
      <c r="C88" s="55" t="e">
        <f ca="1">_xll.EQNXTDZ($A$1,$B88,C$5,$B$1)</f>
        <v>#NAME?</v>
      </c>
      <c r="D88" s="55" t="e">
        <f ca="1">_xll.EQNXTDZ($A$1,$B88,D$5,$B$1)</f>
        <v>#NAME?</v>
      </c>
      <c r="E88" s="55" t="e">
        <f ca="1">_xll.EQNXTDZ($A$1,$B88,E$5,$B$1)</f>
        <v>#NAME?</v>
      </c>
      <c r="F88" s="55" t="e">
        <f ca="1">_xll.EQNXTDZ($A$1,$B88,F$5,$B$1)</f>
        <v>#NAME?</v>
      </c>
      <c r="G88" s="55" t="e">
        <f ca="1">_xll.EQNXTDZ($A$1,$B88,G$5,$B$1)</f>
        <v>#NAME?</v>
      </c>
      <c r="H88" s="55" t="e">
        <f ca="1">_xll.EQNXTDZ($A$1,$B88,H$5,$B$1)</f>
        <v>#NAME?</v>
      </c>
      <c r="I88" s="55" t="e">
        <f ca="1">_xll.EQNXTDZ($A$1,$B88,I$5,$B$1)</f>
        <v>#NAME?</v>
      </c>
      <c r="J88" s="55" t="e">
        <f ca="1">_xll.EQNXTDZ($A$1,$B88,J$5,$B$1)</f>
        <v>#NAME?</v>
      </c>
      <c r="K88" s="55" t="e">
        <f ca="1">_xll.EQNXTDZ($A$1,$B88,K$5,$B$1)</f>
        <v>#NAME?</v>
      </c>
      <c r="L88" s="55" t="e">
        <f ca="1">_xll.EQNXTDZ($A$1,$B88,L$5,$B$1)</f>
        <v>#NAME?</v>
      </c>
      <c r="M88" s="55" t="e">
        <f ca="1">_xll.EQNXTDZ($A$1,$B88,M$5,$B$1)</f>
        <v>#NAME?</v>
      </c>
      <c r="N88" s="55" t="e">
        <f ca="1">_xll.EQNXTDZ($A$1,$B88,N$5,$B$1)</f>
        <v>#NAME?</v>
      </c>
      <c r="O88" s="55" t="e">
        <f ca="1">_xll.EQNXTDZ($A$1,$B88,O$5,$B$1)</f>
        <v>#NAME?</v>
      </c>
      <c r="P88" s="55" t="e">
        <f ca="1">_xll.EQNXTDZ($A$1,$B88,P$5,$B$1)</f>
        <v>#NAME?</v>
      </c>
      <c r="Q88" s="55" t="e">
        <f ca="1">_xll.EQNXTDZ($A$1,$B88,Q$5,$B$1)</f>
        <v>#NAME?</v>
      </c>
      <c r="R88" s="55" t="e">
        <f ca="1">_xll.EQNXTDZ($A$1,$B88,R$5,$B$1)</f>
        <v>#NAME?</v>
      </c>
      <c r="S88" s="55" t="e">
        <f ca="1">_xll.EQNXTDZ($A$1,$B88,S$5,$B$1)</f>
        <v>#NAME?</v>
      </c>
      <c r="T88" s="55" t="e">
        <f ca="1">_xll.EQNXTDZ($A$1,$B88,T$5,$B$1)</f>
        <v>#NAME?</v>
      </c>
      <c r="U88" s="55" t="e">
        <f ca="1">_xll.EQNXTDZ($A$1,$B88,U$5,$B$1)</f>
        <v>#NAME?</v>
      </c>
      <c r="V88" s="55" t="e">
        <f ca="1">_xll.EQNXTDZ($A$1,$B88,V$5,$B$1)</f>
        <v>#NAME?</v>
      </c>
      <c r="W88" s="55" t="e">
        <f ca="1">_xll.EQNXTDZ($A$1,$B88,W$5,$B$1)</f>
        <v>#NAME?</v>
      </c>
      <c r="X88" s="55" t="e">
        <f ca="1">_xll.EQNXTDZ($A$1,$B88,X$5,$B$1)</f>
        <v>#NAME?</v>
      </c>
      <c r="Y88" s="55" t="e">
        <f ca="1">_xll.EQNXTDZ($A$1,$B88,Y$5,$B$1)</f>
        <v>#NAME?</v>
      </c>
      <c r="Z88" s="55" t="e">
        <f ca="1">_xll.EQNXTDZ($A$1,$B88,Z$5,$B$1)</f>
        <v>#NAME?</v>
      </c>
      <c r="AA88" s="55" t="e">
        <f ca="1">_xll.EQNXTDZ($A$1,$B88,AA$5,$B$1)</f>
        <v>#NAME?</v>
      </c>
      <c r="AB88" s="55" t="e">
        <f ca="1">_xll.EQNXTDZ($A$1,$B88,AB$5,$B$1)</f>
        <v>#NAME?</v>
      </c>
      <c r="AC88" s="55" t="e">
        <f ca="1">_xll.EQNXTDZ($A$1,$B88,AC$5,$B$1)</f>
        <v>#NAME?</v>
      </c>
      <c r="AD88" s="55" t="e">
        <f ca="1">_xll.EQNXTDZ($A$1,$B88,AD$5,$B$1)</f>
        <v>#NAME?</v>
      </c>
      <c r="AE88" s="55" t="e">
        <f ca="1">_xll.EQNXTDZ($A$1,$B88,AE$5,$B$1)</f>
        <v>#NAME?</v>
      </c>
      <c r="AF88" s="55" t="e">
        <f ca="1">_xll.EQNXTDZ($A$1,$B88,AF$5,$B$1)</f>
        <v>#NAME?</v>
      </c>
      <c r="AG88" s="55" t="e">
        <f ca="1">_xll.EQNXTDZ($A$1,$B88,AG$5,$B$1)</f>
        <v>#NAME?</v>
      </c>
      <c r="AH88" s="55" t="e">
        <f ca="1">_xll.EQNXTDZ($A$1,$B88,AH$5,$B$1)</f>
        <v>#NAME?</v>
      </c>
      <c r="AI88" s="55" t="e">
        <f ca="1">_xll.EQNXTDZ($A$1,$B88,AI$5,$B$1)</f>
        <v>#NAME?</v>
      </c>
      <c r="AJ88" s="55" t="e">
        <f ca="1">_xll.EQNXTDZ($A$1,$B88,AJ$5,$B$1)</f>
        <v>#NAME?</v>
      </c>
      <c r="AK88" s="55" t="e">
        <f ca="1">_xll.EQNXTDZ($A$1,$B88,AK$5,$B$1)</f>
        <v>#NAME?</v>
      </c>
      <c r="AL88" s="55" t="e">
        <f ca="1">_xll.EQNXTDZ($A$1,$B88,AL$5,$B$1)</f>
        <v>#NAME?</v>
      </c>
      <c r="AM88" s="55" t="e">
        <f ca="1">_xll.EQNXTDZ($A$1,$B88,AM$5,$B$1)</f>
        <v>#NAME?</v>
      </c>
      <c r="AN88" s="55" t="e">
        <f ca="1">_xll.EQNXTDZ($A$1,$B88,AN$5,$B$1)</f>
        <v>#NAME?</v>
      </c>
      <c r="AO88" s="55" t="e">
        <f ca="1">_xll.EQNXTDZ($A$1,$B88,AO$5,$B$1)</f>
        <v>#NAME?</v>
      </c>
      <c r="AP88" s="55" t="e">
        <f ca="1">_xll.EQNXTDZ($A$1,$B88,AP$5,$B$1)</f>
        <v>#NAME?</v>
      </c>
      <c r="AQ88" s="55" t="e">
        <f ca="1">_xll.EQNXTDZ($A$1,$B88,AQ$5,$B$1)</f>
        <v>#NAME?</v>
      </c>
      <c r="AR88" s="55" t="e">
        <f ca="1">_xll.EQNXTDZ($A$1,$B88,AR$5,$B$1)</f>
        <v>#NAME?</v>
      </c>
      <c r="AS88" s="55" t="e">
        <f ca="1">_xll.EQNXTDZ($A$1,$B88,AS$5,$B$1)</f>
        <v>#NAME?</v>
      </c>
      <c r="AT88" s="55" t="e">
        <f ca="1">_xll.EQNXTDZ($A$1,$B88,AT$5,$B$1)</f>
        <v>#NAME?</v>
      </c>
      <c r="AU88" s="55" t="e">
        <f ca="1">_xll.EQNXTDZ($A$1,$B88,AU$5,$B$1)</f>
        <v>#NAME?</v>
      </c>
      <c r="AV88" s="55" t="e">
        <f ca="1">_xll.EQNXTDZ($A$1,$B88,AV$5,$B$1)</f>
        <v>#NAME?</v>
      </c>
      <c r="AW88" s="55" t="e">
        <f ca="1">_xll.EQNXTDZ($A$1,$B88,AW$5,$B$1)</f>
        <v>#NAME?</v>
      </c>
      <c r="AX88" s="55" t="e">
        <f ca="1">_xll.EQNXTDZ($A$1,$B88,AX$5,$B$1)</f>
        <v>#NAME?</v>
      </c>
      <c r="AY88" s="55" t="e">
        <f ca="1">_xll.EQNXTDZ($A$1,$B88,AY$5,$B$1)</f>
        <v>#NAME?</v>
      </c>
      <c r="AZ88" s="55" t="e">
        <f ca="1">_xll.EQNXTDZ($A$1,$B88,AZ$5,$B$1)</f>
        <v>#NAME?</v>
      </c>
      <c r="BA88" s="55" t="e">
        <f ca="1">_xll.EQNXTDZ($A$1,$B88,BA$5,$B$1)</f>
        <v>#NAME?</v>
      </c>
      <c r="BB88" s="55" t="e">
        <f ca="1">_xll.EQNXTDZ($A$1,$B88,BB$5,$B$1)</f>
        <v>#NAME?</v>
      </c>
      <c r="BC88" s="55" t="e">
        <f ca="1">_xll.EQNXTDZ($A$1,$B88,BC$5,$B$1)</f>
        <v>#NAME?</v>
      </c>
      <c r="BD88" s="55" t="e">
        <f ca="1">_xll.EQNXTDZ($A$1,$B88,BD$5,$B$1)</f>
        <v>#NAME?</v>
      </c>
      <c r="BE88" s="55" t="e">
        <f ca="1">_xll.EQNXTDZ($A$1,$B88,BE$5,$B$1)</f>
        <v>#NAME?</v>
      </c>
      <c r="BF88" s="55" t="e">
        <f ca="1">_xll.EQNXTDZ($A$1,$B88,BF$5,$B$1)</f>
        <v>#NAME?</v>
      </c>
      <c r="BG88" s="55" t="e">
        <f ca="1">_xll.EQNXTDZ($A$1,$B88,BG$5,$B$1)</f>
        <v>#NAME?</v>
      </c>
      <c r="BH88" s="55" t="e">
        <f ca="1">_xll.EQNXTDZ($A$1,$B88,BH$5,$B$1)</f>
        <v>#NAME?</v>
      </c>
      <c r="BI88" s="55" t="e">
        <f ca="1">_xll.EQNXTDZ($A$1,$B88,BI$5,$B$1)</f>
        <v>#NAME?</v>
      </c>
      <c r="BJ88" s="55" t="e">
        <f ca="1">_xll.EQNXTDZ($A$1,$B88,BJ$5,$B$1)</f>
        <v>#NAME?</v>
      </c>
      <c r="BK88" s="55" t="e">
        <f ca="1">_xll.EQNXTDZ($A$1,$B88,BK$5,$B$1)</f>
        <v>#NAME?</v>
      </c>
      <c r="BL88" s="55" t="e">
        <f ca="1">_xll.EQNXTDZ($A$1,$B88,BL$5,$B$1)</f>
        <v>#NAME?</v>
      </c>
      <c r="BM88" s="55" t="e">
        <f ca="1">_xll.EQNXTDZ($A$1,$B88,BM$5,$B$1)</f>
        <v>#NAME?</v>
      </c>
      <c r="BN88" s="55" t="e">
        <f ca="1">_xll.EQNXTDZ($A$1,$B88,BN$5,$B$1)</f>
        <v>#NAME?</v>
      </c>
      <c r="BO88" s="55" t="e">
        <f ca="1">_xll.EQNXTDZ($A$1,$B88,BO$5,$B$1)</f>
        <v>#NAME?</v>
      </c>
      <c r="BP88" s="55" t="e">
        <f ca="1">_xll.EQNXTDZ($A$1,$B88,BP$5,$B$1)</f>
        <v>#NAME?</v>
      </c>
      <c r="BQ88" s="55" t="e">
        <f ca="1">_xll.EQNXTDZ($A$1,$B88,BQ$5,$B$1)</f>
        <v>#NAME?</v>
      </c>
      <c r="BR88" s="55" t="e">
        <f ca="1">_xll.EQNXTDZ($A$1,$B88,BR$5,$B$1)</f>
        <v>#NAME?</v>
      </c>
      <c r="BS88" s="55" t="e">
        <f ca="1">_xll.EQNXTDZ($A$1,$B88,BS$5,$B$1)</f>
        <v>#NAME?</v>
      </c>
      <c r="BT88" s="55" t="e">
        <f ca="1">_xll.EQNXTDZ($A$1,$B88,BT$5,$B$1)</f>
        <v>#NAME?</v>
      </c>
      <c r="BU88" s="55" t="e">
        <f ca="1">_xll.EQNXTDZ($A$1,$B88,BU$5,$B$1)</f>
        <v>#NAME?</v>
      </c>
      <c r="BV88" s="55" t="e">
        <f ca="1">_xll.EQNXTDZ($A$1,$B88,BV$5,$B$1)</f>
        <v>#NAME?</v>
      </c>
    </row>
    <row r="89" spans="1:74" x14ac:dyDescent="0.25">
      <c r="A89" t="s">
        <v>70</v>
      </c>
      <c r="B89" t="s">
        <v>405</v>
      </c>
      <c r="C89" s="55" t="e">
        <f ca="1">_xll.EQNXTDZ($A$1,$B89,C$5,$B$1)</f>
        <v>#NAME?</v>
      </c>
      <c r="D89" s="55" t="e">
        <f ca="1">_xll.EQNXTDZ($A$1,$B89,D$5,$B$1)</f>
        <v>#NAME?</v>
      </c>
      <c r="E89" s="55" t="e">
        <f ca="1">_xll.EQNXTDZ($A$1,$B89,E$5,$B$1)</f>
        <v>#NAME?</v>
      </c>
      <c r="F89" s="55" t="e">
        <f ca="1">_xll.EQNXTDZ($A$1,$B89,F$5,$B$1)</f>
        <v>#NAME?</v>
      </c>
      <c r="G89" s="55" t="e">
        <f ca="1">_xll.EQNXTDZ($A$1,$B89,G$5,$B$1)</f>
        <v>#NAME?</v>
      </c>
      <c r="H89" s="55" t="e">
        <f ca="1">_xll.EQNXTDZ($A$1,$B89,H$5,$B$1)</f>
        <v>#NAME?</v>
      </c>
      <c r="I89" s="55" t="e">
        <f ca="1">_xll.EQNXTDZ($A$1,$B89,I$5,$B$1)</f>
        <v>#NAME?</v>
      </c>
      <c r="J89" s="55" t="e">
        <f ca="1">_xll.EQNXTDZ($A$1,$B89,J$5,$B$1)</f>
        <v>#NAME?</v>
      </c>
      <c r="K89" s="55" t="e">
        <f ca="1">_xll.EQNXTDZ($A$1,$B89,K$5,$B$1)</f>
        <v>#NAME?</v>
      </c>
      <c r="L89" s="55" t="e">
        <f ca="1">_xll.EQNXTDZ($A$1,$B89,L$5,$B$1)</f>
        <v>#NAME?</v>
      </c>
      <c r="M89" s="55" t="e">
        <f ca="1">_xll.EQNXTDZ($A$1,$B89,M$5,$B$1)</f>
        <v>#NAME?</v>
      </c>
      <c r="N89" s="55" t="e">
        <f ca="1">_xll.EQNXTDZ($A$1,$B89,N$5,$B$1)</f>
        <v>#NAME?</v>
      </c>
      <c r="O89" s="55" t="e">
        <f ca="1">_xll.EQNXTDZ($A$1,$B89,O$5,$B$1)</f>
        <v>#NAME?</v>
      </c>
      <c r="P89" s="55" t="e">
        <f ca="1">_xll.EQNXTDZ($A$1,$B89,P$5,$B$1)</f>
        <v>#NAME?</v>
      </c>
      <c r="Q89" s="55" t="e">
        <f ca="1">_xll.EQNXTDZ($A$1,$B89,Q$5,$B$1)</f>
        <v>#NAME?</v>
      </c>
      <c r="R89" s="55" t="e">
        <f ca="1">_xll.EQNXTDZ($A$1,$B89,R$5,$B$1)</f>
        <v>#NAME?</v>
      </c>
      <c r="S89" s="55" t="e">
        <f ca="1">_xll.EQNXTDZ($A$1,$B89,S$5,$B$1)</f>
        <v>#NAME?</v>
      </c>
      <c r="T89" s="55" t="e">
        <f ca="1">_xll.EQNXTDZ($A$1,$B89,T$5,$B$1)</f>
        <v>#NAME?</v>
      </c>
      <c r="U89" s="55" t="e">
        <f ca="1">_xll.EQNXTDZ($A$1,$B89,U$5,$B$1)</f>
        <v>#NAME?</v>
      </c>
      <c r="V89" s="55" t="e">
        <f ca="1">_xll.EQNXTDZ($A$1,$B89,V$5,$B$1)</f>
        <v>#NAME?</v>
      </c>
      <c r="W89" s="55" t="e">
        <f ca="1">_xll.EQNXTDZ($A$1,$B89,W$5,$B$1)</f>
        <v>#NAME?</v>
      </c>
      <c r="X89" s="55" t="e">
        <f ca="1">_xll.EQNXTDZ($A$1,$B89,X$5,$B$1)</f>
        <v>#NAME?</v>
      </c>
      <c r="Y89" s="55" t="e">
        <f ca="1">_xll.EQNXTDZ($A$1,$B89,Y$5,$B$1)</f>
        <v>#NAME?</v>
      </c>
      <c r="Z89" s="55" t="e">
        <f ca="1">_xll.EQNXTDZ($A$1,$B89,Z$5,$B$1)</f>
        <v>#NAME?</v>
      </c>
      <c r="AA89" s="55" t="e">
        <f ca="1">_xll.EQNXTDZ($A$1,$B89,AA$5,$B$1)</f>
        <v>#NAME?</v>
      </c>
      <c r="AB89" s="55" t="e">
        <f ca="1">_xll.EQNXTDZ($A$1,$B89,AB$5,$B$1)</f>
        <v>#NAME?</v>
      </c>
      <c r="AC89" s="55" t="e">
        <f ca="1">_xll.EQNXTDZ($A$1,$B89,AC$5,$B$1)</f>
        <v>#NAME?</v>
      </c>
      <c r="AD89" s="55" t="e">
        <f ca="1">_xll.EQNXTDZ($A$1,$B89,AD$5,$B$1)</f>
        <v>#NAME?</v>
      </c>
      <c r="AE89" s="55" t="e">
        <f ca="1">_xll.EQNXTDZ($A$1,$B89,AE$5,$B$1)</f>
        <v>#NAME?</v>
      </c>
      <c r="AF89" s="55" t="e">
        <f ca="1">_xll.EQNXTDZ($A$1,$B89,AF$5,$B$1)</f>
        <v>#NAME?</v>
      </c>
      <c r="AG89" s="55" t="e">
        <f ca="1">_xll.EQNXTDZ($A$1,$B89,AG$5,$B$1)</f>
        <v>#NAME?</v>
      </c>
      <c r="AH89" s="55" t="e">
        <f ca="1">_xll.EQNXTDZ($A$1,$B89,AH$5,$B$1)</f>
        <v>#NAME?</v>
      </c>
      <c r="AI89" s="55" t="e">
        <f ca="1">_xll.EQNXTDZ($A$1,$B89,AI$5,$B$1)</f>
        <v>#NAME?</v>
      </c>
      <c r="AJ89" s="55" t="e">
        <f ca="1">_xll.EQNXTDZ($A$1,$B89,AJ$5,$B$1)</f>
        <v>#NAME?</v>
      </c>
      <c r="AK89" s="55" t="e">
        <f ca="1">_xll.EQNXTDZ($A$1,$B89,AK$5,$B$1)</f>
        <v>#NAME?</v>
      </c>
      <c r="AL89" s="55" t="e">
        <f ca="1">_xll.EQNXTDZ($A$1,$B89,AL$5,$B$1)</f>
        <v>#NAME?</v>
      </c>
      <c r="AM89" s="55" t="e">
        <f ca="1">_xll.EQNXTDZ($A$1,$B89,AM$5,$B$1)</f>
        <v>#NAME?</v>
      </c>
      <c r="AN89" s="55" t="e">
        <f ca="1">_xll.EQNXTDZ($A$1,$B89,AN$5,$B$1)</f>
        <v>#NAME?</v>
      </c>
      <c r="AO89" s="55" t="e">
        <f ca="1">_xll.EQNXTDZ($A$1,$B89,AO$5,$B$1)</f>
        <v>#NAME?</v>
      </c>
      <c r="AP89" s="55" t="e">
        <f ca="1">_xll.EQNXTDZ($A$1,$B89,AP$5,$B$1)</f>
        <v>#NAME?</v>
      </c>
      <c r="AQ89" s="55" t="e">
        <f ca="1">_xll.EQNXTDZ($A$1,$B89,AQ$5,$B$1)</f>
        <v>#NAME?</v>
      </c>
      <c r="AR89" s="55" t="e">
        <f ca="1">_xll.EQNXTDZ($A$1,$B89,AR$5,$B$1)</f>
        <v>#NAME?</v>
      </c>
      <c r="AS89" s="55" t="e">
        <f ca="1">_xll.EQNXTDZ($A$1,$B89,AS$5,$B$1)</f>
        <v>#NAME?</v>
      </c>
      <c r="AT89" s="55" t="e">
        <f ca="1">_xll.EQNXTDZ($A$1,$B89,AT$5,$B$1)</f>
        <v>#NAME?</v>
      </c>
      <c r="AU89" s="55" t="e">
        <f ca="1">_xll.EQNXTDZ($A$1,$B89,AU$5,$B$1)</f>
        <v>#NAME?</v>
      </c>
      <c r="AV89" s="55" t="e">
        <f ca="1">_xll.EQNXTDZ($A$1,$B89,AV$5,$B$1)</f>
        <v>#NAME?</v>
      </c>
      <c r="AW89" s="55" t="e">
        <f ca="1">_xll.EQNXTDZ($A$1,$B89,AW$5,$B$1)</f>
        <v>#NAME?</v>
      </c>
      <c r="AX89" s="55" t="e">
        <f ca="1">_xll.EQNXTDZ($A$1,$B89,AX$5,$B$1)</f>
        <v>#NAME?</v>
      </c>
      <c r="AY89" s="55" t="e">
        <f ca="1">_xll.EQNXTDZ($A$1,$B89,AY$5,$B$1)</f>
        <v>#NAME?</v>
      </c>
      <c r="AZ89" s="55" t="e">
        <f ca="1">_xll.EQNXTDZ($A$1,$B89,AZ$5,$B$1)</f>
        <v>#NAME?</v>
      </c>
      <c r="BA89" s="55" t="e">
        <f ca="1">_xll.EQNXTDZ($A$1,$B89,BA$5,$B$1)</f>
        <v>#NAME?</v>
      </c>
      <c r="BB89" s="55" t="e">
        <f ca="1">_xll.EQNXTDZ($A$1,$B89,BB$5,$B$1)</f>
        <v>#NAME?</v>
      </c>
      <c r="BC89" s="55" t="e">
        <f ca="1">_xll.EQNXTDZ($A$1,$B89,BC$5,$B$1)</f>
        <v>#NAME?</v>
      </c>
      <c r="BD89" s="55" t="e">
        <f ca="1">_xll.EQNXTDZ($A$1,$B89,BD$5,$B$1)</f>
        <v>#NAME?</v>
      </c>
      <c r="BE89" s="55" t="e">
        <f ca="1">_xll.EQNXTDZ($A$1,$B89,BE$5,$B$1)</f>
        <v>#NAME?</v>
      </c>
      <c r="BF89" s="55" t="e">
        <f ca="1">_xll.EQNXTDZ($A$1,$B89,BF$5,$B$1)</f>
        <v>#NAME?</v>
      </c>
      <c r="BG89" s="55" t="e">
        <f ca="1">_xll.EQNXTDZ($A$1,$B89,BG$5,$B$1)</f>
        <v>#NAME?</v>
      </c>
      <c r="BH89" s="55" t="e">
        <f ca="1">_xll.EQNXTDZ($A$1,$B89,BH$5,$B$1)</f>
        <v>#NAME?</v>
      </c>
      <c r="BI89" s="55" t="e">
        <f ca="1">_xll.EQNXTDZ($A$1,$B89,BI$5,$B$1)</f>
        <v>#NAME?</v>
      </c>
      <c r="BJ89" s="55" t="e">
        <f ca="1">_xll.EQNXTDZ($A$1,$B89,BJ$5,$B$1)</f>
        <v>#NAME?</v>
      </c>
      <c r="BK89" s="55" t="e">
        <f ca="1">_xll.EQNXTDZ($A$1,$B89,BK$5,$B$1)</f>
        <v>#NAME?</v>
      </c>
      <c r="BL89" s="55" t="e">
        <f ca="1">_xll.EQNXTDZ($A$1,$B89,BL$5,$B$1)</f>
        <v>#NAME?</v>
      </c>
      <c r="BM89" s="55" t="e">
        <f ca="1">_xll.EQNXTDZ($A$1,$B89,BM$5,$B$1)</f>
        <v>#NAME?</v>
      </c>
      <c r="BN89" s="55" t="e">
        <f ca="1">_xll.EQNXTDZ($A$1,$B89,BN$5,$B$1)</f>
        <v>#NAME?</v>
      </c>
      <c r="BO89" s="55" t="e">
        <f ca="1">_xll.EQNXTDZ($A$1,$B89,BO$5,$B$1)</f>
        <v>#NAME?</v>
      </c>
      <c r="BP89" s="55" t="e">
        <f ca="1">_xll.EQNXTDZ($A$1,$B89,BP$5,$B$1)</f>
        <v>#NAME?</v>
      </c>
      <c r="BQ89" s="55" t="e">
        <f ca="1">_xll.EQNXTDZ($A$1,$B89,BQ$5,$B$1)</f>
        <v>#NAME?</v>
      </c>
      <c r="BR89" s="55" t="e">
        <f ca="1">_xll.EQNXTDZ($A$1,$B89,BR$5,$B$1)</f>
        <v>#NAME?</v>
      </c>
      <c r="BS89" s="55" t="e">
        <f ca="1">_xll.EQNXTDZ($A$1,$B89,BS$5,$B$1)</f>
        <v>#NAME?</v>
      </c>
      <c r="BT89" s="55" t="e">
        <f ca="1">_xll.EQNXTDZ($A$1,$B89,BT$5,$B$1)</f>
        <v>#NAME?</v>
      </c>
      <c r="BU89" s="55" t="e">
        <f ca="1">_xll.EQNXTDZ($A$1,$B89,BU$5,$B$1)</f>
        <v>#NAME?</v>
      </c>
      <c r="BV89" s="55" t="e">
        <f ca="1">_xll.EQNXTDZ($A$1,$B89,BV$5,$B$1)</f>
        <v>#NAME?</v>
      </c>
    </row>
    <row r="90" spans="1:74" x14ac:dyDescent="0.25">
      <c r="A90" t="s">
        <v>368</v>
      </c>
      <c r="B90" t="s">
        <v>406</v>
      </c>
      <c r="C90" s="55" t="e">
        <f ca="1">_xll.EQNXTDZ($A$1,$B90,C$5,$B$1)</f>
        <v>#NAME?</v>
      </c>
      <c r="D90" s="55" t="e">
        <f ca="1">_xll.EQNXTDZ($A$1,$B90,D$5,$B$1)</f>
        <v>#NAME?</v>
      </c>
      <c r="E90" s="55" t="e">
        <f ca="1">_xll.EQNXTDZ($A$1,$B90,E$5,$B$1)</f>
        <v>#NAME?</v>
      </c>
      <c r="F90" s="55" t="e">
        <f ca="1">_xll.EQNXTDZ($A$1,$B90,F$5,$B$1)</f>
        <v>#NAME?</v>
      </c>
      <c r="G90" s="55" t="e">
        <f ca="1">_xll.EQNXTDZ($A$1,$B90,G$5,$B$1)</f>
        <v>#NAME?</v>
      </c>
      <c r="H90" s="55" t="e">
        <f ca="1">_xll.EQNXTDZ($A$1,$B90,H$5,$B$1)</f>
        <v>#NAME?</v>
      </c>
      <c r="I90" s="55" t="e">
        <f ca="1">_xll.EQNXTDZ($A$1,$B90,I$5,$B$1)</f>
        <v>#NAME?</v>
      </c>
      <c r="J90" s="55" t="e">
        <f ca="1">_xll.EQNXTDZ($A$1,$B90,J$5,$B$1)</f>
        <v>#NAME?</v>
      </c>
      <c r="K90" s="55" t="e">
        <f ca="1">_xll.EQNXTDZ($A$1,$B90,K$5,$B$1)</f>
        <v>#NAME?</v>
      </c>
      <c r="L90" s="55" t="e">
        <f ca="1">_xll.EQNXTDZ($A$1,$B90,L$5,$B$1)</f>
        <v>#NAME?</v>
      </c>
      <c r="M90" s="55" t="e">
        <f ca="1">_xll.EQNXTDZ($A$1,$B90,M$5,$B$1)</f>
        <v>#NAME?</v>
      </c>
      <c r="N90" s="55" t="e">
        <f ca="1">_xll.EQNXTDZ($A$1,$B90,N$5,$B$1)</f>
        <v>#NAME?</v>
      </c>
      <c r="O90" s="55" t="e">
        <f ca="1">_xll.EQNXTDZ($A$1,$B90,O$5,$B$1)</f>
        <v>#NAME?</v>
      </c>
      <c r="P90" s="55" t="e">
        <f ca="1">_xll.EQNXTDZ($A$1,$B90,P$5,$B$1)</f>
        <v>#NAME?</v>
      </c>
      <c r="Q90" s="55" t="e">
        <f ca="1">_xll.EQNXTDZ($A$1,$B90,Q$5,$B$1)</f>
        <v>#NAME?</v>
      </c>
      <c r="R90" s="55" t="e">
        <f ca="1">_xll.EQNXTDZ($A$1,$B90,R$5,$B$1)</f>
        <v>#NAME?</v>
      </c>
      <c r="S90" s="55" t="e">
        <f ca="1">_xll.EQNXTDZ($A$1,$B90,S$5,$B$1)</f>
        <v>#NAME?</v>
      </c>
      <c r="T90" s="55" t="e">
        <f ca="1">_xll.EQNXTDZ($A$1,$B90,T$5,$B$1)</f>
        <v>#NAME?</v>
      </c>
      <c r="U90" s="55" t="e">
        <f ca="1">_xll.EQNXTDZ($A$1,$B90,U$5,$B$1)</f>
        <v>#NAME?</v>
      </c>
      <c r="V90" s="55" t="e">
        <f ca="1">_xll.EQNXTDZ($A$1,$B90,V$5,$B$1)</f>
        <v>#NAME?</v>
      </c>
      <c r="W90" s="55" t="e">
        <f ca="1">_xll.EQNXTDZ($A$1,$B90,W$5,$B$1)</f>
        <v>#NAME?</v>
      </c>
      <c r="X90" s="55" t="e">
        <f ca="1">_xll.EQNXTDZ($A$1,$B90,X$5,$B$1)</f>
        <v>#NAME?</v>
      </c>
      <c r="Y90" s="55" t="e">
        <f ca="1">_xll.EQNXTDZ($A$1,$B90,Y$5,$B$1)</f>
        <v>#NAME?</v>
      </c>
      <c r="Z90" s="55" t="e">
        <f ca="1">_xll.EQNXTDZ($A$1,$B90,Z$5,$B$1)</f>
        <v>#NAME?</v>
      </c>
      <c r="AA90" s="55" t="e">
        <f ca="1">_xll.EQNXTDZ($A$1,$B90,AA$5,$B$1)</f>
        <v>#NAME?</v>
      </c>
      <c r="AB90" s="55" t="e">
        <f ca="1">_xll.EQNXTDZ($A$1,$B90,AB$5,$B$1)</f>
        <v>#NAME?</v>
      </c>
      <c r="AC90" s="55" t="e">
        <f ca="1">_xll.EQNXTDZ($A$1,$B90,AC$5,$B$1)</f>
        <v>#NAME?</v>
      </c>
      <c r="AD90" s="55" t="e">
        <f ca="1">_xll.EQNXTDZ($A$1,$B90,AD$5,$B$1)</f>
        <v>#NAME?</v>
      </c>
      <c r="AE90" s="55" t="e">
        <f ca="1">_xll.EQNXTDZ($A$1,$B90,AE$5,$B$1)</f>
        <v>#NAME?</v>
      </c>
      <c r="AF90" s="55" t="e">
        <f ca="1">_xll.EQNXTDZ($A$1,$B90,AF$5,$B$1)</f>
        <v>#NAME?</v>
      </c>
      <c r="AG90" s="55" t="e">
        <f ca="1">_xll.EQNXTDZ($A$1,$B90,AG$5,$B$1)</f>
        <v>#NAME?</v>
      </c>
      <c r="AH90" s="55" t="e">
        <f ca="1">_xll.EQNXTDZ($A$1,$B90,AH$5,$B$1)</f>
        <v>#NAME?</v>
      </c>
      <c r="AI90" s="55" t="e">
        <f ca="1">_xll.EQNXTDZ($A$1,$B90,AI$5,$B$1)</f>
        <v>#NAME?</v>
      </c>
      <c r="AJ90" s="55" t="e">
        <f ca="1">_xll.EQNXTDZ($A$1,$B90,AJ$5,$B$1)</f>
        <v>#NAME?</v>
      </c>
      <c r="AK90" s="55" t="e">
        <f ca="1">_xll.EQNXTDZ($A$1,$B90,AK$5,$B$1)</f>
        <v>#NAME?</v>
      </c>
      <c r="AL90" s="55" t="e">
        <f ca="1">_xll.EQNXTDZ($A$1,$B90,AL$5,$B$1)</f>
        <v>#NAME?</v>
      </c>
      <c r="AM90" s="55" t="e">
        <f ca="1">_xll.EQNXTDZ($A$1,$B90,AM$5,$B$1)</f>
        <v>#NAME?</v>
      </c>
      <c r="AN90" s="55" t="e">
        <f ca="1">_xll.EQNXTDZ($A$1,$B90,AN$5,$B$1)</f>
        <v>#NAME?</v>
      </c>
      <c r="AO90" s="55" t="e">
        <f ca="1">_xll.EQNXTDZ($A$1,$B90,AO$5,$B$1)</f>
        <v>#NAME?</v>
      </c>
      <c r="AP90" s="55" t="e">
        <f ca="1">_xll.EQNXTDZ($A$1,$B90,AP$5,$B$1)</f>
        <v>#NAME?</v>
      </c>
      <c r="AQ90" s="55" t="e">
        <f ca="1">_xll.EQNXTDZ($A$1,$B90,AQ$5,$B$1)</f>
        <v>#NAME?</v>
      </c>
      <c r="AR90" s="55" t="e">
        <f ca="1">_xll.EQNXTDZ($A$1,$B90,AR$5,$B$1)</f>
        <v>#NAME?</v>
      </c>
      <c r="AS90" s="55" t="e">
        <f ca="1">_xll.EQNXTDZ($A$1,$B90,AS$5,$B$1)</f>
        <v>#NAME?</v>
      </c>
      <c r="AT90" s="55" t="e">
        <f ca="1">_xll.EQNXTDZ($A$1,$B90,AT$5,$B$1)</f>
        <v>#NAME?</v>
      </c>
      <c r="AU90" s="55" t="e">
        <f ca="1">_xll.EQNXTDZ($A$1,$B90,AU$5,$B$1)</f>
        <v>#NAME?</v>
      </c>
      <c r="AV90" s="55" t="e">
        <f ca="1">_xll.EQNXTDZ($A$1,$B90,AV$5,$B$1)</f>
        <v>#NAME?</v>
      </c>
      <c r="AW90" s="55" t="e">
        <f ca="1">_xll.EQNXTDZ($A$1,$B90,AW$5,$B$1)</f>
        <v>#NAME?</v>
      </c>
      <c r="AX90" s="55" t="e">
        <f ca="1">_xll.EQNXTDZ($A$1,$B90,AX$5,$B$1)</f>
        <v>#NAME?</v>
      </c>
      <c r="AY90" s="55" t="e">
        <f ca="1">_xll.EQNXTDZ($A$1,$B90,AY$5,$B$1)</f>
        <v>#NAME?</v>
      </c>
      <c r="AZ90" s="55" t="e">
        <f ca="1">_xll.EQNXTDZ($A$1,$B90,AZ$5,$B$1)</f>
        <v>#NAME?</v>
      </c>
      <c r="BA90" s="55" t="e">
        <f ca="1">_xll.EQNXTDZ($A$1,$B90,BA$5,$B$1)</f>
        <v>#NAME?</v>
      </c>
      <c r="BB90" s="55" t="e">
        <f ca="1">_xll.EQNXTDZ($A$1,$B90,BB$5,$B$1)</f>
        <v>#NAME?</v>
      </c>
      <c r="BC90" s="55" t="e">
        <f ca="1">_xll.EQNXTDZ($A$1,$B90,BC$5,$B$1)</f>
        <v>#NAME?</v>
      </c>
      <c r="BD90" s="55" t="e">
        <f ca="1">_xll.EQNXTDZ($A$1,$B90,BD$5,$B$1)</f>
        <v>#NAME?</v>
      </c>
      <c r="BE90" s="55" t="e">
        <f ca="1">_xll.EQNXTDZ($A$1,$B90,BE$5,$B$1)</f>
        <v>#NAME?</v>
      </c>
      <c r="BF90" s="55" t="e">
        <f ca="1">_xll.EQNXTDZ($A$1,$B90,BF$5,$B$1)</f>
        <v>#NAME?</v>
      </c>
      <c r="BG90" s="55" t="e">
        <f ca="1">_xll.EQNXTDZ($A$1,$B90,BG$5,$B$1)</f>
        <v>#NAME?</v>
      </c>
      <c r="BH90" s="55" t="e">
        <f ca="1">_xll.EQNXTDZ($A$1,$B90,BH$5,$B$1)</f>
        <v>#NAME?</v>
      </c>
      <c r="BI90" s="55" t="e">
        <f ca="1">_xll.EQNXTDZ($A$1,$B90,BI$5,$B$1)</f>
        <v>#NAME?</v>
      </c>
      <c r="BJ90" s="55" t="e">
        <f ca="1">_xll.EQNXTDZ($A$1,$B90,BJ$5,$B$1)</f>
        <v>#NAME?</v>
      </c>
      <c r="BK90" s="55" t="e">
        <f ca="1">_xll.EQNXTDZ($A$1,$B90,BK$5,$B$1)</f>
        <v>#NAME?</v>
      </c>
      <c r="BL90" s="55" t="e">
        <f ca="1">_xll.EQNXTDZ($A$1,$B90,BL$5,$B$1)</f>
        <v>#NAME?</v>
      </c>
      <c r="BM90" s="55" t="e">
        <f ca="1">_xll.EQNXTDZ($A$1,$B90,BM$5,$B$1)</f>
        <v>#NAME?</v>
      </c>
      <c r="BN90" s="55" t="e">
        <f ca="1">_xll.EQNXTDZ($A$1,$B90,BN$5,$B$1)</f>
        <v>#NAME?</v>
      </c>
      <c r="BO90" s="55" t="e">
        <f ca="1">_xll.EQNXTDZ($A$1,$B90,BO$5,$B$1)</f>
        <v>#NAME?</v>
      </c>
      <c r="BP90" s="55" t="e">
        <f ca="1">_xll.EQNXTDZ($A$1,$B90,BP$5,$B$1)</f>
        <v>#NAME?</v>
      </c>
      <c r="BQ90" s="55" t="e">
        <f ca="1">_xll.EQNXTDZ($A$1,$B90,BQ$5,$B$1)</f>
        <v>#NAME?</v>
      </c>
      <c r="BR90" s="55" t="e">
        <f ca="1">_xll.EQNXTDZ($A$1,$B90,BR$5,$B$1)</f>
        <v>#NAME?</v>
      </c>
      <c r="BS90" s="55" t="e">
        <f ca="1">_xll.EQNXTDZ($A$1,$B90,BS$5,$B$1)</f>
        <v>#NAME?</v>
      </c>
      <c r="BT90" s="55" t="e">
        <f ca="1">_xll.EQNXTDZ($A$1,$B90,BT$5,$B$1)</f>
        <v>#NAME?</v>
      </c>
      <c r="BU90" s="55" t="e">
        <f ca="1">_xll.EQNXTDZ($A$1,$B90,BU$5,$B$1)</f>
        <v>#NAME?</v>
      </c>
      <c r="BV90" s="55" t="e">
        <f ca="1">_xll.EQNXTDZ($A$1,$B90,BV$5,$B$1)</f>
        <v>#NAME?</v>
      </c>
    </row>
    <row r="91" spans="1:74" x14ac:dyDescent="0.25">
      <c r="A91" t="s">
        <v>71</v>
      </c>
      <c r="B91" t="s">
        <v>407</v>
      </c>
      <c r="C91" s="55" t="e">
        <f ca="1">_xll.EQNXTDZ($A$1,$B91,C$5,$B$1)</f>
        <v>#NAME?</v>
      </c>
      <c r="D91" s="55" t="e">
        <f ca="1">_xll.EQNXTDZ($A$1,$B91,D$5,$B$1)</f>
        <v>#NAME?</v>
      </c>
      <c r="E91" s="55" t="e">
        <f ca="1">_xll.EQNXTDZ($A$1,$B91,E$5,$B$1)</f>
        <v>#NAME?</v>
      </c>
      <c r="F91" s="55" t="e">
        <f ca="1">_xll.EQNXTDZ($A$1,$B91,F$5,$B$1)</f>
        <v>#NAME?</v>
      </c>
      <c r="G91" s="55" t="e">
        <f ca="1">_xll.EQNXTDZ($A$1,$B91,G$5,$B$1)</f>
        <v>#NAME?</v>
      </c>
      <c r="H91" s="55" t="e">
        <f ca="1">_xll.EQNXTDZ($A$1,$B91,H$5,$B$1)</f>
        <v>#NAME?</v>
      </c>
      <c r="I91" s="55" t="e">
        <f ca="1">_xll.EQNXTDZ($A$1,$B91,I$5,$B$1)</f>
        <v>#NAME?</v>
      </c>
      <c r="J91" s="55" t="e">
        <f ca="1">_xll.EQNXTDZ($A$1,$B91,J$5,$B$1)</f>
        <v>#NAME?</v>
      </c>
      <c r="K91" s="55" t="e">
        <f ca="1">_xll.EQNXTDZ($A$1,$B91,K$5,$B$1)</f>
        <v>#NAME?</v>
      </c>
      <c r="L91" s="55" t="e">
        <f ca="1">_xll.EQNXTDZ($A$1,$B91,L$5,$B$1)</f>
        <v>#NAME?</v>
      </c>
      <c r="M91" s="55" t="e">
        <f ca="1">_xll.EQNXTDZ($A$1,$B91,M$5,$B$1)</f>
        <v>#NAME?</v>
      </c>
      <c r="N91" s="55" t="e">
        <f ca="1">_xll.EQNXTDZ($A$1,$B91,N$5,$B$1)</f>
        <v>#NAME?</v>
      </c>
      <c r="O91" s="55" t="e">
        <f ca="1">_xll.EQNXTDZ($A$1,$B91,O$5,$B$1)</f>
        <v>#NAME?</v>
      </c>
      <c r="P91" s="55" t="e">
        <f ca="1">_xll.EQNXTDZ($A$1,$B91,P$5,$B$1)</f>
        <v>#NAME?</v>
      </c>
      <c r="Q91" s="55" t="e">
        <f ca="1">_xll.EQNXTDZ($A$1,$B91,Q$5,$B$1)</f>
        <v>#NAME?</v>
      </c>
      <c r="R91" s="55" t="e">
        <f ca="1">_xll.EQNXTDZ($A$1,$B91,R$5,$B$1)</f>
        <v>#NAME?</v>
      </c>
      <c r="S91" s="55" t="e">
        <f ca="1">_xll.EQNXTDZ($A$1,$B91,S$5,$B$1)</f>
        <v>#NAME?</v>
      </c>
      <c r="T91" s="55" t="e">
        <f ca="1">_xll.EQNXTDZ($A$1,$B91,T$5,$B$1)</f>
        <v>#NAME?</v>
      </c>
      <c r="U91" s="55" t="e">
        <f ca="1">_xll.EQNXTDZ($A$1,$B91,U$5,$B$1)</f>
        <v>#NAME?</v>
      </c>
      <c r="V91" s="55" t="e">
        <f ca="1">_xll.EQNXTDZ($A$1,$B91,V$5,$B$1)</f>
        <v>#NAME?</v>
      </c>
      <c r="W91" s="55" t="e">
        <f ca="1">_xll.EQNXTDZ($A$1,$B91,W$5,$B$1)</f>
        <v>#NAME?</v>
      </c>
      <c r="X91" s="55" t="e">
        <f ca="1">_xll.EQNXTDZ($A$1,$B91,X$5,$B$1)</f>
        <v>#NAME?</v>
      </c>
      <c r="Y91" s="55" t="e">
        <f ca="1">_xll.EQNXTDZ($A$1,$B91,Y$5,$B$1)</f>
        <v>#NAME?</v>
      </c>
      <c r="Z91" s="55" t="e">
        <f ca="1">_xll.EQNXTDZ($A$1,$B91,Z$5,$B$1)</f>
        <v>#NAME?</v>
      </c>
      <c r="AA91" s="55" t="e">
        <f ca="1">_xll.EQNXTDZ($A$1,$B91,AA$5,$B$1)</f>
        <v>#NAME?</v>
      </c>
      <c r="AB91" s="55" t="e">
        <f ca="1">_xll.EQNXTDZ($A$1,$B91,AB$5,$B$1)</f>
        <v>#NAME?</v>
      </c>
      <c r="AC91" s="55" t="e">
        <f ca="1">_xll.EQNXTDZ($A$1,$B91,AC$5,$B$1)</f>
        <v>#NAME?</v>
      </c>
      <c r="AD91" s="55" t="e">
        <f ca="1">_xll.EQNXTDZ($A$1,$B91,AD$5,$B$1)</f>
        <v>#NAME?</v>
      </c>
      <c r="AE91" s="55" t="e">
        <f ca="1">_xll.EQNXTDZ($A$1,$B91,AE$5,$B$1)</f>
        <v>#NAME?</v>
      </c>
      <c r="AF91" s="55" t="e">
        <f ca="1">_xll.EQNXTDZ($A$1,$B91,AF$5,$B$1)</f>
        <v>#NAME?</v>
      </c>
      <c r="AG91" s="55" t="e">
        <f ca="1">_xll.EQNXTDZ($A$1,$B91,AG$5,$B$1)</f>
        <v>#NAME?</v>
      </c>
      <c r="AH91" s="55" t="e">
        <f ca="1">_xll.EQNXTDZ($A$1,$B91,AH$5,$B$1)</f>
        <v>#NAME?</v>
      </c>
      <c r="AI91" s="55" t="e">
        <f ca="1">_xll.EQNXTDZ($A$1,$B91,AI$5,$B$1)</f>
        <v>#NAME?</v>
      </c>
      <c r="AJ91" s="55" t="e">
        <f ca="1">_xll.EQNXTDZ($A$1,$B91,AJ$5,$B$1)</f>
        <v>#NAME?</v>
      </c>
      <c r="AK91" s="55" t="e">
        <f ca="1">_xll.EQNXTDZ($A$1,$B91,AK$5,$B$1)</f>
        <v>#NAME?</v>
      </c>
      <c r="AL91" s="55" t="e">
        <f ca="1">_xll.EQNXTDZ($A$1,$B91,AL$5,$B$1)</f>
        <v>#NAME?</v>
      </c>
      <c r="AM91" s="55" t="e">
        <f ca="1">_xll.EQNXTDZ($A$1,$B91,AM$5,$B$1)</f>
        <v>#NAME?</v>
      </c>
      <c r="AN91" s="55" t="e">
        <f ca="1">_xll.EQNXTDZ($A$1,$B91,AN$5,$B$1)</f>
        <v>#NAME?</v>
      </c>
      <c r="AO91" s="55" t="e">
        <f ca="1">_xll.EQNXTDZ($A$1,$B91,AO$5,$B$1)</f>
        <v>#NAME?</v>
      </c>
      <c r="AP91" s="55" t="e">
        <f ca="1">_xll.EQNXTDZ($A$1,$B91,AP$5,$B$1)</f>
        <v>#NAME?</v>
      </c>
      <c r="AQ91" s="55" t="e">
        <f ca="1">_xll.EQNXTDZ($A$1,$B91,AQ$5,$B$1)</f>
        <v>#NAME?</v>
      </c>
      <c r="AR91" s="55" t="e">
        <f ca="1">_xll.EQNXTDZ($A$1,$B91,AR$5,$B$1)</f>
        <v>#NAME?</v>
      </c>
      <c r="AS91" s="55" t="e">
        <f ca="1">_xll.EQNXTDZ($A$1,$B91,AS$5,$B$1)</f>
        <v>#NAME?</v>
      </c>
      <c r="AT91" s="55" t="e">
        <f ca="1">_xll.EQNXTDZ($A$1,$B91,AT$5,$B$1)</f>
        <v>#NAME?</v>
      </c>
      <c r="AU91" s="55" t="e">
        <f ca="1">_xll.EQNXTDZ($A$1,$B91,AU$5,$B$1)</f>
        <v>#NAME?</v>
      </c>
      <c r="AV91" s="55" t="e">
        <f ca="1">_xll.EQNXTDZ($A$1,$B91,AV$5,$B$1)</f>
        <v>#NAME?</v>
      </c>
      <c r="AW91" s="55" t="e">
        <f ca="1">_xll.EQNXTDZ($A$1,$B91,AW$5,$B$1)</f>
        <v>#NAME?</v>
      </c>
      <c r="AX91" s="55" t="e">
        <f ca="1">_xll.EQNXTDZ($A$1,$B91,AX$5,$B$1)</f>
        <v>#NAME?</v>
      </c>
      <c r="AY91" s="55" t="e">
        <f ca="1">_xll.EQNXTDZ($A$1,$B91,AY$5,$B$1)</f>
        <v>#NAME?</v>
      </c>
      <c r="AZ91" s="55" t="e">
        <f ca="1">_xll.EQNXTDZ($A$1,$B91,AZ$5,$B$1)</f>
        <v>#NAME?</v>
      </c>
      <c r="BA91" s="55" t="e">
        <f ca="1">_xll.EQNXTDZ($A$1,$B91,BA$5,$B$1)</f>
        <v>#NAME?</v>
      </c>
      <c r="BB91" s="55" t="e">
        <f ca="1">_xll.EQNXTDZ($A$1,$B91,BB$5,$B$1)</f>
        <v>#NAME?</v>
      </c>
      <c r="BC91" s="55" t="e">
        <f ca="1">_xll.EQNXTDZ($A$1,$B91,BC$5,$B$1)</f>
        <v>#NAME?</v>
      </c>
      <c r="BD91" s="55" t="e">
        <f ca="1">_xll.EQNXTDZ($A$1,$B91,BD$5,$B$1)</f>
        <v>#NAME?</v>
      </c>
      <c r="BE91" s="55" t="e">
        <f ca="1">_xll.EQNXTDZ($A$1,$B91,BE$5,$B$1)</f>
        <v>#NAME?</v>
      </c>
      <c r="BF91" s="55" t="e">
        <f ca="1">_xll.EQNXTDZ($A$1,$B91,BF$5,$B$1)</f>
        <v>#NAME?</v>
      </c>
      <c r="BG91" s="55" t="e">
        <f ca="1">_xll.EQNXTDZ($A$1,$B91,BG$5,$B$1)</f>
        <v>#NAME?</v>
      </c>
      <c r="BH91" s="55" t="e">
        <f ca="1">_xll.EQNXTDZ($A$1,$B91,BH$5,$B$1)</f>
        <v>#NAME?</v>
      </c>
      <c r="BI91" s="55" t="e">
        <f ca="1">_xll.EQNXTDZ($A$1,$B91,BI$5,$B$1)</f>
        <v>#NAME?</v>
      </c>
      <c r="BJ91" s="55" t="e">
        <f ca="1">_xll.EQNXTDZ($A$1,$B91,BJ$5,$B$1)</f>
        <v>#NAME?</v>
      </c>
      <c r="BK91" s="55" t="e">
        <f ca="1">_xll.EQNXTDZ($A$1,$B91,BK$5,$B$1)</f>
        <v>#NAME?</v>
      </c>
      <c r="BL91" s="55" t="e">
        <f ca="1">_xll.EQNXTDZ($A$1,$B91,BL$5,$B$1)</f>
        <v>#NAME?</v>
      </c>
      <c r="BM91" s="55" t="e">
        <f ca="1">_xll.EQNXTDZ($A$1,$B91,BM$5,$B$1)</f>
        <v>#NAME?</v>
      </c>
      <c r="BN91" s="55" t="e">
        <f ca="1">_xll.EQNXTDZ($A$1,$B91,BN$5,$B$1)</f>
        <v>#NAME?</v>
      </c>
      <c r="BO91" s="55" t="e">
        <f ca="1">_xll.EQNXTDZ($A$1,$B91,BO$5,$B$1)</f>
        <v>#NAME?</v>
      </c>
      <c r="BP91" s="55" t="e">
        <f ca="1">_xll.EQNXTDZ($A$1,$B91,BP$5,$B$1)</f>
        <v>#NAME?</v>
      </c>
      <c r="BQ91" s="55" t="e">
        <f ca="1">_xll.EQNXTDZ($A$1,$B91,BQ$5,$B$1)</f>
        <v>#NAME?</v>
      </c>
      <c r="BR91" s="55" t="e">
        <f ca="1">_xll.EQNXTDZ($A$1,$B91,BR$5,$B$1)</f>
        <v>#NAME?</v>
      </c>
      <c r="BS91" s="55" t="e">
        <f ca="1">_xll.EQNXTDZ($A$1,$B91,BS$5,$B$1)</f>
        <v>#NAME?</v>
      </c>
      <c r="BT91" s="55" t="e">
        <f ca="1">_xll.EQNXTDZ($A$1,$B91,BT$5,$B$1)</f>
        <v>#NAME?</v>
      </c>
      <c r="BU91" s="55" t="e">
        <f ca="1">_xll.EQNXTDZ($A$1,$B91,BU$5,$B$1)</f>
        <v>#NAME?</v>
      </c>
      <c r="BV91" s="55" t="e">
        <f ca="1">_xll.EQNXTDZ($A$1,$B91,BV$5,$B$1)</f>
        <v>#NAME?</v>
      </c>
    </row>
    <row r="92" spans="1:74" x14ac:dyDescent="0.25">
      <c r="A92" t="s">
        <v>369</v>
      </c>
      <c r="B92" t="s">
        <v>408</v>
      </c>
      <c r="C92" s="55" t="e">
        <f ca="1">_xll.EQNXTDZ($A$1,$B92,C$5,$B$1)</f>
        <v>#NAME?</v>
      </c>
      <c r="D92" s="55" t="e">
        <f ca="1">_xll.EQNXTDZ($A$1,$B92,D$5,$B$1)</f>
        <v>#NAME?</v>
      </c>
      <c r="E92" s="55" t="e">
        <f ca="1">_xll.EQNXTDZ($A$1,$B92,E$5,$B$1)</f>
        <v>#NAME?</v>
      </c>
      <c r="F92" s="55" t="e">
        <f ca="1">_xll.EQNXTDZ($A$1,$B92,F$5,$B$1)</f>
        <v>#NAME?</v>
      </c>
      <c r="G92" s="55" t="e">
        <f ca="1">_xll.EQNXTDZ($A$1,$B92,G$5,$B$1)</f>
        <v>#NAME?</v>
      </c>
      <c r="H92" s="55" t="e">
        <f ca="1">_xll.EQNXTDZ($A$1,$B92,H$5,$B$1)</f>
        <v>#NAME?</v>
      </c>
      <c r="I92" s="55" t="e">
        <f ca="1">_xll.EQNXTDZ($A$1,$B92,I$5,$B$1)</f>
        <v>#NAME?</v>
      </c>
      <c r="J92" s="55" t="e">
        <f ca="1">_xll.EQNXTDZ($A$1,$B92,J$5,$B$1)</f>
        <v>#NAME?</v>
      </c>
      <c r="K92" s="55" t="e">
        <f ca="1">_xll.EQNXTDZ($A$1,$B92,K$5,$B$1)</f>
        <v>#NAME?</v>
      </c>
      <c r="L92" s="55" t="e">
        <f ca="1">_xll.EQNXTDZ($A$1,$B92,L$5,$B$1)</f>
        <v>#NAME?</v>
      </c>
      <c r="M92" s="55" t="e">
        <f ca="1">_xll.EQNXTDZ($A$1,$B92,M$5,$B$1)</f>
        <v>#NAME?</v>
      </c>
      <c r="N92" s="55" t="e">
        <f ca="1">_xll.EQNXTDZ($A$1,$B92,N$5,$B$1)</f>
        <v>#NAME?</v>
      </c>
      <c r="O92" s="55" t="e">
        <f ca="1">_xll.EQNXTDZ($A$1,$B92,O$5,$B$1)</f>
        <v>#NAME?</v>
      </c>
      <c r="P92" s="55" t="e">
        <f ca="1">_xll.EQNXTDZ($A$1,$B92,P$5,$B$1)</f>
        <v>#NAME?</v>
      </c>
      <c r="Q92" s="55" t="e">
        <f ca="1">_xll.EQNXTDZ($A$1,$B92,Q$5,$B$1)</f>
        <v>#NAME?</v>
      </c>
      <c r="R92" s="55" t="e">
        <f ca="1">_xll.EQNXTDZ($A$1,$B92,R$5,$B$1)</f>
        <v>#NAME?</v>
      </c>
      <c r="S92" s="55" t="e">
        <f ca="1">_xll.EQNXTDZ($A$1,$B92,S$5,$B$1)</f>
        <v>#NAME?</v>
      </c>
      <c r="T92" s="55" t="e">
        <f ca="1">_xll.EQNXTDZ($A$1,$B92,T$5,$B$1)</f>
        <v>#NAME?</v>
      </c>
      <c r="U92" s="55" t="e">
        <f ca="1">_xll.EQNXTDZ($A$1,$B92,U$5,$B$1)</f>
        <v>#NAME?</v>
      </c>
      <c r="V92" s="55" t="e">
        <f ca="1">_xll.EQNXTDZ($A$1,$B92,V$5,$B$1)</f>
        <v>#NAME?</v>
      </c>
      <c r="W92" s="55" t="e">
        <f ca="1">_xll.EQNXTDZ($A$1,$B92,W$5,$B$1)</f>
        <v>#NAME?</v>
      </c>
      <c r="X92" s="55" t="e">
        <f ca="1">_xll.EQNXTDZ($A$1,$B92,X$5,$B$1)</f>
        <v>#NAME?</v>
      </c>
      <c r="Y92" s="55" t="e">
        <f ca="1">_xll.EQNXTDZ($A$1,$B92,Y$5,$B$1)</f>
        <v>#NAME?</v>
      </c>
      <c r="Z92" s="55" t="e">
        <f ca="1">_xll.EQNXTDZ($A$1,$B92,Z$5,$B$1)</f>
        <v>#NAME?</v>
      </c>
      <c r="AA92" s="55" t="e">
        <f ca="1">_xll.EQNXTDZ($A$1,$B92,AA$5,$B$1)</f>
        <v>#NAME?</v>
      </c>
      <c r="AB92" s="55" t="e">
        <f ca="1">_xll.EQNXTDZ($A$1,$B92,AB$5,$B$1)</f>
        <v>#NAME?</v>
      </c>
      <c r="AC92" s="55" t="e">
        <f ca="1">_xll.EQNXTDZ($A$1,$B92,AC$5,$B$1)</f>
        <v>#NAME?</v>
      </c>
      <c r="AD92" s="55" t="e">
        <f ca="1">_xll.EQNXTDZ($A$1,$B92,AD$5,$B$1)</f>
        <v>#NAME?</v>
      </c>
      <c r="AE92" s="55" t="e">
        <f ca="1">_xll.EQNXTDZ($A$1,$B92,AE$5,$B$1)</f>
        <v>#NAME?</v>
      </c>
      <c r="AF92" s="55" t="e">
        <f ca="1">_xll.EQNXTDZ($A$1,$B92,AF$5,$B$1)</f>
        <v>#NAME?</v>
      </c>
      <c r="AG92" s="55" t="e">
        <f ca="1">_xll.EQNXTDZ($A$1,$B92,AG$5,$B$1)</f>
        <v>#NAME?</v>
      </c>
      <c r="AH92" s="55" t="e">
        <f ca="1">_xll.EQNXTDZ($A$1,$B92,AH$5,$B$1)</f>
        <v>#NAME?</v>
      </c>
      <c r="AI92" s="55" t="e">
        <f ca="1">_xll.EQNXTDZ($A$1,$B92,AI$5,$B$1)</f>
        <v>#NAME?</v>
      </c>
      <c r="AJ92" s="55" t="e">
        <f ca="1">_xll.EQNXTDZ($A$1,$B92,AJ$5,$B$1)</f>
        <v>#NAME?</v>
      </c>
      <c r="AK92" s="55" t="e">
        <f ca="1">_xll.EQNXTDZ($A$1,$B92,AK$5,$B$1)</f>
        <v>#NAME?</v>
      </c>
      <c r="AL92" s="55" t="e">
        <f ca="1">_xll.EQNXTDZ($A$1,$B92,AL$5,$B$1)</f>
        <v>#NAME?</v>
      </c>
      <c r="AM92" s="55" t="e">
        <f ca="1">_xll.EQNXTDZ($A$1,$B92,AM$5,$B$1)</f>
        <v>#NAME?</v>
      </c>
      <c r="AN92" s="55" t="e">
        <f ca="1">_xll.EQNXTDZ($A$1,$B92,AN$5,$B$1)</f>
        <v>#NAME?</v>
      </c>
      <c r="AO92" s="55" t="e">
        <f ca="1">_xll.EQNXTDZ($A$1,$B92,AO$5,$B$1)</f>
        <v>#NAME?</v>
      </c>
      <c r="AP92" s="55" t="e">
        <f ca="1">_xll.EQNXTDZ($A$1,$B92,AP$5,$B$1)</f>
        <v>#NAME?</v>
      </c>
      <c r="AQ92" s="55" t="e">
        <f ca="1">_xll.EQNXTDZ($A$1,$B92,AQ$5,$B$1)</f>
        <v>#NAME?</v>
      </c>
      <c r="AR92" s="55" t="e">
        <f ca="1">_xll.EQNXTDZ($A$1,$B92,AR$5,$B$1)</f>
        <v>#NAME?</v>
      </c>
      <c r="AS92" s="55" t="e">
        <f ca="1">_xll.EQNXTDZ($A$1,$B92,AS$5,$B$1)</f>
        <v>#NAME?</v>
      </c>
      <c r="AT92" s="55" t="e">
        <f ca="1">_xll.EQNXTDZ($A$1,$B92,AT$5,$B$1)</f>
        <v>#NAME?</v>
      </c>
      <c r="AU92" s="55" t="e">
        <f ca="1">_xll.EQNXTDZ($A$1,$B92,AU$5,$B$1)</f>
        <v>#NAME?</v>
      </c>
      <c r="AV92" s="55" t="e">
        <f ca="1">_xll.EQNXTDZ($A$1,$B92,AV$5,$B$1)</f>
        <v>#NAME?</v>
      </c>
      <c r="AW92" s="55" t="e">
        <f ca="1">_xll.EQNXTDZ($A$1,$B92,AW$5,$B$1)</f>
        <v>#NAME?</v>
      </c>
      <c r="AX92" s="55" t="e">
        <f ca="1">_xll.EQNXTDZ($A$1,$B92,AX$5,$B$1)</f>
        <v>#NAME?</v>
      </c>
      <c r="AY92" s="55" t="e">
        <f ca="1">_xll.EQNXTDZ($A$1,$B92,AY$5,$B$1)</f>
        <v>#NAME?</v>
      </c>
      <c r="AZ92" s="55" t="e">
        <f ca="1">_xll.EQNXTDZ($A$1,$B92,AZ$5,$B$1)</f>
        <v>#NAME?</v>
      </c>
      <c r="BA92" s="55" t="e">
        <f ca="1">_xll.EQNXTDZ($A$1,$B92,BA$5,$B$1)</f>
        <v>#NAME?</v>
      </c>
      <c r="BB92" s="55" t="e">
        <f ca="1">_xll.EQNXTDZ($A$1,$B92,BB$5,$B$1)</f>
        <v>#NAME?</v>
      </c>
      <c r="BC92" s="55" t="e">
        <f ca="1">_xll.EQNXTDZ($A$1,$B92,BC$5,$B$1)</f>
        <v>#NAME?</v>
      </c>
      <c r="BD92" s="55" t="e">
        <f ca="1">_xll.EQNXTDZ($A$1,$B92,BD$5,$B$1)</f>
        <v>#NAME?</v>
      </c>
      <c r="BE92" s="55" t="e">
        <f ca="1">_xll.EQNXTDZ($A$1,$B92,BE$5,$B$1)</f>
        <v>#NAME?</v>
      </c>
      <c r="BF92" s="55" t="e">
        <f ca="1">_xll.EQNXTDZ($A$1,$B92,BF$5,$B$1)</f>
        <v>#NAME?</v>
      </c>
      <c r="BG92" s="55" t="e">
        <f ca="1">_xll.EQNXTDZ($A$1,$B92,BG$5,$B$1)</f>
        <v>#NAME?</v>
      </c>
      <c r="BH92" s="55" t="e">
        <f ca="1">_xll.EQNXTDZ($A$1,$B92,BH$5,$B$1)</f>
        <v>#NAME?</v>
      </c>
      <c r="BI92" s="55" t="e">
        <f ca="1">_xll.EQNXTDZ($A$1,$B92,BI$5,$B$1)</f>
        <v>#NAME?</v>
      </c>
      <c r="BJ92" s="55" t="e">
        <f ca="1">_xll.EQNXTDZ($A$1,$B92,BJ$5,$B$1)</f>
        <v>#NAME?</v>
      </c>
      <c r="BK92" s="55" t="e">
        <f ca="1">_xll.EQNXTDZ($A$1,$B92,BK$5,$B$1)</f>
        <v>#NAME?</v>
      </c>
      <c r="BL92" s="55" t="e">
        <f ca="1">_xll.EQNXTDZ($A$1,$B92,BL$5,$B$1)</f>
        <v>#NAME?</v>
      </c>
      <c r="BM92" s="55" t="e">
        <f ca="1">_xll.EQNXTDZ($A$1,$B92,BM$5,$B$1)</f>
        <v>#NAME?</v>
      </c>
      <c r="BN92" s="55" t="e">
        <f ca="1">_xll.EQNXTDZ($A$1,$B92,BN$5,$B$1)</f>
        <v>#NAME?</v>
      </c>
      <c r="BO92" s="55" t="e">
        <f ca="1">_xll.EQNXTDZ($A$1,$B92,BO$5,$B$1)</f>
        <v>#NAME?</v>
      </c>
      <c r="BP92" s="55" t="e">
        <f ca="1">_xll.EQNXTDZ($A$1,$B92,BP$5,$B$1)</f>
        <v>#NAME?</v>
      </c>
      <c r="BQ92" s="55" t="e">
        <f ca="1">_xll.EQNXTDZ($A$1,$B92,BQ$5,$B$1)</f>
        <v>#NAME?</v>
      </c>
      <c r="BR92" s="55" t="e">
        <f ca="1">_xll.EQNXTDZ($A$1,$B92,BR$5,$B$1)</f>
        <v>#NAME?</v>
      </c>
      <c r="BS92" s="55" t="e">
        <f ca="1">_xll.EQNXTDZ($A$1,$B92,BS$5,$B$1)</f>
        <v>#NAME?</v>
      </c>
      <c r="BT92" s="55" t="e">
        <f ca="1">_xll.EQNXTDZ($A$1,$B92,BT$5,$B$1)</f>
        <v>#NAME?</v>
      </c>
      <c r="BU92" s="55" t="e">
        <f ca="1">_xll.EQNXTDZ($A$1,$B92,BU$5,$B$1)</f>
        <v>#NAME?</v>
      </c>
      <c r="BV92" s="55" t="e">
        <f ca="1">_xll.EQNXTDZ($A$1,$B92,BV$5,$B$1)</f>
        <v>#NAME?</v>
      </c>
    </row>
    <row r="93" spans="1:74" x14ac:dyDescent="0.25">
      <c r="A93" t="s">
        <v>164</v>
      </c>
      <c r="B93" t="s">
        <v>409</v>
      </c>
      <c r="C93" s="55" t="e">
        <f ca="1">_xll.EQNXTDZ($A$1,$B93,C$5,$B$1)</f>
        <v>#NAME?</v>
      </c>
      <c r="D93" s="55" t="e">
        <f ca="1">_xll.EQNXTDZ($A$1,$B93,D$5,$B$1)</f>
        <v>#NAME?</v>
      </c>
      <c r="E93" s="55" t="e">
        <f ca="1">_xll.EQNXTDZ($A$1,$B93,E$5,$B$1)</f>
        <v>#NAME?</v>
      </c>
      <c r="F93" s="55" t="e">
        <f ca="1">_xll.EQNXTDZ($A$1,$B93,F$5,$B$1)</f>
        <v>#NAME?</v>
      </c>
      <c r="G93" s="55" t="e">
        <f ca="1">_xll.EQNXTDZ($A$1,$B93,G$5,$B$1)</f>
        <v>#NAME?</v>
      </c>
      <c r="H93" s="55" t="e">
        <f ca="1">_xll.EQNXTDZ($A$1,$B93,H$5,$B$1)</f>
        <v>#NAME?</v>
      </c>
      <c r="I93" s="55" t="e">
        <f ca="1">_xll.EQNXTDZ($A$1,$B93,I$5,$B$1)</f>
        <v>#NAME?</v>
      </c>
      <c r="J93" s="55" t="e">
        <f ca="1">_xll.EQNXTDZ($A$1,$B93,J$5,$B$1)</f>
        <v>#NAME?</v>
      </c>
      <c r="K93" s="55" t="e">
        <f ca="1">_xll.EQNXTDZ($A$1,$B93,K$5,$B$1)</f>
        <v>#NAME?</v>
      </c>
      <c r="L93" s="55" t="e">
        <f ca="1">_xll.EQNXTDZ($A$1,$B93,L$5,$B$1)</f>
        <v>#NAME?</v>
      </c>
      <c r="M93" s="55" t="e">
        <f ca="1">_xll.EQNXTDZ($A$1,$B93,M$5,$B$1)</f>
        <v>#NAME?</v>
      </c>
      <c r="N93" s="55" t="e">
        <f ca="1">_xll.EQNXTDZ($A$1,$B93,N$5,$B$1)</f>
        <v>#NAME?</v>
      </c>
      <c r="O93" s="55" t="e">
        <f ca="1">_xll.EQNXTDZ($A$1,$B93,O$5,$B$1)</f>
        <v>#NAME?</v>
      </c>
      <c r="P93" s="55" t="e">
        <f ca="1">_xll.EQNXTDZ($A$1,$B93,P$5,$B$1)</f>
        <v>#NAME?</v>
      </c>
      <c r="Q93" s="55" t="e">
        <f ca="1">_xll.EQNXTDZ($A$1,$B93,Q$5,$B$1)</f>
        <v>#NAME?</v>
      </c>
      <c r="R93" s="55" t="e">
        <f ca="1">_xll.EQNXTDZ($A$1,$B93,R$5,$B$1)</f>
        <v>#NAME?</v>
      </c>
      <c r="S93" s="55" t="e">
        <f ca="1">_xll.EQNXTDZ($A$1,$B93,S$5,$B$1)</f>
        <v>#NAME?</v>
      </c>
      <c r="T93" s="55" t="e">
        <f ca="1">_xll.EQNXTDZ($A$1,$B93,T$5,$B$1)</f>
        <v>#NAME?</v>
      </c>
      <c r="U93" s="55" t="e">
        <f ca="1">_xll.EQNXTDZ($A$1,$B93,U$5,$B$1)</f>
        <v>#NAME?</v>
      </c>
      <c r="V93" s="55" t="e">
        <f ca="1">_xll.EQNXTDZ($A$1,$B93,V$5,$B$1)</f>
        <v>#NAME?</v>
      </c>
      <c r="W93" s="55" t="e">
        <f ca="1">_xll.EQNXTDZ($A$1,$B93,W$5,$B$1)</f>
        <v>#NAME?</v>
      </c>
      <c r="X93" s="55" t="e">
        <f ca="1">_xll.EQNXTDZ($A$1,$B93,X$5,$B$1)</f>
        <v>#NAME?</v>
      </c>
      <c r="Y93" s="55" t="e">
        <f ca="1">_xll.EQNXTDZ($A$1,$B93,Y$5,$B$1)</f>
        <v>#NAME?</v>
      </c>
      <c r="Z93" s="55" t="e">
        <f ca="1">_xll.EQNXTDZ($A$1,$B93,Z$5,$B$1)</f>
        <v>#NAME?</v>
      </c>
      <c r="AA93" s="55" t="e">
        <f ca="1">_xll.EQNXTDZ($A$1,$B93,AA$5,$B$1)</f>
        <v>#NAME?</v>
      </c>
      <c r="AB93" s="55" t="e">
        <f ca="1">_xll.EQNXTDZ($A$1,$B93,AB$5,$B$1)</f>
        <v>#NAME?</v>
      </c>
      <c r="AC93" s="55" t="e">
        <f ca="1">_xll.EQNXTDZ($A$1,$B93,AC$5,$B$1)</f>
        <v>#NAME?</v>
      </c>
      <c r="AD93" s="55" t="e">
        <f ca="1">_xll.EQNXTDZ($A$1,$B93,AD$5,$B$1)</f>
        <v>#NAME?</v>
      </c>
      <c r="AE93" s="55" t="e">
        <f ca="1">_xll.EQNXTDZ($A$1,$B93,AE$5,$B$1)</f>
        <v>#NAME?</v>
      </c>
      <c r="AF93" s="55" t="e">
        <f ca="1">_xll.EQNXTDZ($A$1,$B93,AF$5,$B$1)</f>
        <v>#NAME?</v>
      </c>
      <c r="AG93" s="55" t="e">
        <f ca="1">_xll.EQNXTDZ($A$1,$B93,AG$5,$B$1)</f>
        <v>#NAME?</v>
      </c>
      <c r="AH93" s="55" t="e">
        <f ca="1">_xll.EQNXTDZ($A$1,$B93,AH$5,$B$1)</f>
        <v>#NAME?</v>
      </c>
      <c r="AI93" s="55" t="e">
        <f ca="1">_xll.EQNXTDZ($A$1,$B93,AI$5,$B$1)</f>
        <v>#NAME?</v>
      </c>
      <c r="AJ93" s="55" t="e">
        <f ca="1">_xll.EQNXTDZ($A$1,$B93,AJ$5,$B$1)</f>
        <v>#NAME?</v>
      </c>
      <c r="AK93" s="55" t="e">
        <f ca="1">_xll.EQNXTDZ($A$1,$B93,AK$5,$B$1)</f>
        <v>#NAME?</v>
      </c>
      <c r="AL93" s="55" t="e">
        <f ca="1">_xll.EQNXTDZ($A$1,$B93,AL$5,$B$1)</f>
        <v>#NAME?</v>
      </c>
      <c r="AM93" s="55" t="e">
        <f ca="1">_xll.EQNXTDZ($A$1,$B93,AM$5,$B$1)</f>
        <v>#NAME?</v>
      </c>
      <c r="AN93" s="55" t="e">
        <f ca="1">_xll.EQNXTDZ($A$1,$B93,AN$5,$B$1)</f>
        <v>#NAME?</v>
      </c>
      <c r="AO93" s="55" t="e">
        <f ca="1">_xll.EQNXTDZ($A$1,$B93,AO$5,$B$1)</f>
        <v>#NAME?</v>
      </c>
      <c r="AP93" s="55" t="e">
        <f ca="1">_xll.EQNXTDZ($A$1,$B93,AP$5,$B$1)</f>
        <v>#NAME?</v>
      </c>
      <c r="AQ93" s="55" t="e">
        <f ca="1">_xll.EQNXTDZ($A$1,$B93,AQ$5,$B$1)</f>
        <v>#NAME?</v>
      </c>
      <c r="AR93" s="55" t="e">
        <f ca="1">_xll.EQNXTDZ($A$1,$B93,AR$5,$B$1)</f>
        <v>#NAME?</v>
      </c>
      <c r="AS93" s="55" t="e">
        <f ca="1">_xll.EQNXTDZ($A$1,$B93,AS$5,$B$1)</f>
        <v>#NAME?</v>
      </c>
      <c r="AT93" s="55" t="e">
        <f ca="1">_xll.EQNXTDZ($A$1,$B93,AT$5,$B$1)</f>
        <v>#NAME?</v>
      </c>
      <c r="AU93" s="55" t="e">
        <f ca="1">_xll.EQNXTDZ($A$1,$B93,AU$5,$B$1)</f>
        <v>#NAME?</v>
      </c>
      <c r="AV93" s="55" t="e">
        <f ca="1">_xll.EQNXTDZ($A$1,$B93,AV$5,$B$1)</f>
        <v>#NAME?</v>
      </c>
      <c r="AW93" s="55" t="e">
        <f ca="1">_xll.EQNXTDZ($A$1,$B93,AW$5,$B$1)</f>
        <v>#NAME?</v>
      </c>
      <c r="AX93" s="55" t="e">
        <f ca="1">_xll.EQNXTDZ($A$1,$B93,AX$5,$B$1)</f>
        <v>#NAME?</v>
      </c>
      <c r="AY93" s="55" t="e">
        <f ca="1">_xll.EQNXTDZ($A$1,$B93,AY$5,$B$1)</f>
        <v>#NAME?</v>
      </c>
      <c r="AZ93" s="55" t="e">
        <f ca="1">_xll.EQNXTDZ($A$1,$B93,AZ$5,$B$1)</f>
        <v>#NAME?</v>
      </c>
      <c r="BA93" s="55" t="e">
        <f ca="1">_xll.EQNXTDZ($A$1,$B93,BA$5,$B$1)</f>
        <v>#NAME?</v>
      </c>
      <c r="BB93" s="55" t="e">
        <f ca="1">_xll.EQNXTDZ($A$1,$B93,BB$5,$B$1)</f>
        <v>#NAME?</v>
      </c>
      <c r="BC93" s="55" t="e">
        <f ca="1">_xll.EQNXTDZ($A$1,$B93,BC$5,$B$1)</f>
        <v>#NAME?</v>
      </c>
      <c r="BD93" s="55" t="e">
        <f ca="1">_xll.EQNXTDZ($A$1,$B93,BD$5,$B$1)</f>
        <v>#NAME?</v>
      </c>
      <c r="BE93" s="55" t="e">
        <f ca="1">_xll.EQNXTDZ($A$1,$B93,BE$5,$B$1)</f>
        <v>#NAME?</v>
      </c>
      <c r="BF93" s="55" t="e">
        <f ca="1">_xll.EQNXTDZ($A$1,$B93,BF$5,$B$1)</f>
        <v>#NAME?</v>
      </c>
      <c r="BG93" s="55" t="e">
        <f ca="1">_xll.EQNXTDZ($A$1,$B93,BG$5,$B$1)</f>
        <v>#NAME?</v>
      </c>
      <c r="BH93" s="55" t="e">
        <f ca="1">_xll.EQNXTDZ($A$1,$B93,BH$5,$B$1)</f>
        <v>#NAME?</v>
      </c>
      <c r="BI93" s="55" t="e">
        <f ca="1">_xll.EQNXTDZ($A$1,$B93,BI$5,$B$1)</f>
        <v>#NAME?</v>
      </c>
      <c r="BJ93" s="55" t="e">
        <f ca="1">_xll.EQNXTDZ($A$1,$B93,BJ$5,$B$1)</f>
        <v>#NAME?</v>
      </c>
      <c r="BK93" s="55" t="e">
        <f ca="1">_xll.EQNXTDZ($A$1,$B93,BK$5,$B$1)</f>
        <v>#NAME?</v>
      </c>
      <c r="BL93" s="55" t="e">
        <f ca="1">_xll.EQNXTDZ($A$1,$B93,BL$5,$B$1)</f>
        <v>#NAME?</v>
      </c>
      <c r="BM93" s="55" t="e">
        <f ca="1">_xll.EQNXTDZ($A$1,$B93,BM$5,$B$1)</f>
        <v>#NAME?</v>
      </c>
      <c r="BN93" s="55" t="e">
        <f ca="1">_xll.EQNXTDZ($A$1,$B93,BN$5,$B$1)</f>
        <v>#NAME?</v>
      </c>
      <c r="BO93" s="55" t="e">
        <f ca="1">_xll.EQNXTDZ($A$1,$B93,BO$5,$B$1)</f>
        <v>#NAME?</v>
      </c>
      <c r="BP93" s="55" t="e">
        <f ca="1">_xll.EQNXTDZ($A$1,$B93,BP$5,$B$1)</f>
        <v>#NAME?</v>
      </c>
      <c r="BQ93" s="55" t="e">
        <f ca="1">_xll.EQNXTDZ($A$1,$B93,BQ$5,$B$1)</f>
        <v>#NAME?</v>
      </c>
      <c r="BR93" s="55" t="e">
        <f ca="1">_xll.EQNXTDZ($A$1,$B93,BR$5,$B$1)</f>
        <v>#NAME?</v>
      </c>
      <c r="BS93" s="55" t="e">
        <f ca="1">_xll.EQNXTDZ($A$1,$B93,BS$5,$B$1)</f>
        <v>#NAME?</v>
      </c>
      <c r="BT93" s="55" t="e">
        <f ca="1">_xll.EQNXTDZ($A$1,$B93,BT$5,$B$1)</f>
        <v>#NAME?</v>
      </c>
      <c r="BU93" s="55" t="e">
        <f ca="1">_xll.EQNXTDZ($A$1,$B93,BU$5,$B$1)</f>
        <v>#NAME?</v>
      </c>
      <c r="BV93" s="55" t="e">
        <f ca="1">_xll.EQNXTDZ($A$1,$B93,BV$5,$B$1)</f>
        <v>#NAME?</v>
      </c>
    </row>
    <row r="94" spans="1:74" x14ac:dyDescent="0.25">
      <c r="A94" t="s">
        <v>370</v>
      </c>
      <c r="B94" t="s">
        <v>410</v>
      </c>
      <c r="C94" s="55" t="e">
        <f ca="1">_xll.EQNXTDZ($A$1,$B94,C$5,$B$1)</f>
        <v>#NAME?</v>
      </c>
      <c r="D94" s="55" t="e">
        <f ca="1">_xll.EQNXTDZ($A$1,$B94,D$5,$B$1)</f>
        <v>#NAME?</v>
      </c>
      <c r="E94" s="55" t="e">
        <f ca="1">_xll.EQNXTDZ($A$1,$B94,E$5,$B$1)</f>
        <v>#NAME?</v>
      </c>
      <c r="F94" s="55" t="e">
        <f ca="1">_xll.EQNXTDZ($A$1,$B94,F$5,$B$1)</f>
        <v>#NAME?</v>
      </c>
      <c r="G94" s="55" t="e">
        <f ca="1">_xll.EQNXTDZ($A$1,$B94,G$5,$B$1)</f>
        <v>#NAME?</v>
      </c>
      <c r="H94" s="55" t="e">
        <f ca="1">_xll.EQNXTDZ($A$1,$B94,H$5,$B$1)</f>
        <v>#NAME?</v>
      </c>
      <c r="I94" s="55" t="e">
        <f ca="1">_xll.EQNXTDZ($A$1,$B94,I$5,$B$1)</f>
        <v>#NAME?</v>
      </c>
      <c r="J94" s="55" t="e">
        <f ca="1">_xll.EQNXTDZ($A$1,$B94,J$5,$B$1)</f>
        <v>#NAME?</v>
      </c>
      <c r="K94" s="55" t="e">
        <f ca="1">_xll.EQNXTDZ($A$1,$B94,K$5,$B$1)</f>
        <v>#NAME?</v>
      </c>
      <c r="L94" s="55" t="e">
        <f ca="1">_xll.EQNXTDZ($A$1,$B94,L$5,$B$1)</f>
        <v>#NAME?</v>
      </c>
      <c r="M94" s="55" t="e">
        <f ca="1">_xll.EQNXTDZ($A$1,$B94,M$5,$B$1)</f>
        <v>#NAME?</v>
      </c>
      <c r="N94" s="55" t="e">
        <f ca="1">_xll.EQNXTDZ($A$1,$B94,N$5,$B$1)</f>
        <v>#NAME?</v>
      </c>
      <c r="O94" s="55" t="e">
        <f ca="1">_xll.EQNXTDZ($A$1,$B94,O$5,$B$1)</f>
        <v>#NAME?</v>
      </c>
      <c r="P94" s="55" t="e">
        <f ca="1">_xll.EQNXTDZ($A$1,$B94,P$5,$B$1)</f>
        <v>#NAME?</v>
      </c>
      <c r="Q94" s="55" t="e">
        <f ca="1">_xll.EQNXTDZ($A$1,$B94,Q$5,$B$1)</f>
        <v>#NAME?</v>
      </c>
      <c r="R94" s="55" t="e">
        <f ca="1">_xll.EQNXTDZ($A$1,$B94,R$5,$B$1)</f>
        <v>#NAME?</v>
      </c>
      <c r="S94" s="55" t="e">
        <f ca="1">_xll.EQNXTDZ($A$1,$B94,S$5,$B$1)</f>
        <v>#NAME?</v>
      </c>
      <c r="T94" s="55" t="e">
        <f ca="1">_xll.EQNXTDZ($A$1,$B94,T$5,$B$1)</f>
        <v>#NAME?</v>
      </c>
      <c r="U94" s="55" t="e">
        <f ca="1">_xll.EQNXTDZ($A$1,$B94,U$5,$B$1)</f>
        <v>#NAME?</v>
      </c>
      <c r="V94" s="55" t="e">
        <f ca="1">_xll.EQNXTDZ($A$1,$B94,V$5,$B$1)</f>
        <v>#NAME?</v>
      </c>
      <c r="W94" s="55" t="e">
        <f ca="1">_xll.EQNXTDZ($A$1,$B94,W$5,$B$1)</f>
        <v>#NAME?</v>
      </c>
      <c r="X94" s="55" t="e">
        <f ca="1">_xll.EQNXTDZ($A$1,$B94,X$5,$B$1)</f>
        <v>#NAME?</v>
      </c>
      <c r="Y94" s="55" t="e">
        <f ca="1">_xll.EQNXTDZ($A$1,$B94,Y$5,$B$1)</f>
        <v>#NAME?</v>
      </c>
      <c r="Z94" s="55" t="e">
        <f ca="1">_xll.EQNXTDZ($A$1,$B94,Z$5,$B$1)</f>
        <v>#NAME?</v>
      </c>
      <c r="AA94" s="55" t="e">
        <f ca="1">_xll.EQNXTDZ($A$1,$B94,AA$5,$B$1)</f>
        <v>#NAME?</v>
      </c>
      <c r="AB94" s="55" t="e">
        <f ca="1">_xll.EQNXTDZ($A$1,$B94,AB$5,$B$1)</f>
        <v>#NAME?</v>
      </c>
      <c r="AC94" s="55" t="e">
        <f ca="1">_xll.EQNXTDZ($A$1,$B94,AC$5,$B$1)</f>
        <v>#NAME?</v>
      </c>
      <c r="AD94" s="55" t="e">
        <f ca="1">_xll.EQNXTDZ($A$1,$B94,AD$5,$B$1)</f>
        <v>#NAME?</v>
      </c>
      <c r="AE94" s="55" t="e">
        <f ca="1">_xll.EQNXTDZ($A$1,$B94,AE$5,$B$1)</f>
        <v>#NAME?</v>
      </c>
      <c r="AF94" s="55" t="e">
        <f ca="1">_xll.EQNXTDZ($A$1,$B94,AF$5,$B$1)</f>
        <v>#NAME?</v>
      </c>
      <c r="AG94" s="55" t="e">
        <f ca="1">_xll.EQNXTDZ($A$1,$B94,AG$5,$B$1)</f>
        <v>#NAME?</v>
      </c>
      <c r="AH94" s="55" t="e">
        <f ca="1">_xll.EQNXTDZ($A$1,$B94,AH$5,$B$1)</f>
        <v>#NAME?</v>
      </c>
      <c r="AI94" s="55" t="e">
        <f ca="1">_xll.EQNXTDZ($A$1,$B94,AI$5,$B$1)</f>
        <v>#NAME?</v>
      </c>
      <c r="AJ94" s="55" t="e">
        <f ca="1">_xll.EQNXTDZ($A$1,$B94,AJ$5,$B$1)</f>
        <v>#NAME?</v>
      </c>
      <c r="AK94" s="55" t="e">
        <f ca="1">_xll.EQNXTDZ($A$1,$B94,AK$5,$B$1)</f>
        <v>#NAME?</v>
      </c>
      <c r="AL94" s="55" t="e">
        <f ca="1">_xll.EQNXTDZ($A$1,$B94,AL$5,$B$1)</f>
        <v>#NAME?</v>
      </c>
      <c r="AM94" s="55" t="e">
        <f ca="1">_xll.EQNXTDZ($A$1,$B94,AM$5,$B$1)</f>
        <v>#NAME?</v>
      </c>
      <c r="AN94" s="55" t="e">
        <f ca="1">_xll.EQNXTDZ($A$1,$B94,AN$5,$B$1)</f>
        <v>#NAME?</v>
      </c>
      <c r="AO94" s="55" t="e">
        <f ca="1">_xll.EQNXTDZ($A$1,$B94,AO$5,$B$1)</f>
        <v>#NAME?</v>
      </c>
      <c r="AP94" s="55" t="e">
        <f ca="1">_xll.EQNXTDZ($A$1,$B94,AP$5,$B$1)</f>
        <v>#NAME?</v>
      </c>
      <c r="AQ94" s="55" t="e">
        <f ca="1">_xll.EQNXTDZ($A$1,$B94,AQ$5,$B$1)</f>
        <v>#NAME?</v>
      </c>
      <c r="AR94" s="55" t="e">
        <f ca="1">_xll.EQNXTDZ($A$1,$B94,AR$5,$B$1)</f>
        <v>#NAME?</v>
      </c>
      <c r="AS94" s="55" t="e">
        <f ca="1">_xll.EQNXTDZ($A$1,$B94,AS$5,$B$1)</f>
        <v>#NAME?</v>
      </c>
      <c r="AT94" s="55" t="e">
        <f ca="1">_xll.EQNXTDZ($A$1,$B94,AT$5,$B$1)</f>
        <v>#NAME?</v>
      </c>
      <c r="AU94" s="55" t="e">
        <f ca="1">_xll.EQNXTDZ($A$1,$B94,AU$5,$B$1)</f>
        <v>#NAME?</v>
      </c>
      <c r="AV94" s="55" t="e">
        <f ca="1">_xll.EQNXTDZ($A$1,$B94,AV$5,$B$1)</f>
        <v>#NAME?</v>
      </c>
      <c r="AW94" s="55" t="e">
        <f ca="1">_xll.EQNXTDZ($A$1,$B94,AW$5,$B$1)</f>
        <v>#NAME?</v>
      </c>
      <c r="AX94" s="55" t="e">
        <f ca="1">_xll.EQNXTDZ($A$1,$B94,AX$5,$B$1)</f>
        <v>#NAME?</v>
      </c>
      <c r="AY94" s="55" t="e">
        <f ca="1">_xll.EQNXTDZ($A$1,$B94,AY$5,$B$1)</f>
        <v>#NAME?</v>
      </c>
      <c r="AZ94" s="55" t="e">
        <f ca="1">_xll.EQNXTDZ($A$1,$B94,AZ$5,$B$1)</f>
        <v>#NAME?</v>
      </c>
      <c r="BA94" s="55" t="e">
        <f ca="1">_xll.EQNXTDZ($A$1,$B94,BA$5,$B$1)</f>
        <v>#NAME?</v>
      </c>
      <c r="BB94" s="55" t="e">
        <f ca="1">_xll.EQNXTDZ($A$1,$B94,BB$5,$B$1)</f>
        <v>#NAME?</v>
      </c>
      <c r="BC94" s="55" t="e">
        <f ca="1">_xll.EQNXTDZ($A$1,$B94,BC$5,$B$1)</f>
        <v>#NAME?</v>
      </c>
      <c r="BD94" s="55" t="e">
        <f ca="1">_xll.EQNXTDZ($A$1,$B94,BD$5,$B$1)</f>
        <v>#NAME?</v>
      </c>
      <c r="BE94" s="55" t="e">
        <f ca="1">_xll.EQNXTDZ($A$1,$B94,BE$5,$B$1)</f>
        <v>#NAME?</v>
      </c>
      <c r="BF94" s="55" t="e">
        <f ca="1">_xll.EQNXTDZ($A$1,$B94,BF$5,$B$1)</f>
        <v>#NAME?</v>
      </c>
      <c r="BG94" s="55" t="e">
        <f ca="1">_xll.EQNXTDZ($A$1,$B94,BG$5,$B$1)</f>
        <v>#NAME?</v>
      </c>
      <c r="BH94" s="55" t="e">
        <f ca="1">_xll.EQNXTDZ($A$1,$B94,BH$5,$B$1)</f>
        <v>#NAME?</v>
      </c>
      <c r="BI94" s="55" t="e">
        <f ca="1">_xll.EQNXTDZ($A$1,$B94,BI$5,$B$1)</f>
        <v>#NAME?</v>
      </c>
      <c r="BJ94" s="55" t="e">
        <f ca="1">_xll.EQNXTDZ($A$1,$B94,BJ$5,$B$1)</f>
        <v>#NAME?</v>
      </c>
      <c r="BK94" s="55" t="e">
        <f ca="1">_xll.EQNXTDZ($A$1,$B94,BK$5,$B$1)</f>
        <v>#NAME?</v>
      </c>
      <c r="BL94" s="55" t="e">
        <f ca="1">_xll.EQNXTDZ($A$1,$B94,BL$5,$B$1)</f>
        <v>#NAME?</v>
      </c>
      <c r="BM94" s="55" t="e">
        <f ca="1">_xll.EQNXTDZ($A$1,$B94,BM$5,$B$1)</f>
        <v>#NAME?</v>
      </c>
      <c r="BN94" s="55" t="e">
        <f ca="1">_xll.EQNXTDZ($A$1,$B94,BN$5,$B$1)</f>
        <v>#NAME?</v>
      </c>
      <c r="BO94" s="55" t="e">
        <f ca="1">_xll.EQNXTDZ($A$1,$B94,BO$5,$B$1)</f>
        <v>#NAME?</v>
      </c>
      <c r="BP94" s="55" t="e">
        <f ca="1">_xll.EQNXTDZ($A$1,$B94,BP$5,$B$1)</f>
        <v>#NAME?</v>
      </c>
      <c r="BQ94" s="55" t="e">
        <f ca="1">_xll.EQNXTDZ($A$1,$B94,BQ$5,$B$1)</f>
        <v>#NAME?</v>
      </c>
      <c r="BR94" s="55" t="e">
        <f ca="1">_xll.EQNXTDZ($A$1,$B94,BR$5,$B$1)</f>
        <v>#NAME?</v>
      </c>
      <c r="BS94" s="55" t="e">
        <f ca="1">_xll.EQNXTDZ($A$1,$B94,BS$5,$B$1)</f>
        <v>#NAME?</v>
      </c>
      <c r="BT94" s="55" t="e">
        <f ca="1">_xll.EQNXTDZ($A$1,$B94,BT$5,$B$1)</f>
        <v>#NAME?</v>
      </c>
      <c r="BU94" s="55" t="e">
        <f ca="1">_xll.EQNXTDZ($A$1,$B94,BU$5,$B$1)</f>
        <v>#NAME?</v>
      </c>
      <c r="BV94" s="55" t="e">
        <f ca="1">_xll.EQNXTDZ($A$1,$B94,BV$5,$B$1)</f>
        <v>#NAME?</v>
      </c>
    </row>
    <row r="95" spans="1:74" x14ac:dyDescent="0.25">
      <c r="A95" t="s">
        <v>79</v>
      </c>
      <c r="B95" t="s">
        <v>411</v>
      </c>
      <c r="C95" s="55" t="e">
        <f ca="1">_xll.EQNXTDZ($A$1,$B95,C$5,$B$1)</f>
        <v>#NAME?</v>
      </c>
      <c r="D95" s="55" t="e">
        <f ca="1">_xll.EQNXTDZ($A$1,$B95,D$5,$B$1)</f>
        <v>#NAME?</v>
      </c>
      <c r="E95" s="55" t="e">
        <f ca="1">_xll.EQNXTDZ($A$1,$B95,E$5,$B$1)</f>
        <v>#NAME?</v>
      </c>
      <c r="F95" s="55" t="e">
        <f ca="1">_xll.EQNXTDZ($A$1,$B95,F$5,$B$1)</f>
        <v>#NAME?</v>
      </c>
      <c r="G95" s="55" t="e">
        <f ca="1">_xll.EQNXTDZ($A$1,$B95,G$5,$B$1)</f>
        <v>#NAME?</v>
      </c>
      <c r="H95" s="55" t="e">
        <f ca="1">_xll.EQNXTDZ($A$1,$B95,H$5,$B$1)</f>
        <v>#NAME?</v>
      </c>
      <c r="I95" s="55" t="e">
        <f ca="1">_xll.EQNXTDZ($A$1,$B95,I$5,$B$1)</f>
        <v>#NAME?</v>
      </c>
      <c r="J95" s="55" t="e">
        <f ca="1">_xll.EQNXTDZ($A$1,$B95,J$5,$B$1)</f>
        <v>#NAME?</v>
      </c>
      <c r="K95" s="55" t="e">
        <f ca="1">_xll.EQNXTDZ($A$1,$B95,K$5,$B$1)</f>
        <v>#NAME?</v>
      </c>
      <c r="L95" s="55" t="e">
        <f ca="1">_xll.EQNXTDZ($A$1,$B95,L$5,$B$1)</f>
        <v>#NAME?</v>
      </c>
      <c r="M95" s="55" t="e">
        <f ca="1">_xll.EQNXTDZ($A$1,$B95,M$5,$B$1)</f>
        <v>#NAME?</v>
      </c>
      <c r="N95" s="55" t="e">
        <f ca="1">_xll.EQNXTDZ($A$1,$B95,N$5,$B$1)</f>
        <v>#NAME?</v>
      </c>
      <c r="O95" s="55" t="e">
        <f ca="1">_xll.EQNXTDZ($A$1,$B95,O$5,$B$1)</f>
        <v>#NAME?</v>
      </c>
      <c r="P95" s="55" t="e">
        <f ca="1">_xll.EQNXTDZ($A$1,$B95,P$5,$B$1)</f>
        <v>#NAME?</v>
      </c>
      <c r="Q95" s="55" t="e">
        <f ca="1">_xll.EQNXTDZ($A$1,$B95,Q$5,$B$1)</f>
        <v>#NAME?</v>
      </c>
      <c r="R95" s="55" t="e">
        <f ca="1">_xll.EQNXTDZ($A$1,$B95,R$5,$B$1)</f>
        <v>#NAME?</v>
      </c>
      <c r="S95" s="55" t="e">
        <f ca="1">_xll.EQNXTDZ($A$1,$B95,S$5,$B$1)</f>
        <v>#NAME?</v>
      </c>
      <c r="T95" s="55" t="e">
        <f ca="1">_xll.EQNXTDZ($A$1,$B95,T$5,$B$1)</f>
        <v>#NAME?</v>
      </c>
      <c r="U95" s="55" t="e">
        <f ca="1">_xll.EQNXTDZ($A$1,$B95,U$5,$B$1)</f>
        <v>#NAME?</v>
      </c>
      <c r="V95" s="55" t="e">
        <f ca="1">_xll.EQNXTDZ($A$1,$B95,V$5,$B$1)</f>
        <v>#NAME?</v>
      </c>
      <c r="W95" s="55" t="e">
        <f ca="1">_xll.EQNXTDZ($A$1,$B95,W$5,$B$1)</f>
        <v>#NAME?</v>
      </c>
      <c r="X95" s="55" t="e">
        <f ca="1">_xll.EQNXTDZ($A$1,$B95,X$5,$B$1)</f>
        <v>#NAME?</v>
      </c>
      <c r="Y95" s="55" t="e">
        <f ca="1">_xll.EQNXTDZ($A$1,$B95,Y$5,$B$1)</f>
        <v>#NAME?</v>
      </c>
      <c r="Z95" s="55" t="e">
        <f ca="1">_xll.EQNXTDZ($A$1,$B95,Z$5,$B$1)</f>
        <v>#NAME?</v>
      </c>
      <c r="AA95" s="55" t="e">
        <f ca="1">_xll.EQNXTDZ($A$1,$B95,AA$5,$B$1)</f>
        <v>#NAME?</v>
      </c>
      <c r="AB95" s="55" t="e">
        <f ca="1">_xll.EQNXTDZ($A$1,$B95,AB$5,$B$1)</f>
        <v>#NAME?</v>
      </c>
      <c r="AC95" s="55" t="e">
        <f ca="1">_xll.EQNXTDZ($A$1,$B95,AC$5,$B$1)</f>
        <v>#NAME?</v>
      </c>
      <c r="AD95" s="55" t="e">
        <f ca="1">_xll.EQNXTDZ($A$1,$B95,AD$5,$B$1)</f>
        <v>#NAME?</v>
      </c>
      <c r="AE95" s="55" t="e">
        <f ca="1">_xll.EQNXTDZ($A$1,$B95,AE$5,$B$1)</f>
        <v>#NAME?</v>
      </c>
      <c r="AF95" s="55" t="e">
        <f ca="1">_xll.EQNXTDZ($A$1,$B95,AF$5,$B$1)</f>
        <v>#NAME?</v>
      </c>
      <c r="AG95" s="55" t="e">
        <f ca="1">_xll.EQNXTDZ($A$1,$B95,AG$5,$B$1)</f>
        <v>#NAME?</v>
      </c>
      <c r="AH95" s="55" t="e">
        <f ca="1">_xll.EQNXTDZ($A$1,$B95,AH$5,$B$1)</f>
        <v>#NAME?</v>
      </c>
      <c r="AI95" s="55" t="e">
        <f ca="1">_xll.EQNXTDZ($A$1,$B95,AI$5,$B$1)</f>
        <v>#NAME?</v>
      </c>
      <c r="AJ95" s="55" t="e">
        <f ca="1">_xll.EQNXTDZ($A$1,$B95,AJ$5,$B$1)</f>
        <v>#NAME?</v>
      </c>
      <c r="AK95" s="55" t="e">
        <f ca="1">_xll.EQNXTDZ($A$1,$B95,AK$5,$B$1)</f>
        <v>#NAME?</v>
      </c>
      <c r="AL95" s="55" t="e">
        <f ca="1">_xll.EQNXTDZ($A$1,$B95,AL$5,$B$1)</f>
        <v>#NAME?</v>
      </c>
      <c r="AM95" s="55" t="e">
        <f ca="1">_xll.EQNXTDZ($A$1,$B95,AM$5,$B$1)</f>
        <v>#NAME?</v>
      </c>
      <c r="AN95" s="55" t="e">
        <f ca="1">_xll.EQNXTDZ($A$1,$B95,AN$5,$B$1)</f>
        <v>#NAME?</v>
      </c>
      <c r="AO95" s="55" t="e">
        <f ca="1">_xll.EQNXTDZ($A$1,$B95,AO$5,$B$1)</f>
        <v>#NAME?</v>
      </c>
      <c r="AP95" s="55" t="e">
        <f ca="1">_xll.EQNXTDZ($A$1,$B95,AP$5,$B$1)</f>
        <v>#NAME?</v>
      </c>
      <c r="AQ95" s="55" t="e">
        <f ca="1">_xll.EQNXTDZ($A$1,$B95,AQ$5,$B$1)</f>
        <v>#NAME?</v>
      </c>
      <c r="AR95" s="55" t="e">
        <f ca="1">_xll.EQNXTDZ($A$1,$B95,AR$5,$B$1)</f>
        <v>#NAME?</v>
      </c>
      <c r="AS95" s="55" t="e">
        <f ca="1">_xll.EQNXTDZ($A$1,$B95,AS$5,$B$1)</f>
        <v>#NAME?</v>
      </c>
      <c r="AT95" s="55" t="e">
        <f ca="1">_xll.EQNXTDZ($A$1,$B95,AT$5,$B$1)</f>
        <v>#NAME?</v>
      </c>
      <c r="AU95" s="55" t="e">
        <f ca="1">_xll.EQNXTDZ($A$1,$B95,AU$5,$B$1)</f>
        <v>#NAME?</v>
      </c>
      <c r="AV95" s="55" t="e">
        <f ca="1">_xll.EQNXTDZ($A$1,$B95,AV$5,$B$1)</f>
        <v>#NAME?</v>
      </c>
      <c r="AW95" s="55" t="e">
        <f ca="1">_xll.EQNXTDZ($A$1,$B95,AW$5,$B$1)</f>
        <v>#NAME?</v>
      </c>
      <c r="AX95" s="55" t="e">
        <f ca="1">_xll.EQNXTDZ($A$1,$B95,AX$5,$B$1)</f>
        <v>#NAME?</v>
      </c>
      <c r="AY95" s="55" t="e">
        <f ca="1">_xll.EQNXTDZ($A$1,$B95,AY$5,$B$1)</f>
        <v>#NAME?</v>
      </c>
      <c r="AZ95" s="55" t="e">
        <f ca="1">_xll.EQNXTDZ($A$1,$B95,AZ$5,$B$1)</f>
        <v>#NAME?</v>
      </c>
      <c r="BA95" s="55" t="e">
        <f ca="1">_xll.EQNXTDZ($A$1,$B95,BA$5,$B$1)</f>
        <v>#NAME?</v>
      </c>
      <c r="BB95" s="55" t="e">
        <f ca="1">_xll.EQNXTDZ($A$1,$B95,BB$5,$B$1)</f>
        <v>#NAME?</v>
      </c>
      <c r="BC95" s="55" t="e">
        <f ca="1">_xll.EQNXTDZ($A$1,$B95,BC$5,$B$1)</f>
        <v>#NAME?</v>
      </c>
      <c r="BD95" s="55" t="e">
        <f ca="1">_xll.EQNXTDZ($A$1,$B95,BD$5,$B$1)</f>
        <v>#NAME?</v>
      </c>
      <c r="BE95" s="55" t="e">
        <f ca="1">_xll.EQNXTDZ($A$1,$B95,BE$5,$B$1)</f>
        <v>#NAME?</v>
      </c>
      <c r="BF95" s="55" t="e">
        <f ca="1">_xll.EQNXTDZ($A$1,$B95,BF$5,$B$1)</f>
        <v>#NAME?</v>
      </c>
      <c r="BG95" s="55" t="e">
        <f ca="1">_xll.EQNXTDZ($A$1,$B95,BG$5,$B$1)</f>
        <v>#NAME?</v>
      </c>
      <c r="BH95" s="55" t="e">
        <f ca="1">_xll.EQNXTDZ($A$1,$B95,BH$5,$B$1)</f>
        <v>#NAME?</v>
      </c>
      <c r="BI95" s="55" t="e">
        <f ca="1">_xll.EQNXTDZ($A$1,$B95,BI$5,$B$1)</f>
        <v>#NAME?</v>
      </c>
      <c r="BJ95" s="55" t="e">
        <f ca="1">_xll.EQNXTDZ($A$1,$B95,BJ$5,$B$1)</f>
        <v>#NAME?</v>
      </c>
      <c r="BK95" s="55" t="e">
        <f ca="1">_xll.EQNXTDZ($A$1,$B95,BK$5,$B$1)</f>
        <v>#NAME?</v>
      </c>
      <c r="BL95" s="55" t="e">
        <f ca="1">_xll.EQNXTDZ($A$1,$B95,BL$5,$B$1)</f>
        <v>#NAME?</v>
      </c>
      <c r="BM95" s="55" t="e">
        <f ca="1">_xll.EQNXTDZ($A$1,$B95,BM$5,$B$1)</f>
        <v>#NAME?</v>
      </c>
      <c r="BN95" s="55" t="e">
        <f ca="1">_xll.EQNXTDZ($A$1,$B95,BN$5,$B$1)</f>
        <v>#NAME?</v>
      </c>
      <c r="BO95" s="55" t="e">
        <f ca="1">_xll.EQNXTDZ($A$1,$B95,BO$5,$B$1)</f>
        <v>#NAME?</v>
      </c>
      <c r="BP95" s="55" t="e">
        <f ca="1">_xll.EQNXTDZ($A$1,$B95,BP$5,$B$1)</f>
        <v>#NAME?</v>
      </c>
      <c r="BQ95" s="55" t="e">
        <f ca="1">_xll.EQNXTDZ($A$1,$B95,BQ$5,$B$1)</f>
        <v>#NAME?</v>
      </c>
      <c r="BR95" s="55" t="e">
        <f ca="1">_xll.EQNXTDZ($A$1,$B95,BR$5,$B$1)</f>
        <v>#NAME?</v>
      </c>
      <c r="BS95" s="55" t="e">
        <f ca="1">_xll.EQNXTDZ($A$1,$B95,BS$5,$B$1)</f>
        <v>#NAME?</v>
      </c>
      <c r="BT95" s="55" t="e">
        <f ca="1">_xll.EQNXTDZ($A$1,$B95,BT$5,$B$1)</f>
        <v>#NAME?</v>
      </c>
      <c r="BU95" s="55" t="e">
        <f ca="1">_xll.EQNXTDZ($A$1,$B95,BU$5,$B$1)</f>
        <v>#NAME?</v>
      </c>
      <c r="BV95" s="55" t="e">
        <f ca="1">_xll.EQNXTDZ($A$1,$B95,BV$5,$B$1)</f>
        <v>#NAME?</v>
      </c>
    </row>
    <row r="96" spans="1:74" x14ac:dyDescent="0.25">
      <c r="A96" t="s">
        <v>78</v>
      </c>
      <c r="B96" t="s">
        <v>412</v>
      </c>
      <c r="C96" s="55" t="e">
        <f ca="1">_xll.EQNXTDZ($A$1,$B96,C$5,$B$1)</f>
        <v>#NAME?</v>
      </c>
      <c r="D96" s="55" t="e">
        <f ca="1">_xll.EQNXTDZ($A$1,$B96,D$5,$B$1)</f>
        <v>#NAME?</v>
      </c>
      <c r="E96" s="55" t="e">
        <f ca="1">_xll.EQNXTDZ($A$1,$B96,E$5,$B$1)</f>
        <v>#NAME?</v>
      </c>
      <c r="F96" s="55" t="e">
        <f ca="1">_xll.EQNXTDZ($A$1,$B96,F$5,$B$1)</f>
        <v>#NAME?</v>
      </c>
      <c r="G96" s="55" t="e">
        <f ca="1">_xll.EQNXTDZ($A$1,$B96,G$5,$B$1)</f>
        <v>#NAME?</v>
      </c>
      <c r="H96" s="55" t="e">
        <f ca="1">_xll.EQNXTDZ($A$1,$B96,H$5,$B$1)</f>
        <v>#NAME?</v>
      </c>
      <c r="I96" s="55" t="e">
        <f ca="1">_xll.EQNXTDZ($A$1,$B96,I$5,$B$1)</f>
        <v>#NAME?</v>
      </c>
      <c r="J96" s="55" t="e">
        <f ca="1">_xll.EQNXTDZ($A$1,$B96,J$5,$B$1)</f>
        <v>#NAME?</v>
      </c>
      <c r="K96" s="55" t="e">
        <f ca="1">_xll.EQNXTDZ($A$1,$B96,K$5,$B$1)</f>
        <v>#NAME?</v>
      </c>
      <c r="L96" s="55" t="e">
        <f ca="1">_xll.EQNXTDZ($A$1,$B96,L$5,$B$1)</f>
        <v>#NAME?</v>
      </c>
      <c r="M96" s="55" t="e">
        <f ca="1">_xll.EQNXTDZ($A$1,$B96,M$5,$B$1)</f>
        <v>#NAME?</v>
      </c>
      <c r="N96" s="55" t="e">
        <f ca="1">_xll.EQNXTDZ($A$1,$B96,N$5,$B$1)</f>
        <v>#NAME?</v>
      </c>
      <c r="O96" s="55" t="e">
        <f ca="1">_xll.EQNXTDZ($A$1,$B96,O$5,$B$1)</f>
        <v>#NAME?</v>
      </c>
      <c r="P96" s="55" t="e">
        <f ca="1">_xll.EQNXTDZ($A$1,$B96,P$5,$B$1)</f>
        <v>#NAME?</v>
      </c>
      <c r="Q96" s="55" t="e">
        <f ca="1">_xll.EQNXTDZ($A$1,$B96,Q$5,$B$1)</f>
        <v>#NAME?</v>
      </c>
      <c r="R96" s="55" t="e">
        <f ca="1">_xll.EQNXTDZ($A$1,$B96,R$5,$B$1)</f>
        <v>#NAME?</v>
      </c>
      <c r="S96" s="55" t="e">
        <f ca="1">_xll.EQNXTDZ($A$1,$B96,S$5,$B$1)</f>
        <v>#NAME?</v>
      </c>
      <c r="T96" s="55" t="e">
        <f ca="1">_xll.EQNXTDZ($A$1,$B96,T$5,$B$1)</f>
        <v>#NAME?</v>
      </c>
      <c r="U96" s="55" t="e">
        <f ca="1">_xll.EQNXTDZ($A$1,$B96,U$5,$B$1)</f>
        <v>#NAME?</v>
      </c>
      <c r="V96" s="55" t="e">
        <f ca="1">_xll.EQNXTDZ($A$1,$B96,V$5,$B$1)</f>
        <v>#NAME?</v>
      </c>
      <c r="W96" s="55" t="e">
        <f ca="1">_xll.EQNXTDZ($A$1,$B96,W$5,$B$1)</f>
        <v>#NAME?</v>
      </c>
      <c r="X96" s="55" t="e">
        <f ca="1">_xll.EQNXTDZ($A$1,$B96,X$5,$B$1)</f>
        <v>#NAME?</v>
      </c>
      <c r="Y96" s="55" t="e">
        <f ca="1">_xll.EQNXTDZ($A$1,$B96,Y$5,$B$1)</f>
        <v>#NAME?</v>
      </c>
      <c r="Z96" s="55" t="e">
        <f ca="1">_xll.EQNXTDZ($A$1,$B96,Z$5,$B$1)</f>
        <v>#NAME?</v>
      </c>
      <c r="AA96" s="55" t="e">
        <f ca="1">_xll.EQNXTDZ($A$1,$B96,AA$5,$B$1)</f>
        <v>#NAME?</v>
      </c>
      <c r="AB96" s="55" t="e">
        <f ca="1">_xll.EQNXTDZ($A$1,$B96,AB$5,$B$1)</f>
        <v>#NAME?</v>
      </c>
      <c r="AC96" s="55" t="e">
        <f ca="1">_xll.EQNXTDZ($A$1,$B96,AC$5,$B$1)</f>
        <v>#NAME?</v>
      </c>
      <c r="AD96" s="55" t="e">
        <f ca="1">_xll.EQNXTDZ($A$1,$B96,AD$5,$B$1)</f>
        <v>#NAME?</v>
      </c>
      <c r="AE96" s="55" t="e">
        <f ca="1">_xll.EQNXTDZ($A$1,$B96,AE$5,$B$1)</f>
        <v>#NAME?</v>
      </c>
      <c r="AF96" s="55" t="e">
        <f ca="1">_xll.EQNXTDZ($A$1,$B96,AF$5,$B$1)</f>
        <v>#NAME?</v>
      </c>
      <c r="AG96" s="55" t="e">
        <f ca="1">_xll.EQNXTDZ($A$1,$B96,AG$5,$B$1)</f>
        <v>#NAME?</v>
      </c>
      <c r="AH96" s="55" t="e">
        <f ca="1">_xll.EQNXTDZ($A$1,$B96,AH$5,$B$1)</f>
        <v>#NAME?</v>
      </c>
      <c r="AI96" s="55" t="e">
        <f ca="1">_xll.EQNXTDZ($A$1,$B96,AI$5,$B$1)</f>
        <v>#NAME?</v>
      </c>
      <c r="AJ96" s="55" t="e">
        <f ca="1">_xll.EQNXTDZ($A$1,$B96,AJ$5,$B$1)</f>
        <v>#NAME?</v>
      </c>
      <c r="AK96" s="55" t="e">
        <f ca="1">_xll.EQNXTDZ($A$1,$B96,AK$5,$B$1)</f>
        <v>#NAME?</v>
      </c>
      <c r="AL96" s="55" t="e">
        <f ca="1">_xll.EQNXTDZ($A$1,$B96,AL$5,$B$1)</f>
        <v>#NAME?</v>
      </c>
      <c r="AM96" s="55" t="e">
        <f ca="1">_xll.EQNXTDZ($A$1,$B96,AM$5,$B$1)</f>
        <v>#NAME?</v>
      </c>
      <c r="AN96" s="55" t="e">
        <f ca="1">_xll.EQNXTDZ($A$1,$B96,AN$5,$B$1)</f>
        <v>#NAME?</v>
      </c>
      <c r="AO96" s="55" t="e">
        <f ca="1">_xll.EQNXTDZ($A$1,$B96,AO$5,$B$1)</f>
        <v>#NAME?</v>
      </c>
      <c r="AP96" s="55" t="e">
        <f ca="1">_xll.EQNXTDZ($A$1,$B96,AP$5,$B$1)</f>
        <v>#NAME?</v>
      </c>
      <c r="AQ96" s="55" t="e">
        <f ca="1">_xll.EQNXTDZ($A$1,$B96,AQ$5,$B$1)</f>
        <v>#NAME?</v>
      </c>
      <c r="AR96" s="55" t="e">
        <f ca="1">_xll.EQNXTDZ($A$1,$B96,AR$5,$B$1)</f>
        <v>#NAME?</v>
      </c>
      <c r="AS96" s="55" t="e">
        <f ca="1">_xll.EQNXTDZ($A$1,$B96,AS$5,$B$1)</f>
        <v>#NAME?</v>
      </c>
      <c r="AT96" s="55" t="e">
        <f ca="1">_xll.EQNXTDZ($A$1,$B96,AT$5,$B$1)</f>
        <v>#NAME?</v>
      </c>
      <c r="AU96" s="55" t="e">
        <f ca="1">_xll.EQNXTDZ($A$1,$B96,AU$5,$B$1)</f>
        <v>#NAME?</v>
      </c>
      <c r="AV96" s="55" t="e">
        <f ca="1">_xll.EQNXTDZ($A$1,$B96,AV$5,$B$1)</f>
        <v>#NAME?</v>
      </c>
      <c r="AW96" s="55" t="e">
        <f ca="1">_xll.EQNXTDZ($A$1,$B96,AW$5,$B$1)</f>
        <v>#NAME?</v>
      </c>
      <c r="AX96" s="55" t="e">
        <f ca="1">_xll.EQNXTDZ($A$1,$B96,AX$5,$B$1)</f>
        <v>#NAME?</v>
      </c>
      <c r="AY96" s="55" t="e">
        <f ca="1">_xll.EQNXTDZ($A$1,$B96,AY$5,$B$1)</f>
        <v>#NAME?</v>
      </c>
      <c r="AZ96" s="55" t="e">
        <f ca="1">_xll.EQNXTDZ($A$1,$B96,AZ$5,$B$1)</f>
        <v>#NAME?</v>
      </c>
      <c r="BA96" s="55" t="e">
        <f ca="1">_xll.EQNXTDZ($A$1,$B96,BA$5,$B$1)</f>
        <v>#NAME?</v>
      </c>
      <c r="BB96" s="55" t="e">
        <f ca="1">_xll.EQNXTDZ($A$1,$B96,BB$5,$B$1)</f>
        <v>#NAME?</v>
      </c>
      <c r="BC96" s="55" t="e">
        <f ca="1">_xll.EQNXTDZ($A$1,$B96,BC$5,$B$1)</f>
        <v>#NAME?</v>
      </c>
      <c r="BD96" s="55" t="e">
        <f ca="1">_xll.EQNXTDZ($A$1,$B96,BD$5,$B$1)</f>
        <v>#NAME?</v>
      </c>
      <c r="BE96" s="55" t="e">
        <f ca="1">_xll.EQNXTDZ($A$1,$B96,BE$5,$B$1)</f>
        <v>#NAME?</v>
      </c>
      <c r="BF96" s="55" t="e">
        <f ca="1">_xll.EQNXTDZ($A$1,$B96,BF$5,$B$1)</f>
        <v>#NAME?</v>
      </c>
      <c r="BG96" s="55" t="e">
        <f ca="1">_xll.EQNXTDZ($A$1,$B96,BG$5,$B$1)</f>
        <v>#NAME?</v>
      </c>
      <c r="BH96" s="55" t="e">
        <f ca="1">_xll.EQNXTDZ($A$1,$B96,BH$5,$B$1)</f>
        <v>#NAME?</v>
      </c>
      <c r="BI96" s="55" t="e">
        <f ca="1">_xll.EQNXTDZ($A$1,$B96,BI$5,$B$1)</f>
        <v>#NAME?</v>
      </c>
      <c r="BJ96" s="55" t="e">
        <f ca="1">_xll.EQNXTDZ($A$1,$B96,BJ$5,$B$1)</f>
        <v>#NAME?</v>
      </c>
      <c r="BK96" s="55" t="e">
        <f ca="1">_xll.EQNXTDZ($A$1,$B96,BK$5,$B$1)</f>
        <v>#NAME?</v>
      </c>
      <c r="BL96" s="55" t="e">
        <f ca="1">_xll.EQNXTDZ($A$1,$B96,BL$5,$B$1)</f>
        <v>#NAME?</v>
      </c>
      <c r="BM96" s="55" t="e">
        <f ca="1">_xll.EQNXTDZ($A$1,$B96,BM$5,$B$1)</f>
        <v>#NAME?</v>
      </c>
      <c r="BN96" s="55" t="e">
        <f ca="1">_xll.EQNXTDZ($A$1,$B96,BN$5,$B$1)</f>
        <v>#NAME?</v>
      </c>
      <c r="BO96" s="55" t="e">
        <f ca="1">_xll.EQNXTDZ($A$1,$B96,BO$5,$B$1)</f>
        <v>#NAME?</v>
      </c>
      <c r="BP96" s="55" t="e">
        <f ca="1">_xll.EQNXTDZ($A$1,$B96,BP$5,$B$1)</f>
        <v>#NAME?</v>
      </c>
      <c r="BQ96" s="55" t="e">
        <f ca="1">_xll.EQNXTDZ($A$1,$B96,BQ$5,$B$1)</f>
        <v>#NAME?</v>
      </c>
      <c r="BR96" s="55" t="e">
        <f ca="1">_xll.EQNXTDZ($A$1,$B96,BR$5,$B$1)</f>
        <v>#NAME?</v>
      </c>
      <c r="BS96" s="55" t="e">
        <f ca="1">_xll.EQNXTDZ($A$1,$B96,BS$5,$B$1)</f>
        <v>#NAME?</v>
      </c>
      <c r="BT96" s="55" t="e">
        <f ca="1">_xll.EQNXTDZ($A$1,$B96,BT$5,$B$1)</f>
        <v>#NAME?</v>
      </c>
      <c r="BU96" s="55" t="e">
        <f ca="1">_xll.EQNXTDZ($A$1,$B96,BU$5,$B$1)</f>
        <v>#NAME?</v>
      </c>
      <c r="BV96" s="55" t="e">
        <f ca="1">_xll.EQNXTDZ($A$1,$B96,BV$5,$B$1)</f>
        <v>#NAME?</v>
      </c>
    </row>
    <row r="97" spans="1:74" x14ac:dyDescent="0.25">
      <c r="A97" t="s">
        <v>174</v>
      </c>
      <c r="B97" t="s">
        <v>413</v>
      </c>
      <c r="C97" s="55" t="e">
        <f ca="1">_xll.EQNXTDZ($A$1,$B97,C$5,$B$1)</f>
        <v>#NAME?</v>
      </c>
      <c r="D97" s="55" t="e">
        <f ca="1">_xll.EQNXTDZ($A$1,$B97,D$5,$B$1)</f>
        <v>#NAME?</v>
      </c>
      <c r="E97" s="55" t="e">
        <f ca="1">_xll.EQNXTDZ($A$1,$B97,E$5,$B$1)</f>
        <v>#NAME?</v>
      </c>
      <c r="F97" s="55" t="e">
        <f ca="1">_xll.EQNXTDZ($A$1,$B97,F$5,$B$1)</f>
        <v>#NAME?</v>
      </c>
      <c r="G97" s="55" t="e">
        <f ca="1">_xll.EQNXTDZ($A$1,$B97,G$5,$B$1)</f>
        <v>#NAME?</v>
      </c>
      <c r="H97" s="55" t="e">
        <f ca="1">_xll.EQNXTDZ($A$1,$B97,H$5,$B$1)</f>
        <v>#NAME?</v>
      </c>
      <c r="I97" s="55" t="e">
        <f ca="1">_xll.EQNXTDZ($A$1,$B97,I$5,$B$1)</f>
        <v>#NAME?</v>
      </c>
      <c r="J97" s="55" t="e">
        <f ca="1">_xll.EQNXTDZ($A$1,$B97,J$5,$B$1)</f>
        <v>#NAME?</v>
      </c>
      <c r="K97" s="55" t="e">
        <f ca="1">_xll.EQNXTDZ($A$1,$B97,K$5,$B$1)</f>
        <v>#NAME?</v>
      </c>
      <c r="L97" s="55" t="e">
        <f ca="1">_xll.EQNXTDZ($A$1,$B97,L$5,$B$1)</f>
        <v>#NAME?</v>
      </c>
      <c r="M97" s="55" t="e">
        <f ca="1">_xll.EQNXTDZ($A$1,$B97,M$5,$B$1)</f>
        <v>#NAME?</v>
      </c>
      <c r="N97" s="55" t="e">
        <f ca="1">_xll.EQNXTDZ($A$1,$B97,N$5,$B$1)</f>
        <v>#NAME?</v>
      </c>
      <c r="O97" s="55" t="e">
        <f ca="1">_xll.EQNXTDZ($A$1,$B97,O$5,$B$1)</f>
        <v>#NAME?</v>
      </c>
      <c r="P97" s="55" t="e">
        <f ca="1">_xll.EQNXTDZ($A$1,$B97,P$5,$B$1)</f>
        <v>#NAME?</v>
      </c>
      <c r="Q97" s="55" t="e">
        <f ca="1">_xll.EQNXTDZ($A$1,$B97,Q$5,$B$1)</f>
        <v>#NAME?</v>
      </c>
      <c r="R97" s="55" t="e">
        <f ca="1">_xll.EQNXTDZ($A$1,$B97,R$5,$B$1)</f>
        <v>#NAME?</v>
      </c>
      <c r="S97" s="55" t="e">
        <f ca="1">_xll.EQNXTDZ($A$1,$B97,S$5,$B$1)</f>
        <v>#NAME?</v>
      </c>
      <c r="T97" s="55" t="e">
        <f ca="1">_xll.EQNXTDZ($A$1,$B97,T$5,$B$1)</f>
        <v>#NAME?</v>
      </c>
      <c r="U97" s="55" t="e">
        <f ca="1">_xll.EQNXTDZ($A$1,$B97,U$5,$B$1)</f>
        <v>#NAME?</v>
      </c>
      <c r="V97" s="55" t="e">
        <f ca="1">_xll.EQNXTDZ($A$1,$B97,V$5,$B$1)</f>
        <v>#NAME?</v>
      </c>
      <c r="W97" s="55" t="e">
        <f ca="1">_xll.EQNXTDZ($A$1,$B97,W$5,$B$1)</f>
        <v>#NAME?</v>
      </c>
      <c r="X97" s="55" t="e">
        <f ca="1">_xll.EQNXTDZ($A$1,$B97,X$5,$B$1)</f>
        <v>#NAME?</v>
      </c>
      <c r="Y97" s="55" t="e">
        <f ca="1">_xll.EQNXTDZ($A$1,$B97,Y$5,$B$1)</f>
        <v>#NAME?</v>
      </c>
      <c r="Z97" s="55" t="e">
        <f ca="1">_xll.EQNXTDZ($A$1,$B97,Z$5,$B$1)</f>
        <v>#NAME?</v>
      </c>
      <c r="AA97" s="55" t="e">
        <f ca="1">_xll.EQNXTDZ($A$1,$B97,AA$5,$B$1)</f>
        <v>#NAME?</v>
      </c>
      <c r="AB97" s="55" t="e">
        <f ca="1">_xll.EQNXTDZ($A$1,$B97,AB$5,$B$1)</f>
        <v>#NAME?</v>
      </c>
      <c r="AC97" s="55" t="e">
        <f ca="1">_xll.EQNXTDZ($A$1,$B97,AC$5,$B$1)</f>
        <v>#NAME?</v>
      </c>
      <c r="AD97" s="55" t="e">
        <f ca="1">_xll.EQNXTDZ($A$1,$B97,AD$5,$B$1)</f>
        <v>#NAME?</v>
      </c>
      <c r="AE97" s="55" t="e">
        <f ca="1">_xll.EQNXTDZ($A$1,$B97,AE$5,$B$1)</f>
        <v>#NAME?</v>
      </c>
      <c r="AF97" s="55" t="e">
        <f ca="1">_xll.EQNXTDZ($A$1,$B97,AF$5,$B$1)</f>
        <v>#NAME?</v>
      </c>
      <c r="AG97" s="55" t="e">
        <f ca="1">_xll.EQNXTDZ($A$1,$B97,AG$5,$B$1)</f>
        <v>#NAME?</v>
      </c>
      <c r="AH97" s="55" t="e">
        <f ca="1">_xll.EQNXTDZ($A$1,$B97,AH$5,$B$1)</f>
        <v>#NAME?</v>
      </c>
      <c r="AI97" s="55" t="e">
        <f ca="1">_xll.EQNXTDZ($A$1,$B97,AI$5,$B$1)</f>
        <v>#NAME?</v>
      </c>
      <c r="AJ97" s="55" t="e">
        <f ca="1">_xll.EQNXTDZ($A$1,$B97,AJ$5,$B$1)</f>
        <v>#NAME?</v>
      </c>
      <c r="AK97" s="55" t="e">
        <f ca="1">_xll.EQNXTDZ($A$1,$B97,AK$5,$B$1)</f>
        <v>#NAME?</v>
      </c>
      <c r="AL97" s="55" t="e">
        <f ca="1">_xll.EQNXTDZ($A$1,$B97,AL$5,$B$1)</f>
        <v>#NAME?</v>
      </c>
      <c r="AM97" s="55" t="e">
        <f ca="1">_xll.EQNXTDZ($A$1,$B97,AM$5,$B$1)</f>
        <v>#NAME?</v>
      </c>
      <c r="AN97" s="55" t="e">
        <f ca="1">_xll.EQNXTDZ($A$1,$B97,AN$5,$B$1)</f>
        <v>#NAME?</v>
      </c>
      <c r="AO97" s="55" t="e">
        <f ca="1">_xll.EQNXTDZ($A$1,$B97,AO$5,$B$1)</f>
        <v>#NAME?</v>
      </c>
      <c r="AP97" s="55" t="e">
        <f ca="1">_xll.EQNXTDZ($A$1,$B97,AP$5,$B$1)</f>
        <v>#NAME?</v>
      </c>
      <c r="AQ97" s="55" t="e">
        <f ca="1">_xll.EQNXTDZ($A$1,$B97,AQ$5,$B$1)</f>
        <v>#NAME?</v>
      </c>
      <c r="AR97" s="55" t="e">
        <f ca="1">_xll.EQNXTDZ($A$1,$B97,AR$5,$B$1)</f>
        <v>#NAME?</v>
      </c>
      <c r="AS97" s="55" t="e">
        <f ca="1">_xll.EQNXTDZ($A$1,$B97,AS$5,$B$1)</f>
        <v>#NAME?</v>
      </c>
      <c r="AT97" s="55" t="e">
        <f ca="1">_xll.EQNXTDZ($A$1,$B97,AT$5,$B$1)</f>
        <v>#NAME?</v>
      </c>
      <c r="AU97" s="55" t="e">
        <f ca="1">_xll.EQNXTDZ($A$1,$B97,AU$5,$B$1)</f>
        <v>#NAME?</v>
      </c>
      <c r="AV97" s="55" t="e">
        <f ca="1">_xll.EQNXTDZ($A$1,$B97,AV$5,$B$1)</f>
        <v>#NAME?</v>
      </c>
      <c r="AW97" s="55" t="e">
        <f ca="1">_xll.EQNXTDZ($A$1,$B97,AW$5,$B$1)</f>
        <v>#NAME?</v>
      </c>
      <c r="AX97" s="55" t="e">
        <f ca="1">_xll.EQNXTDZ($A$1,$B97,AX$5,$B$1)</f>
        <v>#NAME?</v>
      </c>
      <c r="AY97" s="55" t="e">
        <f ca="1">_xll.EQNXTDZ($A$1,$B97,AY$5,$B$1)</f>
        <v>#NAME?</v>
      </c>
      <c r="AZ97" s="55" t="e">
        <f ca="1">_xll.EQNXTDZ($A$1,$B97,AZ$5,$B$1)</f>
        <v>#NAME?</v>
      </c>
      <c r="BA97" s="55" t="e">
        <f ca="1">_xll.EQNXTDZ($A$1,$B97,BA$5,$B$1)</f>
        <v>#NAME?</v>
      </c>
      <c r="BB97" s="55" t="e">
        <f ca="1">_xll.EQNXTDZ($A$1,$B97,BB$5,$B$1)</f>
        <v>#NAME?</v>
      </c>
      <c r="BC97" s="55" t="e">
        <f ca="1">_xll.EQNXTDZ($A$1,$B97,BC$5,$B$1)</f>
        <v>#NAME?</v>
      </c>
      <c r="BD97" s="55" t="e">
        <f ca="1">_xll.EQNXTDZ($A$1,$B97,BD$5,$B$1)</f>
        <v>#NAME?</v>
      </c>
      <c r="BE97" s="55" t="e">
        <f ca="1">_xll.EQNXTDZ($A$1,$B97,BE$5,$B$1)</f>
        <v>#NAME?</v>
      </c>
      <c r="BF97" s="55" t="e">
        <f ca="1">_xll.EQNXTDZ($A$1,$B97,BF$5,$B$1)</f>
        <v>#NAME?</v>
      </c>
      <c r="BG97" s="55" t="e">
        <f ca="1">_xll.EQNXTDZ($A$1,$B97,BG$5,$B$1)</f>
        <v>#NAME?</v>
      </c>
      <c r="BH97" s="55" t="e">
        <f ca="1">_xll.EQNXTDZ($A$1,$B97,BH$5,$B$1)</f>
        <v>#NAME?</v>
      </c>
      <c r="BI97" s="55" t="e">
        <f ca="1">_xll.EQNXTDZ($A$1,$B97,BI$5,$B$1)</f>
        <v>#NAME?</v>
      </c>
      <c r="BJ97" s="55" t="e">
        <f ca="1">_xll.EQNXTDZ($A$1,$B97,BJ$5,$B$1)</f>
        <v>#NAME?</v>
      </c>
      <c r="BK97" s="55" t="e">
        <f ca="1">_xll.EQNXTDZ($A$1,$B97,BK$5,$B$1)</f>
        <v>#NAME?</v>
      </c>
      <c r="BL97" s="55" t="e">
        <f ca="1">_xll.EQNXTDZ($A$1,$B97,BL$5,$B$1)</f>
        <v>#NAME?</v>
      </c>
      <c r="BM97" s="55" t="e">
        <f ca="1">_xll.EQNXTDZ($A$1,$B97,BM$5,$B$1)</f>
        <v>#NAME?</v>
      </c>
      <c r="BN97" s="55" t="e">
        <f ca="1">_xll.EQNXTDZ($A$1,$B97,BN$5,$B$1)</f>
        <v>#NAME?</v>
      </c>
      <c r="BO97" s="55" t="e">
        <f ca="1">_xll.EQNXTDZ($A$1,$B97,BO$5,$B$1)</f>
        <v>#NAME?</v>
      </c>
      <c r="BP97" s="55" t="e">
        <f ca="1">_xll.EQNXTDZ($A$1,$B97,BP$5,$B$1)</f>
        <v>#NAME?</v>
      </c>
      <c r="BQ97" s="55" t="e">
        <f ca="1">_xll.EQNXTDZ($A$1,$B97,BQ$5,$B$1)</f>
        <v>#NAME?</v>
      </c>
      <c r="BR97" s="55" t="e">
        <f ca="1">_xll.EQNXTDZ($A$1,$B97,BR$5,$B$1)</f>
        <v>#NAME?</v>
      </c>
      <c r="BS97" s="55" t="e">
        <f ca="1">_xll.EQNXTDZ($A$1,$B97,BS$5,$B$1)</f>
        <v>#NAME?</v>
      </c>
      <c r="BT97" s="55" t="e">
        <f ca="1">_xll.EQNXTDZ($A$1,$B97,BT$5,$B$1)</f>
        <v>#NAME?</v>
      </c>
      <c r="BU97" s="55" t="e">
        <f ca="1">_xll.EQNXTDZ($A$1,$B97,BU$5,$B$1)</f>
        <v>#NAME?</v>
      </c>
      <c r="BV97" s="55" t="e">
        <f ca="1">_xll.EQNXTDZ($A$1,$B97,BV$5,$B$1)</f>
        <v>#NAME?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132406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e">
        <f ca="1">_xll.EQNXTDZ(A1,B4,"L")</f>
        <v>#NAME?</v>
      </c>
    </row>
    <row r="5" spans="1:32" x14ac:dyDescent="0.25">
      <c r="A5" t="s">
        <v>113</v>
      </c>
      <c r="B5" t="s">
        <v>130</v>
      </c>
      <c r="C5" t="e">
        <f ca="1">_xll.EQNXTDZ($A$1,$B5,C$1,$B$1)</f>
        <v>#NAME?</v>
      </c>
      <c r="D5" t="e">
        <f ca="1">_xll.EQNXTDZ($A$1,$B5,D$1,$B$1)</f>
        <v>#NAME?</v>
      </c>
      <c r="E5" t="e">
        <f ca="1">_xll.EQNXTDZ($A$1,$B5,E$1,$B$1)</f>
        <v>#NAME?</v>
      </c>
      <c r="F5" t="e">
        <f ca="1">_xll.EQNXTDZ($A$1,$B5,F$1,$B$1)</f>
        <v>#NAME?</v>
      </c>
      <c r="G5" t="e">
        <f ca="1">_xll.EQNXTDZ($A$1,$B5,G$1,$B$1)</f>
        <v>#NAME?</v>
      </c>
      <c r="H5" t="e">
        <f ca="1">_xll.EQNXTDZ($A$1,$B5,H$1,$B$1)</f>
        <v>#NAME?</v>
      </c>
      <c r="I5" t="e">
        <f ca="1">_xll.EQNXTDZ($A$1,$B5,I$1,$B$1)</f>
        <v>#NAME?</v>
      </c>
      <c r="J5" t="e">
        <f ca="1">_xll.EQNXTDZ($A$1,$B5,J$1,$B$1)</f>
        <v>#NAME?</v>
      </c>
      <c r="K5" t="e">
        <f ca="1">_xll.EQNXTDZ($A$1,$B5,K$1,$B$1)</f>
        <v>#NAME?</v>
      </c>
      <c r="L5" t="e">
        <f ca="1">_xll.EQNXTDZ($A$1,$B5,L$1,$B$1)</f>
        <v>#NAME?</v>
      </c>
      <c r="M5" t="e">
        <f ca="1">_xll.EQNXTDZ($A$1,$B5,M$1,$B$1)</f>
        <v>#NAME?</v>
      </c>
      <c r="N5" t="e">
        <f ca="1">_xll.EQNXTDZ($A$1,$B5,N$1,$B$1)</f>
        <v>#NAME?</v>
      </c>
      <c r="O5" t="e">
        <f ca="1">_xll.EQNXTDZ($A$1,$B5,O$1,$B$1)</f>
        <v>#NAME?</v>
      </c>
      <c r="P5" t="e">
        <f ca="1">_xll.EQNXTDZ($A$1,$B5,P$1,$B$1)</f>
        <v>#NAME?</v>
      </c>
      <c r="Q5" t="e">
        <f ca="1">_xll.EQNXTDZ($A$1,$B5,Q$1,$B$1)</f>
        <v>#NAME?</v>
      </c>
      <c r="R5" t="e">
        <f ca="1">_xll.EQNXTDZ($A$1,$B5,R$1,$B$1)</f>
        <v>#NAME?</v>
      </c>
      <c r="S5" t="e">
        <f ca="1">_xll.EQNXTDZ($A$1,$B5,S$1,$B$1)</f>
        <v>#NAME?</v>
      </c>
      <c r="T5" t="e">
        <f ca="1">_xll.EQNXTDZ($A$1,$B5,T$1,$B$1)</f>
        <v>#NAME?</v>
      </c>
      <c r="U5" t="e">
        <f ca="1">_xll.EQNXTDZ($A$1,$B5,U$1,$B$1)</f>
        <v>#NAME?</v>
      </c>
      <c r="V5" t="e">
        <f ca="1">_xll.EQNXTDZ($A$1,$B5,V$1,$B$1)</f>
        <v>#NAME?</v>
      </c>
      <c r="W5" t="e">
        <f ca="1">_xll.EQNXTDZ($A$1,$B5,W$1,$B$1)</f>
        <v>#NAME?</v>
      </c>
      <c r="X5" t="e">
        <f ca="1">_xll.EQNXTDZ($A$1,$B5,X$1,$B$1)</f>
        <v>#NAME?</v>
      </c>
      <c r="Y5" t="e">
        <f ca="1">_xll.EQNXTDZ($A$1,$B5,Y$1,$B$1)</f>
        <v>#NAME?</v>
      </c>
      <c r="Z5" t="e">
        <f ca="1">_xll.EQNXTDZ($A$1,$B5,Z$1,$B$1)</f>
        <v>#NAME?</v>
      </c>
      <c r="AA5" t="e">
        <f ca="1">_xll.EQNXTDZ($A$1,$B5,AA$1,$B$1)</f>
        <v>#NAME?</v>
      </c>
      <c r="AB5" t="e">
        <f ca="1">_xll.EQNXTDZ($A$1,$B5,AB$1,$B$1)</f>
        <v>#NAME?</v>
      </c>
      <c r="AC5" t="e">
        <f ca="1">_xll.EQNXTDZ($A$1,$B5,AC$1,$B$1)</f>
        <v>#NAME?</v>
      </c>
      <c r="AD5" t="e">
        <f ca="1">_xll.EQNXTDZ($A$1,$B5,AD$1,$B$1)</f>
        <v>#NAME?</v>
      </c>
      <c r="AE5" t="e">
        <f ca="1">_xll.EQNXTDZ($A$1,$B5,AE$1,$B$1)</f>
        <v>#NAME?</v>
      </c>
      <c r="AF5" t="e">
        <f ca="1">_xll.EQNXTDZ($A$1,$B5,AF$1,$B$1)</f>
        <v>#NAME?</v>
      </c>
    </row>
    <row r="6" spans="1:32" x14ac:dyDescent="0.25">
      <c r="A6" t="s">
        <v>114</v>
      </c>
      <c r="B6" t="s">
        <v>131</v>
      </c>
      <c r="C6" s="100" t="e">
        <f ca="1">_xll.EQNXTDZ($A$1,$B6,C$1,$B$1)</f>
        <v>#NAME?</v>
      </c>
      <c r="D6" s="100" t="e">
        <f ca="1">_xll.EQNXTDZ($A$1,$B6,D$1,$B$1)</f>
        <v>#NAME?</v>
      </c>
      <c r="E6" s="100" t="e">
        <f ca="1">_xll.EQNXTDZ($A$1,$B6,E$1,$B$1)</f>
        <v>#NAME?</v>
      </c>
      <c r="F6" s="100" t="e">
        <f ca="1">_xll.EQNXTDZ($A$1,$B6,F$1,$B$1)</f>
        <v>#NAME?</v>
      </c>
      <c r="G6" s="100" t="e">
        <f ca="1">_xll.EQNXTDZ($A$1,$B6,G$1,$B$1)</f>
        <v>#NAME?</v>
      </c>
      <c r="H6" s="100" t="e">
        <f ca="1">_xll.EQNXTDZ($A$1,$B6,H$1,$B$1)</f>
        <v>#NAME?</v>
      </c>
      <c r="I6" s="100" t="e">
        <f ca="1">_xll.EQNXTDZ($A$1,$B6,I$1,$B$1)</f>
        <v>#NAME?</v>
      </c>
      <c r="J6" s="100" t="e">
        <f ca="1">_xll.EQNXTDZ($A$1,$B6,J$1,$B$1)</f>
        <v>#NAME?</v>
      </c>
      <c r="K6" s="100" t="e">
        <f ca="1">_xll.EQNXTDZ($A$1,$B6,K$1,$B$1)</f>
        <v>#NAME?</v>
      </c>
      <c r="L6" s="100" t="e">
        <f ca="1">_xll.EQNXTDZ($A$1,$B6,L$1,$B$1)</f>
        <v>#NAME?</v>
      </c>
      <c r="M6" s="100" t="e">
        <f ca="1">_xll.EQNXTDZ($A$1,$B6,M$1,$B$1)</f>
        <v>#NAME?</v>
      </c>
      <c r="N6" s="100" t="e">
        <f ca="1">_xll.EQNXTDZ($A$1,$B6,N$1,$B$1)</f>
        <v>#NAME?</v>
      </c>
      <c r="O6" s="100" t="e">
        <f ca="1">_xll.EQNXTDZ($A$1,$B6,O$1,$B$1)</f>
        <v>#NAME?</v>
      </c>
      <c r="P6" s="100" t="e">
        <f ca="1">_xll.EQNXTDZ($A$1,$B6,P$1,$B$1)</f>
        <v>#NAME?</v>
      </c>
      <c r="Q6" s="100" t="e">
        <f ca="1">_xll.EQNXTDZ($A$1,$B6,Q$1,$B$1)</f>
        <v>#NAME?</v>
      </c>
      <c r="R6" s="100" t="e">
        <f ca="1">_xll.EQNXTDZ($A$1,$B6,R$1,$B$1)</f>
        <v>#NAME?</v>
      </c>
      <c r="S6" s="100" t="e">
        <f ca="1">_xll.EQNXTDZ($A$1,$B6,S$1,$B$1)</f>
        <v>#NAME?</v>
      </c>
      <c r="T6" s="100" t="e">
        <f ca="1">_xll.EQNXTDZ($A$1,$B6,T$1,$B$1)</f>
        <v>#NAME?</v>
      </c>
      <c r="U6" s="100" t="e">
        <f ca="1">_xll.EQNXTDZ($A$1,$B6,U$1,$B$1)</f>
        <v>#NAME?</v>
      </c>
      <c r="V6" s="100" t="e">
        <f ca="1">_xll.EQNXTDZ($A$1,$B6,V$1,$B$1)</f>
        <v>#NAME?</v>
      </c>
      <c r="W6" s="100" t="e">
        <f ca="1">_xll.EQNXTDZ($A$1,$B6,W$1,$B$1)</f>
        <v>#NAME?</v>
      </c>
      <c r="X6" s="100" t="e">
        <f ca="1">_xll.EQNXTDZ($A$1,$B6,X$1,$B$1)</f>
        <v>#NAME?</v>
      </c>
      <c r="Y6" s="100" t="e">
        <f ca="1">_xll.EQNXTDZ($A$1,$B6,Y$1,$B$1)</f>
        <v>#NAME?</v>
      </c>
      <c r="Z6" s="100" t="e">
        <f ca="1">_xll.EQNXTDZ($A$1,$B6,Z$1,$B$1)</f>
        <v>#NAME?</v>
      </c>
      <c r="AA6" s="100" t="e">
        <f ca="1">_xll.EQNXTDZ($A$1,$B6,AA$1,$B$1)</f>
        <v>#NAME?</v>
      </c>
      <c r="AB6" s="100" t="e">
        <f ca="1">_xll.EQNXTDZ($A$1,$B6,AB$1,$B$1)</f>
        <v>#NAME?</v>
      </c>
      <c r="AC6" s="100" t="e">
        <f ca="1">_xll.EQNXTDZ($A$1,$B6,AC$1,$B$1)</f>
        <v>#NAME?</v>
      </c>
      <c r="AD6" s="100" t="e">
        <f ca="1">_xll.EQNXTDZ($A$1,$B6,AD$1,$B$1)</f>
        <v>#NAME?</v>
      </c>
      <c r="AE6" s="100" t="e">
        <f ca="1">_xll.EQNXTDZ($A$1,$B6,AE$1,$B$1)</f>
        <v>#NAME?</v>
      </c>
      <c r="AF6" s="100" t="e">
        <f ca="1">_xll.EQNXTDZ($A$1,$B6,AF$1,$B$1)</f>
        <v>#NAME?</v>
      </c>
    </row>
    <row r="7" spans="1:32" x14ac:dyDescent="0.25">
      <c r="A7" t="s">
        <v>115</v>
      </c>
      <c r="B7" t="s">
        <v>132</v>
      </c>
      <c r="C7" s="100" t="e">
        <f ca="1">_xll.EQNXTDZ($A$1,$B7,C$1,$B$1)</f>
        <v>#NAME?</v>
      </c>
      <c r="D7" s="100" t="e">
        <f ca="1">_xll.EQNXTDZ($A$1,$B7,D$1,$B$1)</f>
        <v>#NAME?</v>
      </c>
      <c r="E7" s="100" t="e">
        <f ca="1">_xll.EQNXTDZ($A$1,$B7,E$1,$B$1)</f>
        <v>#NAME?</v>
      </c>
      <c r="F7" s="100" t="e">
        <f ca="1">_xll.EQNXTDZ($A$1,$B7,F$1,$B$1)</f>
        <v>#NAME?</v>
      </c>
      <c r="G7" s="100" t="e">
        <f ca="1">_xll.EQNXTDZ($A$1,$B7,G$1,$B$1)</f>
        <v>#NAME?</v>
      </c>
      <c r="H7" s="100" t="e">
        <f ca="1">_xll.EQNXTDZ($A$1,$B7,H$1,$B$1)</f>
        <v>#NAME?</v>
      </c>
      <c r="I7" s="100" t="e">
        <f ca="1">_xll.EQNXTDZ($A$1,$B7,I$1,$B$1)</f>
        <v>#NAME?</v>
      </c>
      <c r="J7" s="100" t="e">
        <f ca="1">_xll.EQNXTDZ($A$1,$B7,J$1,$B$1)</f>
        <v>#NAME?</v>
      </c>
      <c r="K7" s="100" t="e">
        <f ca="1">_xll.EQNXTDZ($A$1,$B7,K$1,$B$1)</f>
        <v>#NAME?</v>
      </c>
      <c r="L7" s="100" t="e">
        <f ca="1">_xll.EQNXTDZ($A$1,$B7,L$1,$B$1)</f>
        <v>#NAME?</v>
      </c>
      <c r="M7" s="100" t="e">
        <f ca="1">_xll.EQNXTDZ($A$1,$B7,M$1,$B$1)</f>
        <v>#NAME?</v>
      </c>
      <c r="N7" s="100" t="e">
        <f ca="1">_xll.EQNXTDZ($A$1,$B7,N$1,$B$1)</f>
        <v>#NAME?</v>
      </c>
      <c r="O7" s="100" t="e">
        <f ca="1">_xll.EQNXTDZ($A$1,$B7,O$1,$B$1)</f>
        <v>#NAME?</v>
      </c>
      <c r="P7" s="100" t="e">
        <f ca="1">_xll.EQNXTDZ($A$1,$B7,P$1,$B$1)</f>
        <v>#NAME?</v>
      </c>
      <c r="Q7" s="100" t="e">
        <f ca="1">_xll.EQNXTDZ($A$1,$B7,Q$1,$B$1)</f>
        <v>#NAME?</v>
      </c>
      <c r="R7" s="100" t="e">
        <f ca="1">_xll.EQNXTDZ($A$1,$B7,R$1,$B$1)</f>
        <v>#NAME?</v>
      </c>
      <c r="S7" s="100" t="e">
        <f ca="1">_xll.EQNXTDZ($A$1,$B7,S$1,$B$1)</f>
        <v>#NAME?</v>
      </c>
      <c r="T7" s="100" t="e">
        <f ca="1">_xll.EQNXTDZ($A$1,$B7,T$1,$B$1)</f>
        <v>#NAME?</v>
      </c>
      <c r="U7" s="100" t="e">
        <f ca="1">_xll.EQNXTDZ($A$1,$B7,U$1,$B$1)</f>
        <v>#NAME?</v>
      </c>
      <c r="V7" s="100" t="e">
        <f ca="1">_xll.EQNXTDZ($A$1,$B7,V$1,$B$1)</f>
        <v>#NAME?</v>
      </c>
      <c r="W7" s="100" t="e">
        <f ca="1">_xll.EQNXTDZ($A$1,$B7,W$1,$B$1)</f>
        <v>#NAME?</v>
      </c>
      <c r="X7" s="100" t="e">
        <f ca="1">_xll.EQNXTDZ($A$1,$B7,X$1,$B$1)</f>
        <v>#NAME?</v>
      </c>
      <c r="Y7" s="100" t="e">
        <f ca="1">_xll.EQNXTDZ($A$1,$B7,Y$1,$B$1)</f>
        <v>#NAME?</v>
      </c>
      <c r="Z7" s="100" t="e">
        <f ca="1">_xll.EQNXTDZ($A$1,$B7,Z$1,$B$1)</f>
        <v>#NAME?</v>
      </c>
      <c r="AA7" s="100" t="e">
        <f ca="1">_xll.EQNXTDZ($A$1,$B7,AA$1,$B$1)</f>
        <v>#NAME?</v>
      </c>
      <c r="AB7" s="100" t="e">
        <f ca="1">_xll.EQNXTDZ($A$1,$B7,AB$1,$B$1)</f>
        <v>#NAME?</v>
      </c>
      <c r="AC7" s="100" t="e">
        <f ca="1">_xll.EQNXTDZ($A$1,$B7,AC$1,$B$1)</f>
        <v>#NAME?</v>
      </c>
      <c r="AD7" s="100" t="e">
        <f ca="1">_xll.EQNXTDZ($A$1,$B7,AD$1,$B$1)</f>
        <v>#NAME?</v>
      </c>
      <c r="AE7" s="100" t="e">
        <f ca="1">_xll.EQNXTDZ($A$1,$B7,AE$1,$B$1)</f>
        <v>#NAME?</v>
      </c>
      <c r="AF7" s="100" t="e">
        <f ca="1">_xll.EQNXTDZ($A$1,$B7,AF$1,$B$1)</f>
        <v>#NAME?</v>
      </c>
    </row>
    <row r="8" spans="1:32" x14ac:dyDescent="0.25">
      <c r="A8" t="s">
        <v>116</v>
      </c>
      <c r="B8" t="s">
        <v>133</v>
      </c>
      <c r="C8" s="100" t="e">
        <f ca="1">_xll.EQNXTDZ($A$1,$B8,C$1,$B$1)</f>
        <v>#NAME?</v>
      </c>
      <c r="D8" s="100" t="e">
        <f ca="1">_xll.EQNXTDZ($A$1,$B8,D$1,$B$1)</f>
        <v>#NAME?</v>
      </c>
      <c r="E8" s="100" t="e">
        <f ca="1">_xll.EQNXTDZ($A$1,$B8,E$1,$B$1)</f>
        <v>#NAME?</v>
      </c>
      <c r="F8" s="100" t="e">
        <f ca="1">_xll.EQNXTDZ($A$1,$B8,F$1,$B$1)</f>
        <v>#NAME?</v>
      </c>
      <c r="G8" s="100" t="e">
        <f ca="1">_xll.EQNXTDZ($A$1,$B8,G$1,$B$1)</f>
        <v>#NAME?</v>
      </c>
      <c r="H8" s="100" t="e">
        <f ca="1">_xll.EQNXTDZ($A$1,$B8,H$1,$B$1)</f>
        <v>#NAME?</v>
      </c>
      <c r="I8" s="100" t="e">
        <f ca="1">_xll.EQNXTDZ($A$1,$B8,I$1,$B$1)</f>
        <v>#NAME?</v>
      </c>
      <c r="J8" s="100" t="e">
        <f ca="1">_xll.EQNXTDZ($A$1,$B8,J$1,$B$1)</f>
        <v>#NAME?</v>
      </c>
      <c r="K8" s="100" t="e">
        <f ca="1">_xll.EQNXTDZ($A$1,$B8,K$1,$B$1)</f>
        <v>#NAME?</v>
      </c>
      <c r="L8" s="100" t="e">
        <f ca="1">_xll.EQNXTDZ($A$1,$B8,L$1,$B$1)</f>
        <v>#NAME?</v>
      </c>
      <c r="M8" s="100" t="e">
        <f ca="1">_xll.EQNXTDZ($A$1,$B8,M$1,$B$1)</f>
        <v>#NAME?</v>
      </c>
      <c r="N8" s="100" t="e">
        <f ca="1">_xll.EQNXTDZ($A$1,$B8,N$1,$B$1)</f>
        <v>#NAME?</v>
      </c>
      <c r="O8" s="100" t="e">
        <f ca="1">_xll.EQNXTDZ($A$1,$B8,O$1,$B$1)</f>
        <v>#NAME?</v>
      </c>
      <c r="P8" s="100" t="e">
        <f ca="1">_xll.EQNXTDZ($A$1,$B8,P$1,$B$1)</f>
        <v>#NAME?</v>
      </c>
      <c r="Q8" s="100" t="e">
        <f ca="1">_xll.EQNXTDZ($A$1,$B8,Q$1,$B$1)</f>
        <v>#NAME?</v>
      </c>
      <c r="R8" s="100" t="e">
        <f ca="1">_xll.EQNXTDZ($A$1,$B8,R$1,$B$1)</f>
        <v>#NAME?</v>
      </c>
      <c r="S8" s="100" t="e">
        <f ca="1">_xll.EQNXTDZ($A$1,$B8,S$1,$B$1)</f>
        <v>#NAME?</v>
      </c>
      <c r="T8" s="100" t="e">
        <f ca="1">_xll.EQNXTDZ($A$1,$B8,T$1,$B$1)</f>
        <v>#NAME?</v>
      </c>
      <c r="U8" s="100" t="e">
        <f ca="1">_xll.EQNXTDZ($A$1,$B8,U$1,$B$1)</f>
        <v>#NAME?</v>
      </c>
      <c r="V8" s="100" t="e">
        <f ca="1">_xll.EQNXTDZ($A$1,$B8,V$1,$B$1)</f>
        <v>#NAME?</v>
      </c>
      <c r="W8" s="100" t="e">
        <f ca="1">_xll.EQNXTDZ($A$1,$B8,W$1,$B$1)</f>
        <v>#NAME?</v>
      </c>
      <c r="X8" s="100" t="e">
        <f ca="1">_xll.EQNXTDZ($A$1,$B8,X$1,$B$1)</f>
        <v>#NAME?</v>
      </c>
      <c r="Y8" s="100" t="e">
        <f ca="1">_xll.EQNXTDZ($A$1,$B8,Y$1,$B$1)</f>
        <v>#NAME?</v>
      </c>
      <c r="Z8" s="100" t="e">
        <f ca="1">_xll.EQNXTDZ($A$1,$B8,Z$1,$B$1)</f>
        <v>#NAME?</v>
      </c>
      <c r="AA8" s="100" t="e">
        <f ca="1">_xll.EQNXTDZ($A$1,$B8,AA$1,$B$1)</f>
        <v>#NAME?</v>
      </c>
      <c r="AB8" s="100" t="e">
        <f ca="1">_xll.EQNXTDZ($A$1,$B8,AB$1,$B$1)</f>
        <v>#NAME?</v>
      </c>
      <c r="AC8" s="100" t="e">
        <f ca="1">_xll.EQNXTDZ($A$1,$B8,AC$1,$B$1)</f>
        <v>#NAME?</v>
      </c>
      <c r="AD8" s="100" t="e">
        <f ca="1">_xll.EQNXTDZ($A$1,$B8,AD$1,$B$1)</f>
        <v>#NAME?</v>
      </c>
      <c r="AE8" s="100" t="e">
        <f ca="1">_xll.EQNXTDZ($A$1,$B8,AE$1,$B$1)</f>
        <v>#NAME?</v>
      </c>
      <c r="AF8" s="100" t="e">
        <f ca="1">_xll.EQNXTDZ($A$1,$B8,AF$1,$B$1)</f>
        <v>#NAME?</v>
      </c>
    </row>
    <row r="9" spans="1:32" x14ac:dyDescent="0.25">
      <c r="A9" t="s">
        <v>117</v>
      </c>
      <c r="B9" t="s">
        <v>134</v>
      </c>
      <c r="C9" s="100" t="e">
        <f ca="1">_xll.EQNXTDZ($A$1,$B9,C$1,$B$1)</f>
        <v>#NAME?</v>
      </c>
      <c r="D9" s="100" t="e">
        <f ca="1">_xll.EQNXTDZ($A$1,$B9,D$1,$B$1)</f>
        <v>#NAME?</v>
      </c>
      <c r="E9" s="100" t="e">
        <f ca="1">_xll.EQNXTDZ($A$1,$B9,E$1,$B$1)</f>
        <v>#NAME?</v>
      </c>
      <c r="F9" s="100" t="e">
        <f ca="1">_xll.EQNXTDZ($A$1,$B9,F$1,$B$1)</f>
        <v>#NAME?</v>
      </c>
      <c r="G9" s="100" t="e">
        <f ca="1">_xll.EQNXTDZ($A$1,$B9,G$1,$B$1)</f>
        <v>#NAME?</v>
      </c>
      <c r="H9" s="100" t="e">
        <f ca="1">_xll.EQNXTDZ($A$1,$B9,H$1,$B$1)</f>
        <v>#NAME?</v>
      </c>
      <c r="I9" s="100" t="e">
        <f ca="1">_xll.EQNXTDZ($A$1,$B9,I$1,$B$1)</f>
        <v>#NAME?</v>
      </c>
      <c r="J9" s="100" t="e">
        <f ca="1">_xll.EQNXTDZ($A$1,$B9,J$1,$B$1)</f>
        <v>#NAME?</v>
      </c>
      <c r="K9" s="100" t="e">
        <f ca="1">_xll.EQNXTDZ($A$1,$B9,K$1,$B$1)</f>
        <v>#NAME?</v>
      </c>
      <c r="L9" s="100" t="e">
        <f ca="1">_xll.EQNXTDZ($A$1,$B9,L$1,$B$1)</f>
        <v>#NAME?</v>
      </c>
      <c r="M9" s="100" t="e">
        <f ca="1">_xll.EQNXTDZ($A$1,$B9,M$1,$B$1)</f>
        <v>#NAME?</v>
      </c>
      <c r="N9" s="100" t="e">
        <f ca="1">_xll.EQNXTDZ($A$1,$B9,N$1,$B$1)</f>
        <v>#NAME?</v>
      </c>
      <c r="O9" s="100" t="e">
        <f ca="1">_xll.EQNXTDZ($A$1,$B9,O$1,$B$1)</f>
        <v>#NAME?</v>
      </c>
      <c r="P9" s="100" t="e">
        <f ca="1">_xll.EQNXTDZ($A$1,$B9,P$1,$B$1)</f>
        <v>#NAME?</v>
      </c>
      <c r="Q9" s="100" t="e">
        <f ca="1">_xll.EQNXTDZ($A$1,$B9,Q$1,$B$1)</f>
        <v>#NAME?</v>
      </c>
      <c r="R9" s="100" t="e">
        <f ca="1">_xll.EQNXTDZ($A$1,$B9,R$1,$B$1)</f>
        <v>#NAME?</v>
      </c>
      <c r="S9" s="100" t="e">
        <f ca="1">_xll.EQNXTDZ($A$1,$B9,S$1,$B$1)</f>
        <v>#NAME?</v>
      </c>
      <c r="T9" s="100" t="e">
        <f ca="1">_xll.EQNXTDZ($A$1,$B9,T$1,$B$1)</f>
        <v>#NAME?</v>
      </c>
      <c r="U9" s="100" t="e">
        <f ca="1">_xll.EQNXTDZ($A$1,$B9,U$1,$B$1)</f>
        <v>#NAME?</v>
      </c>
      <c r="V9" s="100" t="e">
        <f ca="1">_xll.EQNXTDZ($A$1,$B9,V$1,$B$1)</f>
        <v>#NAME?</v>
      </c>
      <c r="W9" s="100" t="e">
        <f ca="1">_xll.EQNXTDZ($A$1,$B9,W$1,$B$1)</f>
        <v>#NAME?</v>
      </c>
      <c r="X9" s="100" t="e">
        <f ca="1">_xll.EQNXTDZ($A$1,$B9,X$1,$B$1)</f>
        <v>#NAME?</v>
      </c>
      <c r="Y9" s="100" t="e">
        <f ca="1">_xll.EQNXTDZ($A$1,$B9,Y$1,$B$1)</f>
        <v>#NAME?</v>
      </c>
      <c r="Z9" s="100" t="e">
        <f ca="1">_xll.EQNXTDZ($A$1,$B9,Z$1,$B$1)</f>
        <v>#NAME?</v>
      </c>
      <c r="AA9" s="100" t="e">
        <f ca="1">_xll.EQNXTDZ($A$1,$B9,AA$1,$B$1)</f>
        <v>#NAME?</v>
      </c>
      <c r="AB9" s="100" t="e">
        <f ca="1">_xll.EQNXTDZ($A$1,$B9,AB$1,$B$1)</f>
        <v>#NAME?</v>
      </c>
      <c r="AC9" s="100" t="e">
        <f ca="1">_xll.EQNXTDZ($A$1,$B9,AC$1,$B$1)</f>
        <v>#NAME?</v>
      </c>
      <c r="AD9" s="100" t="e">
        <f ca="1">_xll.EQNXTDZ($A$1,$B9,AD$1,$B$1)</f>
        <v>#NAME?</v>
      </c>
      <c r="AE9" s="100" t="e">
        <f ca="1">_xll.EQNXTDZ($A$1,$B9,AE$1,$B$1)</f>
        <v>#NAME?</v>
      </c>
      <c r="AF9" s="100" t="e">
        <f ca="1">_xll.EQNXTDZ($A$1,$B9,AF$1,$B$1)</f>
        <v>#NAME?</v>
      </c>
    </row>
    <row r="10" spans="1:32" x14ac:dyDescent="0.25">
      <c r="A10" t="s">
        <v>1</v>
      </c>
      <c r="B10" t="s">
        <v>135</v>
      </c>
      <c r="C10" s="100" t="e">
        <f ca="1">_xll.EQNXTDZ($A$1,$B10,C$1,$B$1)</f>
        <v>#NAME?</v>
      </c>
      <c r="D10" s="100" t="e">
        <f ca="1">_xll.EQNXTDZ($A$1,$B10,D$1,$B$1)</f>
        <v>#NAME?</v>
      </c>
      <c r="E10" s="100" t="e">
        <f ca="1">_xll.EQNXTDZ($A$1,$B10,E$1,$B$1)</f>
        <v>#NAME?</v>
      </c>
      <c r="F10" s="100" t="e">
        <f ca="1">_xll.EQNXTDZ($A$1,$B10,F$1,$B$1)</f>
        <v>#NAME?</v>
      </c>
      <c r="G10" s="100" t="e">
        <f ca="1">_xll.EQNXTDZ($A$1,$B10,G$1,$B$1)</f>
        <v>#NAME?</v>
      </c>
      <c r="H10" s="100" t="e">
        <f ca="1">_xll.EQNXTDZ($A$1,$B10,H$1,$B$1)</f>
        <v>#NAME?</v>
      </c>
      <c r="I10" s="100" t="e">
        <f ca="1">_xll.EQNXTDZ($A$1,$B10,I$1,$B$1)</f>
        <v>#NAME?</v>
      </c>
      <c r="J10" s="100" t="e">
        <f ca="1">_xll.EQNXTDZ($A$1,$B10,J$1,$B$1)</f>
        <v>#NAME?</v>
      </c>
      <c r="K10" s="100" t="e">
        <f ca="1">_xll.EQNXTDZ($A$1,$B10,K$1,$B$1)</f>
        <v>#NAME?</v>
      </c>
      <c r="L10" s="100" t="e">
        <f ca="1">_xll.EQNXTDZ($A$1,$B10,L$1,$B$1)</f>
        <v>#NAME?</v>
      </c>
      <c r="M10" s="100" t="e">
        <f ca="1">_xll.EQNXTDZ($A$1,$B10,M$1,$B$1)</f>
        <v>#NAME?</v>
      </c>
      <c r="N10" s="100" t="e">
        <f ca="1">_xll.EQNXTDZ($A$1,$B10,N$1,$B$1)</f>
        <v>#NAME?</v>
      </c>
      <c r="O10" s="100" t="e">
        <f ca="1">_xll.EQNXTDZ($A$1,$B10,O$1,$B$1)</f>
        <v>#NAME?</v>
      </c>
      <c r="P10" s="100" t="e">
        <f ca="1">_xll.EQNXTDZ($A$1,$B10,P$1,$B$1)</f>
        <v>#NAME?</v>
      </c>
      <c r="Q10" s="100" t="e">
        <f ca="1">_xll.EQNXTDZ($A$1,$B10,Q$1,$B$1)</f>
        <v>#NAME?</v>
      </c>
      <c r="R10" s="100" t="e">
        <f ca="1">_xll.EQNXTDZ($A$1,$B10,R$1,$B$1)</f>
        <v>#NAME?</v>
      </c>
      <c r="S10" s="100" t="e">
        <f ca="1">_xll.EQNXTDZ($A$1,$B10,S$1,$B$1)</f>
        <v>#NAME?</v>
      </c>
      <c r="T10" s="100" t="e">
        <f ca="1">_xll.EQNXTDZ($A$1,$B10,T$1,$B$1)</f>
        <v>#NAME?</v>
      </c>
      <c r="U10" s="100" t="e">
        <f ca="1">_xll.EQNXTDZ($A$1,$B10,U$1,$B$1)</f>
        <v>#NAME?</v>
      </c>
      <c r="V10" s="100" t="e">
        <f ca="1">_xll.EQNXTDZ($A$1,$B10,V$1,$B$1)</f>
        <v>#NAME?</v>
      </c>
      <c r="W10" s="100" t="e">
        <f ca="1">_xll.EQNXTDZ($A$1,$B10,W$1,$B$1)</f>
        <v>#NAME?</v>
      </c>
      <c r="X10" s="100" t="e">
        <f ca="1">_xll.EQNXTDZ($A$1,$B10,X$1,$B$1)</f>
        <v>#NAME?</v>
      </c>
      <c r="Y10" s="100" t="e">
        <f ca="1">_xll.EQNXTDZ($A$1,$B10,Y$1,$B$1)</f>
        <v>#NAME?</v>
      </c>
      <c r="Z10" s="100" t="e">
        <f ca="1">_xll.EQNXTDZ($A$1,$B10,Z$1,$B$1)</f>
        <v>#NAME?</v>
      </c>
      <c r="AA10" s="100" t="e">
        <f ca="1">_xll.EQNXTDZ($A$1,$B10,AA$1,$B$1)</f>
        <v>#NAME?</v>
      </c>
      <c r="AB10" s="100" t="e">
        <f ca="1">_xll.EQNXTDZ($A$1,$B10,AB$1,$B$1)</f>
        <v>#NAME?</v>
      </c>
      <c r="AC10" s="100" t="e">
        <f ca="1">_xll.EQNXTDZ($A$1,$B10,AC$1,$B$1)</f>
        <v>#NAME?</v>
      </c>
      <c r="AD10" s="100" t="e">
        <f ca="1">_xll.EQNXTDZ($A$1,$B10,AD$1,$B$1)</f>
        <v>#NAME?</v>
      </c>
      <c r="AE10" s="100" t="e">
        <f ca="1">_xll.EQNXTDZ($A$1,$B10,AE$1,$B$1)</f>
        <v>#NAME?</v>
      </c>
      <c r="AF10" s="100" t="e">
        <f ca="1">_xll.EQNXTDZ($A$1,$B10,AF$1,$B$1)</f>
        <v>#NAME?</v>
      </c>
    </row>
    <row r="11" spans="1:32" x14ac:dyDescent="0.25">
      <c r="A11" t="s">
        <v>2</v>
      </c>
      <c r="B11" t="s">
        <v>136</v>
      </c>
      <c r="C11" s="100" t="e">
        <f ca="1">_xll.EQNXTDZ($A$1,$B11,C$1,$B$1)</f>
        <v>#NAME?</v>
      </c>
      <c r="D11" s="100" t="e">
        <f ca="1">_xll.EQNXTDZ($A$1,$B11,D$1,$B$1)</f>
        <v>#NAME?</v>
      </c>
      <c r="E11" s="100" t="e">
        <f ca="1">_xll.EQNXTDZ($A$1,$B11,E$1,$B$1)</f>
        <v>#NAME?</v>
      </c>
      <c r="F11" s="100" t="e">
        <f ca="1">_xll.EQNXTDZ($A$1,$B11,F$1,$B$1)</f>
        <v>#NAME?</v>
      </c>
      <c r="G11" s="100" t="e">
        <f ca="1">_xll.EQNXTDZ($A$1,$B11,G$1,$B$1)</f>
        <v>#NAME?</v>
      </c>
      <c r="H11" s="100" t="e">
        <f ca="1">_xll.EQNXTDZ($A$1,$B11,H$1,$B$1)</f>
        <v>#NAME?</v>
      </c>
      <c r="I11" s="100" t="e">
        <f ca="1">_xll.EQNXTDZ($A$1,$B11,I$1,$B$1)</f>
        <v>#NAME?</v>
      </c>
      <c r="J11" s="100" t="e">
        <f ca="1">_xll.EQNXTDZ($A$1,$B11,J$1,$B$1)</f>
        <v>#NAME?</v>
      </c>
      <c r="K11" s="100" t="e">
        <f ca="1">_xll.EQNXTDZ($A$1,$B11,K$1,$B$1)</f>
        <v>#NAME?</v>
      </c>
      <c r="L11" s="100" t="e">
        <f ca="1">_xll.EQNXTDZ($A$1,$B11,L$1,$B$1)</f>
        <v>#NAME?</v>
      </c>
      <c r="M11" s="100" t="e">
        <f ca="1">_xll.EQNXTDZ($A$1,$B11,M$1,$B$1)</f>
        <v>#NAME?</v>
      </c>
      <c r="N11" s="100" t="e">
        <f ca="1">_xll.EQNXTDZ($A$1,$B11,N$1,$B$1)</f>
        <v>#NAME?</v>
      </c>
      <c r="O11" s="100" t="e">
        <f ca="1">_xll.EQNXTDZ($A$1,$B11,O$1,$B$1)</f>
        <v>#NAME?</v>
      </c>
      <c r="P11" s="100" t="e">
        <f ca="1">_xll.EQNXTDZ($A$1,$B11,P$1,$B$1)</f>
        <v>#NAME?</v>
      </c>
      <c r="Q11" s="100" t="e">
        <f ca="1">_xll.EQNXTDZ($A$1,$B11,Q$1,$B$1)</f>
        <v>#NAME?</v>
      </c>
      <c r="R11" s="100" t="e">
        <f ca="1">_xll.EQNXTDZ($A$1,$B11,R$1,$B$1)</f>
        <v>#NAME?</v>
      </c>
      <c r="S11" s="100" t="e">
        <f ca="1">_xll.EQNXTDZ($A$1,$B11,S$1,$B$1)</f>
        <v>#NAME?</v>
      </c>
      <c r="T11" s="100" t="e">
        <f ca="1">_xll.EQNXTDZ($A$1,$B11,T$1,$B$1)</f>
        <v>#NAME?</v>
      </c>
      <c r="U11" s="100" t="e">
        <f ca="1">_xll.EQNXTDZ($A$1,$B11,U$1,$B$1)</f>
        <v>#NAME?</v>
      </c>
      <c r="V11" s="100" t="e">
        <f ca="1">_xll.EQNXTDZ($A$1,$B11,V$1,$B$1)</f>
        <v>#NAME?</v>
      </c>
      <c r="W11" s="100" t="e">
        <f ca="1">_xll.EQNXTDZ($A$1,$B11,W$1,$B$1)</f>
        <v>#NAME?</v>
      </c>
      <c r="X11" s="100" t="e">
        <f ca="1">_xll.EQNXTDZ($A$1,$B11,X$1,$B$1)</f>
        <v>#NAME?</v>
      </c>
      <c r="Y11" s="100" t="e">
        <f ca="1">_xll.EQNXTDZ($A$1,$B11,Y$1,$B$1)</f>
        <v>#NAME?</v>
      </c>
      <c r="Z11" s="100" t="e">
        <f ca="1">_xll.EQNXTDZ($A$1,$B11,Z$1,$B$1)</f>
        <v>#NAME?</v>
      </c>
      <c r="AA11" s="100" t="e">
        <f ca="1">_xll.EQNXTDZ($A$1,$B11,AA$1,$B$1)</f>
        <v>#NAME?</v>
      </c>
      <c r="AB11" s="100" t="e">
        <f ca="1">_xll.EQNXTDZ($A$1,$B11,AB$1,$B$1)</f>
        <v>#NAME?</v>
      </c>
      <c r="AC11" s="100" t="e">
        <f ca="1">_xll.EQNXTDZ($A$1,$B11,AC$1,$B$1)</f>
        <v>#NAME?</v>
      </c>
      <c r="AD11" s="100" t="e">
        <f ca="1">_xll.EQNXTDZ($A$1,$B11,AD$1,$B$1)</f>
        <v>#NAME?</v>
      </c>
      <c r="AE11" s="100" t="e">
        <f ca="1">_xll.EQNXTDZ($A$1,$B11,AE$1,$B$1)</f>
        <v>#NAME?</v>
      </c>
      <c r="AF11" s="100" t="e">
        <f ca="1">_xll.EQNXTDZ($A$1,$B11,AF$1,$B$1)</f>
        <v>#NAME?</v>
      </c>
    </row>
    <row r="12" spans="1:32" x14ac:dyDescent="0.25">
      <c r="A12" t="s">
        <v>4</v>
      </c>
      <c r="B12" t="s">
        <v>137</v>
      </c>
      <c r="C12" s="100" t="e">
        <f ca="1">_xll.EQNXTDZ($A$1,$B12,C$1,$B$1)</f>
        <v>#NAME?</v>
      </c>
      <c r="D12" s="100" t="e">
        <f ca="1">_xll.EQNXTDZ($A$1,$B12,D$1,$B$1)</f>
        <v>#NAME?</v>
      </c>
      <c r="E12" s="100" t="e">
        <f ca="1">_xll.EQNXTDZ($A$1,$B12,E$1,$B$1)</f>
        <v>#NAME?</v>
      </c>
      <c r="F12" s="100" t="e">
        <f ca="1">_xll.EQNXTDZ($A$1,$B12,F$1,$B$1)</f>
        <v>#NAME?</v>
      </c>
      <c r="G12" s="100" t="e">
        <f ca="1">_xll.EQNXTDZ($A$1,$B12,G$1,$B$1)</f>
        <v>#NAME?</v>
      </c>
      <c r="H12" s="100" t="e">
        <f ca="1">_xll.EQNXTDZ($A$1,$B12,H$1,$B$1)</f>
        <v>#NAME?</v>
      </c>
      <c r="I12" s="100" t="e">
        <f ca="1">_xll.EQNXTDZ($A$1,$B12,I$1,$B$1)</f>
        <v>#NAME?</v>
      </c>
      <c r="J12" s="100" t="e">
        <f ca="1">_xll.EQNXTDZ($A$1,$B12,J$1,$B$1)</f>
        <v>#NAME?</v>
      </c>
      <c r="K12" s="100" t="e">
        <f ca="1">_xll.EQNXTDZ($A$1,$B12,K$1,$B$1)</f>
        <v>#NAME?</v>
      </c>
      <c r="L12" s="100" t="e">
        <f ca="1">_xll.EQNXTDZ($A$1,$B12,L$1,$B$1)</f>
        <v>#NAME?</v>
      </c>
      <c r="M12" s="100" t="e">
        <f ca="1">_xll.EQNXTDZ($A$1,$B12,M$1,$B$1)</f>
        <v>#NAME?</v>
      </c>
      <c r="N12" s="100" t="e">
        <f ca="1">_xll.EQNXTDZ($A$1,$B12,N$1,$B$1)</f>
        <v>#NAME?</v>
      </c>
      <c r="O12" s="100" t="e">
        <f ca="1">_xll.EQNXTDZ($A$1,$B12,O$1,$B$1)</f>
        <v>#NAME?</v>
      </c>
      <c r="P12" s="100" t="e">
        <f ca="1">_xll.EQNXTDZ($A$1,$B12,P$1,$B$1)</f>
        <v>#NAME?</v>
      </c>
      <c r="Q12" s="100" t="e">
        <f ca="1">_xll.EQNXTDZ($A$1,$B12,Q$1,$B$1)</f>
        <v>#NAME?</v>
      </c>
      <c r="R12" s="100" t="e">
        <f ca="1">_xll.EQNXTDZ($A$1,$B12,R$1,$B$1)</f>
        <v>#NAME?</v>
      </c>
      <c r="S12" s="100" t="e">
        <f ca="1">_xll.EQNXTDZ($A$1,$B12,S$1,$B$1)</f>
        <v>#NAME?</v>
      </c>
      <c r="T12" s="100" t="e">
        <f ca="1">_xll.EQNXTDZ($A$1,$B12,T$1,$B$1)</f>
        <v>#NAME?</v>
      </c>
      <c r="U12" s="100" t="e">
        <f ca="1">_xll.EQNXTDZ($A$1,$B12,U$1,$B$1)</f>
        <v>#NAME?</v>
      </c>
      <c r="V12" s="100" t="e">
        <f ca="1">_xll.EQNXTDZ($A$1,$B12,V$1,$B$1)</f>
        <v>#NAME?</v>
      </c>
      <c r="W12" s="100" t="e">
        <f ca="1">_xll.EQNXTDZ($A$1,$B12,W$1,$B$1)</f>
        <v>#NAME?</v>
      </c>
      <c r="X12" s="100" t="e">
        <f ca="1">_xll.EQNXTDZ($A$1,$B12,X$1,$B$1)</f>
        <v>#NAME?</v>
      </c>
      <c r="Y12" s="100" t="e">
        <f ca="1">_xll.EQNXTDZ($A$1,$B12,Y$1,$B$1)</f>
        <v>#NAME?</v>
      </c>
      <c r="Z12" s="100" t="e">
        <f ca="1">_xll.EQNXTDZ($A$1,$B12,Z$1,$B$1)</f>
        <v>#NAME?</v>
      </c>
      <c r="AA12" s="100" t="e">
        <f ca="1">_xll.EQNXTDZ($A$1,$B12,AA$1,$B$1)</f>
        <v>#NAME?</v>
      </c>
      <c r="AB12" s="100" t="e">
        <f ca="1">_xll.EQNXTDZ($A$1,$B12,AB$1,$B$1)</f>
        <v>#NAME?</v>
      </c>
      <c r="AC12" s="100" t="e">
        <f ca="1">_xll.EQNXTDZ($A$1,$B12,AC$1,$B$1)</f>
        <v>#NAME?</v>
      </c>
      <c r="AD12" s="100" t="e">
        <f ca="1">_xll.EQNXTDZ($A$1,$B12,AD$1,$B$1)</f>
        <v>#NAME?</v>
      </c>
      <c r="AE12" s="100" t="e">
        <f ca="1">_xll.EQNXTDZ($A$1,$B12,AE$1,$B$1)</f>
        <v>#NAME?</v>
      </c>
      <c r="AF12" s="100" t="e">
        <f ca="1">_xll.EQNXTDZ($A$1,$B12,AF$1,$B$1)</f>
        <v>#NAME?</v>
      </c>
    </row>
    <row r="13" spans="1:32" x14ac:dyDescent="0.25">
      <c r="A13" t="s">
        <v>7</v>
      </c>
      <c r="B13" t="s">
        <v>138</v>
      </c>
      <c r="C13" s="100" t="e">
        <f ca="1">_xll.EQNXTDZ($A$1,$B13,C$1,$B$1)</f>
        <v>#NAME?</v>
      </c>
      <c r="D13" s="100" t="e">
        <f ca="1">_xll.EQNXTDZ($A$1,$B13,D$1,$B$1)</f>
        <v>#NAME?</v>
      </c>
      <c r="E13" s="100" t="e">
        <f ca="1">_xll.EQNXTDZ($A$1,$B13,E$1,$B$1)</f>
        <v>#NAME?</v>
      </c>
      <c r="F13" s="100" t="e">
        <f ca="1">_xll.EQNXTDZ($A$1,$B13,F$1,$B$1)</f>
        <v>#NAME?</v>
      </c>
      <c r="G13" s="100" t="e">
        <f ca="1">_xll.EQNXTDZ($A$1,$B13,G$1,$B$1)</f>
        <v>#NAME?</v>
      </c>
      <c r="H13" s="100" t="e">
        <f ca="1">_xll.EQNXTDZ($A$1,$B13,H$1,$B$1)</f>
        <v>#NAME?</v>
      </c>
      <c r="I13" s="100" t="e">
        <f ca="1">_xll.EQNXTDZ($A$1,$B13,I$1,$B$1)</f>
        <v>#NAME?</v>
      </c>
      <c r="J13" s="100" t="e">
        <f ca="1">_xll.EQNXTDZ($A$1,$B13,J$1,$B$1)</f>
        <v>#NAME?</v>
      </c>
      <c r="K13" s="100" t="e">
        <f ca="1">_xll.EQNXTDZ($A$1,$B13,K$1,$B$1)</f>
        <v>#NAME?</v>
      </c>
      <c r="L13" s="100" t="e">
        <f ca="1">_xll.EQNXTDZ($A$1,$B13,L$1,$B$1)</f>
        <v>#NAME?</v>
      </c>
      <c r="M13" s="100" t="e">
        <f ca="1">_xll.EQNXTDZ($A$1,$B13,M$1,$B$1)</f>
        <v>#NAME?</v>
      </c>
      <c r="N13" s="100" t="e">
        <f ca="1">_xll.EQNXTDZ($A$1,$B13,N$1,$B$1)</f>
        <v>#NAME?</v>
      </c>
      <c r="O13" s="100" t="e">
        <f ca="1">_xll.EQNXTDZ($A$1,$B13,O$1,$B$1)</f>
        <v>#NAME?</v>
      </c>
      <c r="P13" s="100" t="e">
        <f ca="1">_xll.EQNXTDZ($A$1,$B13,P$1,$B$1)</f>
        <v>#NAME?</v>
      </c>
      <c r="Q13" s="100" t="e">
        <f ca="1">_xll.EQNXTDZ($A$1,$B13,Q$1,$B$1)</f>
        <v>#NAME?</v>
      </c>
      <c r="R13" s="100" t="e">
        <f ca="1">_xll.EQNXTDZ($A$1,$B13,R$1,$B$1)</f>
        <v>#NAME?</v>
      </c>
      <c r="S13" s="100" t="e">
        <f ca="1">_xll.EQNXTDZ($A$1,$B13,S$1,$B$1)</f>
        <v>#NAME?</v>
      </c>
      <c r="T13" s="100" t="e">
        <f ca="1">_xll.EQNXTDZ($A$1,$B13,T$1,$B$1)</f>
        <v>#NAME?</v>
      </c>
      <c r="U13" s="100" t="e">
        <f ca="1">_xll.EQNXTDZ($A$1,$B13,U$1,$B$1)</f>
        <v>#NAME?</v>
      </c>
      <c r="V13" s="100" t="e">
        <f ca="1">_xll.EQNXTDZ($A$1,$B13,V$1,$B$1)</f>
        <v>#NAME?</v>
      </c>
      <c r="W13" s="100" t="e">
        <f ca="1">_xll.EQNXTDZ($A$1,$B13,W$1,$B$1)</f>
        <v>#NAME?</v>
      </c>
      <c r="X13" s="100" t="e">
        <f ca="1">_xll.EQNXTDZ($A$1,$B13,X$1,$B$1)</f>
        <v>#NAME?</v>
      </c>
      <c r="Y13" s="100" t="e">
        <f ca="1">_xll.EQNXTDZ($A$1,$B13,Y$1,$B$1)</f>
        <v>#NAME?</v>
      </c>
      <c r="Z13" s="100" t="e">
        <f ca="1">_xll.EQNXTDZ($A$1,$B13,Z$1,$B$1)</f>
        <v>#NAME?</v>
      </c>
      <c r="AA13" s="100" t="e">
        <f ca="1">_xll.EQNXTDZ($A$1,$B13,AA$1,$B$1)</f>
        <v>#NAME?</v>
      </c>
      <c r="AB13" s="100" t="e">
        <f ca="1">_xll.EQNXTDZ($A$1,$B13,AB$1,$B$1)</f>
        <v>#NAME?</v>
      </c>
      <c r="AC13" s="100" t="e">
        <f ca="1">_xll.EQNXTDZ($A$1,$B13,AC$1,$B$1)</f>
        <v>#NAME?</v>
      </c>
      <c r="AD13" s="100" t="e">
        <f ca="1">_xll.EQNXTDZ($A$1,$B13,AD$1,$B$1)</f>
        <v>#NAME?</v>
      </c>
      <c r="AE13" s="100" t="e">
        <f ca="1">_xll.EQNXTDZ($A$1,$B13,AE$1,$B$1)</f>
        <v>#NAME?</v>
      </c>
      <c r="AF13" s="100" t="e">
        <f ca="1">_xll.EQNXTDZ($A$1,$B13,AF$1,$B$1)</f>
        <v>#NAME?</v>
      </c>
    </row>
    <row r="14" spans="1:32" x14ac:dyDescent="0.25">
      <c r="A14" t="s">
        <v>8</v>
      </c>
      <c r="B14" t="s">
        <v>139</v>
      </c>
      <c r="C14" s="100" t="e">
        <f ca="1">_xll.EQNXTDZ($A$1,$B14,C$1,$B$1)</f>
        <v>#NAME?</v>
      </c>
      <c r="D14" s="100" t="e">
        <f ca="1">_xll.EQNXTDZ($A$1,$B14,D$1,$B$1)</f>
        <v>#NAME?</v>
      </c>
      <c r="E14" s="100" t="e">
        <f ca="1">_xll.EQNXTDZ($A$1,$B14,E$1,$B$1)</f>
        <v>#NAME?</v>
      </c>
      <c r="F14" s="100" t="e">
        <f ca="1">_xll.EQNXTDZ($A$1,$B14,F$1,$B$1)</f>
        <v>#NAME?</v>
      </c>
      <c r="G14" s="100" t="e">
        <f ca="1">_xll.EQNXTDZ($A$1,$B14,G$1,$B$1)</f>
        <v>#NAME?</v>
      </c>
      <c r="H14" s="100" t="e">
        <f ca="1">_xll.EQNXTDZ($A$1,$B14,H$1,$B$1)</f>
        <v>#NAME?</v>
      </c>
      <c r="I14" s="100" t="e">
        <f ca="1">_xll.EQNXTDZ($A$1,$B14,I$1,$B$1)</f>
        <v>#NAME?</v>
      </c>
      <c r="J14" s="100" t="e">
        <f ca="1">_xll.EQNXTDZ($A$1,$B14,J$1,$B$1)</f>
        <v>#NAME?</v>
      </c>
      <c r="K14" s="100" t="e">
        <f ca="1">_xll.EQNXTDZ($A$1,$B14,K$1,$B$1)</f>
        <v>#NAME?</v>
      </c>
      <c r="L14" s="100" t="e">
        <f ca="1">_xll.EQNXTDZ($A$1,$B14,L$1,$B$1)</f>
        <v>#NAME?</v>
      </c>
      <c r="M14" s="100" t="e">
        <f ca="1">_xll.EQNXTDZ($A$1,$B14,M$1,$B$1)</f>
        <v>#NAME?</v>
      </c>
      <c r="N14" s="100" t="e">
        <f ca="1">_xll.EQNXTDZ($A$1,$B14,N$1,$B$1)</f>
        <v>#NAME?</v>
      </c>
      <c r="O14" s="100" t="e">
        <f ca="1">_xll.EQNXTDZ($A$1,$B14,O$1,$B$1)</f>
        <v>#NAME?</v>
      </c>
      <c r="P14" s="100" t="e">
        <f ca="1">_xll.EQNXTDZ($A$1,$B14,P$1,$B$1)</f>
        <v>#NAME?</v>
      </c>
      <c r="Q14" s="100" t="e">
        <f ca="1">_xll.EQNXTDZ($A$1,$B14,Q$1,$B$1)</f>
        <v>#NAME?</v>
      </c>
      <c r="R14" s="100" t="e">
        <f ca="1">_xll.EQNXTDZ($A$1,$B14,R$1,$B$1)</f>
        <v>#NAME?</v>
      </c>
      <c r="S14" s="100" t="e">
        <f ca="1">_xll.EQNXTDZ($A$1,$B14,S$1,$B$1)</f>
        <v>#NAME?</v>
      </c>
      <c r="T14" s="100" t="e">
        <f ca="1">_xll.EQNXTDZ($A$1,$B14,T$1,$B$1)</f>
        <v>#NAME?</v>
      </c>
      <c r="U14" s="100" t="e">
        <f ca="1">_xll.EQNXTDZ($A$1,$B14,U$1,$B$1)</f>
        <v>#NAME?</v>
      </c>
      <c r="V14" s="100" t="e">
        <f ca="1">_xll.EQNXTDZ($A$1,$B14,V$1,$B$1)</f>
        <v>#NAME?</v>
      </c>
      <c r="W14" s="100" t="e">
        <f ca="1">_xll.EQNXTDZ($A$1,$B14,W$1,$B$1)</f>
        <v>#NAME?</v>
      </c>
      <c r="X14" s="100" t="e">
        <f ca="1">_xll.EQNXTDZ($A$1,$B14,X$1,$B$1)</f>
        <v>#NAME?</v>
      </c>
      <c r="Y14" s="100" t="e">
        <f ca="1">_xll.EQNXTDZ($A$1,$B14,Y$1,$B$1)</f>
        <v>#NAME?</v>
      </c>
      <c r="Z14" s="100" t="e">
        <f ca="1">_xll.EQNXTDZ($A$1,$B14,Z$1,$B$1)</f>
        <v>#NAME?</v>
      </c>
      <c r="AA14" s="100" t="e">
        <f ca="1">_xll.EQNXTDZ($A$1,$B14,AA$1,$B$1)</f>
        <v>#NAME?</v>
      </c>
      <c r="AB14" s="100" t="e">
        <f ca="1">_xll.EQNXTDZ($A$1,$B14,AB$1,$B$1)</f>
        <v>#NAME?</v>
      </c>
      <c r="AC14" s="100" t="e">
        <f ca="1">_xll.EQNXTDZ($A$1,$B14,AC$1,$B$1)</f>
        <v>#NAME?</v>
      </c>
      <c r="AD14" s="100" t="e">
        <f ca="1">_xll.EQNXTDZ($A$1,$B14,AD$1,$B$1)</f>
        <v>#NAME?</v>
      </c>
      <c r="AE14" s="100" t="e">
        <f ca="1">_xll.EQNXTDZ($A$1,$B14,AE$1,$B$1)</f>
        <v>#NAME?</v>
      </c>
      <c r="AF14" s="100" t="e">
        <f ca="1">_xll.EQNXTDZ($A$1,$B14,AF$1,$B$1)</f>
        <v>#NAME?</v>
      </c>
    </row>
    <row r="15" spans="1:32" x14ac:dyDescent="0.25">
      <c r="A15" t="s">
        <v>118</v>
      </c>
      <c r="B15" t="s">
        <v>140</v>
      </c>
      <c r="C15" s="100" t="e">
        <f ca="1">_xll.EQNXTDZ($A$1,$B15,C$1,$B$1)</f>
        <v>#NAME?</v>
      </c>
      <c r="D15" s="100" t="e">
        <f ca="1">_xll.EQNXTDZ($A$1,$B15,D$1,$B$1)</f>
        <v>#NAME?</v>
      </c>
      <c r="E15" s="100" t="e">
        <f ca="1">_xll.EQNXTDZ($A$1,$B15,E$1,$B$1)</f>
        <v>#NAME?</v>
      </c>
      <c r="F15" s="100" t="e">
        <f ca="1">_xll.EQNXTDZ($A$1,$B15,F$1,$B$1)</f>
        <v>#NAME?</v>
      </c>
      <c r="G15" s="100" t="e">
        <f ca="1">_xll.EQNXTDZ($A$1,$B15,G$1,$B$1)</f>
        <v>#NAME?</v>
      </c>
      <c r="H15" s="100" t="e">
        <f ca="1">_xll.EQNXTDZ($A$1,$B15,H$1,$B$1)</f>
        <v>#NAME?</v>
      </c>
      <c r="I15" s="100" t="e">
        <f ca="1">_xll.EQNXTDZ($A$1,$B15,I$1,$B$1)</f>
        <v>#NAME?</v>
      </c>
      <c r="J15" s="100" t="e">
        <f ca="1">_xll.EQNXTDZ($A$1,$B15,J$1,$B$1)</f>
        <v>#NAME?</v>
      </c>
      <c r="K15" s="100" t="e">
        <f ca="1">_xll.EQNXTDZ($A$1,$B15,K$1,$B$1)</f>
        <v>#NAME?</v>
      </c>
      <c r="L15" s="100" t="e">
        <f ca="1">_xll.EQNXTDZ($A$1,$B15,L$1,$B$1)</f>
        <v>#NAME?</v>
      </c>
      <c r="M15" s="100" t="e">
        <f ca="1">_xll.EQNXTDZ($A$1,$B15,M$1,$B$1)</f>
        <v>#NAME?</v>
      </c>
      <c r="N15" s="100" t="e">
        <f ca="1">_xll.EQNXTDZ($A$1,$B15,N$1,$B$1)</f>
        <v>#NAME?</v>
      </c>
      <c r="O15" s="100" t="e">
        <f ca="1">_xll.EQNXTDZ($A$1,$B15,O$1,$B$1)</f>
        <v>#NAME?</v>
      </c>
      <c r="P15" s="100" t="e">
        <f ca="1">_xll.EQNXTDZ($A$1,$B15,P$1,$B$1)</f>
        <v>#NAME?</v>
      </c>
      <c r="Q15" s="100" t="e">
        <f ca="1">_xll.EQNXTDZ($A$1,$B15,Q$1,$B$1)</f>
        <v>#NAME?</v>
      </c>
      <c r="R15" s="100" t="e">
        <f ca="1">_xll.EQNXTDZ($A$1,$B15,R$1,$B$1)</f>
        <v>#NAME?</v>
      </c>
      <c r="S15" s="100" t="e">
        <f ca="1">_xll.EQNXTDZ($A$1,$B15,S$1,$B$1)</f>
        <v>#NAME?</v>
      </c>
      <c r="T15" s="100" t="e">
        <f ca="1">_xll.EQNXTDZ($A$1,$B15,T$1,$B$1)</f>
        <v>#NAME?</v>
      </c>
      <c r="U15" s="100" t="e">
        <f ca="1">_xll.EQNXTDZ($A$1,$B15,U$1,$B$1)</f>
        <v>#NAME?</v>
      </c>
      <c r="V15" s="100" t="e">
        <f ca="1">_xll.EQNXTDZ($A$1,$B15,V$1,$B$1)</f>
        <v>#NAME?</v>
      </c>
      <c r="W15" s="100" t="e">
        <f ca="1">_xll.EQNXTDZ($A$1,$B15,W$1,$B$1)</f>
        <v>#NAME?</v>
      </c>
      <c r="X15" s="100" t="e">
        <f ca="1">_xll.EQNXTDZ($A$1,$B15,X$1,$B$1)</f>
        <v>#NAME?</v>
      </c>
      <c r="Y15" s="100" t="e">
        <f ca="1">_xll.EQNXTDZ($A$1,$B15,Y$1,$B$1)</f>
        <v>#NAME?</v>
      </c>
      <c r="Z15" s="100" t="e">
        <f ca="1">_xll.EQNXTDZ($A$1,$B15,Z$1,$B$1)</f>
        <v>#NAME?</v>
      </c>
      <c r="AA15" s="100" t="e">
        <f ca="1">_xll.EQNXTDZ($A$1,$B15,AA$1,$B$1)</f>
        <v>#NAME?</v>
      </c>
      <c r="AB15" s="100" t="e">
        <f ca="1">_xll.EQNXTDZ($A$1,$B15,AB$1,$B$1)</f>
        <v>#NAME?</v>
      </c>
      <c r="AC15" s="100" t="e">
        <f ca="1">_xll.EQNXTDZ($A$1,$B15,AC$1,$B$1)</f>
        <v>#NAME?</v>
      </c>
      <c r="AD15" s="100" t="e">
        <f ca="1">_xll.EQNXTDZ($A$1,$B15,AD$1,$B$1)</f>
        <v>#NAME?</v>
      </c>
      <c r="AE15" s="100" t="e">
        <f ca="1">_xll.EQNXTDZ($A$1,$B15,AE$1,$B$1)</f>
        <v>#NAME?</v>
      </c>
      <c r="AF15" s="100" t="e">
        <f ca="1">_xll.EQNXTDZ($A$1,$B15,AF$1,$B$1)</f>
        <v>#NAME?</v>
      </c>
    </row>
    <row r="16" spans="1:32" x14ac:dyDescent="0.25">
      <c r="A16" t="s">
        <v>119</v>
      </c>
      <c r="B16" t="s">
        <v>141</v>
      </c>
      <c r="C16" s="100" t="e">
        <f ca="1">_xll.EQNXTDZ($A$1,$B16,C$1,$B$1)</f>
        <v>#NAME?</v>
      </c>
      <c r="D16" s="100" t="e">
        <f ca="1">_xll.EQNXTDZ($A$1,$B16,D$1,$B$1)</f>
        <v>#NAME?</v>
      </c>
      <c r="E16" s="100" t="e">
        <f ca="1">_xll.EQNXTDZ($A$1,$B16,E$1,$B$1)</f>
        <v>#NAME?</v>
      </c>
      <c r="F16" s="100" t="e">
        <f ca="1">_xll.EQNXTDZ($A$1,$B16,F$1,$B$1)</f>
        <v>#NAME?</v>
      </c>
      <c r="G16" s="100" t="e">
        <f ca="1">_xll.EQNXTDZ($A$1,$B16,G$1,$B$1)</f>
        <v>#NAME?</v>
      </c>
      <c r="H16" s="100" t="e">
        <f ca="1">_xll.EQNXTDZ($A$1,$B16,H$1,$B$1)</f>
        <v>#NAME?</v>
      </c>
      <c r="I16" s="100" t="e">
        <f ca="1">_xll.EQNXTDZ($A$1,$B16,I$1,$B$1)</f>
        <v>#NAME?</v>
      </c>
      <c r="J16" s="100" t="e">
        <f ca="1">_xll.EQNXTDZ($A$1,$B16,J$1,$B$1)</f>
        <v>#NAME?</v>
      </c>
      <c r="K16" s="100" t="e">
        <f ca="1">_xll.EQNXTDZ($A$1,$B16,K$1,$B$1)</f>
        <v>#NAME?</v>
      </c>
      <c r="L16" s="100" t="e">
        <f ca="1">_xll.EQNXTDZ($A$1,$B16,L$1,$B$1)</f>
        <v>#NAME?</v>
      </c>
      <c r="M16" s="100" t="e">
        <f ca="1">_xll.EQNXTDZ($A$1,$B16,M$1,$B$1)</f>
        <v>#NAME?</v>
      </c>
      <c r="N16" s="100" t="e">
        <f ca="1">_xll.EQNXTDZ($A$1,$B16,N$1,$B$1)</f>
        <v>#NAME?</v>
      </c>
      <c r="O16" s="100" t="e">
        <f ca="1">_xll.EQNXTDZ($A$1,$B16,O$1,$B$1)</f>
        <v>#NAME?</v>
      </c>
      <c r="P16" s="100" t="e">
        <f ca="1">_xll.EQNXTDZ($A$1,$B16,P$1,$B$1)</f>
        <v>#NAME?</v>
      </c>
      <c r="Q16" s="100" t="e">
        <f ca="1">_xll.EQNXTDZ($A$1,$B16,Q$1,$B$1)</f>
        <v>#NAME?</v>
      </c>
      <c r="R16" s="100" t="e">
        <f ca="1">_xll.EQNXTDZ($A$1,$B16,R$1,$B$1)</f>
        <v>#NAME?</v>
      </c>
      <c r="S16" s="100" t="e">
        <f ca="1">_xll.EQNXTDZ($A$1,$B16,S$1,$B$1)</f>
        <v>#NAME?</v>
      </c>
      <c r="T16" s="100" t="e">
        <f ca="1">_xll.EQNXTDZ($A$1,$B16,T$1,$B$1)</f>
        <v>#NAME?</v>
      </c>
      <c r="U16" s="100" t="e">
        <f ca="1">_xll.EQNXTDZ($A$1,$B16,U$1,$B$1)</f>
        <v>#NAME?</v>
      </c>
      <c r="V16" s="100" t="e">
        <f ca="1">_xll.EQNXTDZ($A$1,$B16,V$1,$B$1)</f>
        <v>#NAME?</v>
      </c>
      <c r="W16" s="100" t="e">
        <f ca="1">_xll.EQNXTDZ($A$1,$B16,W$1,$B$1)</f>
        <v>#NAME?</v>
      </c>
      <c r="X16" s="100" t="e">
        <f ca="1">_xll.EQNXTDZ($A$1,$B16,X$1,$B$1)</f>
        <v>#NAME?</v>
      </c>
      <c r="Y16" s="100" t="e">
        <f ca="1">_xll.EQNXTDZ($A$1,$B16,Y$1,$B$1)</f>
        <v>#NAME?</v>
      </c>
      <c r="Z16" s="100" t="e">
        <f ca="1">_xll.EQNXTDZ($A$1,$B16,Z$1,$B$1)</f>
        <v>#NAME?</v>
      </c>
      <c r="AA16" s="100" t="e">
        <f ca="1">_xll.EQNXTDZ($A$1,$B16,AA$1,$B$1)</f>
        <v>#NAME?</v>
      </c>
      <c r="AB16" s="100" t="e">
        <f ca="1">_xll.EQNXTDZ($A$1,$B16,AB$1,$B$1)</f>
        <v>#NAME?</v>
      </c>
      <c r="AC16" s="100" t="e">
        <f ca="1">_xll.EQNXTDZ($A$1,$B16,AC$1,$B$1)</f>
        <v>#NAME?</v>
      </c>
      <c r="AD16" s="100" t="e">
        <f ca="1">_xll.EQNXTDZ($A$1,$B16,AD$1,$B$1)</f>
        <v>#NAME?</v>
      </c>
      <c r="AE16" s="100" t="e">
        <f ca="1">_xll.EQNXTDZ($A$1,$B16,AE$1,$B$1)</f>
        <v>#NAME?</v>
      </c>
      <c r="AF16" s="100" t="e">
        <f ca="1">_xll.EQNXTDZ($A$1,$B16,AF$1,$B$1)</f>
        <v>#NAME?</v>
      </c>
    </row>
    <row r="17" spans="1:32" x14ac:dyDescent="0.25">
      <c r="A17" t="s">
        <v>10</v>
      </c>
      <c r="B17" t="s">
        <v>142</v>
      </c>
      <c r="C17" s="100" t="e">
        <f ca="1">_xll.EQNXTDZ($A$1,$B17,C$1,$B$1)</f>
        <v>#NAME?</v>
      </c>
      <c r="D17" s="100" t="e">
        <f ca="1">_xll.EQNXTDZ($A$1,$B17,D$1,$B$1)</f>
        <v>#NAME?</v>
      </c>
      <c r="E17" s="100" t="e">
        <f ca="1">_xll.EQNXTDZ($A$1,$B17,E$1,$B$1)</f>
        <v>#NAME?</v>
      </c>
      <c r="F17" s="100" t="e">
        <f ca="1">_xll.EQNXTDZ($A$1,$B17,F$1,$B$1)</f>
        <v>#NAME?</v>
      </c>
      <c r="G17" s="100" t="e">
        <f ca="1">_xll.EQNXTDZ($A$1,$B17,G$1,$B$1)</f>
        <v>#NAME?</v>
      </c>
      <c r="H17" s="100" t="e">
        <f ca="1">_xll.EQNXTDZ($A$1,$B17,H$1,$B$1)</f>
        <v>#NAME?</v>
      </c>
      <c r="I17" s="100" t="e">
        <f ca="1">_xll.EQNXTDZ($A$1,$B17,I$1,$B$1)</f>
        <v>#NAME?</v>
      </c>
      <c r="J17" s="100" t="e">
        <f ca="1">_xll.EQNXTDZ($A$1,$B17,J$1,$B$1)</f>
        <v>#NAME?</v>
      </c>
      <c r="K17" s="100" t="e">
        <f ca="1">_xll.EQNXTDZ($A$1,$B17,K$1,$B$1)</f>
        <v>#NAME?</v>
      </c>
      <c r="L17" s="100" t="e">
        <f ca="1">_xll.EQNXTDZ($A$1,$B17,L$1,$B$1)</f>
        <v>#NAME?</v>
      </c>
      <c r="M17" s="100" t="e">
        <f ca="1">_xll.EQNXTDZ($A$1,$B17,M$1,$B$1)</f>
        <v>#NAME?</v>
      </c>
      <c r="N17" s="100" t="e">
        <f ca="1">_xll.EQNXTDZ($A$1,$B17,N$1,$B$1)</f>
        <v>#NAME?</v>
      </c>
      <c r="O17" s="100" t="e">
        <f ca="1">_xll.EQNXTDZ($A$1,$B17,O$1,$B$1)</f>
        <v>#NAME?</v>
      </c>
      <c r="P17" s="100" t="e">
        <f ca="1">_xll.EQNXTDZ($A$1,$B17,P$1,$B$1)</f>
        <v>#NAME?</v>
      </c>
      <c r="Q17" s="100" t="e">
        <f ca="1">_xll.EQNXTDZ($A$1,$B17,Q$1,$B$1)</f>
        <v>#NAME?</v>
      </c>
      <c r="R17" s="100" t="e">
        <f ca="1">_xll.EQNXTDZ($A$1,$B17,R$1,$B$1)</f>
        <v>#NAME?</v>
      </c>
      <c r="S17" s="100" t="e">
        <f ca="1">_xll.EQNXTDZ($A$1,$B17,S$1,$B$1)</f>
        <v>#NAME?</v>
      </c>
      <c r="T17" s="100" t="e">
        <f ca="1">_xll.EQNXTDZ($A$1,$B17,T$1,$B$1)</f>
        <v>#NAME?</v>
      </c>
      <c r="U17" s="100" t="e">
        <f ca="1">_xll.EQNXTDZ($A$1,$B17,U$1,$B$1)</f>
        <v>#NAME?</v>
      </c>
      <c r="V17" s="100" t="e">
        <f ca="1">_xll.EQNXTDZ($A$1,$B17,V$1,$B$1)</f>
        <v>#NAME?</v>
      </c>
      <c r="W17" s="100" t="e">
        <f ca="1">_xll.EQNXTDZ($A$1,$B17,W$1,$B$1)</f>
        <v>#NAME?</v>
      </c>
      <c r="X17" s="100" t="e">
        <f ca="1">_xll.EQNXTDZ($A$1,$B17,X$1,$B$1)</f>
        <v>#NAME?</v>
      </c>
      <c r="Y17" s="100" t="e">
        <f ca="1">_xll.EQNXTDZ($A$1,$B17,Y$1,$B$1)</f>
        <v>#NAME?</v>
      </c>
      <c r="Z17" s="100" t="e">
        <f ca="1">_xll.EQNXTDZ($A$1,$B17,Z$1,$B$1)</f>
        <v>#NAME?</v>
      </c>
      <c r="AA17" s="100" t="e">
        <f ca="1">_xll.EQNXTDZ($A$1,$B17,AA$1,$B$1)</f>
        <v>#NAME?</v>
      </c>
      <c r="AB17" s="100" t="e">
        <f ca="1">_xll.EQNXTDZ($A$1,$B17,AB$1,$B$1)</f>
        <v>#NAME?</v>
      </c>
      <c r="AC17" s="100" t="e">
        <f ca="1">_xll.EQNXTDZ($A$1,$B17,AC$1,$B$1)</f>
        <v>#NAME?</v>
      </c>
      <c r="AD17" s="100" t="e">
        <f ca="1">_xll.EQNXTDZ($A$1,$B17,AD$1,$B$1)</f>
        <v>#NAME?</v>
      </c>
      <c r="AE17" s="100" t="e">
        <f ca="1">_xll.EQNXTDZ($A$1,$B17,AE$1,$B$1)</f>
        <v>#NAME?</v>
      </c>
      <c r="AF17" s="100" t="e">
        <f ca="1">_xll.EQNXTDZ($A$1,$B17,AF$1,$B$1)</f>
        <v>#NAME?</v>
      </c>
    </row>
    <row r="18" spans="1:32" x14ac:dyDescent="0.25">
      <c r="A18" t="s">
        <v>11</v>
      </c>
      <c r="B18" t="s">
        <v>143</v>
      </c>
      <c r="C18" s="100" t="e">
        <f ca="1">_xll.EQNXTDZ($A$1,$B18,C$1,$B$1)</f>
        <v>#NAME?</v>
      </c>
      <c r="D18" s="100" t="e">
        <f ca="1">_xll.EQNXTDZ($A$1,$B18,D$1,$B$1)</f>
        <v>#NAME?</v>
      </c>
      <c r="E18" s="100" t="e">
        <f ca="1">_xll.EQNXTDZ($A$1,$B18,E$1,$B$1)</f>
        <v>#NAME?</v>
      </c>
      <c r="F18" s="100" t="e">
        <f ca="1">_xll.EQNXTDZ($A$1,$B18,F$1,$B$1)</f>
        <v>#NAME?</v>
      </c>
      <c r="G18" s="100" t="e">
        <f ca="1">_xll.EQNXTDZ($A$1,$B18,G$1,$B$1)</f>
        <v>#NAME?</v>
      </c>
      <c r="H18" s="100" t="e">
        <f ca="1">_xll.EQNXTDZ($A$1,$B18,H$1,$B$1)</f>
        <v>#NAME?</v>
      </c>
      <c r="I18" s="100" t="e">
        <f ca="1">_xll.EQNXTDZ($A$1,$B18,I$1,$B$1)</f>
        <v>#NAME?</v>
      </c>
      <c r="J18" s="100" t="e">
        <f ca="1">_xll.EQNXTDZ($A$1,$B18,J$1,$B$1)</f>
        <v>#NAME?</v>
      </c>
      <c r="K18" s="100" t="e">
        <f ca="1">_xll.EQNXTDZ($A$1,$B18,K$1,$B$1)</f>
        <v>#NAME?</v>
      </c>
      <c r="L18" s="100" t="e">
        <f ca="1">_xll.EQNXTDZ($A$1,$B18,L$1,$B$1)</f>
        <v>#NAME?</v>
      </c>
      <c r="M18" s="100" t="e">
        <f ca="1">_xll.EQNXTDZ($A$1,$B18,M$1,$B$1)</f>
        <v>#NAME?</v>
      </c>
      <c r="N18" s="100" t="e">
        <f ca="1">_xll.EQNXTDZ($A$1,$B18,N$1,$B$1)</f>
        <v>#NAME?</v>
      </c>
      <c r="O18" s="100" t="e">
        <f ca="1">_xll.EQNXTDZ($A$1,$B18,O$1,$B$1)</f>
        <v>#NAME?</v>
      </c>
      <c r="P18" s="100" t="e">
        <f ca="1">_xll.EQNXTDZ($A$1,$B18,P$1,$B$1)</f>
        <v>#NAME?</v>
      </c>
      <c r="Q18" s="100" t="e">
        <f ca="1">_xll.EQNXTDZ($A$1,$B18,Q$1,$B$1)</f>
        <v>#NAME?</v>
      </c>
      <c r="R18" s="100" t="e">
        <f ca="1">_xll.EQNXTDZ($A$1,$B18,R$1,$B$1)</f>
        <v>#NAME?</v>
      </c>
      <c r="S18" s="100" t="e">
        <f ca="1">_xll.EQNXTDZ($A$1,$B18,S$1,$B$1)</f>
        <v>#NAME?</v>
      </c>
      <c r="T18" s="100" t="e">
        <f ca="1">_xll.EQNXTDZ($A$1,$B18,T$1,$B$1)</f>
        <v>#NAME?</v>
      </c>
      <c r="U18" s="100" t="e">
        <f ca="1">_xll.EQNXTDZ($A$1,$B18,U$1,$B$1)</f>
        <v>#NAME?</v>
      </c>
      <c r="V18" s="100" t="e">
        <f ca="1">_xll.EQNXTDZ($A$1,$B18,V$1,$B$1)</f>
        <v>#NAME?</v>
      </c>
      <c r="W18" s="100" t="e">
        <f ca="1">_xll.EQNXTDZ($A$1,$B18,W$1,$B$1)</f>
        <v>#NAME?</v>
      </c>
      <c r="X18" s="100" t="e">
        <f ca="1">_xll.EQNXTDZ($A$1,$B18,X$1,$B$1)</f>
        <v>#NAME?</v>
      </c>
      <c r="Y18" s="100" t="e">
        <f ca="1">_xll.EQNXTDZ($A$1,$B18,Y$1,$B$1)</f>
        <v>#NAME?</v>
      </c>
      <c r="Z18" s="100" t="e">
        <f ca="1">_xll.EQNXTDZ($A$1,$B18,Z$1,$B$1)</f>
        <v>#NAME?</v>
      </c>
      <c r="AA18" s="100" t="e">
        <f ca="1">_xll.EQNXTDZ($A$1,$B18,AA$1,$B$1)</f>
        <v>#NAME?</v>
      </c>
      <c r="AB18" s="100" t="e">
        <f ca="1">_xll.EQNXTDZ($A$1,$B18,AB$1,$B$1)</f>
        <v>#NAME?</v>
      </c>
      <c r="AC18" s="100" t="e">
        <f ca="1">_xll.EQNXTDZ($A$1,$B18,AC$1,$B$1)</f>
        <v>#NAME?</v>
      </c>
      <c r="AD18" s="100" t="e">
        <f ca="1">_xll.EQNXTDZ($A$1,$B18,AD$1,$B$1)</f>
        <v>#NAME?</v>
      </c>
      <c r="AE18" s="100" t="e">
        <f ca="1">_xll.EQNXTDZ($A$1,$B18,AE$1,$B$1)</f>
        <v>#NAME?</v>
      </c>
      <c r="AF18" s="100" t="e">
        <f ca="1">_xll.EQNXTDZ($A$1,$B18,AF$1,$B$1)</f>
        <v>#NAME?</v>
      </c>
    </row>
    <row r="19" spans="1:32" x14ac:dyDescent="0.25">
      <c r="A19" t="s">
        <v>12</v>
      </c>
      <c r="B19" t="s">
        <v>144</v>
      </c>
      <c r="C19" s="100" t="e">
        <f ca="1">_xll.EQNXTDZ($A$1,$B19,C$1,$B$1)</f>
        <v>#NAME?</v>
      </c>
      <c r="D19" s="100" t="e">
        <f ca="1">_xll.EQNXTDZ($A$1,$B19,D$1,$B$1)</f>
        <v>#NAME?</v>
      </c>
      <c r="E19" s="100" t="e">
        <f ca="1">_xll.EQNXTDZ($A$1,$B19,E$1,$B$1)</f>
        <v>#NAME?</v>
      </c>
      <c r="F19" s="100" t="e">
        <f ca="1">_xll.EQNXTDZ($A$1,$B19,F$1,$B$1)</f>
        <v>#NAME?</v>
      </c>
      <c r="G19" s="100" t="e">
        <f ca="1">_xll.EQNXTDZ($A$1,$B19,G$1,$B$1)</f>
        <v>#NAME?</v>
      </c>
      <c r="H19" s="100" t="e">
        <f ca="1">_xll.EQNXTDZ($A$1,$B19,H$1,$B$1)</f>
        <v>#NAME?</v>
      </c>
      <c r="I19" s="100" t="e">
        <f ca="1">_xll.EQNXTDZ($A$1,$B19,I$1,$B$1)</f>
        <v>#NAME?</v>
      </c>
      <c r="J19" s="100" t="e">
        <f ca="1">_xll.EQNXTDZ($A$1,$B19,J$1,$B$1)</f>
        <v>#NAME?</v>
      </c>
      <c r="K19" s="100" t="e">
        <f ca="1">_xll.EQNXTDZ($A$1,$B19,K$1,$B$1)</f>
        <v>#NAME?</v>
      </c>
      <c r="L19" s="100" t="e">
        <f ca="1">_xll.EQNXTDZ($A$1,$B19,L$1,$B$1)</f>
        <v>#NAME?</v>
      </c>
      <c r="M19" s="100" t="e">
        <f ca="1">_xll.EQNXTDZ($A$1,$B19,M$1,$B$1)</f>
        <v>#NAME?</v>
      </c>
      <c r="N19" s="100" t="e">
        <f ca="1">_xll.EQNXTDZ($A$1,$B19,N$1,$B$1)</f>
        <v>#NAME?</v>
      </c>
      <c r="O19" s="100" t="e">
        <f ca="1">_xll.EQNXTDZ($A$1,$B19,O$1,$B$1)</f>
        <v>#NAME?</v>
      </c>
      <c r="P19" s="100" t="e">
        <f ca="1">_xll.EQNXTDZ($A$1,$B19,P$1,$B$1)</f>
        <v>#NAME?</v>
      </c>
      <c r="Q19" s="100" t="e">
        <f ca="1">_xll.EQNXTDZ($A$1,$B19,Q$1,$B$1)</f>
        <v>#NAME?</v>
      </c>
      <c r="R19" s="100" t="e">
        <f ca="1">_xll.EQNXTDZ($A$1,$B19,R$1,$B$1)</f>
        <v>#NAME?</v>
      </c>
      <c r="S19" s="100" t="e">
        <f ca="1">_xll.EQNXTDZ($A$1,$B19,S$1,$B$1)</f>
        <v>#NAME?</v>
      </c>
      <c r="T19" s="100" t="e">
        <f ca="1">_xll.EQNXTDZ($A$1,$B19,T$1,$B$1)</f>
        <v>#NAME?</v>
      </c>
      <c r="U19" s="100" t="e">
        <f ca="1">_xll.EQNXTDZ($A$1,$B19,U$1,$B$1)</f>
        <v>#NAME?</v>
      </c>
      <c r="V19" s="100" t="e">
        <f ca="1">_xll.EQNXTDZ($A$1,$B19,V$1,$B$1)</f>
        <v>#NAME?</v>
      </c>
      <c r="W19" s="100" t="e">
        <f ca="1">_xll.EQNXTDZ($A$1,$B19,W$1,$B$1)</f>
        <v>#NAME?</v>
      </c>
      <c r="X19" s="100" t="e">
        <f ca="1">_xll.EQNXTDZ($A$1,$B19,X$1,$B$1)</f>
        <v>#NAME?</v>
      </c>
      <c r="Y19" s="100" t="e">
        <f ca="1">_xll.EQNXTDZ($A$1,$B19,Y$1,$B$1)</f>
        <v>#NAME?</v>
      </c>
      <c r="Z19" s="100" t="e">
        <f ca="1">_xll.EQNXTDZ($A$1,$B19,Z$1,$B$1)</f>
        <v>#NAME?</v>
      </c>
      <c r="AA19" s="100" t="e">
        <f ca="1">_xll.EQNXTDZ($A$1,$B19,AA$1,$B$1)</f>
        <v>#NAME?</v>
      </c>
      <c r="AB19" s="100" t="e">
        <f ca="1">_xll.EQNXTDZ($A$1,$B19,AB$1,$B$1)</f>
        <v>#NAME?</v>
      </c>
      <c r="AC19" s="100" t="e">
        <f ca="1">_xll.EQNXTDZ($A$1,$B19,AC$1,$B$1)</f>
        <v>#NAME?</v>
      </c>
      <c r="AD19" s="100" t="e">
        <f ca="1">_xll.EQNXTDZ($A$1,$B19,AD$1,$B$1)</f>
        <v>#NAME?</v>
      </c>
      <c r="AE19" s="100" t="e">
        <f ca="1">_xll.EQNXTDZ($A$1,$B19,AE$1,$B$1)</f>
        <v>#NAME?</v>
      </c>
      <c r="AF19" s="100" t="e">
        <f ca="1">_xll.EQNXTDZ($A$1,$B19,AF$1,$B$1)</f>
        <v>#NAME?</v>
      </c>
    </row>
    <row r="20" spans="1:32" x14ac:dyDescent="0.25">
      <c r="A20" t="s">
        <v>120</v>
      </c>
      <c r="B20" t="s">
        <v>145</v>
      </c>
      <c r="C20" s="100" t="e">
        <f ca="1">_xll.EQNXTDZ($A$1,$B20,C$1,$B$1)</f>
        <v>#NAME?</v>
      </c>
      <c r="D20" s="100" t="e">
        <f ca="1">_xll.EQNXTDZ($A$1,$B20,D$1,$B$1)</f>
        <v>#NAME?</v>
      </c>
      <c r="E20" s="100" t="e">
        <f ca="1">_xll.EQNXTDZ($A$1,$B20,E$1,$B$1)</f>
        <v>#NAME?</v>
      </c>
      <c r="F20" s="100" t="e">
        <f ca="1">_xll.EQNXTDZ($A$1,$B20,F$1,$B$1)</f>
        <v>#NAME?</v>
      </c>
      <c r="G20" s="100" t="e">
        <f ca="1">_xll.EQNXTDZ($A$1,$B20,G$1,$B$1)</f>
        <v>#NAME?</v>
      </c>
      <c r="H20" s="100" t="e">
        <f ca="1">_xll.EQNXTDZ($A$1,$B20,H$1,$B$1)</f>
        <v>#NAME?</v>
      </c>
      <c r="I20" s="100" t="e">
        <f ca="1">_xll.EQNXTDZ($A$1,$B20,I$1,$B$1)</f>
        <v>#NAME?</v>
      </c>
      <c r="J20" s="100" t="e">
        <f ca="1">_xll.EQNXTDZ($A$1,$B20,J$1,$B$1)</f>
        <v>#NAME?</v>
      </c>
      <c r="K20" s="100" t="e">
        <f ca="1">_xll.EQNXTDZ($A$1,$B20,K$1,$B$1)</f>
        <v>#NAME?</v>
      </c>
      <c r="L20" s="100" t="e">
        <f ca="1">_xll.EQNXTDZ($A$1,$B20,L$1,$B$1)</f>
        <v>#NAME?</v>
      </c>
      <c r="M20" s="100" t="e">
        <f ca="1">_xll.EQNXTDZ($A$1,$B20,M$1,$B$1)</f>
        <v>#NAME?</v>
      </c>
      <c r="N20" s="100" t="e">
        <f ca="1">_xll.EQNXTDZ($A$1,$B20,N$1,$B$1)</f>
        <v>#NAME?</v>
      </c>
      <c r="O20" s="100" t="e">
        <f ca="1">_xll.EQNXTDZ($A$1,$B20,O$1,$B$1)</f>
        <v>#NAME?</v>
      </c>
      <c r="P20" s="100" t="e">
        <f ca="1">_xll.EQNXTDZ($A$1,$B20,P$1,$B$1)</f>
        <v>#NAME?</v>
      </c>
      <c r="Q20" s="100" t="e">
        <f ca="1">_xll.EQNXTDZ($A$1,$B20,Q$1,$B$1)</f>
        <v>#NAME?</v>
      </c>
      <c r="R20" s="100" t="e">
        <f ca="1">_xll.EQNXTDZ($A$1,$B20,R$1,$B$1)</f>
        <v>#NAME?</v>
      </c>
      <c r="S20" s="100" t="e">
        <f ca="1">_xll.EQNXTDZ($A$1,$B20,S$1,$B$1)</f>
        <v>#NAME?</v>
      </c>
      <c r="T20" s="100" t="e">
        <f ca="1">_xll.EQNXTDZ($A$1,$B20,T$1,$B$1)</f>
        <v>#NAME?</v>
      </c>
      <c r="U20" s="100" t="e">
        <f ca="1">_xll.EQNXTDZ($A$1,$B20,U$1,$B$1)</f>
        <v>#NAME?</v>
      </c>
      <c r="V20" s="100" t="e">
        <f ca="1">_xll.EQNXTDZ($A$1,$B20,V$1,$B$1)</f>
        <v>#NAME?</v>
      </c>
      <c r="W20" s="100" t="e">
        <f ca="1">_xll.EQNXTDZ($A$1,$B20,W$1,$B$1)</f>
        <v>#NAME?</v>
      </c>
      <c r="X20" s="100" t="e">
        <f ca="1">_xll.EQNXTDZ($A$1,$B20,X$1,$B$1)</f>
        <v>#NAME?</v>
      </c>
      <c r="Y20" s="100" t="e">
        <f ca="1">_xll.EQNXTDZ($A$1,$B20,Y$1,$B$1)</f>
        <v>#NAME?</v>
      </c>
      <c r="Z20" s="100" t="e">
        <f ca="1">_xll.EQNXTDZ($A$1,$B20,Z$1,$B$1)</f>
        <v>#NAME?</v>
      </c>
      <c r="AA20" s="100" t="e">
        <f ca="1">_xll.EQNXTDZ($A$1,$B20,AA$1,$B$1)</f>
        <v>#NAME?</v>
      </c>
      <c r="AB20" s="100" t="e">
        <f ca="1">_xll.EQNXTDZ($A$1,$B20,AB$1,$B$1)</f>
        <v>#NAME?</v>
      </c>
      <c r="AC20" s="100" t="e">
        <f ca="1">_xll.EQNXTDZ($A$1,$B20,AC$1,$B$1)</f>
        <v>#NAME?</v>
      </c>
      <c r="AD20" s="100" t="e">
        <f ca="1">_xll.EQNXTDZ($A$1,$B20,AD$1,$B$1)</f>
        <v>#NAME?</v>
      </c>
      <c r="AE20" s="100" t="e">
        <f ca="1">_xll.EQNXTDZ($A$1,$B20,AE$1,$B$1)</f>
        <v>#NAME?</v>
      </c>
      <c r="AF20" s="100" t="e">
        <f ca="1">_xll.EQNXTDZ($A$1,$B20,AF$1,$B$1)</f>
        <v>#NAME?</v>
      </c>
    </row>
    <row r="21" spans="1:32" x14ac:dyDescent="0.25">
      <c r="A21" t="s">
        <v>121</v>
      </c>
      <c r="B21" t="s">
        <v>146</v>
      </c>
      <c r="C21" s="100" t="e">
        <f ca="1">_xll.EQNXTDZ($A$1,$B21,C$1,$B$1)</f>
        <v>#NAME?</v>
      </c>
      <c r="D21" s="100" t="e">
        <f ca="1">_xll.EQNXTDZ($A$1,$B21,D$1,$B$1)</f>
        <v>#NAME?</v>
      </c>
      <c r="E21" s="100" t="e">
        <f ca="1">_xll.EQNXTDZ($A$1,$B21,E$1,$B$1)</f>
        <v>#NAME?</v>
      </c>
      <c r="F21" s="100" t="e">
        <f ca="1">_xll.EQNXTDZ($A$1,$B21,F$1,$B$1)</f>
        <v>#NAME?</v>
      </c>
      <c r="G21" s="100" t="e">
        <f ca="1">_xll.EQNXTDZ($A$1,$B21,G$1,$B$1)</f>
        <v>#NAME?</v>
      </c>
      <c r="H21" s="100" t="e">
        <f ca="1">_xll.EQNXTDZ($A$1,$B21,H$1,$B$1)</f>
        <v>#NAME?</v>
      </c>
      <c r="I21" s="100" t="e">
        <f ca="1">_xll.EQNXTDZ($A$1,$B21,I$1,$B$1)</f>
        <v>#NAME?</v>
      </c>
      <c r="J21" s="100" t="e">
        <f ca="1">_xll.EQNXTDZ($A$1,$B21,J$1,$B$1)</f>
        <v>#NAME?</v>
      </c>
      <c r="K21" s="100" t="e">
        <f ca="1">_xll.EQNXTDZ($A$1,$B21,K$1,$B$1)</f>
        <v>#NAME?</v>
      </c>
      <c r="L21" s="100" t="e">
        <f ca="1">_xll.EQNXTDZ($A$1,$B21,L$1,$B$1)</f>
        <v>#NAME?</v>
      </c>
      <c r="M21" s="100" t="e">
        <f ca="1">_xll.EQNXTDZ($A$1,$B21,M$1,$B$1)</f>
        <v>#NAME?</v>
      </c>
      <c r="N21" s="100" t="e">
        <f ca="1">_xll.EQNXTDZ($A$1,$B21,N$1,$B$1)</f>
        <v>#NAME?</v>
      </c>
      <c r="O21" s="100" t="e">
        <f ca="1">_xll.EQNXTDZ($A$1,$B21,O$1,$B$1)</f>
        <v>#NAME?</v>
      </c>
      <c r="P21" s="100" t="e">
        <f ca="1">_xll.EQNXTDZ($A$1,$B21,P$1,$B$1)</f>
        <v>#NAME?</v>
      </c>
      <c r="Q21" s="100" t="e">
        <f ca="1">_xll.EQNXTDZ($A$1,$B21,Q$1,$B$1)</f>
        <v>#NAME?</v>
      </c>
      <c r="R21" s="100" t="e">
        <f ca="1">_xll.EQNXTDZ($A$1,$B21,R$1,$B$1)</f>
        <v>#NAME?</v>
      </c>
      <c r="S21" s="100" t="e">
        <f ca="1">_xll.EQNXTDZ($A$1,$B21,S$1,$B$1)</f>
        <v>#NAME?</v>
      </c>
      <c r="T21" s="100" t="e">
        <f ca="1">_xll.EQNXTDZ($A$1,$B21,T$1,$B$1)</f>
        <v>#NAME?</v>
      </c>
      <c r="U21" s="100" t="e">
        <f ca="1">_xll.EQNXTDZ($A$1,$B21,U$1,$B$1)</f>
        <v>#NAME?</v>
      </c>
      <c r="V21" s="100" t="e">
        <f ca="1">_xll.EQNXTDZ($A$1,$B21,V$1,$B$1)</f>
        <v>#NAME?</v>
      </c>
      <c r="W21" s="100" t="e">
        <f ca="1">_xll.EQNXTDZ($A$1,$B21,W$1,$B$1)</f>
        <v>#NAME?</v>
      </c>
      <c r="X21" s="100" t="e">
        <f ca="1">_xll.EQNXTDZ($A$1,$B21,X$1,$B$1)</f>
        <v>#NAME?</v>
      </c>
      <c r="Y21" s="100" t="e">
        <f ca="1">_xll.EQNXTDZ($A$1,$B21,Y$1,$B$1)</f>
        <v>#NAME?</v>
      </c>
      <c r="Z21" s="100" t="e">
        <f ca="1">_xll.EQNXTDZ($A$1,$B21,Z$1,$B$1)</f>
        <v>#NAME?</v>
      </c>
      <c r="AA21" s="100" t="e">
        <f ca="1">_xll.EQNXTDZ($A$1,$B21,AA$1,$B$1)</f>
        <v>#NAME?</v>
      </c>
      <c r="AB21" s="100" t="e">
        <f ca="1">_xll.EQNXTDZ($A$1,$B21,AB$1,$B$1)</f>
        <v>#NAME?</v>
      </c>
      <c r="AC21" s="100" t="e">
        <f ca="1">_xll.EQNXTDZ($A$1,$B21,AC$1,$B$1)</f>
        <v>#NAME?</v>
      </c>
      <c r="AD21" s="100" t="e">
        <f ca="1">_xll.EQNXTDZ($A$1,$B21,AD$1,$B$1)</f>
        <v>#NAME?</v>
      </c>
      <c r="AE21" s="100" t="e">
        <f ca="1">_xll.EQNXTDZ($A$1,$B21,AE$1,$B$1)</f>
        <v>#NAME?</v>
      </c>
      <c r="AF21" s="100" t="e">
        <f ca="1">_xll.EQNXTDZ($A$1,$B21,AF$1,$B$1)</f>
        <v>#NAME?</v>
      </c>
    </row>
    <row r="22" spans="1:32" x14ac:dyDescent="0.25">
      <c r="A22" t="s">
        <v>122</v>
      </c>
      <c r="B22" t="s">
        <v>147</v>
      </c>
      <c r="C22" s="100" t="e">
        <f ca="1">_xll.EQNXTDZ($A$1,$B22,C$1,$B$1)</f>
        <v>#NAME?</v>
      </c>
      <c r="D22" s="100" t="e">
        <f ca="1">_xll.EQNXTDZ($A$1,$B22,D$1,$B$1)</f>
        <v>#NAME?</v>
      </c>
      <c r="E22" s="100" t="e">
        <f ca="1">_xll.EQNXTDZ($A$1,$B22,E$1,$B$1)</f>
        <v>#NAME?</v>
      </c>
      <c r="F22" s="100" t="e">
        <f ca="1">_xll.EQNXTDZ($A$1,$B22,F$1,$B$1)</f>
        <v>#NAME?</v>
      </c>
      <c r="G22" s="100" t="e">
        <f ca="1">_xll.EQNXTDZ($A$1,$B22,G$1,$B$1)</f>
        <v>#NAME?</v>
      </c>
      <c r="H22" s="100" t="e">
        <f ca="1">_xll.EQNXTDZ($A$1,$B22,H$1,$B$1)</f>
        <v>#NAME?</v>
      </c>
      <c r="I22" s="100" t="e">
        <f ca="1">_xll.EQNXTDZ($A$1,$B22,I$1,$B$1)</f>
        <v>#NAME?</v>
      </c>
      <c r="J22" s="100" t="e">
        <f ca="1">_xll.EQNXTDZ($A$1,$B22,J$1,$B$1)</f>
        <v>#NAME?</v>
      </c>
      <c r="K22" s="100" t="e">
        <f ca="1">_xll.EQNXTDZ($A$1,$B22,K$1,$B$1)</f>
        <v>#NAME?</v>
      </c>
      <c r="L22" s="100" t="e">
        <f ca="1">_xll.EQNXTDZ($A$1,$B22,L$1,$B$1)</f>
        <v>#NAME?</v>
      </c>
      <c r="M22" s="100" t="e">
        <f ca="1">_xll.EQNXTDZ($A$1,$B22,M$1,$B$1)</f>
        <v>#NAME?</v>
      </c>
      <c r="N22" s="100" t="e">
        <f ca="1">_xll.EQNXTDZ($A$1,$B22,N$1,$B$1)</f>
        <v>#NAME?</v>
      </c>
      <c r="O22" s="100" t="e">
        <f ca="1">_xll.EQNXTDZ($A$1,$B22,O$1,$B$1)</f>
        <v>#NAME?</v>
      </c>
      <c r="P22" s="100" t="e">
        <f ca="1">_xll.EQNXTDZ($A$1,$B22,P$1,$B$1)</f>
        <v>#NAME?</v>
      </c>
      <c r="Q22" s="100" t="e">
        <f ca="1">_xll.EQNXTDZ($A$1,$B22,Q$1,$B$1)</f>
        <v>#NAME?</v>
      </c>
      <c r="R22" s="100" t="e">
        <f ca="1">_xll.EQNXTDZ($A$1,$B22,R$1,$B$1)</f>
        <v>#NAME?</v>
      </c>
      <c r="S22" s="100" t="e">
        <f ca="1">_xll.EQNXTDZ($A$1,$B22,S$1,$B$1)</f>
        <v>#NAME?</v>
      </c>
      <c r="T22" s="100" t="e">
        <f ca="1">_xll.EQNXTDZ($A$1,$B22,T$1,$B$1)</f>
        <v>#NAME?</v>
      </c>
      <c r="U22" s="100" t="e">
        <f ca="1">_xll.EQNXTDZ($A$1,$B22,U$1,$B$1)</f>
        <v>#NAME?</v>
      </c>
      <c r="V22" s="100" t="e">
        <f ca="1">_xll.EQNXTDZ($A$1,$B22,V$1,$B$1)</f>
        <v>#NAME?</v>
      </c>
      <c r="W22" s="100" t="e">
        <f ca="1">_xll.EQNXTDZ($A$1,$B22,W$1,$B$1)</f>
        <v>#NAME?</v>
      </c>
      <c r="X22" s="100" t="e">
        <f ca="1">_xll.EQNXTDZ($A$1,$B22,X$1,$B$1)</f>
        <v>#NAME?</v>
      </c>
      <c r="Y22" s="100" t="e">
        <f ca="1">_xll.EQNXTDZ($A$1,$B22,Y$1,$B$1)</f>
        <v>#NAME?</v>
      </c>
      <c r="Z22" s="100" t="e">
        <f ca="1">_xll.EQNXTDZ($A$1,$B22,Z$1,$B$1)</f>
        <v>#NAME?</v>
      </c>
      <c r="AA22" s="100" t="e">
        <f ca="1">_xll.EQNXTDZ($A$1,$B22,AA$1,$B$1)</f>
        <v>#NAME?</v>
      </c>
      <c r="AB22" s="100" t="e">
        <f ca="1">_xll.EQNXTDZ($A$1,$B22,AB$1,$B$1)</f>
        <v>#NAME?</v>
      </c>
      <c r="AC22" s="100" t="e">
        <f ca="1">_xll.EQNXTDZ($A$1,$B22,AC$1,$B$1)</f>
        <v>#NAME?</v>
      </c>
      <c r="AD22" s="100" t="e">
        <f ca="1">_xll.EQNXTDZ($A$1,$B22,AD$1,$B$1)</f>
        <v>#NAME?</v>
      </c>
      <c r="AE22" s="100" t="e">
        <f ca="1">_xll.EQNXTDZ($A$1,$B22,AE$1,$B$1)</f>
        <v>#NAME?</v>
      </c>
      <c r="AF22" s="100" t="e">
        <f ca="1">_xll.EQNXTDZ($A$1,$B22,AF$1,$B$1)</f>
        <v>#NAME?</v>
      </c>
    </row>
    <row r="23" spans="1:32" x14ac:dyDescent="0.25">
      <c r="A23" t="s">
        <v>17</v>
      </c>
      <c r="B23" t="s">
        <v>148</v>
      </c>
      <c r="C23" s="100" t="e">
        <f ca="1">_xll.EQNXTDZ($A$1,$B23,C$1,$B$1)</f>
        <v>#NAME?</v>
      </c>
      <c r="D23" s="100" t="e">
        <f ca="1">_xll.EQNXTDZ($A$1,$B23,D$1,$B$1)</f>
        <v>#NAME?</v>
      </c>
      <c r="E23" s="100" t="e">
        <f ca="1">_xll.EQNXTDZ($A$1,$B23,E$1,$B$1)</f>
        <v>#NAME?</v>
      </c>
      <c r="F23" s="100" t="e">
        <f ca="1">_xll.EQNXTDZ($A$1,$B23,F$1,$B$1)</f>
        <v>#NAME?</v>
      </c>
      <c r="G23" s="100" t="e">
        <f ca="1">_xll.EQNXTDZ($A$1,$B23,G$1,$B$1)</f>
        <v>#NAME?</v>
      </c>
      <c r="H23" s="100" t="e">
        <f ca="1">_xll.EQNXTDZ($A$1,$B23,H$1,$B$1)</f>
        <v>#NAME?</v>
      </c>
      <c r="I23" s="100" t="e">
        <f ca="1">_xll.EQNXTDZ($A$1,$B23,I$1,$B$1)</f>
        <v>#NAME?</v>
      </c>
      <c r="J23" s="100" t="e">
        <f ca="1">_xll.EQNXTDZ($A$1,$B23,J$1,$B$1)</f>
        <v>#NAME?</v>
      </c>
      <c r="K23" s="100" t="e">
        <f ca="1">_xll.EQNXTDZ($A$1,$B23,K$1,$B$1)</f>
        <v>#NAME?</v>
      </c>
      <c r="L23" s="100" t="e">
        <f ca="1">_xll.EQNXTDZ($A$1,$B23,L$1,$B$1)</f>
        <v>#NAME?</v>
      </c>
      <c r="M23" s="100" t="e">
        <f ca="1">_xll.EQNXTDZ($A$1,$B23,M$1,$B$1)</f>
        <v>#NAME?</v>
      </c>
      <c r="N23" s="100" t="e">
        <f ca="1">_xll.EQNXTDZ($A$1,$B23,N$1,$B$1)</f>
        <v>#NAME?</v>
      </c>
      <c r="O23" s="100" t="e">
        <f ca="1">_xll.EQNXTDZ($A$1,$B23,O$1,$B$1)</f>
        <v>#NAME?</v>
      </c>
      <c r="P23" s="100" t="e">
        <f ca="1">_xll.EQNXTDZ($A$1,$B23,P$1,$B$1)</f>
        <v>#NAME?</v>
      </c>
      <c r="Q23" s="100" t="e">
        <f ca="1">_xll.EQNXTDZ($A$1,$B23,Q$1,$B$1)</f>
        <v>#NAME?</v>
      </c>
      <c r="R23" s="100" t="e">
        <f ca="1">_xll.EQNXTDZ($A$1,$B23,R$1,$B$1)</f>
        <v>#NAME?</v>
      </c>
      <c r="S23" s="100" t="e">
        <f ca="1">_xll.EQNXTDZ($A$1,$B23,S$1,$B$1)</f>
        <v>#NAME?</v>
      </c>
      <c r="T23" s="100" t="e">
        <f ca="1">_xll.EQNXTDZ($A$1,$B23,T$1,$B$1)</f>
        <v>#NAME?</v>
      </c>
      <c r="U23" s="100" t="e">
        <f ca="1">_xll.EQNXTDZ($A$1,$B23,U$1,$B$1)</f>
        <v>#NAME?</v>
      </c>
      <c r="V23" s="100" t="e">
        <f ca="1">_xll.EQNXTDZ($A$1,$B23,V$1,$B$1)</f>
        <v>#NAME?</v>
      </c>
      <c r="W23" s="100" t="e">
        <f ca="1">_xll.EQNXTDZ($A$1,$B23,W$1,$B$1)</f>
        <v>#NAME?</v>
      </c>
      <c r="X23" s="100" t="e">
        <f ca="1">_xll.EQNXTDZ($A$1,$B23,X$1,$B$1)</f>
        <v>#NAME?</v>
      </c>
      <c r="Y23" s="100" t="e">
        <f ca="1">_xll.EQNXTDZ($A$1,$B23,Y$1,$B$1)</f>
        <v>#NAME?</v>
      </c>
      <c r="Z23" s="100" t="e">
        <f ca="1">_xll.EQNXTDZ($A$1,$B23,Z$1,$B$1)</f>
        <v>#NAME?</v>
      </c>
      <c r="AA23" s="100" t="e">
        <f ca="1">_xll.EQNXTDZ($A$1,$B23,AA$1,$B$1)</f>
        <v>#NAME?</v>
      </c>
      <c r="AB23" s="100" t="e">
        <f ca="1">_xll.EQNXTDZ($A$1,$B23,AB$1,$B$1)</f>
        <v>#NAME?</v>
      </c>
      <c r="AC23" s="100" t="e">
        <f ca="1">_xll.EQNXTDZ($A$1,$B23,AC$1,$B$1)</f>
        <v>#NAME?</v>
      </c>
      <c r="AD23" s="100" t="e">
        <f ca="1">_xll.EQNXTDZ($A$1,$B23,AD$1,$B$1)</f>
        <v>#NAME?</v>
      </c>
      <c r="AE23" s="100" t="e">
        <f ca="1">_xll.EQNXTDZ($A$1,$B23,AE$1,$B$1)</f>
        <v>#NAME?</v>
      </c>
      <c r="AF23" s="100" t="e">
        <f ca="1">_xll.EQNXTDZ($A$1,$B23,AF$1,$B$1)</f>
        <v>#NAME?</v>
      </c>
    </row>
    <row r="24" spans="1:32" x14ac:dyDescent="0.25">
      <c r="A24" t="s">
        <v>123</v>
      </c>
      <c r="B24" t="s">
        <v>149</v>
      </c>
      <c r="C24" s="100" t="e">
        <f ca="1">_xll.EQNXTDZ($A$1,$B24,C$1,$B$1)</f>
        <v>#NAME?</v>
      </c>
      <c r="D24" s="100" t="e">
        <f ca="1">_xll.EQNXTDZ($A$1,$B24,D$1,$B$1)</f>
        <v>#NAME?</v>
      </c>
      <c r="E24" s="100" t="e">
        <f ca="1">_xll.EQNXTDZ($A$1,$B24,E$1,$B$1)</f>
        <v>#NAME?</v>
      </c>
      <c r="F24" s="100" t="e">
        <f ca="1">_xll.EQNXTDZ($A$1,$B24,F$1,$B$1)</f>
        <v>#NAME?</v>
      </c>
      <c r="G24" s="100" t="e">
        <f ca="1">_xll.EQNXTDZ($A$1,$B24,G$1,$B$1)</f>
        <v>#NAME?</v>
      </c>
      <c r="H24" s="100" t="e">
        <f ca="1">_xll.EQNXTDZ($A$1,$B24,H$1,$B$1)</f>
        <v>#NAME?</v>
      </c>
      <c r="I24" s="100" t="e">
        <f ca="1">_xll.EQNXTDZ($A$1,$B24,I$1,$B$1)</f>
        <v>#NAME?</v>
      </c>
      <c r="J24" s="100" t="e">
        <f ca="1">_xll.EQNXTDZ($A$1,$B24,J$1,$B$1)</f>
        <v>#NAME?</v>
      </c>
      <c r="K24" s="100" t="e">
        <f ca="1">_xll.EQNXTDZ($A$1,$B24,K$1,$B$1)</f>
        <v>#NAME?</v>
      </c>
      <c r="L24" s="100" t="e">
        <f ca="1">_xll.EQNXTDZ($A$1,$B24,L$1,$B$1)</f>
        <v>#NAME?</v>
      </c>
      <c r="M24" s="100" t="e">
        <f ca="1">_xll.EQNXTDZ($A$1,$B24,M$1,$B$1)</f>
        <v>#NAME?</v>
      </c>
      <c r="N24" s="100" t="e">
        <f ca="1">_xll.EQNXTDZ($A$1,$B24,N$1,$B$1)</f>
        <v>#NAME?</v>
      </c>
      <c r="O24" s="100" t="e">
        <f ca="1">_xll.EQNXTDZ($A$1,$B24,O$1,$B$1)</f>
        <v>#NAME?</v>
      </c>
      <c r="P24" s="100" t="e">
        <f ca="1">_xll.EQNXTDZ($A$1,$B24,P$1,$B$1)</f>
        <v>#NAME?</v>
      </c>
      <c r="Q24" s="100" t="e">
        <f ca="1">_xll.EQNXTDZ($A$1,$B24,Q$1,$B$1)</f>
        <v>#NAME?</v>
      </c>
      <c r="R24" s="100" t="e">
        <f ca="1">_xll.EQNXTDZ($A$1,$B24,R$1,$B$1)</f>
        <v>#NAME?</v>
      </c>
      <c r="S24" s="100" t="e">
        <f ca="1">_xll.EQNXTDZ($A$1,$B24,S$1,$B$1)</f>
        <v>#NAME?</v>
      </c>
      <c r="T24" s="100" t="e">
        <f ca="1">_xll.EQNXTDZ($A$1,$B24,T$1,$B$1)</f>
        <v>#NAME?</v>
      </c>
      <c r="U24" s="100" t="e">
        <f ca="1">_xll.EQNXTDZ($A$1,$B24,U$1,$B$1)</f>
        <v>#NAME?</v>
      </c>
      <c r="V24" s="100" t="e">
        <f ca="1">_xll.EQNXTDZ($A$1,$B24,V$1,$B$1)</f>
        <v>#NAME?</v>
      </c>
      <c r="W24" s="100" t="e">
        <f ca="1">_xll.EQNXTDZ($A$1,$B24,W$1,$B$1)</f>
        <v>#NAME?</v>
      </c>
      <c r="X24" s="100" t="e">
        <f ca="1">_xll.EQNXTDZ($A$1,$B24,X$1,$B$1)</f>
        <v>#NAME?</v>
      </c>
      <c r="Y24" s="100" t="e">
        <f ca="1">_xll.EQNXTDZ($A$1,$B24,Y$1,$B$1)</f>
        <v>#NAME?</v>
      </c>
      <c r="Z24" s="100" t="e">
        <f ca="1">_xll.EQNXTDZ($A$1,$B24,Z$1,$B$1)</f>
        <v>#NAME?</v>
      </c>
      <c r="AA24" s="100" t="e">
        <f ca="1">_xll.EQNXTDZ($A$1,$B24,AA$1,$B$1)</f>
        <v>#NAME?</v>
      </c>
      <c r="AB24" s="100" t="e">
        <f ca="1">_xll.EQNXTDZ($A$1,$B24,AB$1,$B$1)</f>
        <v>#NAME?</v>
      </c>
      <c r="AC24" s="100" t="e">
        <f ca="1">_xll.EQNXTDZ($A$1,$B24,AC$1,$B$1)</f>
        <v>#NAME?</v>
      </c>
      <c r="AD24" s="100" t="e">
        <f ca="1">_xll.EQNXTDZ($A$1,$B24,AD$1,$B$1)</f>
        <v>#NAME?</v>
      </c>
      <c r="AE24" s="100" t="e">
        <f ca="1">_xll.EQNXTDZ($A$1,$B24,AE$1,$B$1)</f>
        <v>#NAME?</v>
      </c>
      <c r="AF24" s="100" t="e">
        <f ca="1">_xll.EQNXTDZ($A$1,$B24,AF$1,$B$1)</f>
        <v>#NAME?</v>
      </c>
    </row>
    <row r="25" spans="1:32" x14ac:dyDescent="0.25">
      <c r="A25" t="s">
        <v>18</v>
      </c>
      <c r="B25" t="s">
        <v>150</v>
      </c>
      <c r="C25" s="100" t="e">
        <f ca="1">_xll.EQNXTDZ($A$1,$B25,C$1,$B$1)</f>
        <v>#NAME?</v>
      </c>
      <c r="D25" s="100" t="e">
        <f ca="1">_xll.EQNXTDZ($A$1,$B25,D$1,$B$1)</f>
        <v>#NAME?</v>
      </c>
      <c r="E25" s="100" t="e">
        <f ca="1">_xll.EQNXTDZ($A$1,$B25,E$1,$B$1)</f>
        <v>#NAME?</v>
      </c>
      <c r="F25" s="100" t="e">
        <f ca="1">_xll.EQNXTDZ($A$1,$B25,F$1,$B$1)</f>
        <v>#NAME?</v>
      </c>
      <c r="G25" s="100" t="e">
        <f ca="1">_xll.EQNXTDZ($A$1,$B25,G$1,$B$1)</f>
        <v>#NAME?</v>
      </c>
      <c r="H25" s="100" t="e">
        <f ca="1">_xll.EQNXTDZ($A$1,$B25,H$1,$B$1)</f>
        <v>#NAME?</v>
      </c>
      <c r="I25" s="100" t="e">
        <f ca="1">_xll.EQNXTDZ($A$1,$B25,I$1,$B$1)</f>
        <v>#NAME?</v>
      </c>
      <c r="J25" s="100" t="e">
        <f ca="1">_xll.EQNXTDZ($A$1,$B25,J$1,$B$1)</f>
        <v>#NAME?</v>
      </c>
      <c r="K25" s="100" t="e">
        <f ca="1">_xll.EQNXTDZ($A$1,$B25,K$1,$B$1)</f>
        <v>#NAME?</v>
      </c>
      <c r="L25" s="100" t="e">
        <f ca="1">_xll.EQNXTDZ($A$1,$B25,L$1,$B$1)</f>
        <v>#NAME?</v>
      </c>
      <c r="M25" s="100" t="e">
        <f ca="1">_xll.EQNXTDZ($A$1,$B25,M$1,$B$1)</f>
        <v>#NAME?</v>
      </c>
      <c r="N25" s="100" t="e">
        <f ca="1">_xll.EQNXTDZ($A$1,$B25,N$1,$B$1)</f>
        <v>#NAME?</v>
      </c>
      <c r="O25" s="100" t="e">
        <f ca="1">_xll.EQNXTDZ($A$1,$B25,O$1,$B$1)</f>
        <v>#NAME?</v>
      </c>
      <c r="P25" s="100" t="e">
        <f ca="1">_xll.EQNXTDZ($A$1,$B25,P$1,$B$1)</f>
        <v>#NAME?</v>
      </c>
      <c r="Q25" s="100" t="e">
        <f ca="1">_xll.EQNXTDZ($A$1,$B25,Q$1,$B$1)</f>
        <v>#NAME?</v>
      </c>
      <c r="R25" s="100" t="e">
        <f ca="1">_xll.EQNXTDZ($A$1,$B25,R$1,$B$1)</f>
        <v>#NAME?</v>
      </c>
      <c r="S25" s="100" t="e">
        <f ca="1">_xll.EQNXTDZ($A$1,$B25,S$1,$B$1)</f>
        <v>#NAME?</v>
      </c>
      <c r="T25" s="100" t="e">
        <f ca="1">_xll.EQNXTDZ($A$1,$B25,T$1,$B$1)</f>
        <v>#NAME?</v>
      </c>
      <c r="U25" s="100" t="e">
        <f ca="1">_xll.EQNXTDZ($A$1,$B25,U$1,$B$1)</f>
        <v>#NAME?</v>
      </c>
      <c r="V25" s="100" t="e">
        <f ca="1">_xll.EQNXTDZ($A$1,$B25,V$1,$B$1)</f>
        <v>#NAME?</v>
      </c>
      <c r="W25" s="100" t="e">
        <f ca="1">_xll.EQNXTDZ($A$1,$B25,W$1,$B$1)</f>
        <v>#NAME?</v>
      </c>
      <c r="X25" s="100" t="e">
        <f ca="1">_xll.EQNXTDZ($A$1,$B25,X$1,$B$1)</f>
        <v>#NAME?</v>
      </c>
      <c r="Y25" s="100" t="e">
        <f ca="1">_xll.EQNXTDZ($A$1,$B25,Y$1,$B$1)</f>
        <v>#NAME?</v>
      </c>
      <c r="Z25" s="100" t="e">
        <f ca="1">_xll.EQNXTDZ($A$1,$B25,Z$1,$B$1)</f>
        <v>#NAME?</v>
      </c>
      <c r="AA25" s="100" t="e">
        <f ca="1">_xll.EQNXTDZ($A$1,$B25,AA$1,$B$1)</f>
        <v>#NAME?</v>
      </c>
      <c r="AB25" s="100" t="e">
        <f ca="1">_xll.EQNXTDZ($A$1,$B25,AB$1,$B$1)</f>
        <v>#NAME?</v>
      </c>
      <c r="AC25" s="100" t="e">
        <f ca="1">_xll.EQNXTDZ($A$1,$B25,AC$1,$B$1)</f>
        <v>#NAME?</v>
      </c>
      <c r="AD25" s="100" t="e">
        <f ca="1">_xll.EQNXTDZ($A$1,$B25,AD$1,$B$1)</f>
        <v>#NAME?</v>
      </c>
      <c r="AE25" s="100" t="e">
        <f ca="1">_xll.EQNXTDZ($A$1,$B25,AE$1,$B$1)</f>
        <v>#NAME?</v>
      </c>
      <c r="AF25" s="100" t="e">
        <f ca="1">_xll.EQNXTDZ($A$1,$B25,AF$1,$B$1)</f>
        <v>#NAME?</v>
      </c>
    </row>
    <row r="26" spans="1:32" x14ac:dyDescent="0.25">
      <c r="A26" t="s">
        <v>124</v>
      </c>
      <c r="B26" t="s">
        <v>151</v>
      </c>
      <c r="C26" s="100" t="e">
        <f ca="1">_xll.EQNXTDZ($A$1,$B26,C$1,$B$1)</f>
        <v>#NAME?</v>
      </c>
      <c r="D26" s="100" t="e">
        <f ca="1">_xll.EQNXTDZ($A$1,$B26,D$1,$B$1)</f>
        <v>#NAME?</v>
      </c>
      <c r="E26" s="100" t="e">
        <f ca="1">_xll.EQNXTDZ($A$1,$B26,E$1,$B$1)</f>
        <v>#NAME?</v>
      </c>
      <c r="F26" s="100" t="e">
        <f ca="1">_xll.EQNXTDZ($A$1,$B26,F$1,$B$1)</f>
        <v>#NAME?</v>
      </c>
      <c r="G26" s="100" t="e">
        <f ca="1">_xll.EQNXTDZ($A$1,$B26,G$1,$B$1)</f>
        <v>#NAME?</v>
      </c>
      <c r="H26" s="100" t="e">
        <f ca="1">_xll.EQNXTDZ($A$1,$B26,H$1,$B$1)</f>
        <v>#NAME?</v>
      </c>
      <c r="I26" s="100" t="e">
        <f ca="1">_xll.EQNXTDZ($A$1,$B26,I$1,$B$1)</f>
        <v>#NAME?</v>
      </c>
      <c r="J26" s="100" t="e">
        <f ca="1">_xll.EQNXTDZ($A$1,$B26,J$1,$B$1)</f>
        <v>#NAME?</v>
      </c>
      <c r="K26" s="100" t="e">
        <f ca="1">_xll.EQNXTDZ($A$1,$B26,K$1,$B$1)</f>
        <v>#NAME?</v>
      </c>
      <c r="L26" s="100" t="e">
        <f ca="1">_xll.EQNXTDZ($A$1,$B26,L$1,$B$1)</f>
        <v>#NAME?</v>
      </c>
      <c r="M26" s="100" t="e">
        <f ca="1">_xll.EQNXTDZ($A$1,$B26,M$1,$B$1)</f>
        <v>#NAME?</v>
      </c>
      <c r="N26" s="100" t="e">
        <f ca="1">_xll.EQNXTDZ($A$1,$B26,N$1,$B$1)</f>
        <v>#NAME?</v>
      </c>
      <c r="O26" s="100" t="e">
        <f ca="1">_xll.EQNXTDZ($A$1,$B26,O$1,$B$1)</f>
        <v>#NAME?</v>
      </c>
      <c r="P26" s="100" t="e">
        <f ca="1">_xll.EQNXTDZ($A$1,$B26,P$1,$B$1)</f>
        <v>#NAME?</v>
      </c>
      <c r="Q26" s="100" t="e">
        <f ca="1">_xll.EQNXTDZ($A$1,$B26,Q$1,$B$1)</f>
        <v>#NAME?</v>
      </c>
      <c r="R26" s="100" t="e">
        <f ca="1">_xll.EQNXTDZ($A$1,$B26,R$1,$B$1)</f>
        <v>#NAME?</v>
      </c>
      <c r="S26" s="100" t="e">
        <f ca="1">_xll.EQNXTDZ($A$1,$B26,S$1,$B$1)</f>
        <v>#NAME?</v>
      </c>
      <c r="T26" s="100" t="e">
        <f ca="1">_xll.EQNXTDZ($A$1,$B26,T$1,$B$1)</f>
        <v>#NAME?</v>
      </c>
      <c r="U26" s="100" t="e">
        <f ca="1">_xll.EQNXTDZ($A$1,$B26,U$1,$B$1)</f>
        <v>#NAME?</v>
      </c>
      <c r="V26" s="100" t="e">
        <f ca="1">_xll.EQNXTDZ($A$1,$B26,V$1,$B$1)</f>
        <v>#NAME?</v>
      </c>
      <c r="W26" s="100" t="e">
        <f ca="1">_xll.EQNXTDZ($A$1,$B26,W$1,$B$1)</f>
        <v>#NAME?</v>
      </c>
      <c r="X26" s="100" t="e">
        <f ca="1">_xll.EQNXTDZ($A$1,$B26,X$1,$B$1)</f>
        <v>#NAME?</v>
      </c>
      <c r="Y26" s="100" t="e">
        <f ca="1">_xll.EQNXTDZ($A$1,$B26,Y$1,$B$1)</f>
        <v>#NAME?</v>
      </c>
      <c r="Z26" s="100" t="e">
        <f ca="1">_xll.EQNXTDZ($A$1,$B26,Z$1,$B$1)</f>
        <v>#NAME?</v>
      </c>
      <c r="AA26" s="100" t="e">
        <f ca="1">_xll.EQNXTDZ($A$1,$B26,AA$1,$B$1)</f>
        <v>#NAME?</v>
      </c>
      <c r="AB26" s="100" t="e">
        <f ca="1">_xll.EQNXTDZ($A$1,$B26,AB$1,$B$1)</f>
        <v>#NAME?</v>
      </c>
      <c r="AC26" s="100" t="e">
        <f ca="1">_xll.EQNXTDZ($A$1,$B26,AC$1,$B$1)</f>
        <v>#NAME?</v>
      </c>
      <c r="AD26" s="100" t="e">
        <f ca="1">_xll.EQNXTDZ($A$1,$B26,AD$1,$B$1)</f>
        <v>#NAME?</v>
      </c>
      <c r="AE26" s="100" t="e">
        <f ca="1">_xll.EQNXTDZ($A$1,$B26,AE$1,$B$1)</f>
        <v>#NAME?</v>
      </c>
      <c r="AF26" s="100" t="e">
        <f ca="1">_xll.EQNXTDZ($A$1,$B26,AF$1,$B$1)</f>
        <v>#NAME?</v>
      </c>
    </row>
    <row r="27" spans="1:32" x14ac:dyDescent="0.25">
      <c r="A27" t="s">
        <v>15</v>
      </c>
      <c r="B27" t="s">
        <v>152</v>
      </c>
      <c r="C27" s="100" t="e">
        <f ca="1">_xll.EQNXTDZ($A$1,$B27,C$1,$B$1)</f>
        <v>#NAME?</v>
      </c>
      <c r="D27" s="100" t="e">
        <f ca="1">_xll.EQNXTDZ($A$1,$B27,D$1,$B$1)</f>
        <v>#NAME?</v>
      </c>
      <c r="E27" s="100" t="e">
        <f ca="1">_xll.EQNXTDZ($A$1,$B27,E$1,$B$1)</f>
        <v>#NAME?</v>
      </c>
      <c r="F27" s="100" t="e">
        <f ca="1">_xll.EQNXTDZ($A$1,$B27,F$1,$B$1)</f>
        <v>#NAME?</v>
      </c>
      <c r="G27" s="100" t="e">
        <f ca="1">_xll.EQNXTDZ($A$1,$B27,G$1,$B$1)</f>
        <v>#NAME?</v>
      </c>
      <c r="H27" s="100" t="e">
        <f ca="1">_xll.EQNXTDZ($A$1,$B27,H$1,$B$1)</f>
        <v>#NAME?</v>
      </c>
      <c r="I27" s="100" t="e">
        <f ca="1">_xll.EQNXTDZ($A$1,$B27,I$1,$B$1)</f>
        <v>#NAME?</v>
      </c>
      <c r="J27" s="100" t="e">
        <f ca="1">_xll.EQNXTDZ($A$1,$B27,J$1,$B$1)</f>
        <v>#NAME?</v>
      </c>
      <c r="K27" s="100" t="e">
        <f ca="1">_xll.EQNXTDZ($A$1,$B27,K$1,$B$1)</f>
        <v>#NAME?</v>
      </c>
      <c r="L27" s="100" t="e">
        <f ca="1">_xll.EQNXTDZ($A$1,$B27,L$1,$B$1)</f>
        <v>#NAME?</v>
      </c>
      <c r="M27" s="100" t="e">
        <f ca="1">_xll.EQNXTDZ($A$1,$B27,M$1,$B$1)</f>
        <v>#NAME?</v>
      </c>
      <c r="N27" s="100" t="e">
        <f ca="1">_xll.EQNXTDZ($A$1,$B27,N$1,$B$1)</f>
        <v>#NAME?</v>
      </c>
      <c r="O27" s="100" t="e">
        <f ca="1">_xll.EQNXTDZ($A$1,$B27,O$1,$B$1)</f>
        <v>#NAME?</v>
      </c>
      <c r="P27" s="100" t="e">
        <f ca="1">_xll.EQNXTDZ($A$1,$B27,P$1,$B$1)</f>
        <v>#NAME?</v>
      </c>
      <c r="Q27" s="100" t="e">
        <f ca="1">_xll.EQNXTDZ($A$1,$B27,Q$1,$B$1)</f>
        <v>#NAME?</v>
      </c>
      <c r="R27" s="100" t="e">
        <f ca="1">_xll.EQNXTDZ($A$1,$B27,R$1,$B$1)</f>
        <v>#NAME?</v>
      </c>
      <c r="S27" s="100" t="e">
        <f ca="1">_xll.EQNXTDZ($A$1,$B27,S$1,$B$1)</f>
        <v>#NAME?</v>
      </c>
      <c r="T27" s="100" t="e">
        <f ca="1">_xll.EQNXTDZ($A$1,$B27,T$1,$B$1)</f>
        <v>#NAME?</v>
      </c>
      <c r="U27" s="100" t="e">
        <f ca="1">_xll.EQNXTDZ($A$1,$B27,U$1,$B$1)</f>
        <v>#NAME?</v>
      </c>
      <c r="V27" s="100" t="e">
        <f ca="1">_xll.EQNXTDZ($A$1,$B27,V$1,$B$1)</f>
        <v>#NAME?</v>
      </c>
      <c r="W27" s="100" t="e">
        <f ca="1">_xll.EQNXTDZ($A$1,$B27,W$1,$B$1)</f>
        <v>#NAME?</v>
      </c>
      <c r="X27" s="100" t="e">
        <f ca="1">_xll.EQNXTDZ($A$1,$B27,X$1,$B$1)</f>
        <v>#NAME?</v>
      </c>
      <c r="Y27" s="100" t="e">
        <f ca="1">_xll.EQNXTDZ($A$1,$B27,Y$1,$B$1)</f>
        <v>#NAME?</v>
      </c>
      <c r="Z27" s="100" t="e">
        <f ca="1">_xll.EQNXTDZ($A$1,$B27,Z$1,$B$1)</f>
        <v>#NAME?</v>
      </c>
      <c r="AA27" s="100" t="e">
        <f ca="1">_xll.EQNXTDZ($A$1,$B27,AA$1,$B$1)</f>
        <v>#NAME?</v>
      </c>
      <c r="AB27" s="100" t="e">
        <f ca="1">_xll.EQNXTDZ($A$1,$B27,AB$1,$B$1)</f>
        <v>#NAME?</v>
      </c>
      <c r="AC27" s="100" t="e">
        <f ca="1">_xll.EQNXTDZ($A$1,$B27,AC$1,$B$1)</f>
        <v>#NAME?</v>
      </c>
      <c r="AD27" s="100" t="e">
        <f ca="1">_xll.EQNXTDZ($A$1,$B27,AD$1,$B$1)</f>
        <v>#NAME?</v>
      </c>
      <c r="AE27" s="100" t="e">
        <f ca="1">_xll.EQNXTDZ($A$1,$B27,AE$1,$B$1)</f>
        <v>#NAME?</v>
      </c>
      <c r="AF27" s="100" t="e">
        <f ca="1">_xll.EQNXTDZ($A$1,$B27,AF$1,$B$1)</f>
        <v>#NAME?</v>
      </c>
    </row>
    <row r="28" spans="1:32" x14ac:dyDescent="0.25">
      <c r="A28" t="s">
        <v>125</v>
      </c>
      <c r="B28" t="s">
        <v>153</v>
      </c>
      <c r="C28" s="100" t="e">
        <f ca="1">_xll.EQNXTDZ($A$1,$B28,C$1,$B$1)</f>
        <v>#NAME?</v>
      </c>
      <c r="D28" s="100" t="e">
        <f ca="1">_xll.EQNXTDZ($A$1,$B28,D$1,$B$1)</f>
        <v>#NAME?</v>
      </c>
      <c r="E28" s="100" t="e">
        <f ca="1">_xll.EQNXTDZ($A$1,$B28,E$1,$B$1)</f>
        <v>#NAME?</v>
      </c>
      <c r="F28" s="100" t="e">
        <f ca="1">_xll.EQNXTDZ($A$1,$B28,F$1,$B$1)</f>
        <v>#NAME?</v>
      </c>
      <c r="G28" s="100" t="e">
        <f ca="1">_xll.EQNXTDZ($A$1,$B28,G$1,$B$1)</f>
        <v>#NAME?</v>
      </c>
      <c r="H28" s="100" t="e">
        <f ca="1">_xll.EQNXTDZ($A$1,$B28,H$1,$B$1)</f>
        <v>#NAME?</v>
      </c>
      <c r="I28" s="100" t="e">
        <f ca="1">_xll.EQNXTDZ($A$1,$B28,I$1,$B$1)</f>
        <v>#NAME?</v>
      </c>
      <c r="J28" s="100" t="e">
        <f ca="1">_xll.EQNXTDZ($A$1,$B28,J$1,$B$1)</f>
        <v>#NAME?</v>
      </c>
      <c r="K28" s="100" t="e">
        <f ca="1">_xll.EQNXTDZ($A$1,$B28,K$1,$B$1)</f>
        <v>#NAME?</v>
      </c>
      <c r="L28" s="100" t="e">
        <f ca="1">_xll.EQNXTDZ($A$1,$B28,L$1,$B$1)</f>
        <v>#NAME?</v>
      </c>
      <c r="M28" s="100" t="e">
        <f ca="1">_xll.EQNXTDZ($A$1,$B28,M$1,$B$1)</f>
        <v>#NAME?</v>
      </c>
      <c r="N28" s="100" t="e">
        <f ca="1">_xll.EQNXTDZ($A$1,$B28,N$1,$B$1)</f>
        <v>#NAME?</v>
      </c>
      <c r="O28" s="100" t="e">
        <f ca="1">_xll.EQNXTDZ($A$1,$B28,O$1,$B$1)</f>
        <v>#NAME?</v>
      </c>
      <c r="P28" s="100" t="e">
        <f ca="1">_xll.EQNXTDZ($A$1,$B28,P$1,$B$1)</f>
        <v>#NAME?</v>
      </c>
      <c r="Q28" s="100" t="e">
        <f ca="1">_xll.EQNXTDZ($A$1,$B28,Q$1,$B$1)</f>
        <v>#NAME?</v>
      </c>
      <c r="R28" s="100" t="e">
        <f ca="1">_xll.EQNXTDZ($A$1,$B28,R$1,$B$1)</f>
        <v>#NAME?</v>
      </c>
      <c r="S28" s="100" t="e">
        <f ca="1">_xll.EQNXTDZ($A$1,$B28,S$1,$B$1)</f>
        <v>#NAME?</v>
      </c>
      <c r="T28" s="100" t="e">
        <f ca="1">_xll.EQNXTDZ($A$1,$B28,T$1,$B$1)</f>
        <v>#NAME?</v>
      </c>
      <c r="U28" s="100" t="e">
        <f ca="1">_xll.EQNXTDZ($A$1,$B28,U$1,$B$1)</f>
        <v>#NAME?</v>
      </c>
      <c r="V28" s="100" t="e">
        <f ca="1">_xll.EQNXTDZ($A$1,$B28,V$1,$B$1)</f>
        <v>#NAME?</v>
      </c>
      <c r="W28" s="100" t="e">
        <f ca="1">_xll.EQNXTDZ($A$1,$B28,W$1,$B$1)</f>
        <v>#NAME?</v>
      </c>
      <c r="X28" s="100" t="e">
        <f ca="1">_xll.EQNXTDZ($A$1,$B28,X$1,$B$1)</f>
        <v>#NAME?</v>
      </c>
      <c r="Y28" s="100" t="e">
        <f ca="1">_xll.EQNXTDZ($A$1,$B28,Y$1,$B$1)</f>
        <v>#NAME?</v>
      </c>
      <c r="Z28" s="100" t="e">
        <f ca="1">_xll.EQNXTDZ($A$1,$B28,Z$1,$B$1)</f>
        <v>#NAME?</v>
      </c>
      <c r="AA28" s="100" t="e">
        <f ca="1">_xll.EQNXTDZ($A$1,$B28,AA$1,$B$1)</f>
        <v>#NAME?</v>
      </c>
      <c r="AB28" s="100" t="e">
        <f ca="1">_xll.EQNXTDZ($A$1,$B28,AB$1,$B$1)</f>
        <v>#NAME?</v>
      </c>
      <c r="AC28" s="100" t="e">
        <f ca="1">_xll.EQNXTDZ($A$1,$B28,AC$1,$B$1)</f>
        <v>#NAME?</v>
      </c>
      <c r="AD28" s="100" t="e">
        <f ca="1">_xll.EQNXTDZ($A$1,$B28,AD$1,$B$1)</f>
        <v>#NAME?</v>
      </c>
      <c r="AE28" s="100" t="e">
        <f ca="1">_xll.EQNXTDZ($A$1,$B28,AE$1,$B$1)</f>
        <v>#NAME?</v>
      </c>
      <c r="AF28" s="100" t="e">
        <f ca="1">_xll.EQNXTDZ($A$1,$B28,AF$1,$B$1)</f>
        <v>#NAME?</v>
      </c>
    </row>
    <row r="29" spans="1:32" x14ac:dyDescent="0.25">
      <c r="A29" t="s">
        <v>19</v>
      </c>
      <c r="B29" t="s">
        <v>154</v>
      </c>
      <c r="C29" s="100" t="e">
        <f ca="1">_xll.EQNXTDZ($A$1,$B29,C$1,$B$1)</f>
        <v>#NAME?</v>
      </c>
      <c r="D29" s="100" t="e">
        <f ca="1">_xll.EQNXTDZ($A$1,$B29,D$1,$B$1)</f>
        <v>#NAME?</v>
      </c>
      <c r="E29" s="100" t="e">
        <f ca="1">_xll.EQNXTDZ($A$1,$B29,E$1,$B$1)</f>
        <v>#NAME?</v>
      </c>
      <c r="F29" s="100" t="e">
        <f ca="1">_xll.EQNXTDZ($A$1,$B29,F$1,$B$1)</f>
        <v>#NAME?</v>
      </c>
      <c r="G29" s="100" t="e">
        <f ca="1">_xll.EQNXTDZ($A$1,$B29,G$1,$B$1)</f>
        <v>#NAME?</v>
      </c>
      <c r="H29" s="100" t="e">
        <f ca="1">_xll.EQNXTDZ($A$1,$B29,H$1,$B$1)</f>
        <v>#NAME?</v>
      </c>
      <c r="I29" s="100" t="e">
        <f ca="1">_xll.EQNXTDZ($A$1,$B29,I$1,$B$1)</f>
        <v>#NAME?</v>
      </c>
      <c r="J29" s="100" t="e">
        <f ca="1">_xll.EQNXTDZ($A$1,$B29,J$1,$B$1)</f>
        <v>#NAME?</v>
      </c>
      <c r="K29" s="100" t="e">
        <f ca="1">_xll.EQNXTDZ($A$1,$B29,K$1,$B$1)</f>
        <v>#NAME?</v>
      </c>
      <c r="L29" s="100" t="e">
        <f ca="1">_xll.EQNXTDZ($A$1,$B29,L$1,$B$1)</f>
        <v>#NAME?</v>
      </c>
      <c r="M29" s="100" t="e">
        <f ca="1">_xll.EQNXTDZ($A$1,$B29,M$1,$B$1)</f>
        <v>#NAME?</v>
      </c>
      <c r="N29" s="100" t="e">
        <f ca="1">_xll.EQNXTDZ($A$1,$B29,N$1,$B$1)</f>
        <v>#NAME?</v>
      </c>
      <c r="O29" s="100" t="e">
        <f ca="1">_xll.EQNXTDZ($A$1,$B29,O$1,$B$1)</f>
        <v>#NAME?</v>
      </c>
      <c r="P29" s="100" t="e">
        <f ca="1">_xll.EQNXTDZ($A$1,$B29,P$1,$B$1)</f>
        <v>#NAME?</v>
      </c>
      <c r="Q29" s="100" t="e">
        <f ca="1">_xll.EQNXTDZ($A$1,$B29,Q$1,$B$1)</f>
        <v>#NAME?</v>
      </c>
      <c r="R29" s="100" t="e">
        <f ca="1">_xll.EQNXTDZ($A$1,$B29,R$1,$B$1)</f>
        <v>#NAME?</v>
      </c>
      <c r="S29" s="100" t="e">
        <f ca="1">_xll.EQNXTDZ($A$1,$B29,S$1,$B$1)</f>
        <v>#NAME?</v>
      </c>
      <c r="T29" s="100" t="e">
        <f ca="1">_xll.EQNXTDZ($A$1,$B29,T$1,$B$1)</f>
        <v>#NAME?</v>
      </c>
      <c r="U29" s="100" t="e">
        <f ca="1">_xll.EQNXTDZ($A$1,$B29,U$1,$B$1)</f>
        <v>#NAME?</v>
      </c>
      <c r="V29" s="100" t="e">
        <f ca="1">_xll.EQNXTDZ($A$1,$B29,V$1,$B$1)</f>
        <v>#NAME?</v>
      </c>
      <c r="W29" s="100" t="e">
        <f ca="1">_xll.EQNXTDZ($A$1,$B29,W$1,$B$1)</f>
        <v>#NAME?</v>
      </c>
      <c r="X29" s="100" t="e">
        <f ca="1">_xll.EQNXTDZ($A$1,$B29,X$1,$B$1)</f>
        <v>#NAME?</v>
      </c>
      <c r="Y29" s="100" t="e">
        <f ca="1">_xll.EQNXTDZ($A$1,$B29,Y$1,$B$1)</f>
        <v>#NAME?</v>
      </c>
      <c r="Z29" s="100" t="e">
        <f ca="1">_xll.EQNXTDZ($A$1,$B29,Z$1,$B$1)</f>
        <v>#NAME?</v>
      </c>
      <c r="AA29" s="100" t="e">
        <f ca="1">_xll.EQNXTDZ($A$1,$B29,AA$1,$B$1)</f>
        <v>#NAME?</v>
      </c>
      <c r="AB29" s="100" t="e">
        <f ca="1">_xll.EQNXTDZ($A$1,$B29,AB$1,$B$1)</f>
        <v>#NAME?</v>
      </c>
      <c r="AC29" s="100" t="e">
        <f ca="1">_xll.EQNXTDZ($A$1,$B29,AC$1,$B$1)</f>
        <v>#NAME?</v>
      </c>
      <c r="AD29" s="100" t="e">
        <f ca="1">_xll.EQNXTDZ($A$1,$B29,AD$1,$B$1)</f>
        <v>#NAME?</v>
      </c>
      <c r="AE29" s="100" t="e">
        <f ca="1">_xll.EQNXTDZ($A$1,$B29,AE$1,$B$1)</f>
        <v>#NAME?</v>
      </c>
      <c r="AF29" s="100" t="e">
        <f ca="1">_xll.EQNXTDZ($A$1,$B29,AF$1,$B$1)</f>
        <v>#NAME?</v>
      </c>
    </row>
    <row r="30" spans="1:32" x14ac:dyDescent="0.25">
      <c r="A30" t="s">
        <v>126</v>
      </c>
      <c r="B30" t="s">
        <v>155</v>
      </c>
      <c r="C30" s="100" t="e">
        <f ca="1">_xll.EQNXTDZ($A$1,$B30,C$1,$B$1)</f>
        <v>#NAME?</v>
      </c>
      <c r="D30" s="100" t="e">
        <f ca="1">_xll.EQNXTDZ($A$1,$B30,D$1,$B$1)</f>
        <v>#NAME?</v>
      </c>
      <c r="E30" s="100" t="e">
        <f ca="1">_xll.EQNXTDZ($A$1,$B30,E$1,$B$1)</f>
        <v>#NAME?</v>
      </c>
      <c r="F30" s="100" t="e">
        <f ca="1">_xll.EQNXTDZ($A$1,$B30,F$1,$B$1)</f>
        <v>#NAME?</v>
      </c>
      <c r="G30" s="100" t="e">
        <f ca="1">_xll.EQNXTDZ($A$1,$B30,G$1,$B$1)</f>
        <v>#NAME?</v>
      </c>
      <c r="H30" s="100" t="e">
        <f ca="1">_xll.EQNXTDZ($A$1,$B30,H$1,$B$1)</f>
        <v>#NAME?</v>
      </c>
      <c r="I30" s="100" t="e">
        <f ca="1">_xll.EQNXTDZ($A$1,$B30,I$1,$B$1)</f>
        <v>#NAME?</v>
      </c>
      <c r="J30" s="100" t="e">
        <f ca="1">_xll.EQNXTDZ($A$1,$B30,J$1,$B$1)</f>
        <v>#NAME?</v>
      </c>
      <c r="K30" s="100" t="e">
        <f ca="1">_xll.EQNXTDZ($A$1,$B30,K$1,$B$1)</f>
        <v>#NAME?</v>
      </c>
      <c r="L30" s="100" t="e">
        <f ca="1">_xll.EQNXTDZ($A$1,$B30,L$1,$B$1)</f>
        <v>#NAME?</v>
      </c>
      <c r="M30" s="100" t="e">
        <f ca="1">_xll.EQNXTDZ($A$1,$B30,M$1,$B$1)</f>
        <v>#NAME?</v>
      </c>
      <c r="N30" s="100" t="e">
        <f ca="1">_xll.EQNXTDZ($A$1,$B30,N$1,$B$1)</f>
        <v>#NAME?</v>
      </c>
      <c r="O30" s="100" t="e">
        <f ca="1">_xll.EQNXTDZ($A$1,$B30,O$1,$B$1)</f>
        <v>#NAME?</v>
      </c>
      <c r="P30" s="100" t="e">
        <f ca="1">_xll.EQNXTDZ($A$1,$B30,P$1,$B$1)</f>
        <v>#NAME?</v>
      </c>
      <c r="Q30" s="100" t="e">
        <f ca="1">_xll.EQNXTDZ($A$1,$B30,Q$1,$B$1)</f>
        <v>#NAME?</v>
      </c>
      <c r="R30" s="100" t="e">
        <f ca="1">_xll.EQNXTDZ($A$1,$B30,R$1,$B$1)</f>
        <v>#NAME?</v>
      </c>
      <c r="S30" s="100" t="e">
        <f ca="1">_xll.EQNXTDZ($A$1,$B30,S$1,$B$1)</f>
        <v>#NAME?</v>
      </c>
      <c r="T30" s="100" t="e">
        <f ca="1">_xll.EQNXTDZ($A$1,$B30,T$1,$B$1)</f>
        <v>#NAME?</v>
      </c>
      <c r="U30" s="100" t="e">
        <f ca="1">_xll.EQNXTDZ($A$1,$B30,U$1,$B$1)</f>
        <v>#NAME?</v>
      </c>
      <c r="V30" s="100" t="e">
        <f ca="1">_xll.EQNXTDZ($A$1,$B30,V$1,$B$1)</f>
        <v>#NAME?</v>
      </c>
      <c r="W30" s="100" t="e">
        <f ca="1">_xll.EQNXTDZ($A$1,$B30,W$1,$B$1)</f>
        <v>#NAME?</v>
      </c>
      <c r="X30" s="100" t="e">
        <f ca="1">_xll.EQNXTDZ($A$1,$B30,X$1,$B$1)</f>
        <v>#NAME?</v>
      </c>
      <c r="Y30" s="100" t="e">
        <f ca="1">_xll.EQNXTDZ($A$1,$B30,Y$1,$B$1)</f>
        <v>#NAME?</v>
      </c>
      <c r="Z30" s="100" t="e">
        <f ca="1">_xll.EQNXTDZ($A$1,$B30,Z$1,$B$1)</f>
        <v>#NAME?</v>
      </c>
      <c r="AA30" s="100" t="e">
        <f ca="1">_xll.EQNXTDZ($A$1,$B30,AA$1,$B$1)</f>
        <v>#NAME?</v>
      </c>
      <c r="AB30" s="100" t="e">
        <f ca="1">_xll.EQNXTDZ($A$1,$B30,AB$1,$B$1)</f>
        <v>#NAME?</v>
      </c>
      <c r="AC30" s="100" t="e">
        <f ca="1">_xll.EQNXTDZ($A$1,$B30,AC$1,$B$1)</f>
        <v>#NAME?</v>
      </c>
      <c r="AD30" s="100" t="e">
        <f ca="1">_xll.EQNXTDZ($A$1,$B30,AD$1,$B$1)</f>
        <v>#NAME?</v>
      </c>
      <c r="AE30" s="100" t="e">
        <f ca="1">_xll.EQNXTDZ($A$1,$B30,AE$1,$B$1)</f>
        <v>#NAME?</v>
      </c>
      <c r="AF30" s="100" t="e">
        <f ca="1">_xll.EQNXTDZ($A$1,$B30,AF$1,$B$1)</f>
        <v>#NAME?</v>
      </c>
    </row>
    <row r="31" spans="1:32" x14ac:dyDescent="0.25">
      <c r="A31" t="s">
        <v>127</v>
      </c>
      <c r="B31" t="s">
        <v>156</v>
      </c>
      <c r="C31" s="100" t="e">
        <f ca="1">_xll.EQNXTDZ($A$1,$B31,C$1,$B$1)</f>
        <v>#NAME?</v>
      </c>
      <c r="D31" s="100" t="e">
        <f ca="1">_xll.EQNXTDZ($A$1,$B31,D$1,$B$1)</f>
        <v>#NAME?</v>
      </c>
      <c r="E31" s="100" t="e">
        <f ca="1">_xll.EQNXTDZ($A$1,$B31,E$1,$B$1)</f>
        <v>#NAME?</v>
      </c>
      <c r="F31" s="100" t="e">
        <f ca="1">_xll.EQNXTDZ($A$1,$B31,F$1,$B$1)</f>
        <v>#NAME?</v>
      </c>
      <c r="G31" s="100" t="e">
        <f ca="1">_xll.EQNXTDZ($A$1,$B31,G$1,$B$1)</f>
        <v>#NAME?</v>
      </c>
      <c r="H31" s="100" t="e">
        <f ca="1">_xll.EQNXTDZ($A$1,$B31,H$1,$B$1)</f>
        <v>#NAME?</v>
      </c>
      <c r="I31" s="100" t="e">
        <f ca="1">_xll.EQNXTDZ($A$1,$B31,I$1,$B$1)</f>
        <v>#NAME?</v>
      </c>
      <c r="J31" s="100" t="e">
        <f ca="1">_xll.EQNXTDZ($A$1,$B31,J$1,$B$1)</f>
        <v>#NAME?</v>
      </c>
      <c r="K31" s="100" t="e">
        <f ca="1">_xll.EQNXTDZ($A$1,$B31,K$1,$B$1)</f>
        <v>#NAME?</v>
      </c>
      <c r="L31" s="100" t="e">
        <f ca="1">_xll.EQNXTDZ($A$1,$B31,L$1,$B$1)</f>
        <v>#NAME?</v>
      </c>
      <c r="M31" s="100" t="e">
        <f ca="1">_xll.EQNXTDZ($A$1,$B31,M$1,$B$1)</f>
        <v>#NAME?</v>
      </c>
      <c r="N31" s="100" t="e">
        <f ca="1">_xll.EQNXTDZ($A$1,$B31,N$1,$B$1)</f>
        <v>#NAME?</v>
      </c>
      <c r="O31" s="100" t="e">
        <f ca="1">_xll.EQNXTDZ($A$1,$B31,O$1,$B$1)</f>
        <v>#NAME?</v>
      </c>
      <c r="P31" s="100" t="e">
        <f ca="1">_xll.EQNXTDZ($A$1,$B31,P$1,$B$1)</f>
        <v>#NAME?</v>
      </c>
      <c r="Q31" s="100" t="e">
        <f ca="1">_xll.EQNXTDZ($A$1,$B31,Q$1,$B$1)</f>
        <v>#NAME?</v>
      </c>
      <c r="R31" s="100" t="e">
        <f ca="1">_xll.EQNXTDZ($A$1,$B31,R$1,$B$1)</f>
        <v>#NAME?</v>
      </c>
      <c r="S31" s="100" t="e">
        <f ca="1">_xll.EQNXTDZ($A$1,$B31,S$1,$B$1)</f>
        <v>#NAME?</v>
      </c>
      <c r="T31" s="100" t="e">
        <f ca="1">_xll.EQNXTDZ($A$1,$B31,T$1,$B$1)</f>
        <v>#NAME?</v>
      </c>
      <c r="U31" s="100" t="e">
        <f ca="1">_xll.EQNXTDZ($A$1,$B31,U$1,$B$1)</f>
        <v>#NAME?</v>
      </c>
      <c r="V31" s="100" t="e">
        <f ca="1">_xll.EQNXTDZ($A$1,$B31,V$1,$B$1)</f>
        <v>#NAME?</v>
      </c>
      <c r="W31" s="100" t="e">
        <f ca="1">_xll.EQNXTDZ($A$1,$B31,W$1,$B$1)</f>
        <v>#NAME?</v>
      </c>
      <c r="X31" s="100" t="e">
        <f ca="1">_xll.EQNXTDZ($A$1,$B31,X$1,$B$1)</f>
        <v>#NAME?</v>
      </c>
      <c r="Y31" s="100" t="e">
        <f ca="1">_xll.EQNXTDZ($A$1,$B31,Y$1,$B$1)</f>
        <v>#NAME?</v>
      </c>
      <c r="Z31" s="100" t="e">
        <f ca="1">_xll.EQNXTDZ($A$1,$B31,Z$1,$B$1)</f>
        <v>#NAME?</v>
      </c>
      <c r="AA31" s="100" t="e">
        <f ca="1">_xll.EQNXTDZ($A$1,$B31,AA$1,$B$1)</f>
        <v>#NAME?</v>
      </c>
      <c r="AB31" s="100" t="e">
        <f ca="1">_xll.EQNXTDZ($A$1,$B31,AB$1,$B$1)</f>
        <v>#NAME?</v>
      </c>
      <c r="AC31" s="100" t="e">
        <f ca="1">_xll.EQNXTDZ($A$1,$B31,AC$1,$B$1)</f>
        <v>#NAME?</v>
      </c>
      <c r="AD31" s="100" t="e">
        <f ca="1">_xll.EQNXTDZ($A$1,$B31,AD$1,$B$1)</f>
        <v>#NAME?</v>
      </c>
      <c r="AE31" s="100" t="e">
        <f ca="1">_xll.EQNXTDZ($A$1,$B31,AE$1,$B$1)</f>
        <v>#NAME?</v>
      </c>
      <c r="AF31" s="100" t="e">
        <f ca="1">_xll.EQNXTDZ($A$1,$B31,AF$1,$B$1)</f>
        <v>#NAME?</v>
      </c>
    </row>
    <row r="32" spans="1:32" x14ac:dyDescent="0.25">
      <c r="A32" t="s">
        <v>23</v>
      </c>
      <c r="B32" t="s">
        <v>157</v>
      </c>
      <c r="C32" s="100" t="e">
        <f ca="1">_xll.EQNXTDZ($A$1,$B32,C$1,$B$1)</f>
        <v>#NAME?</v>
      </c>
      <c r="D32" s="100" t="e">
        <f ca="1">_xll.EQNXTDZ($A$1,$B32,D$1,$B$1)</f>
        <v>#NAME?</v>
      </c>
      <c r="E32" s="100" t="e">
        <f ca="1">_xll.EQNXTDZ($A$1,$B32,E$1,$B$1)</f>
        <v>#NAME?</v>
      </c>
      <c r="F32" s="100" t="e">
        <f ca="1">_xll.EQNXTDZ($A$1,$B32,F$1,$B$1)</f>
        <v>#NAME?</v>
      </c>
      <c r="G32" s="100" t="e">
        <f ca="1">_xll.EQNXTDZ($A$1,$B32,G$1,$B$1)</f>
        <v>#NAME?</v>
      </c>
      <c r="H32" s="100" t="e">
        <f ca="1">_xll.EQNXTDZ($A$1,$B32,H$1,$B$1)</f>
        <v>#NAME?</v>
      </c>
      <c r="I32" s="100" t="e">
        <f ca="1">_xll.EQNXTDZ($A$1,$B32,I$1,$B$1)</f>
        <v>#NAME?</v>
      </c>
      <c r="J32" s="100" t="e">
        <f ca="1">_xll.EQNXTDZ($A$1,$B32,J$1,$B$1)</f>
        <v>#NAME?</v>
      </c>
      <c r="K32" s="100" t="e">
        <f ca="1">_xll.EQNXTDZ($A$1,$B32,K$1,$B$1)</f>
        <v>#NAME?</v>
      </c>
      <c r="L32" s="100" t="e">
        <f ca="1">_xll.EQNXTDZ($A$1,$B32,L$1,$B$1)</f>
        <v>#NAME?</v>
      </c>
      <c r="M32" s="100" t="e">
        <f ca="1">_xll.EQNXTDZ($A$1,$B32,M$1,$B$1)</f>
        <v>#NAME?</v>
      </c>
      <c r="N32" s="100" t="e">
        <f ca="1">_xll.EQNXTDZ($A$1,$B32,N$1,$B$1)</f>
        <v>#NAME?</v>
      </c>
      <c r="O32" s="100" t="e">
        <f ca="1">_xll.EQNXTDZ($A$1,$B32,O$1,$B$1)</f>
        <v>#NAME?</v>
      </c>
      <c r="P32" s="100" t="e">
        <f ca="1">_xll.EQNXTDZ($A$1,$B32,P$1,$B$1)</f>
        <v>#NAME?</v>
      </c>
      <c r="Q32" s="100" t="e">
        <f ca="1">_xll.EQNXTDZ($A$1,$B32,Q$1,$B$1)</f>
        <v>#NAME?</v>
      </c>
      <c r="R32" s="100" t="e">
        <f ca="1">_xll.EQNXTDZ($A$1,$B32,R$1,$B$1)</f>
        <v>#NAME?</v>
      </c>
      <c r="S32" s="100" t="e">
        <f ca="1">_xll.EQNXTDZ($A$1,$B32,S$1,$B$1)</f>
        <v>#NAME?</v>
      </c>
      <c r="T32" s="100" t="e">
        <f ca="1">_xll.EQNXTDZ($A$1,$B32,T$1,$B$1)</f>
        <v>#NAME?</v>
      </c>
      <c r="U32" s="100" t="e">
        <f ca="1">_xll.EQNXTDZ($A$1,$B32,U$1,$B$1)</f>
        <v>#NAME?</v>
      </c>
      <c r="V32" s="100" t="e">
        <f ca="1">_xll.EQNXTDZ($A$1,$B32,V$1,$B$1)</f>
        <v>#NAME?</v>
      </c>
      <c r="W32" s="100" t="e">
        <f ca="1">_xll.EQNXTDZ($A$1,$B32,W$1,$B$1)</f>
        <v>#NAME?</v>
      </c>
      <c r="X32" s="100" t="e">
        <f ca="1">_xll.EQNXTDZ($A$1,$B32,X$1,$B$1)</f>
        <v>#NAME?</v>
      </c>
      <c r="Y32" s="100" t="e">
        <f ca="1">_xll.EQNXTDZ($A$1,$B32,Y$1,$B$1)</f>
        <v>#NAME?</v>
      </c>
      <c r="Z32" s="100" t="e">
        <f ca="1">_xll.EQNXTDZ($A$1,$B32,Z$1,$B$1)</f>
        <v>#NAME?</v>
      </c>
      <c r="AA32" s="100" t="e">
        <f ca="1">_xll.EQNXTDZ($A$1,$B32,AA$1,$B$1)</f>
        <v>#NAME?</v>
      </c>
      <c r="AB32" s="100" t="e">
        <f ca="1">_xll.EQNXTDZ($A$1,$B32,AB$1,$B$1)</f>
        <v>#NAME?</v>
      </c>
      <c r="AC32" s="100" t="e">
        <f ca="1">_xll.EQNXTDZ($A$1,$B32,AC$1,$B$1)</f>
        <v>#NAME?</v>
      </c>
      <c r="AD32" s="100" t="e">
        <f ca="1">_xll.EQNXTDZ($A$1,$B32,AD$1,$B$1)</f>
        <v>#NAME?</v>
      </c>
      <c r="AE32" s="100" t="e">
        <f ca="1">_xll.EQNXTDZ($A$1,$B32,AE$1,$B$1)</f>
        <v>#NAME?</v>
      </c>
      <c r="AF32" s="100" t="e">
        <f ca="1">_xll.EQNXTDZ($A$1,$B32,AF$1,$B$1)</f>
        <v>#NAME?</v>
      </c>
    </row>
    <row r="33" spans="1:32" x14ac:dyDescent="0.25">
      <c r="A33" t="s">
        <v>24</v>
      </c>
      <c r="B33" t="s">
        <v>158</v>
      </c>
      <c r="C33" s="100" t="e">
        <f ca="1">_xll.EQNXTDZ($A$1,$B33,C$1,$B$1)</f>
        <v>#NAME?</v>
      </c>
      <c r="D33" s="100" t="e">
        <f ca="1">_xll.EQNXTDZ($A$1,$B33,D$1,$B$1)</f>
        <v>#NAME?</v>
      </c>
      <c r="E33" s="100" t="e">
        <f ca="1">_xll.EQNXTDZ($A$1,$B33,E$1,$B$1)</f>
        <v>#NAME?</v>
      </c>
      <c r="F33" s="100" t="e">
        <f ca="1">_xll.EQNXTDZ($A$1,$B33,F$1,$B$1)</f>
        <v>#NAME?</v>
      </c>
      <c r="G33" s="100" t="e">
        <f ca="1">_xll.EQNXTDZ($A$1,$B33,G$1,$B$1)</f>
        <v>#NAME?</v>
      </c>
      <c r="H33" s="100" t="e">
        <f ca="1">_xll.EQNXTDZ($A$1,$B33,H$1,$B$1)</f>
        <v>#NAME?</v>
      </c>
      <c r="I33" s="100" t="e">
        <f ca="1">_xll.EQNXTDZ($A$1,$B33,I$1,$B$1)</f>
        <v>#NAME?</v>
      </c>
      <c r="J33" s="100" t="e">
        <f ca="1">_xll.EQNXTDZ($A$1,$B33,J$1,$B$1)</f>
        <v>#NAME?</v>
      </c>
      <c r="K33" s="100" t="e">
        <f ca="1">_xll.EQNXTDZ($A$1,$B33,K$1,$B$1)</f>
        <v>#NAME?</v>
      </c>
      <c r="L33" s="100" t="e">
        <f ca="1">_xll.EQNXTDZ($A$1,$B33,L$1,$B$1)</f>
        <v>#NAME?</v>
      </c>
      <c r="M33" s="100" t="e">
        <f ca="1">_xll.EQNXTDZ($A$1,$B33,M$1,$B$1)</f>
        <v>#NAME?</v>
      </c>
      <c r="N33" s="100" t="e">
        <f ca="1">_xll.EQNXTDZ($A$1,$B33,N$1,$B$1)</f>
        <v>#NAME?</v>
      </c>
      <c r="O33" s="100" t="e">
        <f ca="1">_xll.EQNXTDZ($A$1,$B33,O$1,$B$1)</f>
        <v>#NAME?</v>
      </c>
      <c r="P33" s="100" t="e">
        <f ca="1">_xll.EQNXTDZ($A$1,$B33,P$1,$B$1)</f>
        <v>#NAME?</v>
      </c>
      <c r="Q33" s="100" t="e">
        <f ca="1">_xll.EQNXTDZ($A$1,$B33,Q$1,$B$1)</f>
        <v>#NAME?</v>
      </c>
      <c r="R33" s="100" t="e">
        <f ca="1">_xll.EQNXTDZ($A$1,$B33,R$1,$B$1)</f>
        <v>#NAME?</v>
      </c>
      <c r="S33" s="100" t="e">
        <f ca="1">_xll.EQNXTDZ($A$1,$B33,S$1,$B$1)</f>
        <v>#NAME?</v>
      </c>
      <c r="T33" s="100" t="e">
        <f ca="1">_xll.EQNXTDZ($A$1,$B33,T$1,$B$1)</f>
        <v>#NAME?</v>
      </c>
      <c r="U33" s="100" t="e">
        <f ca="1">_xll.EQNXTDZ($A$1,$B33,U$1,$B$1)</f>
        <v>#NAME?</v>
      </c>
      <c r="V33" s="100" t="e">
        <f ca="1">_xll.EQNXTDZ($A$1,$B33,V$1,$B$1)</f>
        <v>#NAME?</v>
      </c>
      <c r="W33" s="100" t="e">
        <f ca="1">_xll.EQNXTDZ($A$1,$B33,W$1,$B$1)</f>
        <v>#NAME?</v>
      </c>
      <c r="X33" s="100" t="e">
        <f ca="1">_xll.EQNXTDZ($A$1,$B33,X$1,$B$1)</f>
        <v>#NAME?</v>
      </c>
      <c r="Y33" s="100" t="e">
        <f ca="1">_xll.EQNXTDZ($A$1,$B33,Y$1,$B$1)</f>
        <v>#NAME?</v>
      </c>
      <c r="Z33" s="100" t="e">
        <f ca="1">_xll.EQNXTDZ($A$1,$B33,Z$1,$B$1)</f>
        <v>#NAME?</v>
      </c>
      <c r="AA33" s="100" t="e">
        <f ca="1">_xll.EQNXTDZ($A$1,$B33,AA$1,$B$1)</f>
        <v>#NAME?</v>
      </c>
      <c r="AB33" s="100" t="e">
        <f ca="1">_xll.EQNXTDZ($A$1,$B33,AB$1,$B$1)</f>
        <v>#NAME?</v>
      </c>
      <c r="AC33" s="100" t="e">
        <f ca="1">_xll.EQNXTDZ($A$1,$B33,AC$1,$B$1)</f>
        <v>#NAME?</v>
      </c>
      <c r="AD33" s="100" t="e">
        <f ca="1">_xll.EQNXTDZ($A$1,$B33,AD$1,$B$1)</f>
        <v>#NAME?</v>
      </c>
      <c r="AE33" s="100" t="e">
        <f ca="1">_xll.EQNXTDZ($A$1,$B33,AE$1,$B$1)</f>
        <v>#NAME?</v>
      </c>
      <c r="AF33" s="100" t="e">
        <f ca="1">_xll.EQNXTDZ($A$1,$B33,AF$1,$B$1)</f>
        <v>#NAME?</v>
      </c>
    </row>
    <row r="34" spans="1:32" x14ac:dyDescent="0.25">
      <c r="A34" t="s">
        <v>128</v>
      </c>
      <c r="B34" t="s">
        <v>159</v>
      </c>
      <c r="C34" s="100" t="e">
        <f ca="1">_xll.EQNXTDZ($A$1,$B34,C$1,$B$1)</f>
        <v>#NAME?</v>
      </c>
      <c r="D34" s="100" t="e">
        <f ca="1">_xll.EQNXTDZ($A$1,$B34,D$1,$B$1)</f>
        <v>#NAME?</v>
      </c>
      <c r="E34" s="100" t="e">
        <f ca="1">_xll.EQNXTDZ($A$1,$B34,E$1,$B$1)</f>
        <v>#NAME?</v>
      </c>
      <c r="F34" s="100" t="e">
        <f ca="1">_xll.EQNXTDZ($A$1,$B34,F$1,$B$1)</f>
        <v>#NAME?</v>
      </c>
      <c r="G34" s="100" t="e">
        <f ca="1">_xll.EQNXTDZ($A$1,$B34,G$1,$B$1)</f>
        <v>#NAME?</v>
      </c>
      <c r="H34" s="100" t="e">
        <f ca="1">_xll.EQNXTDZ($A$1,$B34,H$1,$B$1)</f>
        <v>#NAME?</v>
      </c>
      <c r="I34" s="100" t="e">
        <f ca="1">_xll.EQNXTDZ($A$1,$B34,I$1,$B$1)</f>
        <v>#NAME?</v>
      </c>
      <c r="J34" s="100" t="e">
        <f ca="1">_xll.EQNXTDZ($A$1,$B34,J$1,$B$1)</f>
        <v>#NAME?</v>
      </c>
      <c r="K34" s="100" t="e">
        <f ca="1">_xll.EQNXTDZ($A$1,$B34,K$1,$B$1)</f>
        <v>#NAME?</v>
      </c>
      <c r="L34" s="100" t="e">
        <f ca="1">_xll.EQNXTDZ($A$1,$B34,L$1,$B$1)</f>
        <v>#NAME?</v>
      </c>
      <c r="M34" s="100" t="e">
        <f ca="1">_xll.EQNXTDZ($A$1,$B34,M$1,$B$1)</f>
        <v>#NAME?</v>
      </c>
      <c r="N34" s="100" t="e">
        <f ca="1">_xll.EQNXTDZ($A$1,$B34,N$1,$B$1)</f>
        <v>#NAME?</v>
      </c>
      <c r="O34" s="100" t="e">
        <f ca="1">_xll.EQNXTDZ($A$1,$B34,O$1,$B$1)</f>
        <v>#NAME?</v>
      </c>
      <c r="P34" s="100" t="e">
        <f ca="1">_xll.EQNXTDZ($A$1,$B34,P$1,$B$1)</f>
        <v>#NAME?</v>
      </c>
      <c r="Q34" s="100" t="e">
        <f ca="1">_xll.EQNXTDZ($A$1,$B34,Q$1,$B$1)</f>
        <v>#NAME?</v>
      </c>
      <c r="R34" s="100" t="e">
        <f ca="1">_xll.EQNXTDZ($A$1,$B34,R$1,$B$1)</f>
        <v>#NAME?</v>
      </c>
      <c r="S34" s="100" t="e">
        <f ca="1">_xll.EQNXTDZ($A$1,$B34,S$1,$B$1)</f>
        <v>#NAME?</v>
      </c>
      <c r="T34" s="100" t="e">
        <f ca="1">_xll.EQNXTDZ($A$1,$B34,T$1,$B$1)</f>
        <v>#NAME?</v>
      </c>
      <c r="U34" s="100" t="e">
        <f ca="1">_xll.EQNXTDZ($A$1,$B34,U$1,$B$1)</f>
        <v>#NAME?</v>
      </c>
      <c r="V34" s="100" t="e">
        <f ca="1">_xll.EQNXTDZ($A$1,$B34,V$1,$B$1)</f>
        <v>#NAME?</v>
      </c>
      <c r="W34" s="100" t="e">
        <f ca="1">_xll.EQNXTDZ($A$1,$B34,W$1,$B$1)</f>
        <v>#NAME?</v>
      </c>
      <c r="X34" s="100" t="e">
        <f ca="1">_xll.EQNXTDZ($A$1,$B34,X$1,$B$1)</f>
        <v>#NAME?</v>
      </c>
      <c r="Y34" s="100" t="e">
        <f ca="1">_xll.EQNXTDZ($A$1,$B34,Y$1,$B$1)</f>
        <v>#NAME?</v>
      </c>
      <c r="Z34" s="100" t="e">
        <f ca="1">_xll.EQNXTDZ($A$1,$B34,Z$1,$B$1)</f>
        <v>#NAME?</v>
      </c>
      <c r="AA34" s="100" t="e">
        <f ca="1">_xll.EQNXTDZ($A$1,$B34,AA$1,$B$1)</f>
        <v>#NAME?</v>
      </c>
      <c r="AB34" s="100" t="e">
        <f ca="1">_xll.EQNXTDZ($A$1,$B34,AB$1,$B$1)</f>
        <v>#NAME?</v>
      </c>
      <c r="AC34" s="100" t="e">
        <f ca="1">_xll.EQNXTDZ($A$1,$B34,AC$1,$B$1)</f>
        <v>#NAME?</v>
      </c>
      <c r="AD34" s="100" t="e">
        <f ca="1">_xll.EQNXTDZ($A$1,$B34,AD$1,$B$1)</f>
        <v>#NAME?</v>
      </c>
      <c r="AE34" s="100" t="e">
        <f ca="1">_xll.EQNXTDZ($A$1,$B34,AE$1,$B$1)</f>
        <v>#NAME?</v>
      </c>
      <c r="AF34" s="100" t="e">
        <f ca="1">_xll.EQNXTDZ($A$1,$B34,AF$1,$B$1)</f>
        <v>#NAME?</v>
      </c>
    </row>
    <row r="35" spans="1:32" s="116" customFormat="1" x14ac:dyDescent="0.25">
      <c r="A35" s="116" t="s">
        <v>223</v>
      </c>
      <c r="B35" s="116" t="s">
        <v>224</v>
      </c>
      <c r="C35" s="100" t="e">
        <f ca="1">_xll.EQNXTDZ($A$1,$B35,C$1,$B$1)</f>
        <v>#NAME?</v>
      </c>
      <c r="D35" s="100" t="e">
        <f ca="1">_xll.EQNXTDZ($A$1,$B35,D$1,$B$1)</f>
        <v>#NAME?</v>
      </c>
      <c r="E35" s="100" t="e">
        <f ca="1">_xll.EQNXTDZ($A$1,$B35,E$1,$B$1)</f>
        <v>#NAME?</v>
      </c>
      <c r="F35" s="100" t="e">
        <f ca="1">_xll.EQNXTDZ($A$1,$B35,F$1,$B$1)</f>
        <v>#NAME?</v>
      </c>
      <c r="G35" s="100" t="e">
        <f ca="1">_xll.EQNXTDZ($A$1,$B35,G$1,$B$1)</f>
        <v>#NAME?</v>
      </c>
      <c r="H35" s="100" t="e">
        <f ca="1">_xll.EQNXTDZ($A$1,$B35,H$1,$B$1)</f>
        <v>#NAME?</v>
      </c>
      <c r="I35" s="100" t="e">
        <f ca="1">_xll.EQNXTDZ($A$1,$B35,I$1,$B$1)</f>
        <v>#NAME?</v>
      </c>
      <c r="J35" s="100" t="e">
        <f ca="1">_xll.EQNXTDZ($A$1,$B35,J$1,$B$1)</f>
        <v>#NAME?</v>
      </c>
      <c r="K35" s="100" t="e">
        <f ca="1">_xll.EQNXTDZ($A$1,$B35,K$1,$B$1)</f>
        <v>#NAME?</v>
      </c>
      <c r="L35" s="100" t="e">
        <f ca="1">_xll.EQNXTDZ($A$1,$B35,L$1,$B$1)</f>
        <v>#NAME?</v>
      </c>
      <c r="M35" s="100" t="e">
        <f ca="1">_xll.EQNXTDZ($A$1,$B35,M$1,$B$1)</f>
        <v>#NAME?</v>
      </c>
      <c r="N35" s="100" t="e">
        <f ca="1">_xll.EQNXTDZ($A$1,$B35,N$1,$B$1)</f>
        <v>#NAME?</v>
      </c>
      <c r="O35" s="100" t="e">
        <f ca="1">_xll.EQNXTDZ($A$1,$B35,O$1,$B$1)</f>
        <v>#NAME?</v>
      </c>
      <c r="P35" s="100" t="e">
        <f ca="1">_xll.EQNXTDZ($A$1,$B35,P$1,$B$1)</f>
        <v>#NAME?</v>
      </c>
      <c r="Q35" s="100" t="e">
        <f ca="1">_xll.EQNXTDZ($A$1,$B35,Q$1,$B$1)</f>
        <v>#NAME?</v>
      </c>
      <c r="R35" s="100" t="e">
        <f ca="1">_xll.EQNXTDZ($A$1,$B35,R$1,$B$1)</f>
        <v>#NAME?</v>
      </c>
      <c r="S35" s="100" t="e">
        <f ca="1">_xll.EQNXTDZ($A$1,$B35,S$1,$B$1)</f>
        <v>#NAME?</v>
      </c>
      <c r="T35" s="100" t="e">
        <f ca="1">_xll.EQNXTDZ($A$1,$B35,T$1,$B$1)</f>
        <v>#NAME?</v>
      </c>
      <c r="U35" s="100" t="e">
        <f ca="1">_xll.EQNXTDZ($A$1,$B35,U$1,$B$1)</f>
        <v>#NAME?</v>
      </c>
      <c r="V35" s="100" t="e">
        <f ca="1">_xll.EQNXTDZ($A$1,$B35,V$1,$B$1)</f>
        <v>#NAME?</v>
      </c>
      <c r="W35" s="100" t="e">
        <f ca="1">_xll.EQNXTDZ($A$1,$B35,W$1,$B$1)</f>
        <v>#NAME?</v>
      </c>
      <c r="X35" s="100" t="e">
        <f ca="1">_xll.EQNXTDZ($A$1,$B35,X$1,$B$1)</f>
        <v>#NAME?</v>
      </c>
      <c r="Y35" s="100" t="e">
        <f ca="1">_xll.EQNXTDZ($A$1,$B35,Y$1,$B$1)</f>
        <v>#NAME?</v>
      </c>
      <c r="Z35" s="100" t="e">
        <f ca="1">_xll.EQNXTDZ($A$1,$B35,Z$1,$B$1)</f>
        <v>#NAME?</v>
      </c>
      <c r="AA35" s="100" t="e">
        <f ca="1">_xll.EQNXTDZ($A$1,$B35,AA$1,$B$1)</f>
        <v>#NAME?</v>
      </c>
      <c r="AB35" s="100" t="e">
        <f ca="1">_xll.EQNXTDZ($A$1,$B35,AB$1,$B$1)</f>
        <v>#NAME?</v>
      </c>
      <c r="AC35" s="100" t="e">
        <f ca="1">_xll.EQNXTDZ($A$1,$B35,AC$1,$B$1)</f>
        <v>#NAME?</v>
      </c>
      <c r="AD35" s="100" t="e">
        <f ca="1">_xll.EQNXTDZ($A$1,$B35,AD$1,$B$1)</f>
        <v>#NAME?</v>
      </c>
      <c r="AE35" s="100" t="e">
        <f ca="1">_xll.EQNXTDZ($A$1,$B35,AE$1,$B$1)</f>
        <v>#NAME?</v>
      </c>
      <c r="AF35" s="100" t="e">
        <f ca="1">_xll.EQNXTDZ($A$1,$B35,AF$1,$B$1)</f>
        <v>#NAME?</v>
      </c>
    </row>
    <row r="36" spans="1:32" x14ac:dyDescent="0.25">
      <c r="A36" t="s">
        <v>225</v>
      </c>
      <c r="B36" t="s">
        <v>226</v>
      </c>
      <c r="C36" s="100" t="e">
        <f ca="1">_xll.EQNXTDZ($A$1,$B36,C$1,$B$1)</f>
        <v>#NAME?</v>
      </c>
      <c r="D36" s="100" t="e">
        <f ca="1">_xll.EQNXTDZ($A$1,$B36,D$1,$B$1)</f>
        <v>#NAME?</v>
      </c>
      <c r="E36" s="100" t="e">
        <f ca="1">_xll.EQNXTDZ($A$1,$B36,E$1,$B$1)</f>
        <v>#NAME?</v>
      </c>
      <c r="F36" s="100" t="e">
        <f ca="1">_xll.EQNXTDZ($A$1,$B36,F$1,$B$1)</f>
        <v>#NAME?</v>
      </c>
      <c r="G36" s="100" t="e">
        <f ca="1">_xll.EQNXTDZ($A$1,$B36,G$1,$B$1)</f>
        <v>#NAME?</v>
      </c>
      <c r="H36" s="100" t="e">
        <f ca="1">_xll.EQNXTDZ($A$1,$B36,H$1,$B$1)</f>
        <v>#NAME?</v>
      </c>
      <c r="I36" s="100" t="e">
        <f ca="1">_xll.EQNXTDZ($A$1,$B36,I$1,$B$1)</f>
        <v>#NAME?</v>
      </c>
      <c r="J36" s="100" t="e">
        <f ca="1">_xll.EQNXTDZ($A$1,$B36,J$1,$B$1)</f>
        <v>#NAME?</v>
      </c>
      <c r="K36" s="100" t="e">
        <f ca="1">_xll.EQNXTDZ($A$1,$B36,K$1,$B$1)</f>
        <v>#NAME?</v>
      </c>
      <c r="L36" s="100" t="e">
        <f ca="1">_xll.EQNXTDZ($A$1,$B36,L$1,$B$1)</f>
        <v>#NAME?</v>
      </c>
      <c r="M36" s="100" t="e">
        <f ca="1">_xll.EQNXTDZ($A$1,$B36,M$1,$B$1)</f>
        <v>#NAME?</v>
      </c>
      <c r="N36" s="100" t="e">
        <f ca="1">_xll.EQNXTDZ($A$1,$B36,N$1,$B$1)</f>
        <v>#NAME?</v>
      </c>
      <c r="O36" s="100" t="e">
        <f ca="1">_xll.EQNXTDZ($A$1,$B36,O$1,$B$1)</f>
        <v>#NAME?</v>
      </c>
      <c r="P36" s="100" t="e">
        <f ca="1">_xll.EQNXTDZ($A$1,$B36,P$1,$B$1)</f>
        <v>#NAME?</v>
      </c>
      <c r="Q36" s="100" t="e">
        <f ca="1">_xll.EQNXTDZ($A$1,$B36,Q$1,$B$1)</f>
        <v>#NAME?</v>
      </c>
      <c r="R36" s="100" t="e">
        <f ca="1">_xll.EQNXTDZ($A$1,$B36,R$1,$B$1)</f>
        <v>#NAME?</v>
      </c>
      <c r="S36" s="100" t="e">
        <f ca="1">_xll.EQNXTDZ($A$1,$B36,S$1,$B$1)</f>
        <v>#NAME?</v>
      </c>
      <c r="T36" s="100" t="e">
        <f ca="1">_xll.EQNXTDZ($A$1,$B36,T$1,$B$1)</f>
        <v>#NAME?</v>
      </c>
      <c r="U36" s="100" t="e">
        <f ca="1">_xll.EQNXTDZ($A$1,$B36,U$1,$B$1)</f>
        <v>#NAME?</v>
      </c>
      <c r="V36" s="100" t="e">
        <f ca="1">_xll.EQNXTDZ($A$1,$B36,V$1,$B$1)</f>
        <v>#NAME?</v>
      </c>
      <c r="W36" s="100" t="e">
        <f ca="1">_xll.EQNXTDZ($A$1,$B36,W$1,$B$1)</f>
        <v>#NAME?</v>
      </c>
      <c r="X36" s="100" t="e">
        <f ca="1">_xll.EQNXTDZ($A$1,$B36,X$1,$B$1)</f>
        <v>#NAME?</v>
      </c>
      <c r="Y36" s="100" t="e">
        <f ca="1">_xll.EQNXTDZ($A$1,$B36,Y$1,$B$1)</f>
        <v>#NAME?</v>
      </c>
      <c r="Z36" s="100" t="e">
        <f ca="1">_xll.EQNXTDZ($A$1,$B36,Z$1,$B$1)</f>
        <v>#NAME?</v>
      </c>
      <c r="AA36" s="100" t="e">
        <f ca="1">_xll.EQNXTDZ($A$1,$B36,AA$1,$B$1)</f>
        <v>#NAME?</v>
      </c>
      <c r="AB36" s="100" t="e">
        <f ca="1">_xll.EQNXTDZ($A$1,$B36,AB$1,$B$1)</f>
        <v>#NAME?</v>
      </c>
      <c r="AC36" s="100" t="e">
        <f ca="1">_xll.EQNXTDZ($A$1,$B36,AC$1,$B$1)</f>
        <v>#NAME?</v>
      </c>
      <c r="AD36" s="100" t="e">
        <f ca="1">_xll.EQNXTDZ($A$1,$B36,AD$1,$B$1)</f>
        <v>#NAME?</v>
      </c>
      <c r="AE36" s="100" t="e">
        <f ca="1">_xll.EQNXTDZ($A$1,$B36,AE$1,$B$1)</f>
        <v>#NAME?</v>
      </c>
      <c r="AF36" s="100" t="e">
        <f ca="1">_xll.EQNXTDZ($A$1,$B36,AF$1,$B$1)</f>
        <v>#NAME?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 t="e">
        <f ca="1">_xll.EQNXTDZ($A$1,$B40,C$1,$B$1)</f>
        <v>#NAME?</v>
      </c>
      <c r="D40" t="e">
        <f ca="1">_xll.EQNXTDZ($A$1,$B40,D$1,$B$1)</f>
        <v>#NAME?</v>
      </c>
      <c r="E40" t="e">
        <f ca="1">_xll.EQNXTDZ($A$1,$B40,E$1,$B$1)</f>
        <v>#NAME?</v>
      </c>
      <c r="F40" t="e">
        <f ca="1">_xll.EQNXTDZ($A$1,$B40,F$1,$B$1)</f>
        <v>#NAME?</v>
      </c>
      <c r="G40" t="e">
        <f ca="1">_xll.EQNXTDZ($A$1,$B40,G$1,$B$1)</f>
        <v>#NAME?</v>
      </c>
      <c r="H40" t="e">
        <f ca="1">_xll.EQNXTDZ($A$1,$B40,H$1,$B$1)</f>
        <v>#NAME?</v>
      </c>
      <c r="I40" t="e">
        <f ca="1">_xll.EQNXTDZ($A$1,$B40,I$1,$B$1)</f>
        <v>#NAME?</v>
      </c>
      <c r="J40" t="e">
        <f ca="1">_xll.EQNXTDZ($A$1,$B40,J$1,$B$1)</f>
        <v>#NAME?</v>
      </c>
      <c r="K40" t="e">
        <f ca="1">_xll.EQNXTDZ($A$1,$B40,K$1,$B$1)</f>
        <v>#NAME?</v>
      </c>
      <c r="L40" t="e">
        <f ca="1">_xll.EQNXTDZ($A$1,$B40,L$1,$B$1)</f>
        <v>#NAME?</v>
      </c>
      <c r="M40" t="e">
        <f ca="1">_xll.EQNXTDZ($A$1,$B40,M$1,$B$1)</f>
        <v>#NAME?</v>
      </c>
      <c r="N40" t="e">
        <f ca="1">_xll.EQNXTDZ($A$1,$B40,N$1,$B$1)</f>
        <v>#NAME?</v>
      </c>
      <c r="O40" t="e">
        <f ca="1">_xll.EQNXTDZ($A$1,$B40,O$1,$B$1)</f>
        <v>#NAME?</v>
      </c>
      <c r="P40" t="e">
        <f ca="1">_xll.EQNXTDZ($A$1,$B40,P$1,$B$1)</f>
        <v>#NAME?</v>
      </c>
      <c r="Q40" t="e">
        <f ca="1">_xll.EQNXTDZ($A$1,$B40,Q$1,$B$1)</f>
        <v>#NAME?</v>
      </c>
      <c r="R40" t="e">
        <f ca="1">_xll.EQNXTDZ($A$1,$B40,R$1,$B$1)</f>
        <v>#NAME?</v>
      </c>
      <c r="S40" t="e">
        <f ca="1">_xll.EQNXTDZ($A$1,$B40,S$1,$B$1)</f>
        <v>#NAME?</v>
      </c>
      <c r="T40" t="e">
        <f ca="1">_xll.EQNXTDZ($A$1,$B40,T$1,$B$1)</f>
        <v>#NAME?</v>
      </c>
      <c r="U40" t="e">
        <f ca="1">_xll.EQNXTDZ($A$1,$B40,U$1,$B$1)</f>
        <v>#NAME?</v>
      </c>
      <c r="V40" t="e">
        <f ca="1">_xll.EQNXTDZ($A$1,$B40,V$1,$B$1)</f>
        <v>#NAME?</v>
      </c>
      <c r="W40" t="e">
        <f ca="1">_xll.EQNXTDZ($A$1,$B40,W$1,$B$1)</f>
        <v>#NAME?</v>
      </c>
      <c r="X40" t="e">
        <f ca="1">_xll.EQNXTDZ($A$1,$B40,X$1,$B$1)</f>
        <v>#NAME?</v>
      </c>
      <c r="Y40" t="e">
        <f ca="1">_xll.EQNXTDZ($A$1,$B40,Y$1,$B$1)</f>
        <v>#NAME?</v>
      </c>
      <c r="Z40" t="e">
        <f ca="1">_xll.EQNXTDZ($A$1,$B40,Z$1,$B$1)</f>
        <v>#NAME?</v>
      </c>
      <c r="AA40" t="e">
        <f ca="1">_xll.EQNXTDZ($A$1,$B40,AA$1,$B$1)</f>
        <v>#NAME?</v>
      </c>
      <c r="AB40" t="e">
        <f ca="1">_xll.EQNXTDZ($A$1,$B40,AB$1,$B$1)</f>
        <v>#NAME?</v>
      </c>
      <c r="AC40" t="e">
        <f ca="1">_xll.EQNXTDZ($A$1,$B40,AC$1,$B$1)</f>
        <v>#NAME?</v>
      </c>
      <c r="AD40" t="e">
        <f ca="1">_xll.EQNXTDZ($A$1,$B40,AD$1,$B$1)</f>
        <v>#NAME?</v>
      </c>
      <c r="AE40" t="e">
        <f ca="1">_xll.EQNXTDZ($A$1,$B40,AE$1,$B$1)</f>
        <v>#NAME?</v>
      </c>
      <c r="AF40" t="e">
        <f ca="1">_xll.EQNXTDZ($A$1,$B40,AF$1,$B$1)</f>
        <v>#NAME?</v>
      </c>
    </row>
    <row r="41" spans="1:32" x14ac:dyDescent="0.25">
      <c r="A41" t="s">
        <v>41</v>
      </c>
      <c r="B41" t="s">
        <v>176</v>
      </c>
      <c r="C41" s="55" t="e">
        <f ca="1">_xll.EQNXTDZ($A$1,$B41,C$1,$B$1)</f>
        <v>#NAME?</v>
      </c>
      <c r="D41" s="55" t="e">
        <f ca="1">_xll.EQNXTDZ($A$1,$B41,D$1,$B$1)</f>
        <v>#NAME?</v>
      </c>
      <c r="E41" s="55" t="e">
        <f ca="1">_xll.EQNXTDZ($A$1,$B41,E$1,$B$1)</f>
        <v>#NAME?</v>
      </c>
      <c r="F41" s="55" t="e">
        <f ca="1">_xll.EQNXTDZ($A$1,$B41,F$1,$B$1)</f>
        <v>#NAME?</v>
      </c>
      <c r="G41" s="55" t="e">
        <f ca="1">_xll.EQNXTDZ($A$1,$B41,G$1,$B$1)</f>
        <v>#NAME?</v>
      </c>
      <c r="H41" s="55" t="e">
        <f ca="1">_xll.EQNXTDZ($A$1,$B41,H$1,$B$1)</f>
        <v>#NAME?</v>
      </c>
      <c r="I41" s="55" t="e">
        <f ca="1">_xll.EQNXTDZ($A$1,$B41,I$1,$B$1)</f>
        <v>#NAME?</v>
      </c>
      <c r="J41" s="55" t="e">
        <f ca="1">_xll.EQNXTDZ($A$1,$B41,J$1,$B$1)</f>
        <v>#NAME?</v>
      </c>
      <c r="K41" s="55" t="e">
        <f ca="1">_xll.EQNXTDZ($A$1,$B41,K$1,$B$1)</f>
        <v>#NAME?</v>
      </c>
      <c r="L41" s="55" t="e">
        <f ca="1">_xll.EQNXTDZ($A$1,$B41,L$1,$B$1)</f>
        <v>#NAME?</v>
      </c>
      <c r="M41" s="55" t="e">
        <f ca="1">_xll.EQNXTDZ($A$1,$B41,M$1,$B$1)</f>
        <v>#NAME?</v>
      </c>
      <c r="N41" s="55" t="e">
        <f ca="1">_xll.EQNXTDZ($A$1,$B41,N$1,$B$1)</f>
        <v>#NAME?</v>
      </c>
      <c r="O41" s="55" t="e">
        <f ca="1">_xll.EQNXTDZ($A$1,$B41,O$1,$B$1)</f>
        <v>#NAME?</v>
      </c>
      <c r="P41" s="55" t="e">
        <f ca="1">_xll.EQNXTDZ($A$1,$B41,P$1,$B$1)</f>
        <v>#NAME?</v>
      </c>
      <c r="Q41" s="55" t="e">
        <f ca="1">_xll.EQNXTDZ($A$1,$B41,Q$1,$B$1)</f>
        <v>#NAME?</v>
      </c>
      <c r="R41" s="55" t="e">
        <f ca="1">_xll.EQNXTDZ($A$1,$B41,R$1,$B$1)</f>
        <v>#NAME?</v>
      </c>
      <c r="S41" s="55" t="e">
        <f ca="1">_xll.EQNXTDZ($A$1,$B41,S$1,$B$1)</f>
        <v>#NAME?</v>
      </c>
      <c r="T41" s="55" t="e">
        <f ca="1">_xll.EQNXTDZ($A$1,$B41,T$1,$B$1)</f>
        <v>#NAME?</v>
      </c>
      <c r="U41" s="55" t="e">
        <f ca="1">_xll.EQNXTDZ($A$1,$B41,U$1,$B$1)</f>
        <v>#NAME?</v>
      </c>
      <c r="V41" s="55" t="e">
        <f ca="1">_xll.EQNXTDZ($A$1,$B41,V$1,$B$1)</f>
        <v>#NAME?</v>
      </c>
      <c r="W41" s="55" t="e">
        <f ca="1">_xll.EQNXTDZ($A$1,$B41,W$1,$B$1)</f>
        <v>#NAME?</v>
      </c>
      <c r="X41" s="55" t="e">
        <f ca="1">_xll.EQNXTDZ($A$1,$B41,X$1,$B$1)</f>
        <v>#NAME?</v>
      </c>
      <c r="Y41" s="55" t="e">
        <f ca="1">_xll.EQNXTDZ($A$1,$B41,Y$1,$B$1)</f>
        <v>#NAME?</v>
      </c>
      <c r="Z41" s="55" t="e">
        <f ca="1">_xll.EQNXTDZ($A$1,$B41,Z$1,$B$1)</f>
        <v>#NAME?</v>
      </c>
      <c r="AA41" s="55" t="e">
        <f ca="1">_xll.EQNXTDZ($A$1,$B41,AA$1,$B$1)</f>
        <v>#NAME?</v>
      </c>
      <c r="AB41" s="55" t="e">
        <f ca="1">_xll.EQNXTDZ($A$1,$B41,AB$1,$B$1)</f>
        <v>#NAME?</v>
      </c>
      <c r="AC41" s="55" t="e">
        <f ca="1">_xll.EQNXTDZ($A$1,$B41,AC$1,$B$1)</f>
        <v>#NAME?</v>
      </c>
      <c r="AD41" s="55" t="e">
        <f ca="1">_xll.EQNXTDZ($A$1,$B41,AD$1,$B$1)</f>
        <v>#NAME?</v>
      </c>
      <c r="AE41" s="55" t="e">
        <f ca="1">_xll.EQNXTDZ($A$1,$B41,AE$1,$B$1)</f>
        <v>#NAME?</v>
      </c>
      <c r="AF41" s="55" t="e">
        <f ca="1">_xll.EQNXTDZ($A$1,$B41,AF$1,$B$1)</f>
        <v>#NAME?</v>
      </c>
    </row>
    <row r="42" spans="1:32" x14ac:dyDescent="0.25">
      <c r="A42" t="s">
        <v>42</v>
      </c>
      <c r="B42" t="s">
        <v>177</v>
      </c>
      <c r="C42" s="55" t="e">
        <f ca="1">_xll.EQNXTDZ($A$1,$B42,C$1,$B$1)</f>
        <v>#NAME?</v>
      </c>
      <c r="D42" s="55" t="e">
        <f ca="1">_xll.EQNXTDZ($A$1,$B42,D$1,$B$1)</f>
        <v>#NAME?</v>
      </c>
      <c r="E42" s="55" t="e">
        <f ca="1">_xll.EQNXTDZ($A$1,$B42,E$1,$B$1)</f>
        <v>#NAME?</v>
      </c>
      <c r="F42" s="55" t="e">
        <f ca="1">_xll.EQNXTDZ($A$1,$B42,F$1,$B$1)</f>
        <v>#NAME?</v>
      </c>
      <c r="G42" s="55" t="e">
        <f ca="1">_xll.EQNXTDZ($A$1,$B42,G$1,$B$1)</f>
        <v>#NAME?</v>
      </c>
      <c r="H42" s="55" t="e">
        <f ca="1">_xll.EQNXTDZ($A$1,$B42,H$1,$B$1)</f>
        <v>#NAME?</v>
      </c>
      <c r="I42" s="55" t="e">
        <f ca="1">_xll.EQNXTDZ($A$1,$B42,I$1,$B$1)</f>
        <v>#NAME?</v>
      </c>
      <c r="J42" s="55" t="e">
        <f ca="1">_xll.EQNXTDZ($A$1,$B42,J$1,$B$1)</f>
        <v>#NAME?</v>
      </c>
      <c r="K42" s="55" t="e">
        <f ca="1">_xll.EQNXTDZ($A$1,$B42,K$1,$B$1)</f>
        <v>#NAME?</v>
      </c>
      <c r="L42" s="55" t="e">
        <f ca="1">_xll.EQNXTDZ($A$1,$B42,L$1,$B$1)</f>
        <v>#NAME?</v>
      </c>
      <c r="M42" s="55" t="e">
        <f ca="1">_xll.EQNXTDZ($A$1,$B42,M$1,$B$1)</f>
        <v>#NAME?</v>
      </c>
      <c r="N42" s="55" t="e">
        <f ca="1">_xll.EQNXTDZ($A$1,$B42,N$1,$B$1)</f>
        <v>#NAME?</v>
      </c>
      <c r="O42" s="55" t="e">
        <f ca="1">_xll.EQNXTDZ($A$1,$B42,O$1,$B$1)</f>
        <v>#NAME?</v>
      </c>
      <c r="P42" s="55" t="e">
        <f ca="1">_xll.EQNXTDZ($A$1,$B42,P$1,$B$1)</f>
        <v>#NAME?</v>
      </c>
      <c r="Q42" s="55" t="e">
        <f ca="1">_xll.EQNXTDZ($A$1,$B42,Q$1,$B$1)</f>
        <v>#NAME?</v>
      </c>
      <c r="R42" s="55" t="e">
        <f ca="1">_xll.EQNXTDZ($A$1,$B42,R$1,$B$1)</f>
        <v>#NAME?</v>
      </c>
      <c r="S42" s="55" t="e">
        <f ca="1">_xll.EQNXTDZ($A$1,$B42,S$1,$B$1)</f>
        <v>#NAME?</v>
      </c>
      <c r="T42" s="55" t="e">
        <f ca="1">_xll.EQNXTDZ($A$1,$B42,T$1,$B$1)</f>
        <v>#NAME?</v>
      </c>
      <c r="U42" s="55" t="e">
        <f ca="1">_xll.EQNXTDZ($A$1,$B42,U$1,$B$1)</f>
        <v>#NAME?</v>
      </c>
      <c r="V42" s="55" t="e">
        <f ca="1">_xll.EQNXTDZ($A$1,$B42,V$1,$B$1)</f>
        <v>#NAME?</v>
      </c>
      <c r="W42" s="55" t="e">
        <f ca="1">_xll.EQNXTDZ($A$1,$B42,W$1,$B$1)</f>
        <v>#NAME?</v>
      </c>
      <c r="X42" s="55" t="e">
        <f ca="1">_xll.EQNXTDZ($A$1,$B42,X$1,$B$1)</f>
        <v>#NAME?</v>
      </c>
      <c r="Y42" s="55" t="e">
        <f ca="1">_xll.EQNXTDZ($A$1,$B42,Y$1,$B$1)</f>
        <v>#NAME?</v>
      </c>
      <c r="Z42" s="55" t="e">
        <f ca="1">_xll.EQNXTDZ($A$1,$B42,Z$1,$B$1)</f>
        <v>#NAME?</v>
      </c>
      <c r="AA42" s="55" t="e">
        <f ca="1">_xll.EQNXTDZ($A$1,$B42,AA$1,$B$1)</f>
        <v>#NAME?</v>
      </c>
      <c r="AB42" s="55" t="e">
        <f ca="1">_xll.EQNXTDZ($A$1,$B42,AB$1,$B$1)</f>
        <v>#NAME?</v>
      </c>
      <c r="AC42" s="55" t="e">
        <f ca="1">_xll.EQNXTDZ($A$1,$B42,AC$1,$B$1)</f>
        <v>#NAME?</v>
      </c>
      <c r="AD42" s="55" t="e">
        <f ca="1">_xll.EQNXTDZ($A$1,$B42,AD$1,$B$1)</f>
        <v>#NAME?</v>
      </c>
      <c r="AE42" s="55" t="e">
        <f ca="1">_xll.EQNXTDZ($A$1,$B42,AE$1,$B$1)</f>
        <v>#NAME?</v>
      </c>
      <c r="AF42" s="55" t="e">
        <f ca="1">_xll.EQNXTDZ($A$1,$B42,AF$1,$B$1)</f>
        <v>#NAME?</v>
      </c>
    </row>
    <row r="43" spans="1:32" x14ac:dyDescent="0.25">
      <c r="A43" t="s">
        <v>43</v>
      </c>
      <c r="B43" t="s">
        <v>178</v>
      </c>
      <c r="C43" s="55" t="e">
        <f ca="1">_xll.EQNXTDZ($A$1,$B43,C$1,$B$1)</f>
        <v>#NAME?</v>
      </c>
      <c r="D43" s="55" t="e">
        <f ca="1">_xll.EQNXTDZ($A$1,$B43,D$1,$B$1)</f>
        <v>#NAME?</v>
      </c>
      <c r="E43" s="55" t="e">
        <f ca="1">_xll.EQNXTDZ($A$1,$B43,E$1,$B$1)</f>
        <v>#NAME?</v>
      </c>
      <c r="F43" s="55" t="e">
        <f ca="1">_xll.EQNXTDZ($A$1,$B43,F$1,$B$1)</f>
        <v>#NAME?</v>
      </c>
      <c r="G43" s="55" t="e">
        <f ca="1">_xll.EQNXTDZ($A$1,$B43,G$1,$B$1)</f>
        <v>#NAME?</v>
      </c>
      <c r="H43" s="55" t="e">
        <f ca="1">_xll.EQNXTDZ($A$1,$B43,H$1,$B$1)</f>
        <v>#NAME?</v>
      </c>
      <c r="I43" s="55" t="e">
        <f ca="1">_xll.EQNXTDZ($A$1,$B43,I$1,$B$1)</f>
        <v>#NAME?</v>
      </c>
      <c r="J43" s="55" t="e">
        <f ca="1">_xll.EQNXTDZ($A$1,$B43,J$1,$B$1)</f>
        <v>#NAME?</v>
      </c>
      <c r="K43" s="55" t="e">
        <f ca="1">_xll.EQNXTDZ($A$1,$B43,K$1,$B$1)</f>
        <v>#NAME?</v>
      </c>
      <c r="L43" s="55" t="e">
        <f ca="1">_xll.EQNXTDZ($A$1,$B43,L$1,$B$1)</f>
        <v>#NAME?</v>
      </c>
      <c r="M43" s="55" t="e">
        <f ca="1">_xll.EQNXTDZ($A$1,$B43,M$1,$B$1)</f>
        <v>#NAME?</v>
      </c>
      <c r="N43" s="55" t="e">
        <f ca="1">_xll.EQNXTDZ($A$1,$B43,N$1,$B$1)</f>
        <v>#NAME?</v>
      </c>
      <c r="O43" s="55" t="e">
        <f ca="1">_xll.EQNXTDZ($A$1,$B43,O$1,$B$1)</f>
        <v>#NAME?</v>
      </c>
      <c r="P43" s="55" t="e">
        <f ca="1">_xll.EQNXTDZ($A$1,$B43,P$1,$B$1)</f>
        <v>#NAME?</v>
      </c>
      <c r="Q43" s="55" t="e">
        <f ca="1">_xll.EQNXTDZ($A$1,$B43,Q$1,$B$1)</f>
        <v>#NAME?</v>
      </c>
      <c r="R43" s="55" t="e">
        <f ca="1">_xll.EQNXTDZ($A$1,$B43,R$1,$B$1)</f>
        <v>#NAME?</v>
      </c>
      <c r="S43" s="55" t="e">
        <f ca="1">_xll.EQNXTDZ($A$1,$B43,S$1,$B$1)</f>
        <v>#NAME?</v>
      </c>
      <c r="T43" s="55" t="e">
        <f ca="1">_xll.EQNXTDZ($A$1,$B43,T$1,$B$1)</f>
        <v>#NAME?</v>
      </c>
      <c r="U43" s="55" t="e">
        <f ca="1">_xll.EQNXTDZ($A$1,$B43,U$1,$B$1)</f>
        <v>#NAME?</v>
      </c>
      <c r="V43" s="55" t="e">
        <f ca="1">_xll.EQNXTDZ($A$1,$B43,V$1,$B$1)</f>
        <v>#NAME?</v>
      </c>
      <c r="W43" s="55" t="e">
        <f ca="1">_xll.EQNXTDZ($A$1,$B43,W$1,$B$1)</f>
        <v>#NAME?</v>
      </c>
      <c r="X43" s="55" t="e">
        <f ca="1">_xll.EQNXTDZ($A$1,$B43,X$1,$B$1)</f>
        <v>#NAME?</v>
      </c>
      <c r="Y43" s="55" t="e">
        <f ca="1">_xll.EQNXTDZ($A$1,$B43,Y$1,$B$1)</f>
        <v>#NAME?</v>
      </c>
      <c r="Z43" s="55" t="e">
        <f ca="1">_xll.EQNXTDZ($A$1,$B43,Z$1,$B$1)</f>
        <v>#NAME?</v>
      </c>
      <c r="AA43" s="55" t="e">
        <f ca="1">_xll.EQNXTDZ($A$1,$B43,AA$1,$B$1)</f>
        <v>#NAME?</v>
      </c>
      <c r="AB43" s="55" t="e">
        <f ca="1">_xll.EQNXTDZ($A$1,$B43,AB$1,$B$1)</f>
        <v>#NAME?</v>
      </c>
      <c r="AC43" s="55" t="e">
        <f ca="1">_xll.EQNXTDZ($A$1,$B43,AC$1,$B$1)</f>
        <v>#NAME?</v>
      </c>
      <c r="AD43" s="55" t="e">
        <f ca="1">_xll.EQNXTDZ($A$1,$B43,AD$1,$B$1)</f>
        <v>#NAME?</v>
      </c>
      <c r="AE43" s="55" t="e">
        <f ca="1">_xll.EQNXTDZ($A$1,$B43,AE$1,$B$1)</f>
        <v>#NAME?</v>
      </c>
      <c r="AF43" s="55" t="e">
        <f ca="1">_xll.EQNXTDZ($A$1,$B43,AF$1,$B$1)</f>
        <v>#NAME?</v>
      </c>
    </row>
    <row r="44" spans="1:32" x14ac:dyDescent="0.25">
      <c r="A44" t="s">
        <v>44</v>
      </c>
      <c r="B44" t="s">
        <v>179</v>
      </c>
      <c r="C44" s="55" t="e">
        <f ca="1">_xll.EQNXTDZ($A$1,$B44,C$1,$B$1)</f>
        <v>#NAME?</v>
      </c>
      <c r="D44" s="55" t="e">
        <f ca="1">_xll.EQNXTDZ($A$1,$B44,D$1,$B$1)</f>
        <v>#NAME?</v>
      </c>
      <c r="E44" s="55" t="e">
        <f ca="1">_xll.EQNXTDZ($A$1,$B44,E$1,$B$1)</f>
        <v>#NAME?</v>
      </c>
      <c r="F44" s="55" t="e">
        <f ca="1">_xll.EQNXTDZ($A$1,$B44,F$1,$B$1)</f>
        <v>#NAME?</v>
      </c>
      <c r="G44" s="55" t="e">
        <f ca="1">_xll.EQNXTDZ($A$1,$B44,G$1,$B$1)</f>
        <v>#NAME?</v>
      </c>
      <c r="H44" s="55" t="e">
        <f ca="1">_xll.EQNXTDZ($A$1,$B44,H$1,$B$1)</f>
        <v>#NAME?</v>
      </c>
      <c r="I44" s="55" t="e">
        <f ca="1">_xll.EQNXTDZ($A$1,$B44,I$1,$B$1)</f>
        <v>#NAME?</v>
      </c>
      <c r="J44" s="55" t="e">
        <f ca="1">_xll.EQNXTDZ($A$1,$B44,J$1,$B$1)</f>
        <v>#NAME?</v>
      </c>
      <c r="K44" s="55" t="e">
        <f ca="1">_xll.EQNXTDZ($A$1,$B44,K$1,$B$1)</f>
        <v>#NAME?</v>
      </c>
      <c r="L44" s="55" t="e">
        <f ca="1">_xll.EQNXTDZ($A$1,$B44,L$1,$B$1)</f>
        <v>#NAME?</v>
      </c>
      <c r="M44" s="55" t="e">
        <f ca="1">_xll.EQNXTDZ($A$1,$B44,M$1,$B$1)</f>
        <v>#NAME?</v>
      </c>
      <c r="N44" s="55" t="e">
        <f ca="1">_xll.EQNXTDZ($A$1,$B44,N$1,$B$1)</f>
        <v>#NAME?</v>
      </c>
      <c r="O44" s="55" t="e">
        <f ca="1">_xll.EQNXTDZ($A$1,$B44,O$1,$B$1)</f>
        <v>#NAME?</v>
      </c>
      <c r="P44" s="55" t="e">
        <f ca="1">_xll.EQNXTDZ($A$1,$B44,P$1,$B$1)</f>
        <v>#NAME?</v>
      </c>
      <c r="Q44" s="55" t="e">
        <f ca="1">_xll.EQNXTDZ($A$1,$B44,Q$1,$B$1)</f>
        <v>#NAME?</v>
      </c>
      <c r="R44" s="55" t="e">
        <f ca="1">_xll.EQNXTDZ($A$1,$B44,R$1,$B$1)</f>
        <v>#NAME?</v>
      </c>
      <c r="S44" s="55" t="e">
        <f ca="1">_xll.EQNXTDZ($A$1,$B44,S$1,$B$1)</f>
        <v>#NAME?</v>
      </c>
      <c r="T44" s="55" t="e">
        <f ca="1">_xll.EQNXTDZ($A$1,$B44,T$1,$B$1)</f>
        <v>#NAME?</v>
      </c>
      <c r="U44" s="55" t="e">
        <f ca="1">_xll.EQNXTDZ($A$1,$B44,U$1,$B$1)</f>
        <v>#NAME?</v>
      </c>
      <c r="V44" s="55" t="e">
        <f ca="1">_xll.EQNXTDZ($A$1,$B44,V$1,$B$1)</f>
        <v>#NAME?</v>
      </c>
      <c r="W44" s="55" t="e">
        <f ca="1">_xll.EQNXTDZ($A$1,$B44,W$1,$B$1)</f>
        <v>#NAME?</v>
      </c>
      <c r="X44" s="55" t="e">
        <f ca="1">_xll.EQNXTDZ($A$1,$B44,X$1,$B$1)</f>
        <v>#NAME?</v>
      </c>
      <c r="Y44" s="55" t="e">
        <f ca="1">_xll.EQNXTDZ($A$1,$B44,Y$1,$B$1)</f>
        <v>#NAME?</v>
      </c>
      <c r="Z44" s="55" t="e">
        <f ca="1">_xll.EQNXTDZ($A$1,$B44,Z$1,$B$1)</f>
        <v>#NAME?</v>
      </c>
      <c r="AA44" s="55" t="e">
        <f ca="1">_xll.EQNXTDZ($A$1,$B44,AA$1,$B$1)</f>
        <v>#NAME?</v>
      </c>
      <c r="AB44" s="55" t="e">
        <f ca="1">_xll.EQNXTDZ($A$1,$B44,AB$1,$B$1)</f>
        <v>#NAME?</v>
      </c>
      <c r="AC44" s="55" t="e">
        <f ca="1">_xll.EQNXTDZ($A$1,$B44,AC$1,$B$1)</f>
        <v>#NAME?</v>
      </c>
      <c r="AD44" s="55" t="e">
        <f ca="1">_xll.EQNXTDZ($A$1,$B44,AD$1,$B$1)</f>
        <v>#NAME?</v>
      </c>
      <c r="AE44" s="55" t="e">
        <f ca="1">_xll.EQNXTDZ($A$1,$B44,AE$1,$B$1)</f>
        <v>#NAME?</v>
      </c>
      <c r="AF44" s="55" t="e">
        <f ca="1">_xll.EQNXTDZ($A$1,$B44,AF$1,$B$1)</f>
        <v>#NAME?</v>
      </c>
    </row>
    <row r="45" spans="1:32" x14ac:dyDescent="0.25">
      <c r="A45" t="s">
        <v>23</v>
      </c>
      <c r="B45" t="s">
        <v>180</v>
      </c>
      <c r="C45" s="55" t="e">
        <f ca="1">_xll.EQNXTDZ($A$1,$B45,C$1,$B$1)</f>
        <v>#NAME?</v>
      </c>
      <c r="D45" s="55" t="e">
        <f ca="1">_xll.EQNXTDZ($A$1,$B45,D$1,$B$1)</f>
        <v>#NAME?</v>
      </c>
      <c r="E45" s="55" t="e">
        <f ca="1">_xll.EQNXTDZ($A$1,$B45,E$1,$B$1)</f>
        <v>#NAME?</v>
      </c>
      <c r="F45" s="55" t="e">
        <f ca="1">_xll.EQNXTDZ($A$1,$B45,F$1,$B$1)</f>
        <v>#NAME?</v>
      </c>
      <c r="G45" s="55" t="e">
        <f ca="1">_xll.EQNXTDZ($A$1,$B45,G$1,$B$1)</f>
        <v>#NAME?</v>
      </c>
      <c r="H45" s="55" t="e">
        <f ca="1">_xll.EQNXTDZ($A$1,$B45,H$1,$B$1)</f>
        <v>#NAME?</v>
      </c>
      <c r="I45" s="55" t="e">
        <f ca="1">_xll.EQNXTDZ($A$1,$B45,I$1,$B$1)</f>
        <v>#NAME?</v>
      </c>
      <c r="J45" s="55" t="e">
        <f ca="1">_xll.EQNXTDZ($A$1,$B45,J$1,$B$1)</f>
        <v>#NAME?</v>
      </c>
      <c r="K45" s="55" t="e">
        <f ca="1">_xll.EQNXTDZ($A$1,$B45,K$1,$B$1)</f>
        <v>#NAME?</v>
      </c>
      <c r="L45" s="55" t="e">
        <f ca="1">_xll.EQNXTDZ($A$1,$B45,L$1,$B$1)</f>
        <v>#NAME?</v>
      </c>
      <c r="M45" s="55" t="e">
        <f ca="1">_xll.EQNXTDZ($A$1,$B45,M$1,$B$1)</f>
        <v>#NAME?</v>
      </c>
      <c r="N45" s="55" t="e">
        <f ca="1">_xll.EQNXTDZ($A$1,$B45,N$1,$B$1)</f>
        <v>#NAME?</v>
      </c>
      <c r="O45" s="55" t="e">
        <f ca="1">_xll.EQNXTDZ($A$1,$B45,O$1,$B$1)</f>
        <v>#NAME?</v>
      </c>
      <c r="P45" s="55" t="e">
        <f ca="1">_xll.EQNXTDZ($A$1,$B45,P$1,$B$1)</f>
        <v>#NAME?</v>
      </c>
      <c r="Q45" s="55" t="e">
        <f ca="1">_xll.EQNXTDZ($A$1,$B45,Q$1,$B$1)</f>
        <v>#NAME?</v>
      </c>
      <c r="R45" s="55" t="e">
        <f ca="1">_xll.EQNXTDZ($A$1,$B45,R$1,$B$1)</f>
        <v>#NAME?</v>
      </c>
      <c r="S45" s="55" t="e">
        <f ca="1">_xll.EQNXTDZ($A$1,$B45,S$1,$B$1)</f>
        <v>#NAME?</v>
      </c>
      <c r="T45" s="55" t="e">
        <f ca="1">_xll.EQNXTDZ($A$1,$B45,T$1,$B$1)</f>
        <v>#NAME?</v>
      </c>
      <c r="U45" s="55" t="e">
        <f ca="1">_xll.EQNXTDZ($A$1,$B45,U$1,$B$1)</f>
        <v>#NAME?</v>
      </c>
      <c r="V45" s="55" t="e">
        <f ca="1">_xll.EQNXTDZ($A$1,$B45,V$1,$B$1)</f>
        <v>#NAME?</v>
      </c>
      <c r="W45" s="55" t="e">
        <f ca="1">_xll.EQNXTDZ($A$1,$B45,W$1,$B$1)</f>
        <v>#NAME?</v>
      </c>
      <c r="X45" s="55" t="e">
        <f ca="1">_xll.EQNXTDZ($A$1,$B45,X$1,$B$1)</f>
        <v>#NAME?</v>
      </c>
      <c r="Y45" s="55" t="e">
        <f ca="1">_xll.EQNXTDZ($A$1,$B45,Y$1,$B$1)</f>
        <v>#NAME?</v>
      </c>
      <c r="Z45" s="55" t="e">
        <f ca="1">_xll.EQNXTDZ($A$1,$B45,Z$1,$B$1)</f>
        <v>#NAME?</v>
      </c>
      <c r="AA45" s="55" t="e">
        <f ca="1">_xll.EQNXTDZ($A$1,$B45,AA$1,$B$1)</f>
        <v>#NAME?</v>
      </c>
      <c r="AB45" s="55" t="e">
        <f ca="1">_xll.EQNXTDZ($A$1,$B45,AB$1,$B$1)</f>
        <v>#NAME?</v>
      </c>
      <c r="AC45" s="55" t="e">
        <f ca="1">_xll.EQNXTDZ($A$1,$B45,AC$1,$B$1)</f>
        <v>#NAME?</v>
      </c>
      <c r="AD45" s="55" t="e">
        <f ca="1">_xll.EQNXTDZ($A$1,$B45,AD$1,$B$1)</f>
        <v>#NAME?</v>
      </c>
      <c r="AE45" s="55" t="e">
        <f ca="1">_xll.EQNXTDZ($A$1,$B45,AE$1,$B$1)</f>
        <v>#NAME?</v>
      </c>
      <c r="AF45" s="55" t="e">
        <f ca="1">_xll.EQNXTDZ($A$1,$B45,AF$1,$B$1)</f>
        <v>#NAME?</v>
      </c>
    </row>
    <row r="46" spans="1:32" x14ac:dyDescent="0.25">
      <c r="A46" t="s">
        <v>160</v>
      </c>
      <c r="B46" t="s">
        <v>181</v>
      </c>
      <c r="C46" s="55" t="e">
        <f ca="1">_xll.EQNXTDZ($A$1,$B46,C$1,$B$1)</f>
        <v>#NAME?</v>
      </c>
      <c r="D46" s="55" t="e">
        <f ca="1">_xll.EQNXTDZ($A$1,$B46,D$1,$B$1)</f>
        <v>#NAME?</v>
      </c>
      <c r="E46" s="55" t="e">
        <f ca="1">_xll.EQNXTDZ($A$1,$B46,E$1,$B$1)</f>
        <v>#NAME?</v>
      </c>
      <c r="F46" s="55" t="e">
        <f ca="1">_xll.EQNXTDZ($A$1,$B46,F$1,$B$1)</f>
        <v>#NAME?</v>
      </c>
      <c r="G46" s="55" t="e">
        <f ca="1">_xll.EQNXTDZ($A$1,$B46,G$1,$B$1)</f>
        <v>#NAME?</v>
      </c>
      <c r="H46" s="55" t="e">
        <f ca="1">_xll.EQNXTDZ($A$1,$B46,H$1,$B$1)</f>
        <v>#NAME?</v>
      </c>
      <c r="I46" s="55" t="e">
        <f ca="1">_xll.EQNXTDZ($A$1,$B46,I$1,$B$1)</f>
        <v>#NAME?</v>
      </c>
      <c r="J46" s="55" t="e">
        <f ca="1">_xll.EQNXTDZ($A$1,$B46,J$1,$B$1)</f>
        <v>#NAME?</v>
      </c>
      <c r="K46" s="55" t="e">
        <f ca="1">_xll.EQNXTDZ($A$1,$B46,K$1,$B$1)</f>
        <v>#NAME?</v>
      </c>
      <c r="L46" s="55" t="e">
        <f ca="1">_xll.EQNXTDZ($A$1,$B46,L$1,$B$1)</f>
        <v>#NAME?</v>
      </c>
      <c r="M46" s="55" t="e">
        <f ca="1">_xll.EQNXTDZ($A$1,$B46,M$1,$B$1)</f>
        <v>#NAME?</v>
      </c>
      <c r="N46" s="55" t="e">
        <f ca="1">_xll.EQNXTDZ($A$1,$B46,N$1,$B$1)</f>
        <v>#NAME?</v>
      </c>
      <c r="O46" s="55" t="e">
        <f ca="1">_xll.EQNXTDZ($A$1,$B46,O$1,$B$1)</f>
        <v>#NAME?</v>
      </c>
      <c r="P46" s="55" t="e">
        <f ca="1">_xll.EQNXTDZ($A$1,$B46,P$1,$B$1)</f>
        <v>#NAME?</v>
      </c>
      <c r="Q46" s="55" t="e">
        <f ca="1">_xll.EQNXTDZ($A$1,$B46,Q$1,$B$1)</f>
        <v>#NAME?</v>
      </c>
      <c r="R46" s="55" t="e">
        <f ca="1">_xll.EQNXTDZ($A$1,$B46,R$1,$B$1)</f>
        <v>#NAME?</v>
      </c>
      <c r="S46" s="55" t="e">
        <f ca="1">_xll.EQNXTDZ($A$1,$B46,S$1,$B$1)</f>
        <v>#NAME?</v>
      </c>
      <c r="T46" s="55" t="e">
        <f ca="1">_xll.EQNXTDZ($A$1,$B46,T$1,$B$1)</f>
        <v>#NAME?</v>
      </c>
      <c r="U46" s="55" t="e">
        <f ca="1">_xll.EQNXTDZ($A$1,$B46,U$1,$B$1)</f>
        <v>#NAME?</v>
      </c>
      <c r="V46" s="55" t="e">
        <f ca="1">_xll.EQNXTDZ($A$1,$B46,V$1,$B$1)</f>
        <v>#NAME?</v>
      </c>
      <c r="W46" s="55" t="e">
        <f ca="1">_xll.EQNXTDZ($A$1,$B46,W$1,$B$1)</f>
        <v>#NAME?</v>
      </c>
      <c r="X46" s="55" t="e">
        <f ca="1">_xll.EQNXTDZ($A$1,$B46,X$1,$B$1)</f>
        <v>#NAME?</v>
      </c>
      <c r="Y46" s="55" t="e">
        <f ca="1">_xll.EQNXTDZ($A$1,$B46,Y$1,$B$1)</f>
        <v>#NAME?</v>
      </c>
      <c r="Z46" s="55" t="e">
        <f ca="1">_xll.EQNXTDZ($A$1,$B46,Z$1,$B$1)</f>
        <v>#NAME?</v>
      </c>
      <c r="AA46" s="55" t="e">
        <f ca="1">_xll.EQNXTDZ($A$1,$B46,AA$1,$B$1)</f>
        <v>#NAME?</v>
      </c>
      <c r="AB46" s="55" t="e">
        <f ca="1">_xll.EQNXTDZ($A$1,$B46,AB$1,$B$1)</f>
        <v>#NAME?</v>
      </c>
      <c r="AC46" s="55" t="e">
        <f ca="1">_xll.EQNXTDZ($A$1,$B46,AC$1,$B$1)</f>
        <v>#NAME?</v>
      </c>
      <c r="AD46" s="55" t="e">
        <f ca="1">_xll.EQNXTDZ($A$1,$B46,AD$1,$B$1)</f>
        <v>#NAME?</v>
      </c>
      <c r="AE46" s="55" t="e">
        <f ca="1">_xll.EQNXTDZ($A$1,$B46,AE$1,$B$1)</f>
        <v>#NAME?</v>
      </c>
      <c r="AF46" s="55" t="e">
        <f ca="1">_xll.EQNXTDZ($A$1,$B46,AF$1,$B$1)</f>
        <v>#NAME?</v>
      </c>
    </row>
    <row r="47" spans="1:32" x14ac:dyDescent="0.25">
      <c r="A47" t="s">
        <v>45</v>
      </c>
      <c r="B47" t="s">
        <v>182</v>
      </c>
      <c r="C47" s="55" t="e">
        <f ca="1">_xll.EQNXTDZ($A$1,$B47,C$1,$B$1)</f>
        <v>#NAME?</v>
      </c>
      <c r="D47" s="55" t="e">
        <f ca="1">_xll.EQNXTDZ($A$1,$B47,D$1,$B$1)</f>
        <v>#NAME?</v>
      </c>
      <c r="E47" s="55" t="e">
        <f ca="1">_xll.EQNXTDZ($A$1,$B47,E$1,$B$1)</f>
        <v>#NAME?</v>
      </c>
      <c r="F47" s="55" t="e">
        <f ca="1">_xll.EQNXTDZ($A$1,$B47,F$1,$B$1)</f>
        <v>#NAME?</v>
      </c>
      <c r="G47" s="55" t="e">
        <f ca="1">_xll.EQNXTDZ($A$1,$B47,G$1,$B$1)</f>
        <v>#NAME?</v>
      </c>
      <c r="H47" s="55" t="e">
        <f ca="1">_xll.EQNXTDZ($A$1,$B47,H$1,$B$1)</f>
        <v>#NAME?</v>
      </c>
      <c r="I47" s="55" t="e">
        <f ca="1">_xll.EQNXTDZ($A$1,$B47,I$1,$B$1)</f>
        <v>#NAME?</v>
      </c>
      <c r="J47" s="55" t="e">
        <f ca="1">_xll.EQNXTDZ($A$1,$B47,J$1,$B$1)</f>
        <v>#NAME?</v>
      </c>
      <c r="K47" s="55" t="e">
        <f ca="1">_xll.EQNXTDZ($A$1,$B47,K$1,$B$1)</f>
        <v>#NAME?</v>
      </c>
      <c r="L47" s="55" t="e">
        <f ca="1">_xll.EQNXTDZ($A$1,$B47,L$1,$B$1)</f>
        <v>#NAME?</v>
      </c>
      <c r="M47" s="55" t="e">
        <f ca="1">_xll.EQNXTDZ($A$1,$B47,M$1,$B$1)</f>
        <v>#NAME?</v>
      </c>
      <c r="N47" s="55" t="e">
        <f ca="1">_xll.EQNXTDZ($A$1,$B47,N$1,$B$1)</f>
        <v>#NAME?</v>
      </c>
      <c r="O47" s="55" t="e">
        <f ca="1">_xll.EQNXTDZ($A$1,$B47,O$1,$B$1)</f>
        <v>#NAME?</v>
      </c>
      <c r="P47" s="55" t="e">
        <f ca="1">_xll.EQNXTDZ($A$1,$B47,P$1,$B$1)</f>
        <v>#NAME?</v>
      </c>
      <c r="Q47" s="55" t="e">
        <f ca="1">_xll.EQNXTDZ($A$1,$B47,Q$1,$B$1)</f>
        <v>#NAME?</v>
      </c>
      <c r="R47" s="55" t="e">
        <f ca="1">_xll.EQNXTDZ($A$1,$B47,R$1,$B$1)</f>
        <v>#NAME?</v>
      </c>
      <c r="S47" s="55" t="e">
        <f ca="1">_xll.EQNXTDZ($A$1,$B47,S$1,$B$1)</f>
        <v>#NAME?</v>
      </c>
      <c r="T47" s="55" t="e">
        <f ca="1">_xll.EQNXTDZ($A$1,$B47,T$1,$B$1)</f>
        <v>#NAME?</v>
      </c>
      <c r="U47" s="55" t="e">
        <f ca="1">_xll.EQNXTDZ($A$1,$B47,U$1,$B$1)</f>
        <v>#NAME?</v>
      </c>
      <c r="V47" s="55" t="e">
        <f ca="1">_xll.EQNXTDZ($A$1,$B47,V$1,$B$1)</f>
        <v>#NAME?</v>
      </c>
      <c r="W47" s="55" t="e">
        <f ca="1">_xll.EQNXTDZ($A$1,$B47,W$1,$B$1)</f>
        <v>#NAME?</v>
      </c>
      <c r="X47" s="55" t="e">
        <f ca="1">_xll.EQNXTDZ($A$1,$B47,X$1,$B$1)</f>
        <v>#NAME?</v>
      </c>
      <c r="Y47" s="55" t="e">
        <f ca="1">_xll.EQNXTDZ($A$1,$B47,Y$1,$B$1)</f>
        <v>#NAME?</v>
      </c>
      <c r="Z47" s="55" t="e">
        <f ca="1">_xll.EQNXTDZ($A$1,$B47,Z$1,$B$1)</f>
        <v>#NAME?</v>
      </c>
      <c r="AA47" s="55" t="e">
        <f ca="1">_xll.EQNXTDZ($A$1,$B47,AA$1,$B$1)</f>
        <v>#NAME?</v>
      </c>
      <c r="AB47" s="55" t="e">
        <f ca="1">_xll.EQNXTDZ($A$1,$B47,AB$1,$B$1)</f>
        <v>#NAME?</v>
      </c>
      <c r="AC47" s="55" t="e">
        <f ca="1">_xll.EQNXTDZ($A$1,$B47,AC$1,$B$1)</f>
        <v>#NAME?</v>
      </c>
      <c r="AD47" s="55" t="e">
        <f ca="1">_xll.EQNXTDZ($A$1,$B47,AD$1,$B$1)</f>
        <v>#NAME?</v>
      </c>
      <c r="AE47" s="55" t="e">
        <f ca="1">_xll.EQNXTDZ($A$1,$B47,AE$1,$B$1)</f>
        <v>#NAME?</v>
      </c>
      <c r="AF47" s="55" t="e">
        <f ca="1">_xll.EQNXTDZ($A$1,$B47,AF$1,$B$1)</f>
        <v>#NAME?</v>
      </c>
    </row>
    <row r="48" spans="1:32" x14ac:dyDescent="0.25">
      <c r="A48" t="s">
        <v>46</v>
      </c>
      <c r="B48" t="s">
        <v>183</v>
      </c>
      <c r="C48" s="55" t="e">
        <f ca="1">_xll.EQNXTDZ($A$1,$B48,C$1,$B$1)</f>
        <v>#NAME?</v>
      </c>
      <c r="D48" s="55" t="e">
        <f ca="1">_xll.EQNXTDZ($A$1,$B48,D$1,$B$1)</f>
        <v>#NAME?</v>
      </c>
      <c r="E48" s="55" t="e">
        <f ca="1">_xll.EQNXTDZ($A$1,$B48,E$1,$B$1)</f>
        <v>#NAME?</v>
      </c>
      <c r="F48" s="55" t="e">
        <f ca="1">_xll.EQNXTDZ($A$1,$B48,F$1,$B$1)</f>
        <v>#NAME?</v>
      </c>
      <c r="G48" s="55" t="e">
        <f ca="1">_xll.EQNXTDZ($A$1,$B48,G$1,$B$1)</f>
        <v>#NAME?</v>
      </c>
      <c r="H48" s="55" t="e">
        <f ca="1">_xll.EQNXTDZ($A$1,$B48,H$1,$B$1)</f>
        <v>#NAME?</v>
      </c>
      <c r="I48" s="55" t="e">
        <f ca="1">_xll.EQNXTDZ($A$1,$B48,I$1,$B$1)</f>
        <v>#NAME?</v>
      </c>
      <c r="J48" s="55" t="e">
        <f ca="1">_xll.EQNXTDZ($A$1,$B48,J$1,$B$1)</f>
        <v>#NAME?</v>
      </c>
      <c r="K48" s="55" t="e">
        <f ca="1">_xll.EQNXTDZ($A$1,$B48,K$1,$B$1)</f>
        <v>#NAME?</v>
      </c>
      <c r="L48" s="55" t="e">
        <f ca="1">_xll.EQNXTDZ($A$1,$B48,L$1,$B$1)</f>
        <v>#NAME?</v>
      </c>
      <c r="M48" s="55" t="e">
        <f ca="1">_xll.EQNXTDZ($A$1,$B48,M$1,$B$1)</f>
        <v>#NAME?</v>
      </c>
      <c r="N48" s="55" t="e">
        <f ca="1">_xll.EQNXTDZ($A$1,$B48,N$1,$B$1)</f>
        <v>#NAME?</v>
      </c>
      <c r="O48" s="55" t="e">
        <f ca="1">_xll.EQNXTDZ($A$1,$B48,O$1,$B$1)</f>
        <v>#NAME?</v>
      </c>
      <c r="P48" s="55" t="e">
        <f ca="1">_xll.EQNXTDZ($A$1,$B48,P$1,$B$1)</f>
        <v>#NAME?</v>
      </c>
      <c r="Q48" s="55" t="e">
        <f ca="1">_xll.EQNXTDZ($A$1,$B48,Q$1,$B$1)</f>
        <v>#NAME?</v>
      </c>
      <c r="R48" s="55" t="e">
        <f ca="1">_xll.EQNXTDZ($A$1,$B48,R$1,$B$1)</f>
        <v>#NAME?</v>
      </c>
      <c r="S48" s="55" t="e">
        <f ca="1">_xll.EQNXTDZ($A$1,$B48,S$1,$B$1)</f>
        <v>#NAME?</v>
      </c>
      <c r="T48" s="55" t="e">
        <f ca="1">_xll.EQNXTDZ($A$1,$B48,T$1,$B$1)</f>
        <v>#NAME?</v>
      </c>
      <c r="U48" s="55" t="e">
        <f ca="1">_xll.EQNXTDZ($A$1,$B48,U$1,$B$1)</f>
        <v>#NAME?</v>
      </c>
      <c r="V48" s="55" t="e">
        <f ca="1">_xll.EQNXTDZ($A$1,$B48,V$1,$B$1)</f>
        <v>#NAME?</v>
      </c>
      <c r="W48" s="55" t="e">
        <f ca="1">_xll.EQNXTDZ($A$1,$B48,W$1,$B$1)</f>
        <v>#NAME?</v>
      </c>
      <c r="X48" s="55" t="e">
        <f ca="1">_xll.EQNXTDZ($A$1,$B48,X$1,$B$1)</f>
        <v>#NAME?</v>
      </c>
      <c r="Y48" s="55" t="e">
        <f ca="1">_xll.EQNXTDZ($A$1,$B48,Y$1,$B$1)</f>
        <v>#NAME?</v>
      </c>
      <c r="Z48" s="55" t="e">
        <f ca="1">_xll.EQNXTDZ($A$1,$B48,Z$1,$B$1)</f>
        <v>#NAME?</v>
      </c>
      <c r="AA48" s="55" t="e">
        <f ca="1">_xll.EQNXTDZ($A$1,$B48,AA$1,$B$1)</f>
        <v>#NAME?</v>
      </c>
      <c r="AB48" s="55" t="e">
        <f ca="1">_xll.EQNXTDZ($A$1,$B48,AB$1,$B$1)</f>
        <v>#NAME?</v>
      </c>
      <c r="AC48" s="55" t="e">
        <f ca="1">_xll.EQNXTDZ($A$1,$B48,AC$1,$B$1)</f>
        <v>#NAME?</v>
      </c>
      <c r="AD48" s="55" t="e">
        <f ca="1">_xll.EQNXTDZ($A$1,$B48,AD$1,$B$1)</f>
        <v>#NAME?</v>
      </c>
      <c r="AE48" s="55" t="e">
        <f ca="1">_xll.EQNXTDZ($A$1,$B48,AE$1,$B$1)</f>
        <v>#NAME?</v>
      </c>
      <c r="AF48" s="55" t="e">
        <f ca="1">_xll.EQNXTDZ($A$1,$B48,AF$1,$B$1)</f>
        <v>#NAME?</v>
      </c>
    </row>
    <row r="49" spans="1:32" x14ac:dyDescent="0.25">
      <c r="A49" t="s">
        <v>78</v>
      </c>
      <c r="B49" t="s">
        <v>184</v>
      </c>
      <c r="C49" s="55" t="e">
        <f ca="1">_xll.EQNXTDZ($A$1,$B49,C$1,$B$1)</f>
        <v>#NAME?</v>
      </c>
      <c r="D49" s="55" t="e">
        <f ca="1">_xll.EQNXTDZ($A$1,$B49,D$1,$B$1)</f>
        <v>#NAME?</v>
      </c>
      <c r="E49" s="55" t="e">
        <f ca="1">_xll.EQNXTDZ($A$1,$B49,E$1,$B$1)</f>
        <v>#NAME?</v>
      </c>
      <c r="F49" s="55" t="e">
        <f ca="1">_xll.EQNXTDZ($A$1,$B49,F$1,$B$1)</f>
        <v>#NAME?</v>
      </c>
      <c r="G49" s="55" t="e">
        <f ca="1">_xll.EQNXTDZ($A$1,$B49,G$1,$B$1)</f>
        <v>#NAME?</v>
      </c>
      <c r="H49" s="55" t="e">
        <f ca="1">_xll.EQNXTDZ($A$1,$B49,H$1,$B$1)</f>
        <v>#NAME?</v>
      </c>
      <c r="I49" s="55" t="e">
        <f ca="1">_xll.EQNXTDZ($A$1,$B49,I$1,$B$1)</f>
        <v>#NAME?</v>
      </c>
      <c r="J49" s="55" t="e">
        <f ca="1">_xll.EQNXTDZ($A$1,$B49,J$1,$B$1)</f>
        <v>#NAME?</v>
      </c>
      <c r="K49" s="55" t="e">
        <f ca="1">_xll.EQNXTDZ($A$1,$B49,K$1,$B$1)</f>
        <v>#NAME?</v>
      </c>
      <c r="L49" s="55" t="e">
        <f ca="1">_xll.EQNXTDZ($A$1,$B49,L$1,$B$1)</f>
        <v>#NAME?</v>
      </c>
      <c r="M49" s="55" t="e">
        <f ca="1">_xll.EQNXTDZ($A$1,$B49,M$1,$B$1)</f>
        <v>#NAME?</v>
      </c>
      <c r="N49" s="55" t="e">
        <f ca="1">_xll.EQNXTDZ($A$1,$B49,N$1,$B$1)</f>
        <v>#NAME?</v>
      </c>
      <c r="O49" s="55" t="e">
        <f ca="1">_xll.EQNXTDZ($A$1,$B49,O$1,$B$1)</f>
        <v>#NAME?</v>
      </c>
      <c r="P49" s="55" t="e">
        <f ca="1">_xll.EQNXTDZ($A$1,$B49,P$1,$B$1)</f>
        <v>#NAME?</v>
      </c>
      <c r="Q49" s="55" t="e">
        <f ca="1">_xll.EQNXTDZ($A$1,$B49,Q$1,$B$1)</f>
        <v>#NAME?</v>
      </c>
      <c r="R49" s="55" t="e">
        <f ca="1">_xll.EQNXTDZ($A$1,$B49,R$1,$B$1)</f>
        <v>#NAME?</v>
      </c>
      <c r="S49" s="55" t="e">
        <f ca="1">_xll.EQNXTDZ($A$1,$B49,S$1,$B$1)</f>
        <v>#NAME?</v>
      </c>
      <c r="T49" s="55" t="e">
        <f ca="1">_xll.EQNXTDZ($A$1,$B49,T$1,$B$1)</f>
        <v>#NAME?</v>
      </c>
      <c r="U49" s="55" t="e">
        <f ca="1">_xll.EQNXTDZ($A$1,$B49,U$1,$B$1)</f>
        <v>#NAME?</v>
      </c>
      <c r="V49" s="55" t="e">
        <f ca="1">_xll.EQNXTDZ($A$1,$B49,V$1,$B$1)</f>
        <v>#NAME?</v>
      </c>
      <c r="W49" s="55" t="e">
        <f ca="1">_xll.EQNXTDZ($A$1,$B49,W$1,$B$1)</f>
        <v>#NAME?</v>
      </c>
      <c r="X49" s="55" t="e">
        <f ca="1">_xll.EQNXTDZ($A$1,$B49,X$1,$B$1)</f>
        <v>#NAME?</v>
      </c>
      <c r="Y49" s="55" t="e">
        <f ca="1">_xll.EQNXTDZ($A$1,$B49,Y$1,$B$1)</f>
        <v>#NAME?</v>
      </c>
      <c r="Z49" s="55" t="e">
        <f ca="1">_xll.EQNXTDZ($A$1,$B49,Z$1,$B$1)</f>
        <v>#NAME?</v>
      </c>
      <c r="AA49" s="55" t="e">
        <f ca="1">_xll.EQNXTDZ($A$1,$B49,AA$1,$B$1)</f>
        <v>#NAME?</v>
      </c>
      <c r="AB49" s="55" t="e">
        <f ca="1">_xll.EQNXTDZ($A$1,$B49,AB$1,$B$1)</f>
        <v>#NAME?</v>
      </c>
      <c r="AC49" s="55" t="e">
        <f ca="1">_xll.EQNXTDZ($A$1,$B49,AC$1,$B$1)</f>
        <v>#NAME?</v>
      </c>
      <c r="AD49" s="55" t="e">
        <f ca="1">_xll.EQNXTDZ($A$1,$B49,AD$1,$B$1)</f>
        <v>#NAME?</v>
      </c>
      <c r="AE49" s="55" t="e">
        <f ca="1">_xll.EQNXTDZ($A$1,$B49,AE$1,$B$1)</f>
        <v>#NAME?</v>
      </c>
      <c r="AF49" s="55" t="e">
        <f ca="1">_xll.EQNXTDZ($A$1,$B49,AF$1,$B$1)</f>
        <v>#NAME?</v>
      </c>
    </row>
    <row r="50" spans="1:32" x14ac:dyDescent="0.25">
      <c r="A50" t="s">
        <v>66</v>
      </c>
      <c r="B50" t="s">
        <v>185</v>
      </c>
      <c r="C50" s="55" t="e">
        <f ca="1">_xll.EQNXTDZ($A$1,$B50,C$1,$B$1)</f>
        <v>#NAME?</v>
      </c>
      <c r="D50" s="55" t="e">
        <f ca="1">_xll.EQNXTDZ($A$1,$B50,D$1,$B$1)</f>
        <v>#NAME?</v>
      </c>
      <c r="E50" s="55" t="e">
        <f ca="1">_xll.EQNXTDZ($A$1,$B50,E$1,$B$1)</f>
        <v>#NAME?</v>
      </c>
      <c r="F50" s="55" t="e">
        <f ca="1">_xll.EQNXTDZ($A$1,$B50,F$1,$B$1)</f>
        <v>#NAME?</v>
      </c>
      <c r="G50" s="55" t="e">
        <f ca="1">_xll.EQNXTDZ($A$1,$B50,G$1,$B$1)</f>
        <v>#NAME?</v>
      </c>
      <c r="H50" s="55" t="e">
        <f ca="1">_xll.EQNXTDZ($A$1,$B50,H$1,$B$1)</f>
        <v>#NAME?</v>
      </c>
      <c r="I50" s="55" t="e">
        <f ca="1">_xll.EQNXTDZ($A$1,$B50,I$1,$B$1)</f>
        <v>#NAME?</v>
      </c>
      <c r="J50" s="55" t="e">
        <f ca="1">_xll.EQNXTDZ($A$1,$B50,J$1,$B$1)</f>
        <v>#NAME?</v>
      </c>
      <c r="K50" s="55" t="e">
        <f ca="1">_xll.EQNXTDZ($A$1,$B50,K$1,$B$1)</f>
        <v>#NAME?</v>
      </c>
      <c r="L50" s="55" t="e">
        <f ca="1">_xll.EQNXTDZ($A$1,$B50,L$1,$B$1)</f>
        <v>#NAME?</v>
      </c>
      <c r="M50" s="55" t="e">
        <f ca="1">_xll.EQNXTDZ($A$1,$B50,M$1,$B$1)</f>
        <v>#NAME?</v>
      </c>
      <c r="N50" s="55" t="e">
        <f ca="1">_xll.EQNXTDZ($A$1,$B50,N$1,$B$1)</f>
        <v>#NAME?</v>
      </c>
      <c r="O50" s="55" t="e">
        <f ca="1">_xll.EQNXTDZ($A$1,$B50,O$1,$B$1)</f>
        <v>#NAME?</v>
      </c>
      <c r="P50" s="55" t="e">
        <f ca="1">_xll.EQNXTDZ($A$1,$B50,P$1,$B$1)</f>
        <v>#NAME?</v>
      </c>
      <c r="Q50" s="55" t="e">
        <f ca="1">_xll.EQNXTDZ($A$1,$B50,Q$1,$B$1)</f>
        <v>#NAME?</v>
      </c>
      <c r="R50" s="55" t="e">
        <f ca="1">_xll.EQNXTDZ($A$1,$B50,R$1,$B$1)</f>
        <v>#NAME?</v>
      </c>
      <c r="S50" s="55" t="e">
        <f ca="1">_xll.EQNXTDZ($A$1,$B50,S$1,$B$1)</f>
        <v>#NAME?</v>
      </c>
      <c r="T50" s="55" t="e">
        <f ca="1">_xll.EQNXTDZ($A$1,$B50,T$1,$B$1)</f>
        <v>#NAME?</v>
      </c>
      <c r="U50" s="55" t="e">
        <f ca="1">_xll.EQNXTDZ($A$1,$B50,U$1,$B$1)</f>
        <v>#NAME?</v>
      </c>
      <c r="V50" s="55" t="e">
        <f ca="1">_xll.EQNXTDZ($A$1,$B50,V$1,$B$1)</f>
        <v>#NAME?</v>
      </c>
      <c r="W50" s="55" t="e">
        <f ca="1">_xll.EQNXTDZ($A$1,$B50,W$1,$B$1)</f>
        <v>#NAME?</v>
      </c>
      <c r="X50" s="55" t="e">
        <f ca="1">_xll.EQNXTDZ($A$1,$B50,X$1,$B$1)</f>
        <v>#NAME?</v>
      </c>
      <c r="Y50" s="55" t="e">
        <f ca="1">_xll.EQNXTDZ($A$1,$B50,Y$1,$B$1)</f>
        <v>#NAME?</v>
      </c>
      <c r="Z50" s="55" t="e">
        <f ca="1">_xll.EQNXTDZ($A$1,$B50,Z$1,$B$1)</f>
        <v>#NAME?</v>
      </c>
      <c r="AA50" s="55" t="e">
        <f ca="1">_xll.EQNXTDZ($A$1,$B50,AA$1,$B$1)</f>
        <v>#NAME?</v>
      </c>
      <c r="AB50" s="55" t="e">
        <f ca="1">_xll.EQNXTDZ($A$1,$B50,AB$1,$B$1)</f>
        <v>#NAME?</v>
      </c>
      <c r="AC50" s="55" t="e">
        <f ca="1">_xll.EQNXTDZ($A$1,$B50,AC$1,$B$1)</f>
        <v>#NAME?</v>
      </c>
      <c r="AD50" s="55" t="e">
        <f ca="1">_xll.EQNXTDZ($A$1,$B50,AD$1,$B$1)</f>
        <v>#NAME?</v>
      </c>
      <c r="AE50" s="55" t="e">
        <f ca="1">_xll.EQNXTDZ($A$1,$B50,AE$1,$B$1)</f>
        <v>#NAME?</v>
      </c>
      <c r="AF50" s="55" t="e">
        <f ca="1">_xll.EQNXTDZ($A$1,$B50,AF$1,$B$1)</f>
        <v>#NAME?</v>
      </c>
    </row>
    <row r="51" spans="1:32" x14ac:dyDescent="0.25">
      <c r="A51" t="s">
        <v>161</v>
      </c>
      <c r="B51" t="s">
        <v>186</v>
      </c>
      <c r="C51" s="55" t="e">
        <f ca="1">_xll.EQNXTDZ($A$1,$B51,C$1,$B$1)</f>
        <v>#NAME?</v>
      </c>
      <c r="D51" s="55" t="e">
        <f ca="1">_xll.EQNXTDZ($A$1,$B51,D$1,$B$1)</f>
        <v>#NAME?</v>
      </c>
      <c r="E51" s="55" t="e">
        <f ca="1">_xll.EQNXTDZ($A$1,$B51,E$1,$B$1)</f>
        <v>#NAME?</v>
      </c>
      <c r="F51" s="55" t="e">
        <f ca="1">_xll.EQNXTDZ($A$1,$B51,F$1,$B$1)</f>
        <v>#NAME?</v>
      </c>
      <c r="G51" s="55" t="e">
        <f ca="1">_xll.EQNXTDZ($A$1,$B51,G$1,$B$1)</f>
        <v>#NAME?</v>
      </c>
      <c r="H51" s="55" t="e">
        <f ca="1">_xll.EQNXTDZ($A$1,$B51,H$1,$B$1)</f>
        <v>#NAME?</v>
      </c>
      <c r="I51" s="55" t="e">
        <f ca="1">_xll.EQNXTDZ($A$1,$B51,I$1,$B$1)</f>
        <v>#NAME?</v>
      </c>
      <c r="J51" s="55" t="e">
        <f ca="1">_xll.EQNXTDZ($A$1,$B51,J$1,$B$1)</f>
        <v>#NAME?</v>
      </c>
      <c r="K51" s="55" t="e">
        <f ca="1">_xll.EQNXTDZ($A$1,$B51,K$1,$B$1)</f>
        <v>#NAME?</v>
      </c>
      <c r="L51" s="55" t="e">
        <f ca="1">_xll.EQNXTDZ($A$1,$B51,L$1,$B$1)</f>
        <v>#NAME?</v>
      </c>
      <c r="M51" s="55" t="e">
        <f ca="1">_xll.EQNXTDZ($A$1,$B51,M$1,$B$1)</f>
        <v>#NAME?</v>
      </c>
      <c r="N51" s="55" t="e">
        <f ca="1">_xll.EQNXTDZ($A$1,$B51,N$1,$B$1)</f>
        <v>#NAME?</v>
      </c>
      <c r="O51" s="55" t="e">
        <f ca="1">_xll.EQNXTDZ($A$1,$B51,O$1,$B$1)</f>
        <v>#NAME?</v>
      </c>
      <c r="P51" s="55" t="e">
        <f ca="1">_xll.EQNXTDZ($A$1,$B51,P$1,$B$1)</f>
        <v>#NAME?</v>
      </c>
      <c r="Q51" s="55" t="e">
        <f ca="1">_xll.EQNXTDZ($A$1,$B51,Q$1,$B$1)</f>
        <v>#NAME?</v>
      </c>
      <c r="R51" s="55" t="e">
        <f ca="1">_xll.EQNXTDZ($A$1,$B51,R$1,$B$1)</f>
        <v>#NAME?</v>
      </c>
      <c r="S51" s="55" t="e">
        <f ca="1">_xll.EQNXTDZ($A$1,$B51,S$1,$B$1)</f>
        <v>#NAME?</v>
      </c>
      <c r="T51" s="55" t="e">
        <f ca="1">_xll.EQNXTDZ($A$1,$B51,T$1,$B$1)</f>
        <v>#NAME?</v>
      </c>
      <c r="U51" s="55" t="e">
        <f ca="1">_xll.EQNXTDZ($A$1,$B51,U$1,$B$1)</f>
        <v>#NAME?</v>
      </c>
      <c r="V51" s="55" t="e">
        <f ca="1">_xll.EQNXTDZ($A$1,$B51,V$1,$B$1)</f>
        <v>#NAME?</v>
      </c>
      <c r="W51" s="55" t="e">
        <f ca="1">_xll.EQNXTDZ($A$1,$B51,W$1,$B$1)</f>
        <v>#NAME?</v>
      </c>
      <c r="X51" s="55" t="e">
        <f ca="1">_xll.EQNXTDZ($A$1,$B51,X$1,$B$1)</f>
        <v>#NAME?</v>
      </c>
      <c r="Y51" s="55" t="e">
        <f ca="1">_xll.EQNXTDZ($A$1,$B51,Y$1,$B$1)</f>
        <v>#NAME?</v>
      </c>
      <c r="Z51" s="55" t="e">
        <f ca="1">_xll.EQNXTDZ($A$1,$B51,Z$1,$B$1)</f>
        <v>#NAME?</v>
      </c>
      <c r="AA51" s="55" t="e">
        <f ca="1">_xll.EQNXTDZ($A$1,$B51,AA$1,$B$1)</f>
        <v>#NAME?</v>
      </c>
      <c r="AB51" s="55" t="e">
        <f ca="1">_xll.EQNXTDZ($A$1,$B51,AB$1,$B$1)</f>
        <v>#NAME?</v>
      </c>
      <c r="AC51" s="55" t="e">
        <f ca="1">_xll.EQNXTDZ($A$1,$B51,AC$1,$B$1)</f>
        <v>#NAME?</v>
      </c>
      <c r="AD51" s="55" t="e">
        <f ca="1">_xll.EQNXTDZ($A$1,$B51,AD$1,$B$1)</f>
        <v>#NAME?</v>
      </c>
      <c r="AE51" s="55" t="e">
        <f ca="1">_xll.EQNXTDZ($A$1,$B51,AE$1,$B$1)</f>
        <v>#NAME?</v>
      </c>
      <c r="AF51" s="55" t="e">
        <f ca="1">_xll.EQNXTDZ($A$1,$B51,AF$1,$B$1)</f>
        <v>#NAME?</v>
      </c>
    </row>
    <row r="52" spans="1:32" x14ac:dyDescent="0.25">
      <c r="A52" t="s">
        <v>68</v>
      </c>
      <c r="B52" t="s">
        <v>187</v>
      </c>
      <c r="C52" s="55" t="e">
        <f ca="1">_xll.EQNXTDZ($A$1,$B52,C$1,$B$1)</f>
        <v>#NAME?</v>
      </c>
      <c r="D52" s="55" t="e">
        <f ca="1">_xll.EQNXTDZ($A$1,$B52,D$1,$B$1)</f>
        <v>#NAME?</v>
      </c>
      <c r="E52" s="55" t="e">
        <f ca="1">_xll.EQNXTDZ($A$1,$B52,E$1,$B$1)</f>
        <v>#NAME?</v>
      </c>
      <c r="F52" s="55" t="e">
        <f ca="1">_xll.EQNXTDZ($A$1,$B52,F$1,$B$1)</f>
        <v>#NAME?</v>
      </c>
      <c r="G52" s="55" t="e">
        <f ca="1">_xll.EQNXTDZ($A$1,$B52,G$1,$B$1)</f>
        <v>#NAME?</v>
      </c>
      <c r="H52" s="55" t="e">
        <f ca="1">_xll.EQNXTDZ($A$1,$B52,H$1,$B$1)</f>
        <v>#NAME?</v>
      </c>
      <c r="I52" s="55" t="e">
        <f ca="1">_xll.EQNXTDZ($A$1,$B52,I$1,$B$1)</f>
        <v>#NAME?</v>
      </c>
      <c r="J52" s="55" t="e">
        <f ca="1">_xll.EQNXTDZ($A$1,$B52,J$1,$B$1)</f>
        <v>#NAME?</v>
      </c>
      <c r="K52" s="55" t="e">
        <f ca="1">_xll.EQNXTDZ($A$1,$B52,K$1,$B$1)</f>
        <v>#NAME?</v>
      </c>
      <c r="L52" s="55" t="e">
        <f ca="1">_xll.EQNXTDZ($A$1,$B52,L$1,$B$1)</f>
        <v>#NAME?</v>
      </c>
      <c r="M52" s="55" t="e">
        <f ca="1">_xll.EQNXTDZ($A$1,$B52,M$1,$B$1)</f>
        <v>#NAME?</v>
      </c>
      <c r="N52" s="55" t="e">
        <f ca="1">_xll.EQNXTDZ($A$1,$B52,N$1,$B$1)</f>
        <v>#NAME?</v>
      </c>
      <c r="O52" s="55" t="e">
        <f ca="1">_xll.EQNXTDZ($A$1,$B52,O$1,$B$1)</f>
        <v>#NAME?</v>
      </c>
      <c r="P52" s="55" t="e">
        <f ca="1">_xll.EQNXTDZ($A$1,$B52,P$1,$B$1)</f>
        <v>#NAME?</v>
      </c>
      <c r="Q52" s="55" t="e">
        <f ca="1">_xll.EQNXTDZ($A$1,$B52,Q$1,$B$1)</f>
        <v>#NAME?</v>
      </c>
      <c r="R52" s="55" t="e">
        <f ca="1">_xll.EQNXTDZ($A$1,$B52,R$1,$B$1)</f>
        <v>#NAME?</v>
      </c>
      <c r="S52" s="55" t="e">
        <f ca="1">_xll.EQNXTDZ($A$1,$B52,S$1,$B$1)</f>
        <v>#NAME?</v>
      </c>
      <c r="T52" s="55" t="e">
        <f ca="1">_xll.EQNXTDZ($A$1,$B52,T$1,$B$1)</f>
        <v>#NAME?</v>
      </c>
      <c r="U52" s="55" t="e">
        <f ca="1">_xll.EQNXTDZ($A$1,$B52,U$1,$B$1)</f>
        <v>#NAME?</v>
      </c>
      <c r="V52" s="55" t="e">
        <f ca="1">_xll.EQNXTDZ($A$1,$B52,V$1,$B$1)</f>
        <v>#NAME?</v>
      </c>
      <c r="W52" s="55" t="e">
        <f ca="1">_xll.EQNXTDZ($A$1,$B52,W$1,$B$1)</f>
        <v>#NAME?</v>
      </c>
      <c r="X52" s="55" t="e">
        <f ca="1">_xll.EQNXTDZ($A$1,$B52,X$1,$B$1)</f>
        <v>#NAME?</v>
      </c>
      <c r="Y52" s="55" t="e">
        <f ca="1">_xll.EQNXTDZ($A$1,$B52,Y$1,$B$1)</f>
        <v>#NAME?</v>
      </c>
      <c r="Z52" s="55" t="e">
        <f ca="1">_xll.EQNXTDZ($A$1,$B52,Z$1,$B$1)</f>
        <v>#NAME?</v>
      </c>
      <c r="AA52" s="55" t="e">
        <f ca="1">_xll.EQNXTDZ($A$1,$B52,AA$1,$B$1)</f>
        <v>#NAME?</v>
      </c>
      <c r="AB52" s="55" t="e">
        <f ca="1">_xll.EQNXTDZ($A$1,$B52,AB$1,$B$1)</f>
        <v>#NAME?</v>
      </c>
      <c r="AC52" s="55" t="e">
        <f ca="1">_xll.EQNXTDZ($A$1,$B52,AC$1,$B$1)</f>
        <v>#NAME?</v>
      </c>
      <c r="AD52" s="55" t="e">
        <f ca="1">_xll.EQNXTDZ($A$1,$B52,AD$1,$B$1)</f>
        <v>#NAME?</v>
      </c>
      <c r="AE52" s="55" t="e">
        <f ca="1">_xll.EQNXTDZ($A$1,$B52,AE$1,$B$1)</f>
        <v>#NAME?</v>
      </c>
      <c r="AF52" s="55" t="e">
        <f ca="1">_xll.EQNXTDZ($A$1,$B52,AF$1,$B$1)</f>
        <v>#NAME?</v>
      </c>
    </row>
    <row r="53" spans="1:32" x14ac:dyDescent="0.25">
      <c r="A53" t="s">
        <v>162</v>
      </c>
      <c r="B53" t="s">
        <v>188</v>
      </c>
      <c r="C53" s="55" t="e">
        <f ca="1">_xll.EQNXTDZ($A$1,$B53,C$1,$B$1)</f>
        <v>#NAME?</v>
      </c>
      <c r="D53" s="55" t="e">
        <f ca="1">_xll.EQNXTDZ($A$1,$B53,D$1,$B$1)</f>
        <v>#NAME?</v>
      </c>
      <c r="E53" s="55" t="e">
        <f ca="1">_xll.EQNXTDZ($A$1,$B53,E$1,$B$1)</f>
        <v>#NAME?</v>
      </c>
      <c r="F53" s="55" t="e">
        <f ca="1">_xll.EQNXTDZ($A$1,$B53,F$1,$B$1)</f>
        <v>#NAME?</v>
      </c>
      <c r="G53" s="55" t="e">
        <f ca="1">_xll.EQNXTDZ($A$1,$B53,G$1,$B$1)</f>
        <v>#NAME?</v>
      </c>
      <c r="H53" s="55" t="e">
        <f ca="1">_xll.EQNXTDZ($A$1,$B53,H$1,$B$1)</f>
        <v>#NAME?</v>
      </c>
      <c r="I53" s="55" t="e">
        <f ca="1">_xll.EQNXTDZ($A$1,$B53,I$1,$B$1)</f>
        <v>#NAME?</v>
      </c>
      <c r="J53" s="55" t="e">
        <f ca="1">_xll.EQNXTDZ($A$1,$B53,J$1,$B$1)</f>
        <v>#NAME?</v>
      </c>
      <c r="K53" s="55" t="e">
        <f ca="1">_xll.EQNXTDZ($A$1,$B53,K$1,$B$1)</f>
        <v>#NAME?</v>
      </c>
      <c r="L53" s="55" t="e">
        <f ca="1">_xll.EQNXTDZ($A$1,$B53,L$1,$B$1)</f>
        <v>#NAME?</v>
      </c>
      <c r="M53" s="55" t="e">
        <f ca="1">_xll.EQNXTDZ($A$1,$B53,M$1,$B$1)</f>
        <v>#NAME?</v>
      </c>
      <c r="N53" s="55" t="e">
        <f ca="1">_xll.EQNXTDZ($A$1,$B53,N$1,$B$1)</f>
        <v>#NAME?</v>
      </c>
      <c r="O53" s="55" t="e">
        <f ca="1">_xll.EQNXTDZ($A$1,$B53,O$1,$B$1)</f>
        <v>#NAME?</v>
      </c>
      <c r="P53" s="55" t="e">
        <f ca="1">_xll.EQNXTDZ($A$1,$B53,P$1,$B$1)</f>
        <v>#NAME?</v>
      </c>
      <c r="Q53" s="55" t="e">
        <f ca="1">_xll.EQNXTDZ($A$1,$B53,Q$1,$B$1)</f>
        <v>#NAME?</v>
      </c>
      <c r="R53" s="55" t="e">
        <f ca="1">_xll.EQNXTDZ($A$1,$B53,R$1,$B$1)</f>
        <v>#NAME?</v>
      </c>
      <c r="S53" s="55" t="e">
        <f ca="1">_xll.EQNXTDZ($A$1,$B53,S$1,$B$1)</f>
        <v>#NAME?</v>
      </c>
      <c r="T53" s="55" t="e">
        <f ca="1">_xll.EQNXTDZ($A$1,$B53,T$1,$B$1)</f>
        <v>#NAME?</v>
      </c>
      <c r="U53" s="55" t="e">
        <f ca="1">_xll.EQNXTDZ($A$1,$B53,U$1,$B$1)</f>
        <v>#NAME?</v>
      </c>
      <c r="V53" s="55" t="e">
        <f ca="1">_xll.EQNXTDZ($A$1,$B53,V$1,$B$1)</f>
        <v>#NAME?</v>
      </c>
      <c r="W53" s="55" t="e">
        <f ca="1">_xll.EQNXTDZ($A$1,$B53,W$1,$B$1)</f>
        <v>#NAME?</v>
      </c>
      <c r="X53" s="55" t="e">
        <f ca="1">_xll.EQNXTDZ($A$1,$B53,X$1,$B$1)</f>
        <v>#NAME?</v>
      </c>
      <c r="Y53" s="55" t="e">
        <f ca="1">_xll.EQNXTDZ($A$1,$B53,Y$1,$B$1)</f>
        <v>#NAME?</v>
      </c>
      <c r="Z53" s="55" t="e">
        <f ca="1">_xll.EQNXTDZ($A$1,$B53,Z$1,$B$1)</f>
        <v>#NAME?</v>
      </c>
      <c r="AA53" s="55" t="e">
        <f ca="1">_xll.EQNXTDZ($A$1,$B53,AA$1,$B$1)</f>
        <v>#NAME?</v>
      </c>
      <c r="AB53" s="55" t="e">
        <f ca="1">_xll.EQNXTDZ($A$1,$B53,AB$1,$B$1)</f>
        <v>#NAME?</v>
      </c>
      <c r="AC53" s="55" t="e">
        <f ca="1">_xll.EQNXTDZ($A$1,$B53,AC$1,$B$1)</f>
        <v>#NAME?</v>
      </c>
      <c r="AD53" s="55" t="e">
        <f ca="1">_xll.EQNXTDZ($A$1,$B53,AD$1,$B$1)</f>
        <v>#NAME?</v>
      </c>
      <c r="AE53" s="55" t="e">
        <f ca="1">_xll.EQNXTDZ($A$1,$B53,AE$1,$B$1)</f>
        <v>#NAME?</v>
      </c>
      <c r="AF53" s="55" t="e">
        <f ca="1">_xll.EQNXTDZ($A$1,$B53,AF$1,$B$1)</f>
        <v>#NAME?</v>
      </c>
    </row>
    <row r="54" spans="1:32" x14ac:dyDescent="0.25">
      <c r="A54" t="s">
        <v>70</v>
      </c>
      <c r="B54" t="s">
        <v>189</v>
      </c>
      <c r="C54" s="55" t="e">
        <f ca="1">_xll.EQNXTDZ($A$1,$B54,C$1,$B$1)</f>
        <v>#NAME?</v>
      </c>
      <c r="D54" s="55" t="e">
        <f ca="1">_xll.EQNXTDZ($A$1,$B54,D$1,$B$1)</f>
        <v>#NAME?</v>
      </c>
      <c r="E54" s="55" t="e">
        <f ca="1">_xll.EQNXTDZ($A$1,$B54,E$1,$B$1)</f>
        <v>#NAME?</v>
      </c>
      <c r="F54" s="55" t="e">
        <f ca="1">_xll.EQNXTDZ($A$1,$B54,F$1,$B$1)</f>
        <v>#NAME?</v>
      </c>
      <c r="G54" s="55" t="e">
        <f ca="1">_xll.EQNXTDZ($A$1,$B54,G$1,$B$1)</f>
        <v>#NAME?</v>
      </c>
      <c r="H54" s="55" t="e">
        <f ca="1">_xll.EQNXTDZ($A$1,$B54,H$1,$B$1)</f>
        <v>#NAME?</v>
      </c>
      <c r="I54" s="55" t="e">
        <f ca="1">_xll.EQNXTDZ($A$1,$B54,I$1,$B$1)</f>
        <v>#NAME?</v>
      </c>
      <c r="J54" s="55" t="e">
        <f ca="1">_xll.EQNXTDZ($A$1,$B54,J$1,$B$1)</f>
        <v>#NAME?</v>
      </c>
      <c r="K54" s="55" t="e">
        <f ca="1">_xll.EQNXTDZ($A$1,$B54,K$1,$B$1)</f>
        <v>#NAME?</v>
      </c>
      <c r="L54" s="55" t="e">
        <f ca="1">_xll.EQNXTDZ($A$1,$B54,L$1,$B$1)</f>
        <v>#NAME?</v>
      </c>
      <c r="M54" s="55" t="e">
        <f ca="1">_xll.EQNXTDZ($A$1,$B54,M$1,$B$1)</f>
        <v>#NAME?</v>
      </c>
      <c r="N54" s="55" t="e">
        <f ca="1">_xll.EQNXTDZ($A$1,$B54,N$1,$B$1)</f>
        <v>#NAME?</v>
      </c>
      <c r="O54" s="55" t="e">
        <f ca="1">_xll.EQNXTDZ($A$1,$B54,O$1,$B$1)</f>
        <v>#NAME?</v>
      </c>
      <c r="P54" s="55" t="e">
        <f ca="1">_xll.EQNXTDZ($A$1,$B54,P$1,$B$1)</f>
        <v>#NAME?</v>
      </c>
      <c r="Q54" s="55" t="e">
        <f ca="1">_xll.EQNXTDZ($A$1,$B54,Q$1,$B$1)</f>
        <v>#NAME?</v>
      </c>
      <c r="R54" s="55" t="e">
        <f ca="1">_xll.EQNXTDZ($A$1,$B54,R$1,$B$1)</f>
        <v>#NAME?</v>
      </c>
      <c r="S54" s="55" t="e">
        <f ca="1">_xll.EQNXTDZ($A$1,$B54,S$1,$B$1)</f>
        <v>#NAME?</v>
      </c>
      <c r="T54" s="55" t="e">
        <f ca="1">_xll.EQNXTDZ($A$1,$B54,T$1,$B$1)</f>
        <v>#NAME?</v>
      </c>
      <c r="U54" s="55" t="e">
        <f ca="1">_xll.EQNXTDZ($A$1,$B54,U$1,$B$1)</f>
        <v>#NAME?</v>
      </c>
      <c r="V54" s="55" t="e">
        <f ca="1">_xll.EQNXTDZ($A$1,$B54,V$1,$B$1)</f>
        <v>#NAME?</v>
      </c>
      <c r="W54" s="55" t="e">
        <f ca="1">_xll.EQNXTDZ($A$1,$B54,W$1,$B$1)</f>
        <v>#NAME?</v>
      </c>
      <c r="X54" s="55" t="e">
        <f ca="1">_xll.EQNXTDZ($A$1,$B54,X$1,$B$1)</f>
        <v>#NAME?</v>
      </c>
      <c r="Y54" s="55" t="e">
        <f ca="1">_xll.EQNXTDZ($A$1,$B54,Y$1,$B$1)</f>
        <v>#NAME?</v>
      </c>
      <c r="Z54" s="55" t="e">
        <f ca="1">_xll.EQNXTDZ($A$1,$B54,Z$1,$B$1)</f>
        <v>#NAME?</v>
      </c>
      <c r="AA54" s="55" t="e">
        <f ca="1">_xll.EQNXTDZ($A$1,$B54,AA$1,$B$1)</f>
        <v>#NAME?</v>
      </c>
      <c r="AB54" s="55" t="e">
        <f ca="1">_xll.EQNXTDZ($A$1,$B54,AB$1,$B$1)</f>
        <v>#NAME?</v>
      </c>
      <c r="AC54" s="55" t="e">
        <f ca="1">_xll.EQNXTDZ($A$1,$B54,AC$1,$B$1)</f>
        <v>#NAME?</v>
      </c>
      <c r="AD54" s="55" t="e">
        <f ca="1">_xll.EQNXTDZ($A$1,$B54,AD$1,$B$1)</f>
        <v>#NAME?</v>
      </c>
      <c r="AE54" s="55" t="e">
        <f ca="1">_xll.EQNXTDZ($A$1,$B54,AE$1,$B$1)</f>
        <v>#NAME?</v>
      </c>
      <c r="AF54" s="55" t="e">
        <f ca="1">_xll.EQNXTDZ($A$1,$B54,AF$1,$B$1)</f>
        <v>#NAME?</v>
      </c>
    </row>
    <row r="55" spans="1:32" x14ac:dyDescent="0.25">
      <c r="A55" t="s">
        <v>71</v>
      </c>
      <c r="B55" t="s">
        <v>190</v>
      </c>
      <c r="C55" s="55" t="e">
        <f ca="1">_xll.EQNXTDZ($A$1,$B55,C$1,$B$1)</f>
        <v>#NAME?</v>
      </c>
      <c r="D55" s="55" t="e">
        <f ca="1">_xll.EQNXTDZ($A$1,$B55,D$1,$B$1)</f>
        <v>#NAME?</v>
      </c>
      <c r="E55" s="55" t="e">
        <f ca="1">_xll.EQNXTDZ($A$1,$B55,E$1,$B$1)</f>
        <v>#NAME?</v>
      </c>
      <c r="F55" s="55" t="e">
        <f ca="1">_xll.EQNXTDZ($A$1,$B55,F$1,$B$1)</f>
        <v>#NAME?</v>
      </c>
      <c r="G55" s="55" t="e">
        <f ca="1">_xll.EQNXTDZ($A$1,$B55,G$1,$B$1)</f>
        <v>#NAME?</v>
      </c>
      <c r="H55" s="55" t="e">
        <f ca="1">_xll.EQNXTDZ($A$1,$B55,H$1,$B$1)</f>
        <v>#NAME?</v>
      </c>
      <c r="I55" s="55" t="e">
        <f ca="1">_xll.EQNXTDZ($A$1,$B55,I$1,$B$1)</f>
        <v>#NAME?</v>
      </c>
      <c r="J55" s="55" t="e">
        <f ca="1">_xll.EQNXTDZ($A$1,$B55,J$1,$B$1)</f>
        <v>#NAME?</v>
      </c>
      <c r="K55" s="55" t="e">
        <f ca="1">_xll.EQNXTDZ($A$1,$B55,K$1,$B$1)</f>
        <v>#NAME?</v>
      </c>
      <c r="L55" s="55" t="e">
        <f ca="1">_xll.EQNXTDZ($A$1,$B55,L$1,$B$1)</f>
        <v>#NAME?</v>
      </c>
      <c r="M55" s="55" t="e">
        <f ca="1">_xll.EQNXTDZ($A$1,$B55,M$1,$B$1)</f>
        <v>#NAME?</v>
      </c>
      <c r="N55" s="55" t="e">
        <f ca="1">_xll.EQNXTDZ($A$1,$B55,N$1,$B$1)</f>
        <v>#NAME?</v>
      </c>
      <c r="O55" s="55" t="e">
        <f ca="1">_xll.EQNXTDZ($A$1,$B55,O$1,$B$1)</f>
        <v>#NAME?</v>
      </c>
      <c r="P55" s="55" t="e">
        <f ca="1">_xll.EQNXTDZ($A$1,$B55,P$1,$B$1)</f>
        <v>#NAME?</v>
      </c>
      <c r="Q55" s="55" t="e">
        <f ca="1">_xll.EQNXTDZ($A$1,$B55,Q$1,$B$1)</f>
        <v>#NAME?</v>
      </c>
      <c r="R55" s="55" t="e">
        <f ca="1">_xll.EQNXTDZ($A$1,$B55,R$1,$B$1)</f>
        <v>#NAME?</v>
      </c>
      <c r="S55" s="55" t="e">
        <f ca="1">_xll.EQNXTDZ($A$1,$B55,S$1,$B$1)</f>
        <v>#NAME?</v>
      </c>
      <c r="T55" s="55" t="e">
        <f ca="1">_xll.EQNXTDZ($A$1,$B55,T$1,$B$1)</f>
        <v>#NAME?</v>
      </c>
      <c r="U55" s="55" t="e">
        <f ca="1">_xll.EQNXTDZ($A$1,$B55,U$1,$B$1)</f>
        <v>#NAME?</v>
      </c>
      <c r="V55" s="55" t="e">
        <f ca="1">_xll.EQNXTDZ($A$1,$B55,V$1,$B$1)</f>
        <v>#NAME?</v>
      </c>
      <c r="W55" s="55" t="e">
        <f ca="1">_xll.EQNXTDZ($A$1,$B55,W$1,$B$1)</f>
        <v>#NAME?</v>
      </c>
      <c r="X55" s="55" t="e">
        <f ca="1">_xll.EQNXTDZ($A$1,$B55,X$1,$B$1)</f>
        <v>#NAME?</v>
      </c>
      <c r="Y55" s="55" t="e">
        <f ca="1">_xll.EQNXTDZ($A$1,$B55,Y$1,$B$1)</f>
        <v>#NAME?</v>
      </c>
      <c r="Z55" s="55" t="e">
        <f ca="1">_xll.EQNXTDZ($A$1,$B55,Z$1,$B$1)</f>
        <v>#NAME?</v>
      </c>
      <c r="AA55" s="55" t="e">
        <f ca="1">_xll.EQNXTDZ($A$1,$B55,AA$1,$B$1)</f>
        <v>#NAME?</v>
      </c>
      <c r="AB55" s="55" t="e">
        <f ca="1">_xll.EQNXTDZ($A$1,$B55,AB$1,$B$1)</f>
        <v>#NAME?</v>
      </c>
      <c r="AC55" s="55" t="e">
        <f ca="1">_xll.EQNXTDZ($A$1,$B55,AC$1,$B$1)</f>
        <v>#NAME?</v>
      </c>
      <c r="AD55" s="55" t="e">
        <f ca="1">_xll.EQNXTDZ($A$1,$B55,AD$1,$B$1)</f>
        <v>#NAME?</v>
      </c>
      <c r="AE55" s="55" t="e">
        <f ca="1">_xll.EQNXTDZ($A$1,$B55,AE$1,$B$1)</f>
        <v>#NAME?</v>
      </c>
      <c r="AF55" s="55" t="e">
        <f ca="1">_xll.EQNXTDZ($A$1,$B55,AF$1,$B$1)</f>
        <v>#NAME?</v>
      </c>
    </row>
    <row r="56" spans="1:32" x14ac:dyDescent="0.25">
      <c r="A56" t="s">
        <v>48</v>
      </c>
      <c r="B56" t="s">
        <v>191</v>
      </c>
      <c r="C56" s="55" t="e">
        <f ca="1">_xll.EQNXTDZ($A$1,$B56,C$1,$B$1)</f>
        <v>#NAME?</v>
      </c>
      <c r="D56" s="55" t="e">
        <f ca="1">_xll.EQNXTDZ($A$1,$B56,D$1,$B$1)</f>
        <v>#NAME?</v>
      </c>
      <c r="E56" s="55" t="e">
        <f ca="1">_xll.EQNXTDZ($A$1,$B56,E$1,$B$1)</f>
        <v>#NAME?</v>
      </c>
      <c r="F56" s="55" t="e">
        <f ca="1">_xll.EQNXTDZ($A$1,$B56,F$1,$B$1)</f>
        <v>#NAME?</v>
      </c>
      <c r="G56" s="55" t="e">
        <f ca="1">_xll.EQNXTDZ($A$1,$B56,G$1,$B$1)</f>
        <v>#NAME?</v>
      </c>
      <c r="H56" s="55" t="e">
        <f ca="1">_xll.EQNXTDZ($A$1,$B56,H$1,$B$1)</f>
        <v>#NAME?</v>
      </c>
      <c r="I56" s="55" t="e">
        <f ca="1">_xll.EQNXTDZ($A$1,$B56,I$1,$B$1)</f>
        <v>#NAME?</v>
      </c>
      <c r="J56" s="55" t="e">
        <f ca="1">_xll.EQNXTDZ($A$1,$B56,J$1,$B$1)</f>
        <v>#NAME?</v>
      </c>
      <c r="K56" s="55" t="e">
        <f ca="1">_xll.EQNXTDZ($A$1,$B56,K$1,$B$1)</f>
        <v>#NAME?</v>
      </c>
      <c r="L56" s="55" t="e">
        <f ca="1">_xll.EQNXTDZ($A$1,$B56,L$1,$B$1)</f>
        <v>#NAME?</v>
      </c>
      <c r="M56" s="55" t="e">
        <f ca="1">_xll.EQNXTDZ($A$1,$B56,M$1,$B$1)</f>
        <v>#NAME?</v>
      </c>
      <c r="N56" s="55" t="e">
        <f ca="1">_xll.EQNXTDZ($A$1,$B56,N$1,$B$1)</f>
        <v>#NAME?</v>
      </c>
      <c r="O56" s="55" t="e">
        <f ca="1">_xll.EQNXTDZ($A$1,$B56,O$1,$B$1)</f>
        <v>#NAME?</v>
      </c>
      <c r="P56" s="55" t="e">
        <f ca="1">_xll.EQNXTDZ($A$1,$B56,P$1,$B$1)</f>
        <v>#NAME?</v>
      </c>
      <c r="Q56" s="55" t="e">
        <f ca="1">_xll.EQNXTDZ($A$1,$B56,Q$1,$B$1)</f>
        <v>#NAME?</v>
      </c>
      <c r="R56" s="55" t="e">
        <f ca="1">_xll.EQNXTDZ($A$1,$B56,R$1,$B$1)</f>
        <v>#NAME?</v>
      </c>
      <c r="S56" s="55" t="e">
        <f ca="1">_xll.EQNXTDZ($A$1,$B56,S$1,$B$1)</f>
        <v>#NAME?</v>
      </c>
      <c r="T56" s="55" t="e">
        <f ca="1">_xll.EQNXTDZ($A$1,$B56,T$1,$B$1)</f>
        <v>#NAME?</v>
      </c>
      <c r="U56" s="55" t="e">
        <f ca="1">_xll.EQNXTDZ($A$1,$B56,U$1,$B$1)</f>
        <v>#NAME?</v>
      </c>
      <c r="V56" s="55" t="e">
        <f ca="1">_xll.EQNXTDZ($A$1,$B56,V$1,$B$1)</f>
        <v>#NAME?</v>
      </c>
      <c r="W56" s="55" t="e">
        <f ca="1">_xll.EQNXTDZ($A$1,$B56,W$1,$B$1)</f>
        <v>#NAME?</v>
      </c>
      <c r="X56" s="55" t="e">
        <f ca="1">_xll.EQNXTDZ($A$1,$B56,X$1,$B$1)</f>
        <v>#NAME?</v>
      </c>
      <c r="Y56" s="55" t="e">
        <f ca="1">_xll.EQNXTDZ($A$1,$B56,Y$1,$B$1)</f>
        <v>#NAME?</v>
      </c>
      <c r="Z56" s="55" t="e">
        <f ca="1">_xll.EQNXTDZ($A$1,$B56,Z$1,$B$1)</f>
        <v>#NAME?</v>
      </c>
      <c r="AA56" s="55" t="e">
        <f ca="1">_xll.EQNXTDZ($A$1,$B56,AA$1,$B$1)</f>
        <v>#NAME?</v>
      </c>
      <c r="AB56" s="55" t="e">
        <f ca="1">_xll.EQNXTDZ($A$1,$B56,AB$1,$B$1)</f>
        <v>#NAME?</v>
      </c>
      <c r="AC56" s="55" t="e">
        <f ca="1">_xll.EQNXTDZ($A$1,$B56,AC$1,$B$1)</f>
        <v>#NAME?</v>
      </c>
      <c r="AD56" s="55" t="e">
        <f ca="1">_xll.EQNXTDZ($A$1,$B56,AD$1,$B$1)</f>
        <v>#NAME?</v>
      </c>
      <c r="AE56" s="55" t="e">
        <f ca="1">_xll.EQNXTDZ($A$1,$B56,AE$1,$B$1)</f>
        <v>#NAME?</v>
      </c>
      <c r="AF56" s="55" t="e">
        <f ca="1">_xll.EQNXTDZ($A$1,$B56,AF$1,$B$1)</f>
        <v>#NAME?</v>
      </c>
    </row>
    <row r="57" spans="1:32" x14ac:dyDescent="0.25">
      <c r="A57" t="s">
        <v>72</v>
      </c>
      <c r="B57" t="s">
        <v>192</v>
      </c>
      <c r="C57" s="55" t="e">
        <f ca="1">_xll.EQNXTDZ($A$1,$B57,C$1,$B$1)</f>
        <v>#NAME?</v>
      </c>
      <c r="D57" s="55" t="e">
        <f ca="1">_xll.EQNXTDZ($A$1,$B57,D$1,$B$1)</f>
        <v>#NAME?</v>
      </c>
      <c r="E57" s="55" t="e">
        <f ca="1">_xll.EQNXTDZ($A$1,$B57,E$1,$B$1)</f>
        <v>#NAME?</v>
      </c>
      <c r="F57" s="55" t="e">
        <f ca="1">_xll.EQNXTDZ($A$1,$B57,F$1,$B$1)</f>
        <v>#NAME?</v>
      </c>
      <c r="G57" s="55" t="e">
        <f ca="1">_xll.EQNXTDZ($A$1,$B57,G$1,$B$1)</f>
        <v>#NAME?</v>
      </c>
      <c r="H57" s="55" t="e">
        <f ca="1">_xll.EQNXTDZ($A$1,$B57,H$1,$B$1)</f>
        <v>#NAME?</v>
      </c>
      <c r="I57" s="55" t="e">
        <f ca="1">_xll.EQNXTDZ($A$1,$B57,I$1,$B$1)</f>
        <v>#NAME?</v>
      </c>
      <c r="J57" s="55" t="e">
        <f ca="1">_xll.EQNXTDZ($A$1,$B57,J$1,$B$1)</f>
        <v>#NAME?</v>
      </c>
      <c r="K57" s="55" t="e">
        <f ca="1">_xll.EQNXTDZ($A$1,$B57,K$1,$B$1)</f>
        <v>#NAME?</v>
      </c>
      <c r="L57" s="55" t="e">
        <f ca="1">_xll.EQNXTDZ($A$1,$B57,L$1,$B$1)</f>
        <v>#NAME?</v>
      </c>
      <c r="M57" s="55" t="e">
        <f ca="1">_xll.EQNXTDZ($A$1,$B57,M$1,$B$1)</f>
        <v>#NAME?</v>
      </c>
      <c r="N57" s="55" t="e">
        <f ca="1">_xll.EQNXTDZ($A$1,$B57,N$1,$B$1)</f>
        <v>#NAME?</v>
      </c>
      <c r="O57" s="55" t="e">
        <f ca="1">_xll.EQNXTDZ($A$1,$B57,O$1,$B$1)</f>
        <v>#NAME?</v>
      </c>
      <c r="P57" s="55" t="e">
        <f ca="1">_xll.EQNXTDZ($A$1,$B57,P$1,$B$1)</f>
        <v>#NAME?</v>
      </c>
      <c r="Q57" s="55" t="e">
        <f ca="1">_xll.EQNXTDZ($A$1,$B57,Q$1,$B$1)</f>
        <v>#NAME?</v>
      </c>
      <c r="R57" s="55" t="e">
        <f ca="1">_xll.EQNXTDZ($A$1,$B57,R$1,$B$1)</f>
        <v>#NAME?</v>
      </c>
      <c r="S57" s="55" t="e">
        <f ca="1">_xll.EQNXTDZ($A$1,$B57,S$1,$B$1)</f>
        <v>#NAME?</v>
      </c>
      <c r="T57" s="55" t="e">
        <f ca="1">_xll.EQNXTDZ($A$1,$B57,T$1,$B$1)</f>
        <v>#NAME?</v>
      </c>
      <c r="U57" s="55" t="e">
        <f ca="1">_xll.EQNXTDZ($A$1,$B57,U$1,$B$1)</f>
        <v>#NAME?</v>
      </c>
      <c r="V57" s="55" t="e">
        <f ca="1">_xll.EQNXTDZ($A$1,$B57,V$1,$B$1)</f>
        <v>#NAME?</v>
      </c>
      <c r="W57" s="55" t="e">
        <f ca="1">_xll.EQNXTDZ($A$1,$B57,W$1,$B$1)</f>
        <v>#NAME?</v>
      </c>
      <c r="X57" s="55" t="e">
        <f ca="1">_xll.EQNXTDZ($A$1,$B57,X$1,$B$1)</f>
        <v>#NAME?</v>
      </c>
      <c r="Y57" s="55" t="e">
        <f ca="1">_xll.EQNXTDZ($A$1,$B57,Y$1,$B$1)</f>
        <v>#NAME?</v>
      </c>
      <c r="Z57" s="55" t="e">
        <f ca="1">_xll.EQNXTDZ($A$1,$B57,Z$1,$B$1)</f>
        <v>#NAME?</v>
      </c>
      <c r="AA57" s="55" t="e">
        <f ca="1">_xll.EQNXTDZ($A$1,$B57,AA$1,$B$1)</f>
        <v>#NAME?</v>
      </c>
      <c r="AB57" s="55" t="e">
        <f ca="1">_xll.EQNXTDZ($A$1,$B57,AB$1,$B$1)</f>
        <v>#NAME?</v>
      </c>
      <c r="AC57" s="55" t="e">
        <f ca="1">_xll.EQNXTDZ($A$1,$B57,AC$1,$B$1)</f>
        <v>#NAME?</v>
      </c>
      <c r="AD57" s="55" t="e">
        <f ca="1">_xll.EQNXTDZ($A$1,$B57,AD$1,$B$1)</f>
        <v>#NAME?</v>
      </c>
      <c r="AE57" s="55" t="e">
        <f ca="1">_xll.EQNXTDZ($A$1,$B57,AE$1,$B$1)</f>
        <v>#NAME?</v>
      </c>
      <c r="AF57" s="55" t="e">
        <f ca="1">_xll.EQNXTDZ($A$1,$B57,AF$1,$B$1)</f>
        <v>#NAME?</v>
      </c>
    </row>
    <row r="58" spans="1:32" x14ac:dyDescent="0.25">
      <c r="A58" t="s">
        <v>163</v>
      </c>
      <c r="B58" t="s">
        <v>193</v>
      </c>
      <c r="C58" s="55" t="e">
        <f ca="1">_xll.EQNXTDZ($A$1,$B58,C$1,$B$1)</f>
        <v>#NAME?</v>
      </c>
      <c r="D58" s="55" t="e">
        <f ca="1">_xll.EQNXTDZ($A$1,$B58,D$1,$B$1)</f>
        <v>#NAME?</v>
      </c>
      <c r="E58" s="55" t="e">
        <f ca="1">_xll.EQNXTDZ($A$1,$B58,E$1,$B$1)</f>
        <v>#NAME?</v>
      </c>
      <c r="F58" s="55" t="e">
        <f ca="1">_xll.EQNXTDZ($A$1,$B58,F$1,$B$1)</f>
        <v>#NAME?</v>
      </c>
      <c r="G58" s="55" t="e">
        <f ca="1">_xll.EQNXTDZ($A$1,$B58,G$1,$B$1)</f>
        <v>#NAME?</v>
      </c>
      <c r="H58" s="55" t="e">
        <f ca="1">_xll.EQNXTDZ($A$1,$B58,H$1,$B$1)</f>
        <v>#NAME?</v>
      </c>
      <c r="I58" s="55" t="e">
        <f ca="1">_xll.EQNXTDZ($A$1,$B58,I$1,$B$1)</f>
        <v>#NAME?</v>
      </c>
      <c r="J58" s="55" t="e">
        <f ca="1">_xll.EQNXTDZ($A$1,$B58,J$1,$B$1)</f>
        <v>#NAME?</v>
      </c>
      <c r="K58" s="55" t="e">
        <f ca="1">_xll.EQNXTDZ($A$1,$B58,K$1,$B$1)</f>
        <v>#NAME?</v>
      </c>
      <c r="L58" s="55" t="e">
        <f ca="1">_xll.EQNXTDZ($A$1,$B58,L$1,$B$1)</f>
        <v>#NAME?</v>
      </c>
      <c r="M58" s="55" t="e">
        <f ca="1">_xll.EQNXTDZ($A$1,$B58,M$1,$B$1)</f>
        <v>#NAME?</v>
      </c>
      <c r="N58" s="55" t="e">
        <f ca="1">_xll.EQNXTDZ($A$1,$B58,N$1,$B$1)</f>
        <v>#NAME?</v>
      </c>
      <c r="O58" s="55" t="e">
        <f ca="1">_xll.EQNXTDZ($A$1,$B58,O$1,$B$1)</f>
        <v>#NAME?</v>
      </c>
      <c r="P58" s="55" t="e">
        <f ca="1">_xll.EQNXTDZ($A$1,$B58,P$1,$B$1)</f>
        <v>#NAME?</v>
      </c>
      <c r="Q58" s="55" t="e">
        <f ca="1">_xll.EQNXTDZ($A$1,$B58,Q$1,$B$1)</f>
        <v>#NAME?</v>
      </c>
      <c r="R58" s="55" t="e">
        <f ca="1">_xll.EQNXTDZ($A$1,$B58,R$1,$B$1)</f>
        <v>#NAME?</v>
      </c>
      <c r="S58" s="55" t="e">
        <f ca="1">_xll.EQNXTDZ($A$1,$B58,S$1,$B$1)</f>
        <v>#NAME?</v>
      </c>
      <c r="T58" s="55" t="e">
        <f ca="1">_xll.EQNXTDZ($A$1,$B58,T$1,$B$1)</f>
        <v>#NAME?</v>
      </c>
      <c r="U58" s="55" t="e">
        <f ca="1">_xll.EQNXTDZ($A$1,$B58,U$1,$B$1)</f>
        <v>#NAME?</v>
      </c>
      <c r="V58" s="55" t="e">
        <f ca="1">_xll.EQNXTDZ($A$1,$B58,V$1,$B$1)</f>
        <v>#NAME?</v>
      </c>
      <c r="W58" s="55" t="e">
        <f ca="1">_xll.EQNXTDZ($A$1,$B58,W$1,$B$1)</f>
        <v>#NAME?</v>
      </c>
      <c r="X58" s="55" t="e">
        <f ca="1">_xll.EQNXTDZ($A$1,$B58,X$1,$B$1)</f>
        <v>#NAME?</v>
      </c>
      <c r="Y58" s="55" t="e">
        <f ca="1">_xll.EQNXTDZ($A$1,$B58,Y$1,$B$1)</f>
        <v>#NAME?</v>
      </c>
      <c r="Z58" s="55" t="e">
        <f ca="1">_xll.EQNXTDZ($A$1,$B58,Z$1,$B$1)</f>
        <v>#NAME?</v>
      </c>
      <c r="AA58" s="55" t="e">
        <f ca="1">_xll.EQNXTDZ($A$1,$B58,AA$1,$B$1)</f>
        <v>#NAME?</v>
      </c>
      <c r="AB58" s="55" t="e">
        <f ca="1">_xll.EQNXTDZ($A$1,$B58,AB$1,$B$1)</f>
        <v>#NAME?</v>
      </c>
      <c r="AC58" s="55" t="e">
        <f ca="1">_xll.EQNXTDZ($A$1,$B58,AC$1,$B$1)</f>
        <v>#NAME?</v>
      </c>
      <c r="AD58" s="55" t="e">
        <f ca="1">_xll.EQNXTDZ($A$1,$B58,AD$1,$B$1)</f>
        <v>#NAME?</v>
      </c>
      <c r="AE58" s="55" t="e">
        <f ca="1">_xll.EQNXTDZ($A$1,$B58,AE$1,$B$1)</f>
        <v>#NAME?</v>
      </c>
      <c r="AF58" s="55" t="e">
        <f ca="1">_xll.EQNXTDZ($A$1,$B58,AF$1,$B$1)</f>
        <v>#NAME?</v>
      </c>
    </row>
    <row r="59" spans="1:32" x14ac:dyDescent="0.25">
      <c r="A59" t="s">
        <v>164</v>
      </c>
      <c r="B59" t="s">
        <v>194</v>
      </c>
      <c r="C59" s="55" t="e">
        <f ca="1">_xll.EQNXTDZ($A$1,$B59,C$1,$B$1)</f>
        <v>#NAME?</v>
      </c>
      <c r="D59" s="55" t="e">
        <f ca="1">_xll.EQNXTDZ($A$1,$B59,D$1,$B$1)</f>
        <v>#NAME?</v>
      </c>
      <c r="E59" s="55" t="e">
        <f ca="1">_xll.EQNXTDZ($A$1,$B59,E$1,$B$1)</f>
        <v>#NAME?</v>
      </c>
      <c r="F59" s="55" t="e">
        <f ca="1">_xll.EQNXTDZ($A$1,$B59,F$1,$B$1)</f>
        <v>#NAME?</v>
      </c>
      <c r="G59" s="55" t="e">
        <f ca="1">_xll.EQNXTDZ($A$1,$B59,G$1,$B$1)</f>
        <v>#NAME?</v>
      </c>
      <c r="H59" s="55" t="e">
        <f ca="1">_xll.EQNXTDZ($A$1,$B59,H$1,$B$1)</f>
        <v>#NAME?</v>
      </c>
      <c r="I59" s="55" t="e">
        <f ca="1">_xll.EQNXTDZ($A$1,$B59,I$1,$B$1)</f>
        <v>#NAME?</v>
      </c>
      <c r="J59" s="55" t="e">
        <f ca="1">_xll.EQNXTDZ($A$1,$B59,J$1,$B$1)</f>
        <v>#NAME?</v>
      </c>
      <c r="K59" s="55" t="e">
        <f ca="1">_xll.EQNXTDZ($A$1,$B59,K$1,$B$1)</f>
        <v>#NAME?</v>
      </c>
      <c r="L59" s="55" t="e">
        <f ca="1">_xll.EQNXTDZ($A$1,$B59,L$1,$B$1)</f>
        <v>#NAME?</v>
      </c>
      <c r="M59" s="55" t="e">
        <f ca="1">_xll.EQNXTDZ($A$1,$B59,M$1,$B$1)</f>
        <v>#NAME?</v>
      </c>
      <c r="N59" s="55" t="e">
        <f ca="1">_xll.EQNXTDZ($A$1,$B59,N$1,$B$1)</f>
        <v>#NAME?</v>
      </c>
      <c r="O59" s="55" t="e">
        <f ca="1">_xll.EQNXTDZ($A$1,$B59,O$1,$B$1)</f>
        <v>#NAME?</v>
      </c>
      <c r="P59" s="55" t="e">
        <f ca="1">_xll.EQNXTDZ($A$1,$B59,P$1,$B$1)</f>
        <v>#NAME?</v>
      </c>
      <c r="Q59" s="55" t="e">
        <f ca="1">_xll.EQNXTDZ($A$1,$B59,Q$1,$B$1)</f>
        <v>#NAME?</v>
      </c>
      <c r="R59" s="55" t="e">
        <f ca="1">_xll.EQNXTDZ($A$1,$B59,R$1,$B$1)</f>
        <v>#NAME?</v>
      </c>
      <c r="S59" s="55" t="e">
        <f ca="1">_xll.EQNXTDZ($A$1,$B59,S$1,$B$1)</f>
        <v>#NAME?</v>
      </c>
      <c r="T59" s="55" t="e">
        <f ca="1">_xll.EQNXTDZ($A$1,$B59,T$1,$B$1)</f>
        <v>#NAME?</v>
      </c>
      <c r="U59" s="55" t="e">
        <f ca="1">_xll.EQNXTDZ($A$1,$B59,U$1,$B$1)</f>
        <v>#NAME?</v>
      </c>
      <c r="V59" s="55" t="e">
        <f ca="1">_xll.EQNXTDZ($A$1,$B59,V$1,$B$1)</f>
        <v>#NAME?</v>
      </c>
      <c r="W59" s="55" t="e">
        <f ca="1">_xll.EQNXTDZ($A$1,$B59,W$1,$B$1)</f>
        <v>#NAME?</v>
      </c>
      <c r="X59" s="55" t="e">
        <f ca="1">_xll.EQNXTDZ($A$1,$B59,X$1,$B$1)</f>
        <v>#NAME?</v>
      </c>
      <c r="Y59" s="55" t="e">
        <f ca="1">_xll.EQNXTDZ($A$1,$B59,Y$1,$B$1)</f>
        <v>#NAME?</v>
      </c>
      <c r="Z59" s="55" t="e">
        <f ca="1">_xll.EQNXTDZ($A$1,$B59,Z$1,$B$1)</f>
        <v>#NAME?</v>
      </c>
      <c r="AA59" s="55" t="e">
        <f ca="1">_xll.EQNXTDZ($A$1,$B59,AA$1,$B$1)</f>
        <v>#NAME?</v>
      </c>
      <c r="AB59" s="55" t="e">
        <f ca="1">_xll.EQNXTDZ($A$1,$B59,AB$1,$B$1)</f>
        <v>#NAME?</v>
      </c>
      <c r="AC59" s="55" t="e">
        <f ca="1">_xll.EQNXTDZ($A$1,$B59,AC$1,$B$1)</f>
        <v>#NAME?</v>
      </c>
      <c r="AD59" s="55" t="e">
        <f ca="1">_xll.EQNXTDZ($A$1,$B59,AD$1,$B$1)</f>
        <v>#NAME?</v>
      </c>
      <c r="AE59" s="55" t="e">
        <f ca="1">_xll.EQNXTDZ($A$1,$B59,AE$1,$B$1)</f>
        <v>#NAME?</v>
      </c>
      <c r="AF59" s="55" t="e">
        <f ca="1">_xll.EQNXTDZ($A$1,$B59,AF$1,$B$1)</f>
        <v>#NAME?</v>
      </c>
    </row>
    <row r="60" spans="1:32" x14ac:dyDescent="0.25">
      <c r="A60" t="s">
        <v>165</v>
      </c>
      <c r="B60" t="s">
        <v>195</v>
      </c>
      <c r="C60" s="55" t="e">
        <f ca="1">_xll.EQNXTDZ($A$1,$B60,C$1,$B$1)</f>
        <v>#NAME?</v>
      </c>
      <c r="D60" s="55" t="e">
        <f ca="1">_xll.EQNXTDZ($A$1,$B60,D$1,$B$1)</f>
        <v>#NAME?</v>
      </c>
      <c r="E60" s="55" t="e">
        <f ca="1">_xll.EQNXTDZ($A$1,$B60,E$1,$B$1)</f>
        <v>#NAME?</v>
      </c>
      <c r="F60" s="55" t="e">
        <f ca="1">_xll.EQNXTDZ($A$1,$B60,F$1,$B$1)</f>
        <v>#NAME?</v>
      </c>
      <c r="G60" s="55" t="e">
        <f ca="1">_xll.EQNXTDZ($A$1,$B60,G$1,$B$1)</f>
        <v>#NAME?</v>
      </c>
      <c r="H60" s="55" t="e">
        <f ca="1">_xll.EQNXTDZ($A$1,$B60,H$1,$B$1)</f>
        <v>#NAME?</v>
      </c>
      <c r="I60" s="55" t="e">
        <f ca="1">_xll.EQNXTDZ($A$1,$B60,I$1,$B$1)</f>
        <v>#NAME?</v>
      </c>
      <c r="J60" s="55" t="e">
        <f ca="1">_xll.EQNXTDZ($A$1,$B60,J$1,$B$1)</f>
        <v>#NAME?</v>
      </c>
      <c r="K60" s="55" t="e">
        <f ca="1">_xll.EQNXTDZ($A$1,$B60,K$1,$B$1)</f>
        <v>#NAME?</v>
      </c>
      <c r="L60" s="55" t="e">
        <f ca="1">_xll.EQNXTDZ($A$1,$B60,L$1,$B$1)</f>
        <v>#NAME?</v>
      </c>
      <c r="M60" s="55" t="e">
        <f ca="1">_xll.EQNXTDZ($A$1,$B60,M$1,$B$1)</f>
        <v>#NAME?</v>
      </c>
      <c r="N60" s="55" t="e">
        <f ca="1">_xll.EQNXTDZ($A$1,$B60,N$1,$B$1)</f>
        <v>#NAME?</v>
      </c>
      <c r="O60" s="55" t="e">
        <f ca="1">_xll.EQNXTDZ($A$1,$B60,O$1,$B$1)</f>
        <v>#NAME?</v>
      </c>
      <c r="P60" s="55" t="e">
        <f ca="1">_xll.EQNXTDZ($A$1,$B60,P$1,$B$1)</f>
        <v>#NAME?</v>
      </c>
      <c r="Q60" s="55" t="e">
        <f ca="1">_xll.EQNXTDZ($A$1,$B60,Q$1,$B$1)</f>
        <v>#NAME?</v>
      </c>
      <c r="R60" s="55" t="e">
        <f ca="1">_xll.EQNXTDZ($A$1,$B60,R$1,$B$1)</f>
        <v>#NAME?</v>
      </c>
      <c r="S60" s="55" t="e">
        <f ca="1">_xll.EQNXTDZ($A$1,$B60,S$1,$B$1)</f>
        <v>#NAME?</v>
      </c>
      <c r="T60" s="55" t="e">
        <f ca="1">_xll.EQNXTDZ($A$1,$B60,T$1,$B$1)</f>
        <v>#NAME?</v>
      </c>
      <c r="U60" s="55" t="e">
        <f ca="1">_xll.EQNXTDZ($A$1,$B60,U$1,$B$1)</f>
        <v>#NAME?</v>
      </c>
      <c r="V60" s="55" t="e">
        <f ca="1">_xll.EQNXTDZ($A$1,$B60,V$1,$B$1)</f>
        <v>#NAME?</v>
      </c>
      <c r="W60" s="55" t="e">
        <f ca="1">_xll.EQNXTDZ($A$1,$B60,W$1,$B$1)</f>
        <v>#NAME?</v>
      </c>
      <c r="X60" s="55" t="e">
        <f ca="1">_xll.EQNXTDZ($A$1,$B60,X$1,$B$1)</f>
        <v>#NAME?</v>
      </c>
      <c r="Y60" s="55" t="e">
        <f ca="1">_xll.EQNXTDZ($A$1,$B60,Y$1,$B$1)</f>
        <v>#NAME?</v>
      </c>
      <c r="Z60" s="55" t="e">
        <f ca="1">_xll.EQNXTDZ($A$1,$B60,Z$1,$B$1)</f>
        <v>#NAME?</v>
      </c>
      <c r="AA60" s="55" t="e">
        <f ca="1">_xll.EQNXTDZ($A$1,$B60,AA$1,$B$1)</f>
        <v>#NAME?</v>
      </c>
      <c r="AB60" s="55" t="e">
        <f ca="1">_xll.EQNXTDZ($A$1,$B60,AB$1,$B$1)</f>
        <v>#NAME?</v>
      </c>
      <c r="AC60" s="55" t="e">
        <f ca="1">_xll.EQNXTDZ($A$1,$B60,AC$1,$B$1)</f>
        <v>#NAME?</v>
      </c>
      <c r="AD60" s="55" t="e">
        <f ca="1">_xll.EQNXTDZ($A$1,$B60,AD$1,$B$1)</f>
        <v>#NAME?</v>
      </c>
      <c r="AE60" s="55" t="e">
        <f ca="1">_xll.EQNXTDZ($A$1,$B60,AE$1,$B$1)</f>
        <v>#NAME?</v>
      </c>
      <c r="AF60" s="55" t="e">
        <f ca="1">_xll.EQNXTDZ($A$1,$B60,AF$1,$B$1)</f>
        <v>#NAME?</v>
      </c>
    </row>
    <row r="61" spans="1:32" x14ac:dyDescent="0.25">
      <c r="A61" t="s">
        <v>166</v>
      </c>
      <c r="B61" t="s">
        <v>196</v>
      </c>
      <c r="C61" s="55" t="e">
        <f ca="1">_xll.EQNXTDZ($A$1,$B61,C$1,$B$1)</f>
        <v>#NAME?</v>
      </c>
      <c r="D61" s="55" t="e">
        <f ca="1">_xll.EQNXTDZ($A$1,$B61,D$1,$B$1)</f>
        <v>#NAME?</v>
      </c>
      <c r="E61" s="55" t="e">
        <f ca="1">_xll.EQNXTDZ($A$1,$B61,E$1,$B$1)</f>
        <v>#NAME?</v>
      </c>
      <c r="F61" s="55" t="e">
        <f ca="1">_xll.EQNXTDZ($A$1,$B61,F$1,$B$1)</f>
        <v>#NAME?</v>
      </c>
      <c r="G61" s="55" t="e">
        <f ca="1">_xll.EQNXTDZ($A$1,$B61,G$1,$B$1)</f>
        <v>#NAME?</v>
      </c>
      <c r="H61" s="55" t="e">
        <f ca="1">_xll.EQNXTDZ($A$1,$B61,H$1,$B$1)</f>
        <v>#NAME?</v>
      </c>
      <c r="I61" s="55" t="e">
        <f ca="1">_xll.EQNXTDZ($A$1,$B61,I$1,$B$1)</f>
        <v>#NAME?</v>
      </c>
      <c r="J61" s="55" t="e">
        <f ca="1">_xll.EQNXTDZ($A$1,$B61,J$1,$B$1)</f>
        <v>#NAME?</v>
      </c>
      <c r="K61" s="55" t="e">
        <f ca="1">_xll.EQNXTDZ($A$1,$B61,K$1,$B$1)</f>
        <v>#NAME?</v>
      </c>
      <c r="L61" s="55" t="e">
        <f ca="1">_xll.EQNXTDZ($A$1,$B61,L$1,$B$1)</f>
        <v>#NAME?</v>
      </c>
      <c r="M61" s="55" t="e">
        <f ca="1">_xll.EQNXTDZ($A$1,$B61,M$1,$B$1)</f>
        <v>#NAME?</v>
      </c>
      <c r="N61" s="55" t="e">
        <f ca="1">_xll.EQNXTDZ($A$1,$B61,N$1,$B$1)</f>
        <v>#NAME?</v>
      </c>
      <c r="O61" s="55" t="e">
        <f ca="1">_xll.EQNXTDZ($A$1,$B61,O$1,$B$1)</f>
        <v>#NAME?</v>
      </c>
      <c r="P61" s="55" t="e">
        <f ca="1">_xll.EQNXTDZ($A$1,$B61,P$1,$B$1)</f>
        <v>#NAME?</v>
      </c>
      <c r="Q61" s="55" t="e">
        <f ca="1">_xll.EQNXTDZ($A$1,$B61,Q$1,$B$1)</f>
        <v>#NAME?</v>
      </c>
      <c r="R61" s="55" t="e">
        <f ca="1">_xll.EQNXTDZ($A$1,$B61,R$1,$B$1)</f>
        <v>#NAME?</v>
      </c>
      <c r="S61" s="55" t="e">
        <f ca="1">_xll.EQNXTDZ($A$1,$B61,S$1,$B$1)</f>
        <v>#NAME?</v>
      </c>
      <c r="T61" s="55" t="e">
        <f ca="1">_xll.EQNXTDZ($A$1,$B61,T$1,$B$1)</f>
        <v>#NAME?</v>
      </c>
      <c r="U61" s="55" t="e">
        <f ca="1">_xll.EQNXTDZ($A$1,$B61,U$1,$B$1)</f>
        <v>#NAME?</v>
      </c>
      <c r="V61" s="55" t="e">
        <f ca="1">_xll.EQNXTDZ($A$1,$B61,V$1,$B$1)</f>
        <v>#NAME?</v>
      </c>
      <c r="W61" s="55" t="e">
        <f ca="1">_xll.EQNXTDZ($A$1,$B61,W$1,$B$1)</f>
        <v>#NAME?</v>
      </c>
      <c r="X61" s="55" t="e">
        <f ca="1">_xll.EQNXTDZ($A$1,$B61,X$1,$B$1)</f>
        <v>#NAME?</v>
      </c>
      <c r="Y61" s="55" t="e">
        <f ca="1">_xll.EQNXTDZ($A$1,$B61,Y$1,$B$1)</f>
        <v>#NAME?</v>
      </c>
      <c r="Z61" s="55" t="e">
        <f ca="1">_xll.EQNXTDZ($A$1,$B61,Z$1,$B$1)</f>
        <v>#NAME?</v>
      </c>
      <c r="AA61" s="55" t="e">
        <f ca="1">_xll.EQNXTDZ($A$1,$B61,AA$1,$B$1)</f>
        <v>#NAME?</v>
      </c>
      <c r="AB61" s="55" t="e">
        <f ca="1">_xll.EQNXTDZ($A$1,$B61,AB$1,$B$1)</f>
        <v>#NAME?</v>
      </c>
      <c r="AC61" s="55" t="e">
        <f ca="1">_xll.EQNXTDZ($A$1,$B61,AC$1,$B$1)</f>
        <v>#NAME?</v>
      </c>
      <c r="AD61" s="55" t="e">
        <f ca="1">_xll.EQNXTDZ($A$1,$B61,AD$1,$B$1)</f>
        <v>#NAME?</v>
      </c>
      <c r="AE61" s="55" t="e">
        <f ca="1">_xll.EQNXTDZ($A$1,$B61,AE$1,$B$1)</f>
        <v>#NAME?</v>
      </c>
      <c r="AF61" s="55" t="e">
        <f ca="1">_xll.EQNXTDZ($A$1,$B61,AF$1,$B$1)</f>
        <v>#NAME?</v>
      </c>
    </row>
    <row r="62" spans="1:32" x14ac:dyDescent="0.25">
      <c r="A62" t="s">
        <v>50</v>
      </c>
      <c r="B62" t="s">
        <v>197</v>
      </c>
      <c r="C62" s="55" t="e">
        <f ca="1">_xll.EQNXTDZ($A$1,$B62,C$1,$B$1)</f>
        <v>#NAME?</v>
      </c>
      <c r="D62" s="55" t="e">
        <f ca="1">_xll.EQNXTDZ($A$1,$B62,D$1,$B$1)</f>
        <v>#NAME?</v>
      </c>
      <c r="E62" s="55" t="e">
        <f ca="1">_xll.EQNXTDZ($A$1,$B62,E$1,$B$1)</f>
        <v>#NAME?</v>
      </c>
      <c r="F62" s="55" t="e">
        <f ca="1">_xll.EQNXTDZ($A$1,$B62,F$1,$B$1)</f>
        <v>#NAME?</v>
      </c>
      <c r="G62" s="55" t="e">
        <f ca="1">_xll.EQNXTDZ($A$1,$B62,G$1,$B$1)</f>
        <v>#NAME?</v>
      </c>
      <c r="H62" s="55" t="e">
        <f ca="1">_xll.EQNXTDZ($A$1,$B62,H$1,$B$1)</f>
        <v>#NAME?</v>
      </c>
      <c r="I62" s="55" t="e">
        <f ca="1">_xll.EQNXTDZ($A$1,$B62,I$1,$B$1)</f>
        <v>#NAME?</v>
      </c>
      <c r="J62" s="55" t="e">
        <f ca="1">_xll.EQNXTDZ($A$1,$B62,J$1,$B$1)</f>
        <v>#NAME?</v>
      </c>
      <c r="K62" s="55" t="e">
        <f ca="1">_xll.EQNXTDZ($A$1,$B62,K$1,$B$1)</f>
        <v>#NAME?</v>
      </c>
      <c r="L62" s="55" t="e">
        <f ca="1">_xll.EQNXTDZ($A$1,$B62,L$1,$B$1)</f>
        <v>#NAME?</v>
      </c>
      <c r="M62" s="55" t="e">
        <f ca="1">_xll.EQNXTDZ($A$1,$B62,M$1,$B$1)</f>
        <v>#NAME?</v>
      </c>
      <c r="N62" s="55" t="e">
        <f ca="1">_xll.EQNXTDZ($A$1,$B62,N$1,$B$1)</f>
        <v>#NAME?</v>
      </c>
      <c r="O62" s="55" t="e">
        <f ca="1">_xll.EQNXTDZ($A$1,$B62,O$1,$B$1)</f>
        <v>#NAME?</v>
      </c>
      <c r="P62" s="55" t="e">
        <f ca="1">_xll.EQNXTDZ($A$1,$B62,P$1,$B$1)</f>
        <v>#NAME?</v>
      </c>
      <c r="Q62" s="55" t="e">
        <f ca="1">_xll.EQNXTDZ($A$1,$B62,Q$1,$B$1)</f>
        <v>#NAME?</v>
      </c>
      <c r="R62" s="55" t="e">
        <f ca="1">_xll.EQNXTDZ($A$1,$B62,R$1,$B$1)</f>
        <v>#NAME?</v>
      </c>
      <c r="S62" s="55" t="e">
        <f ca="1">_xll.EQNXTDZ($A$1,$B62,S$1,$B$1)</f>
        <v>#NAME?</v>
      </c>
      <c r="T62" s="55" t="e">
        <f ca="1">_xll.EQNXTDZ($A$1,$B62,T$1,$B$1)</f>
        <v>#NAME?</v>
      </c>
      <c r="U62" s="55" t="e">
        <f ca="1">_xll.EQNXTDZ($A$1,$B62,U$1,$B$1)</f>
        <v>#NAME?</v>
      </c>
      <c r="V62" s="55" t="e">
        <f ca="1">_xll.EQNXTDZ($A$1,$B62,V$1,$B$1)</f>
        <v>#NAME?</v>
      </c>
      <c r="W62" s="55" t="e">
        <f ca="1">_xll.EQNXTDZ($A$1,$B62,W$1,$B$1)</f>
        <v>#NAME?</v>
      </c>
      <c r="X62" s="55" t="e">
        <f ca="1">_xll.EQNXTDZ($A$1,$B62,X$1,$B$1)</f>
        <v>#NAME?</v>
      </c>
      <c r="Y62" s="55" t="e">
        <f ca="1">_xll.EQNXTDZ($A$1,$B62,Y$1,$B$1)</f>
        <v>#NAME?</v>
      </c>
      <c r="Z62" s="55" t="e">
        <f ca="1">_xll.EQNXTDZ($A$1,$B62,Z$1,$B$1)</f>
        <v>#NAME?</v>
      </c>
      <c r="AA62" s="55" t="e">
        <f ca="1">_xll.EQNXTDZ($A$1,$B62,AA$1,$B$1)</f>
        <v>#NAME?</v>
      </c>
      <c r="AB62" s="55" t="e">
        <f ca="1">_xll.EQNXTDZ($A$1,$B62,AB$1,$B$1)</f>
        <v>#NAME?</v>
      </c>
      <c r="AC62" s="55" t="e">
        <f ca="1">_xll.EQNXTDZ($A$1,$B62,AC$1,$B$1)</f>
        <v>#NAME?</v>
      </c>
      <c r="AD62" s="55" t="e">
        <f ca="1">_xll.EQNXTDZ($A$1,$B62,AD$1,$B$1)</f>
        <v>#NAME?</v>
      </c>
      <c r="AE62" s="55" t="e">
        <f ca="1">_xll.EQNXTDZ($A$1,$B62,AE$1,$B$1)</f>
        <v>#NAME?</v>
      </c>
      <c r="AF62" s="55" t="e">
        <f ca="1">_xll.EQNXTDZ($A$1,$B62,AF$1,$B$1)</f>
        <v>#NAME?</v>
      </c>
    </row>
    <row r="63" spans="1:32" x14ac:dyDescent="0.25">
      <c r="A63" t="s">
        <v>51</v>
      </c>
      <c r="B63" t="s">
        <v>198</v>
      </c>
      <c r="C63" s="55" t="e">
        <f ca="1">_xll.EQNXTDZ($A$1,$B63,C$1,$B$1)</f>
        <v>#NAME?</v>
      </c>
      <c r="D63" s="55" t="e">
        <f ca="1">_xll.EQNXTDZ($A$1,$B63,D$1,$B$1)</f>
        <v>#NAME?</v>
      </c>
      <c r="E63" s="55" t="e">
        <f ca="1">_xll.EQNXTDZ($A$1,$B63,E$1,$B$1)</f>
        <v>#NAME?</v>
      </c>
      <c r="F63" s="55" t="e">
        <f ca="1">_xll.EQNXTDZ($A$1,$B63,F$1,$B$1)</f>
        <v>#NAME?</v>
      </c>
      <c r="G63" s="55" t="e">
        <f ca="1">_xll.EQNXTDZ($A$1,$B63,G$1,$B$1)</f>
        <v>#NAME?</v>
      </c>
      <c r="H63" s="55" t="e">
        <f ca="1">_xll.EQNXTDZ($A$1,$B63,H$1,$B$1)</f>
        <v>#NAME?</v>
      </c>
      <c r="I63" s="55" t="e">
        <f ca="1">_xll.EQNXTDZ($A$1,$B63,I$1,$B$1)</f>
        <v>#NAME?</v>
      </c>
      <c r="J63" s="55" t="e">
        <f ca="1">_xll.EQNXTDZ($A$1,$B63,J$1,$B$1)</f>
        <v>#NAME?</v>
      </c>
      <c r="K63" s="55" t="e">
        <f ca="1">_xll.EQNXTDZ($A$1,$B63,K$1,$B$1)</f>
        <v>#NAME?</v>
      </c>
      <c r="L63" s="55" t="e">
        <f ca="1">_xll.EQNXTDZ($A$1,$B63,L$1,$B$1)</f>
        <v>#NAME?</v>
      </c>
      <c r="M63" s="55" t="e">
        <f ca="1">_xll.EQNXTDZ($A$1,$B63,M$1,$B$1)</f>
        <v>#NAME?</v>
      </c>
      <c r="N63" s="55" t="e">
        <f ca="1">_xll.EQNXTDZ($A$1,$B63,N$1,$B$1)</f>
        <v>#NAME?</v>
      </c>
      <c r="O63" s="55" t="e">
        <f ca="1">_xll.EQNXTDZ($A$1,$B63,O$1,$B$1)</f>
        <v>#NAME?</v>
      </c>
      <c r="P63" s="55" t="e">
        <f ca="1">_xll.EQNXTDZ($A$1,$B63,P$1,$B$1)</f>
        <v>#NAME?</v>
      </c>
      <c r="Q63" s="55" t="e">
        <f ca="1">_xll.EQNXTDZ($A$1,$B63,Q$1,$B$1)</f>
        <v>#NAME?</v>
      </c>
      <c r="R63" s="55" t="e">
        <f ca="1">_xll.EQNXTDZ($A$1,$B63,R$1,$B$1)</f>
        <v>#NAME?</v>
      </c>
      <c r="S63" s="55" t="e">
        <f ca="1">_xll.EQNXTDZ($A$1,$B63,S$1,$B$1)</f>
        <v>#NAME?</v>
      </c>
      <c r="T63" s="55" t="e">
        <f ca="1">_xll.EQNXTDZ($A$1,$B63,T$1,$B$1)</f>
        <v>#NAME?</v>
      </c>
      <c r="U63" s="55" t="e">
        <f ca="1">_xll.EQNXTDZ($A$1,$B63,U$1,$B$1)</f>
        <v>#NAME?</v>
      </c>
      <c r="V63" s="55" t="e">
        <f ca="1">_xll.EQNXTDZ($A$1,$B63,V$1,$B$1)</f>
        <v>#NAME?</v>
      </c>
      <c r="W63" s="55" t="e">
        <f ca="1">_xll.EQNXTDZ($A$1,$B63,W$1,$B$1)</f>
        <v>#NAME?</v>
      </c>
      <c r="X63" s="55" t="e">
        <f ca="1">_xll.EQNXTDZ($A$1,$B63,X$1,$B$1)</f>
        <v>#NAME?</v>
      </c>
      <c r="Y63" s="55" t="e">
        <f ca="1">_xll.EQNXTDZ($A$1,$B63,Y$1,$B$1)</f>
        <v>#NAME?</v>
      </c>
      <c r="Z63" s="55" t="e">
        <f ca="1">_xll.EQNXTDZ($A$1,$B63,Z$1,$B$1)</f>
        <v>#NAME?</v>
      </c>
      <c r="AA63" s="55" t="e">
        <f ca="1">_xll.EQNXTDZ($A$1,$B63,AA$1,$B$1)</f>
        <v>#NAME?</v>
      </c>
      <c r="AB63" s="55" t="e">
        <f ca="1">_xll.EQNXTDZ($A$1,$B63,AB$1,$B$1)</f>
        <v>#NAME?</v>
      </c>
      <c r="AC63" s="55" t="e">
        <f ca="1">_xll.EQNXTDZ($A$1,$B63,AC$1,$B$1)</f>
        <v>#NAME?</v>
      </c>
      <c r="AD63" s="55" t="e">
        <f ca="1">_xll.EQNXTDZ($A$1,$B63,AD$1,$B$1)</f>
        <v>#NAME?</v>
      </c>
      <c r="AE63" s="55" t="e">
        <f ca="1">_xll.EQNXTDZ($A$1,$B63,AE$1,$B$1)</f>
        <v>#NAME?</v>
      </c>
      <c r="AF63" s="55" t="e">
        <f ca="1">_xll.EQNXTDZ($A$1,$B63,AF$1,$B$1)</f>
        <v>#NAME?</v>
      </c>
    </row>
    <row r="64" spans="1:32" x14ac:dyDescent="0.25">
      <c r="A64" t="s">
        <v>52</v>
      </c>
      <c r="B64" t="s">
        <v>199</v>
      </c>
      <c r="C64" s="55" t="e">
        <f ca="1">_xll.EQNXTDZ($A$1,$B64,C$1,$B$1)</f>
        <v>#NAME?</v>
      </c>
      <c r="D64" s="55" t="e">
        <f ca="1">_xll.EQNXTDZ($A$1,$B64,D$1,$B$1)</f>
        <v>#NAME?</v>
      </c>
      <c r="E64" s="55" t="e">
        <f ca="1">_xll.EQNXTDZ($A$1,$B64,E$1,$B$1)</f>
        <v>#NAME?</v>
      </c>
      <c r="F64" s="55" t="e">
        <f ca="1">_xll.EQNXTDZ($A$1,$B64,F$1,$B$1)</f>
        <v>#NAME?</v>
      </c>
      <c r="G64" s="55" t="e">
        <f ca="1">_xll.EQNXTDZ($A$1,$B64,G$1,$B$1)</f>
        <v>#NAME?</v>
      </c>
      <c r="H64" s="55" t="e">
        <f ca="1">_xll.EQNXTDZ($A$1,$B64,H$1,$B$1)</f>
        <v>#NAME?</v>
      </c>
      <c r="I64" s="55" t="e">
        <f ca="1">_xll.EQNXTDZ($A$1,$B64,I$1,$B$1)</f>
        <v>#NAME?</v>
      </c>
      <c r="J64" s="55" t="e">
        <f ca="1">_xll.EQNXTDZ($A$1,$B64,J$1,$B$1)</f>
        <v>#NAME?</v>
      </c>
      <c r="K64" s="55" t="e">
        <f ca="1">_xll.EQNXTDZ($A$1,$B64,K$1,$B$1)</f>
        <v>#NAME?</v>
      </c>
      <c r="L64" s="55" t="e">
        <f ca="1">_xll.EQNXTDZ($A$1,$B64,L$1,$B$1)</f>
        <v>#NAME?</v>
      </c>
      <c r="M64" s="55" t="e">
        <f ca="1">_xll.EQNXTDZ($A$1,$B64,M$1,$B$1)</f>
        <v>#NAME?</v>
      </c>
      <c r="N64" s="55" t="e">
        <f ca="1">_xll.EQNXTDZ($A$1,$B64,N$1,$B$1)</f>
        <v>#NAME?</v>
      </c>
      <c r="O64" s="55" t="e">
        <f ca="1">_xll.EQNXTDZ($A$1,$B64,O$1,$B$1)</f>
        <v>#NAME?</v>
      </c>
      <c r="P64" s="55" t="e">
        <f ca="1">_xll.EQNXTDZ($A$1,$B64,P$1,$B$1)</f>
        <v>#NAME?</v>
      </c>
      <c r="Q64" s="55" t="e">
        <f ca="1">_xll.EQNXTDZ($A$1,$B64,Q$1,$B$1)</f>
        <v>#NAME?</v>
      </c>
      <c r="R64" s="55" t="e">
        <f ca="1">_xll.EQNXTDZ($A$1,$B64,R$1,$B$1)</f>
        <v>#NAME?</v>
      </c>
      <c r="S64" s="55" t="e">
        <f ca="1">_xll.EQNXTDZ($A$1,$B64,S$1,$B$1)</f>
        <v>#NAME?</v>
      </c>
      <c r="T64" s="55" t="e">
        <f ca="1">_xll.EQNXTDZ($A$1,$B64,T$1,$B$1)</f>
        <v>#NAME?</v>
      </c>
      <c r="U64" s="55" t="e">
        <f ca="1">_xll.EQNXTDZ($A$1,$B64,U$1,$B$1)</f>
        <v>#NAME?</v>
      </c>
      <c r="V64" s="55" t="e">
        <f ca="1">_xll.EQNXTDZ($A$1,$B64,V$1,$B$1)</f>
        <v>#NAME?</v>
      </c>
      <c r="W64" s="55" t="e">
        <f ca="1">_xll.EQNXTDZ($A$1,$B64,W$1,$B$1)</f>
        <v>#NAME?</v>
      </c>
      <c r="X64" s="55" t="e">
        <f ca="1">_xll.EQNXTDZ($A$1,$B64,X$1,$B$1)</f>
        <v>#NAME?</v>
      </c>
      <c r="Y64" s="55" t="e">
        <f ca="1">_xll.EQNXTDZ($A$1,$B64,Y$1,$B$1)</f>
        <v>#NAME?</v>
      </c>
      <c r="Z64" s="55" t="e">
        <f ca="1">_xll.EQNXTDZ($A$1,$B64,Z$1,$B$1)</f>
        <v>#NAME?</v>
      </c>
      <c r="AA64" s="55" t="e">
        <f ca="1">_xll.EQNXTDZ($A$1,$B64,AA$1,$B$1)</f>
        <v>#NAME?</v>
      </c>
      <c r="AB64" s="55" t="e">
        <f ca="1">_xll.EQNXTDZ($A$1,$B64,AB$1,$B$1)</f>
        <v>#NAME?</v>
      </c>
      <c r="AC64" s="55" t="e">
        <f ca="1">_xll.EQNXTDZ($A$1,$B64,AC$1,$B$1)</f>
        <v>#NAME?</v>
      </c>
      <c r="AD64" s="55" t="e">
        <f ca="1">_xll.EQNXTDZ($A$1,$B64,AD$1,$B$1)</f>
        <v>#NAME?</v>
      </c>
      <c r="AE64" s="55" t="e">
        <f ca="1">_xll.EQNXTDZ($A$1,$B64,AE$1,$B$1)</f>
        <v>#NAME?</v>
      </c>
      <c r="AF64" s="55" t="e">
        <f ca="1">_xll.EQNXTDZ($A$1,$B64,AF$1,$B$1)</f>
        <v>#NAME?</v>
      </c>
    </row>
    <row r="65" spans="1:32" x14ac:dyDescent="0.25">
      <c r="A65" t="s">
        <v>53</v>
      </c>
      <c r="B65" t="s">
        <v>200</v>
      </c>
      <c r="C65" s="55" t="e">
        <f ca="1">_xll.EQNXTDZ($A$1,$B65,C$1,$B$1)</f>
        <v>#NAME?</v>
      </c>
      <c r="D65" s="55" t="e">
        <f ca="1">_xll.EQNXTDZ($A$1,$B65,D$1,$B$1)</f>
        <v>#NAME?</v>
      </c>
      <c r="E65" s="55" t="e">
        <f ca="1">_xll.EQNXTDZ($A$1,$B65,E$1,$B$1)</f>
        <v>#NAME?</v>
      </c>
      <c r="F65" s="55" t="e">
        <f ca="1">_xll.EQNXTDZ($A$1,$B65,F$1,$B$1)</f>
        <v>#NAME?</v>
      </c>
      <c r="G65" s="55" t="e">
        <f ca="1">_xll.EQNXTDZ($A$1,$B65,G$1,$B$1)</f>
        <v>#NAME?</v>
      </c>
      <c r="H65" s="55" t="e">
        <f ca="1">_xll.EQNXTDZ($A$1,$B65,H$1,$B$1)</f>
        <v>#NAME?</v>
      </c>
      <c r="I65" s="55" t="e">
        <f ca="1">_xll.EQNXTDZ($A$1,$B65,I$1,$B$1)</f>
        <v>#NAME?</v>
      </c>
      <c r="J65" s="55" t="e">
        <f ca="1">_xll.EQNXTDZ($A$1,$B65,J$1,$B$1)</f>
        <v>#NAME?</v>
      </c>
      <c r="K65" s="55" t="e">
        <f ca="1">_xll.EQNXTDZ($A$1,$B65,K$1,$B$1)</f>
        <v>#NAME?</v>
      </c>
      <c r="L65" s="55" t="e">
        <f ca="1">_xll.EQNXTDZ($A$1,$B65,L$1,$B$1)</f>
        <v>#NAME?</v>
      </c>
      <c r="M65" s="55" t="e">
        <f ca="1">_xll.EQNXTDZ($A$1,$B65,M$1,$B$1)</f>
        <v>#NAME?</v>
      </c>
      <c r="N65" s="55" t="e">
        <f ca="1">_xll.EQNXTDZ($A$1,$B65,N$1,$B$1)</f>
        <v>#NAME?</v>
      </c>
      <c r="O65" s="55" t="e">
        <f ca="1">_xll.EQNXTDZ($A$1,$B65,O$1,$B$1)</f>
        <v>#NAME?</v>
      </c>
      <c r="P65" s="55" t="e">
        <f ca="1">_xll.EQNXTDZ($A$1,$B65,P$1,$B$1)</f>
        <v>#NAME?</v>
      </c>
      <c r="Q65" s="55" t="e">
        <f ca="1">_xll.EQNXTDZ($A$1,$B65,Q$1,$B$1)</f>
        <v>#NAME?</v>
      </c>
      <c r="R65" s="55" t="e">
        <f ca="1">_xll.EQNXTDZ($A$1,$B65,R$1,$B$1)</f>
        <v>#NAME?</v>
      </c>
      <c r="S65" s="55" t="e">
        <f ca="1">_xll.EQNXTDZ($A$1,$B65,S$1,$B$1)</f>
        <v>#NAME?</v>
      </c>
      <c r="T65" s="55" t="e">
        <f ca="1">_xll.EQNXTDZ($A$1,$B65,T$1,$B$1)</f>
        <v>#NAME?</v>
      </c>
      <c r="U65" s="55" t="e">
        <f ca="1">_xll.EQNXTDZ($A$1,$B65,U$1,$B$1)</f>
        <v>#NAME?</v>
      </c>
      <c r="V65" s="55" t="e">
        <f ca="1">_xll.EQNXTDZ($A$1,$B65,V$1,$B$1)</f>
        <v>#NAME?</v>
      </c>
      <c r="W65" s="55" t="e">
        <f ca="1">_xll.EQNXTDZ($A$1,$B65,W$1,$B$1)</f>
        <v>#NAME?</v>
      </c>
      <c r="X65" s="55" t="e">
        <f ca="1">_xll.EQNXTDZ($A$1,$B65,X$1,$B$1)</f>
        <v>#NAME?</v>
      </c>
      <c r="Y65" s="55" t="e">
        <f ca="1">_xll.EQNXTDZ($A$1,$B65,Y$1,$B$1)</f>
        <v>#NAME?</v>
      </c>
      <c r="Z65" s="55" t="e">
        <f ca="1">_xll.EQNXTDZ($A$1,$B65,Z$1,$B$1)</f>
        <v>#NAME?</v>
      </c>
      <c r="AA65" s="55" t="e">
        <f ca="1">_xll.EQNXTDZ($A$1,$B65,AA$1,$B$1)</f>
        <v>#NAME?</v>
      </c>
      <c r="AB65" s="55" t="e">
        <f ca="1">_xll.EQNXTDZ($A$1,$B65,AB$1,$B$1)</f>
        <v>#NAME?</v>
      </c>
      <c r="AC65" s="55" t="e">
        <f ca="1">_xll.EQNXTDZ($A$1,$B65,AC$1,$B$1)</f>
        <v>#NAME?</v>
      </c>
      <c r="AD65" s="55" t="e">
        <f ca="1">_xll.EQNXTDZ($A$1,$B65,AD$1,$B$1)</f>
        <v>#NAME?</v>
      </c>
      <c r="AE65" s="55" t="e">
        <f ca="1">_xll.EQNXTDZ($A$1,$B65,AE$1,$B$1)</f>
        <v>#NAME?</v>
      </c>
      <c r="AF65" s="55" t="e">
        <f ca="1">_xll.EQNXTDZ($A$1,$B65,AF$1,$B$1)</f>
        <v>#NAME?</v>
      </c>
    </row>
    <row r="66" spans="1:32" x14ac:dyDescent="0.25">
      <c r="A66" t="s">
        <v>167</v>
      </c>
      <c r="B66" t="s">
        <v>201</v>
      </c>
      <c r="C66" s="55" t="e">
        <f ca="1">_xll.EQNXTDZ($A$1,$B66,C$1,$B$1)</f>
        <v>#NAME?</v>
      </c>
      <c r="D66" s="55" t="e">
        <f ca="1">_xll.EQNXTDZ($A$1,$B66,D$1,$B$1)</f>
        <v>#NAME?</v>
      </c>
      <c r="E66" s="55" t="e">
        <f ca="1">_xll.EQNXTDZ($A$1,$B66,E$1,$B$1)</f>
        <v>#NAME?</v>
      </c>
      <c r="F66" s="55" t="e">
        <f ca="1">_xll.EQNXTDZ($A$1,$B66,F$1,$B$1)</f>
        <v>#NAME?</v>
      </c>
      <c r="G66" s="55" t="e">
        <f ca="1">_xll.EQNXTDZ($A$1,$B66,G$1,$B$1)</f>
        <v>#NAME?</v>
      </c>
      <c r="H66" s="55" t="e">
        <f ca="1">_xll.EQNXTDZ($A$1,$B66,H$1,$B$1)</f>
        <v>#NAME?</v>
      </c>
      <c r="I66" s="55" t="e">
        <f ca="1">_xll.EQNXTDZ($A$1,$B66,I$1,$B$1)</f>
        <v>#NAME?</v>
      </c>
      <c r="J66" s="55" t="e">
        <f ca="1">_xll.EQNXTDZ($A$1,$B66,J$1,$B$1)</f>
        <v>#NAME?</v>
      </c>
      <c r="K66" s="55" t="e">
        <f ca="1">_xll.EQNXTDZ($A$1,$B66,K$1,$B$1)</f>
        <v>#NAME?</v>
      </c>
      <c r="L66" s="55" t="e">
        <f ca="1">_xll.EQNXTDZ($A$1,$B66,L$1,$B$1)</f>
        <v>#NAME?</v>
      </c>
      <c r="M66" s="55" t="e">
        <f ca="1">_xll.EQNXTDZ($A$1,$B66,M$1,$B$1)</f>
        <v>#NAME?</v>
      </c>
      <c r="N66" s="55" t="e">
        <f ca="1">_xll.EQNXTDZ($A$1,$B66,N$1,$B$1)</f>
        <v>#NAME?</v>
      </c>
      <c r="O66" s="55" t="e">
        <f ca="1">_xll.EQNXTDZ($A$1,$B66,O$1,$B$1)</f>
        <v>#NAME?</v>
      </c>
      <c r="P66" s="55" t="e">
        <f ca="1">_xll.EQNXTDZ($A$1,$B66,P$1,$B$1)</f>
        <v>#NAME?</v>
      </c>
      <c r="Q66" s="55" t="e">
        <f ca="1">_xll.EQNXTDZ($A$1,$B66,Q$1,$B$1)</f>
        <v>#NAME?</v>
      </c>
      <c r="R66" s="55" t="e">
        <f ca="1">_xll.EQNXTDZ($A$1,$B66,R$1,$B$1)</f>
        <v>#NAME?</v>
      </c>
      <c r="S66" s="55" t="e">
        <f ca="1">_xll.EQNXTDZ($A$1,$B66,S$1,$B$1)</f>
        <v>#NAME?</v>
      </c>
      <c r="T66" s="55" t="e">
        <f ca="1">_xll.EQNXTDZ($A$1,$B66,T$1,$B$1)</f>
        <v>#NAME?</v>
      </c>
      <c r="U66" s="55" t="e">
        <f ca="1">_xll.EQNXTDZ($A$1,$B66,U$1,$B$1)</f>
        <v>#NAME?</v>
      </c>
      <c r="V66" s="55" t="e">
        <f ca="1">_xll.EQNXTDZ($A$1,$B66,V$1,$B$1)</f>
        <v>#NAME?</v>
      </c>
      <c r="W66" s="55" t="e">
        <f ca="1">_xll.EQNXTDZ($A$1,$B66,W$1,$B$1)</f>
        <v>#NAME?</v>
      </c>
      <c r="X66" s="55" t="e">
        <f ca="1">_xll.EQNXTDZ($A$1,$B66,X$1,$B$1)</f>
        <v>#NAME?</v>
      </c>
      <c r="Y66" s="55" t="e">
        <f ca="1">_xll.EQNXTDZ($A$1,$B66,Y$1,$B$1)</f>
        <v>#NAME?</v>
      </c>
      <c r="Z66" s="55" t="e">
        <f ca="1">_xll.EQNXTDZ($A$1,$B66,Z$1,$B$1)</f>
        <v>#NAME?</v>
      </c>
      <c r="AA66" s="55" t="e">
        <f ca="1">_xll.EQNXTDZ($A$1,$B66,AA$1,$B$1)</f>
        <v>#NAME?</v>
      </c>
      <c r="AB66" s="55" t="e">
        <f ca="1">_xll.EQNXTDZ($A$1,$B66,AB$1,$B$1)</f>
        <v>#NAME?</v>
      </c>
      <c r="AC66" s="55" t="e">
        <f ca="1">_xll.EQNXTDZ($A$1,$B66,AC$1,$B$1)</f>
        <v>#NAME?</v>
      </c>
      <c r="AD66" s="55" t="e">
        <f ca="1">_xll.EQNXTDZ($A$1,$B66,AD$1,$B$1)</f>
        <v>#NAME?</v>
      </c>
      <c r="AE66" s="55" t="e">
        <f ca="1">_xll.EQNXTDZ($A$1,$B66,AE$1,$B$1)</f>
        <v>#NAME?</v>
      </c>
      <c r="AF66" s="55" t="e">
        <f ca="1">_xll.EQNXTDZ($A$1,$B66,AF$1,$B$1)</f>
        <v>#NAME?</v>
      </c>
    </row>
    <row r="67" spans="1:32" x14ac:dyDescent="0.25">
      <c r="A67" t="s">
        <v>56</v>
      </c>
      <c r="B67" t="s">
        <v>202</v>
      </c>
      <c r="C67" s="55" t="e">
        <f ca="1">_xll.EQNXTDZ($A$1,$B67,C$1,$B$1)</f>
        <v>#NAME?</v>
      </c>
      <c r="D67" s="55" t="e">
        <f ca="1">_xll.EQNXTDZ($A$1,$B67,D$1,$B$1)</f>
        <v>#NAME?</v>
      </c>
      <c r="E67" s="55" t="e">
        <f ca="1">_xll.EQNXTDZ($A$1,$B67,E$1,$B$1)</f>
        <v>#NAME?</v>
      </c>
      <c r="F67" s="55" t="e">
        <f ca="1">_xll.EQNXTDZ($A$1,$B67,F$1,$B$1)</f>
        <v>#NAME?</v>
      </c>
      <c r="G67" s="55" t="e">
        <f ca="1">_xll.EQNXTDZ($A$1,$B67,G$1,$B$1)</f>
        <v>#NAME?</v>
      </c>
      <c r="H67" s="55" t="e">
        <f ca="1">_xll.EQNXTDZ($A$1,$B67,H$1,$B$1)</f>
        <v>#NAME?</v>
      </c>
      <c r="I67" s="55" t="e">
        <f ca="1">_xll.EQNXTDZ($A$1,$B67,I$1,$B$1)</f>
        <v>#NAME?</v>
      </c>
      <c r="J67" s="55" t="e">
        <f ca="1">_xll.EQNXTDZ($A$1,$B67,J$1,$B$1)</f>
        <v>#NAME?</v>
      </c>
      <c r="K67" s="55" t="e">
        <f ca="1">_xll.EQNXTDZ($A$1,$B67,K$1,$B$1)</f>
        <v>#NAME?</v>
      </c>
      <c r="L67" s="55" t="e">
        <f ca="1">_xll.EQNXTDZ($A$1,$B67,L$1,$B$1)</f>
        <v>#NAME?</v>
      </c>
      <c r="M67" s="55" t="e">
        <f ca="1">_xll.EQNXTDZ($A$1,$B67,M$1,$B$1)</f>
        <v>#NAME?</v>
      </c>
      <c r="N67" s="55" t="e">
        <f ca="1">_xll.EQNXTDZ($A$1,$B67,N$1,$B$1)</f>
        <v>#NAME?</v>
      </c>
      <c r="O67" s="55" t="e">
        <f ca="1">_xll.EQNXTDZ($A$1,$B67,O$1,$B$1)</f>
        <v>#NAME?</v>
      </c>
      <c r="P67" s="55" t="e">
        <f ca="1">_xll.EQNXTDZ($A$1,$B67,P$1,$B$1)</f>
        <v>#NAME?</v>
      </c>
      <c r="Q67" s="55" t="e">
        <f ca="1">_xll.EQNXTDZ($A$1,$B67,Q$1,$B$1)</f>
        <v>#NAME?</v>
      </c>
      <c r="R67" s="55" t="e">
        <f ca="1">_xll.EQNXTDZ($A$1,$B67,R$1,$B$1)</f>
        <v>#NAME?</v>
      </c>
      <c r="S67" s="55" t="e">
        <f ca="1">_xll.EQNXTDZ($A$1,$B67,S$1,$B$1)</f>
        <v>#NAME?</v>
      </c>
      <c r="T67" s="55" t="e">
        <f ca="1">_xll.EQNXTDZ($A$1,$B67,T$1,$B$1)</f>
        <v>#NAME?</v>
      </c>
      <c r="U67" s="55" t="e">
        <f ca="1">_xll.EQNXTDZ($A$1,$B67,U$1,$B$1)</f>
        <v>#NAME?</v>
      </c>
      <c r="V67" s="55" t="e">
        <f ca="1">_xll.EQNXTDZ($A$1,$B67,V$1,$B$1)</f>
        <v>#NAME?</v>
      </c>
      <c r="W67" s="55" t="e">
        <f ca="1">_xll.EQNXTDZ($A$1,$B67,W$1,$B$1)</f>
        <v>#NAME?</v>
      </c>
      <c r="X67" s="55" t="e">
        <f ca="1">_xll.EQNXTDZ($A$1,$B67,X$1,$B$1)</f>
        <v>#NAME?</v>
      </c>
      <c r="Y67" s="55" t="e">
        <f ca="1">_xll.EQNXTDZ($A$1,$B67,Y$1,$B$1)</f>
        <v>#NAME?</v>
      </c>
      <c r="Z67" s="55" t="e">
        <f ca="1">_xll.EQNXTDZ($A$1,$B67,Z$1,$B$1)</f>
        <v>#NAME?</v>
      </c>
      <c r="AA67" s="55" t="e">
        <f ca="1">_xll.EQNXTDZ($A$1,$B67,AA$1,$B$1)</f>
        <v>#NAME?</v>
      </c>
      <c r="AB67" s="55" t="e">
        <f ca="1">_xll.EQNXTDZ($A$1,$B67,AB$1,$B$1)</f>
        <v>#NAME?</v>
      </c>
      <c r="AC67" s="55" t="e">
        <f ca="1">_xll.EQNXTDZ($A$1,$B67,AC$1,$B$1)</f>
        <v>#NAME?</v>
      </c>
      <c r="AD67" s="55" t="e">
        <f ca="1">_xll.EQNXTDZ($A$1,$B67,AD$1,$B$1)</f>
        <v>#NAME?</v>
      </c>
      <c r="AE67" s="55" t="e">
        <f ca="1">_xll.EQNXTDZ($A$1,$B67,AE$1,$B$1)</f>
        <v>#NAME?</v>
      </c>
      <c r="AF67" s="55" t="e">
        <f ca="1">_xll.EQNXTDZ($A$1,$B67,AF$1,$B$1)</f>
        <v>#NAME?</v>
      </c>
    </row>
    <row r="68" spans="1:32" x14ac:dyDescent="0.25">
      <c r="A68" t="s">
        <v>168</v>
      </c>
      <c r="B68" t="s">
        <v>203</v>
      </c>
      <c r="C68" s="55" t="e">
        <f ca="1">_xll.EQNXTDZ($A$1,$B68,C$1,$B$1)</f>
        <v>#NAME?</v>
      </c>
      <c r="D68" s="55" t="e">
        <f ca="1">_xll.EQNXTDZ($A$1,$B68,D$1,$B$1)</f>
        <v>#NAME?</v>
      </c>
      <c r="E68" s="55" t="e">
        <f ca="1">_xll.EQNXTDZ($A$1,$B68,E$1,$B$1)</f>
        <v>#NAME?</v>
      </c>
      <c r="F68" s="55" t="e">
        <f ca="1">_xll.EQNXTDZ($A$1,$B68,F$1,$B$1)</f>
        <v>#NAME?</v>
      </c>
      <c r="G68" s="55" t="e">
        <f ca="1">_xll.EQNXTDZ($A$1,$B68,G$1,$B$1)</f>
        <v>#NAME?</v>
      </c>
      <c r="H68" s="55" t="e">
        <f ca="1">_xll.EQNXTDZ($A$1,$B68,H$1,$B$1)</f>
        <v>#NAME?</v>
      </c>
      <c r="I68" s="55" t="e">
        <f ca="1">_xll.EQNXTDZ($A$1,$B68,I$1,$B$1)</f>
        <v>#NAME?</v>
      </c>
      <c r="J68" s="55" t="e">
        <f ca="1">_xll.EQNXTDZ($A$1,$B68,J$1,$B$1)</f>
        <v>#NAME?</v>
      </c>
      <c r="K68" s="55" t="e">
        <f ca="1">_xll.EQNXTDZ($A$1,$B68,K$1,$B$1)</f>
        <v>#NAME?</v>
      </c>
      <c r="L68" s="55" t="e">
        <f ca="1">_xll.EQNXTDZ($A$1,$B68,L$1,$B$1)</f>
        <v>#NAME?</v>
      </c>
      <c r="M68" s="55" t="e">
        <f ca="1">_xll.EQNXTDZ($A$1,$B68,M$1,$B$1)</f>
        <v>#NAME?</v>
      </c>
      <c r="N68" s="55" t="e">
        <f ca="1">_xll.EQNXTDZ($A$1,$B68,N$1,$B$1)</f>
        <v>#NAME?</v>
      </c>
      <c r="O68" s="55" t="e">
        <f ca="1">_xll.EQNXTDZ($A$1,$B68,O$1,$B$1)</f>
        <v>#NAME?</v>
      </c>
      <c r="P68" s="55" t="e">
        <f ca="1">_xll.EQNXTDZ($A$1,$B68,P$1,$B$1)</f>
        <v>#NAME?</v>
      </c>
      <c r="Q68" s="55" t="e">
        <f ca="1">_xll.EQNXTDZ($A$1,$B68,Q$1,$B$1)</f>
        <v>#NAME?</v>
      </c>
      <c r="R68" s="55" t="e">
        <f ca="1">_xll.EQNXTDZ($A$1,$B68,R$1,$B$1)</f>
        <v>#NAME?</v>
      </c>
      <c r="S68" s="55" t="e">
        <f ca="1">_xll.EQNXTDZ($A$1,$B68,S$1,$B$1)</f>
        <v>#NAME?</v>
      </c>
      <c r="T68" s="55" t="e">
        <f ca="1">_xll.EQNXTDZ($A$1,$B68,T$1,$B$1)</f>
        <v>#NAME?</v>
      </c>
      <c r="U68" s="55" t="e">
        <f ca="1">_xll.EQNXTDZ($A$1,$B68,U$1,$B$1)</f>
        <v>#NAME?</v>
      </c>
      <c r="V68" s="55" t="e">
        <f ca="1">_xll.EQNXTDZ($A$1,$B68,V$1,$B$1)</f>
        <v>#NAME?</v>
      </c>
      <c r="W68" s="55" t="e">
        <f ca="1">_xll.EQNXTDZ($A$1,$B68,W$1,$B$1)</f>
        <v>#NAME?</v>
      </c>
      <c r="X68" s="55" t="e">
        <f ca="1">_xll.EQNXTDZ($A$1,$B68,X$1,$B$1)</f>
        <v>#NAME?</v>
      </c>
      <c r="Y68" s="55" t="e">
        <f ca="1">_xll.EQNXTDZ($A$1,$B68,Y$1,$B$1)</f>
        <v>#NAME?</v>
      </c>
      <c r="Z68" s="55" t="e">
        <f ca="1">_xll.EQNXTDZ($A$1,$B68,Z$1,$B$1)</f>
        <v>#NAME?</v>
      </c>
      <c r="AA68" s="55" t="e">
        <f ca="1">_xll.EQNXTDZ($A$1,$B68,AA$1,$B$1)</f>
        <v>#NAME?</v>
      </c>
      <c r="AB68" s="55" t="e">
        <f ca="1">_xll.EQNXTDZ($A$1,$B68,AB$1,$B$1)</f>
        <v>#NAME?</v>
      </c>
      <c r="AC68" s="55" t="e">
        <f ca="1">_xll.EQNXTDZ($A$1,$B68,AC$1,$B$1)</f>
        <v>#NAME?</v>
      </c>
      <c r="AD68" s="55" t="e">
        <f ca="1">_xll.EQNXTDZ($A$1,$B68,AD$1,$B$1)</f>
        <v>#NAME?</v>
      </c>
      <c r="AE68" s="55" t="e">
        <f ca="1">_xll.EQNXTDZ($A$1,$B68,AE$1,$B$1)</f>
        <v>#NAME?</v>
      </c>
      <c r="AF68" s="55" t="e">
        <f ca="1">_xll.EQNXTDZ($A$1,$B68,AF$1,$B$1)</f>
        <v>#NAME?</v>
      </c>
    </row>
    <row r="69" spans="1:32" x14ac:dyDescent="0.25">
      <c r="A69" t="s">
        <v>169</v>
      </c>
      <c r="B69" t="s">
        <v>204</v>
      </c>
      <c r="C69" s="55" t="e">
        <f ca="1">_xll.EQNXTDZ($A$1,$B69,C$1,$B$1)</f>
        <v>#NAME?</v>
      </c>
      <c r="D69" s="55" t="e">
        <f ca="1">_xll.EQNXTDZ($A$1,$B69,D$1,$B$1)</f>
        <v>#NAME?</v>
      </c>
      <c r="E69" s="55" t="e">
        <f ca="1">_xll.EQNXTDZ($A$1,$B69,E$1,$B$1)</f>
        <v>#NAME?</v>
      </c>
      <c r="F69" s="55" t="e">
        <f ca="1">_xll.EQNXTDZ($A$1,$B69,F$1,$B$1)</f>
        <v>#NAME?</v>
      </c>
      <c r="G69" s="55" t="e">
        <f ca="1">_xll.EQNXTDZ($A$1,$B69,G$1,$B$1)</f>
        <v>#NAME?</v>
      </c>
      <c r="H69" s="55" t="e">
        <f ca="1">_xll.EQNXTDZ($A$1,$B69,H$1,$B$1)</f>
        <v>#NAME?</v>
      </c>
      <c r="I69" s="55" t="e">
        <f ca="1">_xll.EQNXTDZ($A$1,$B69,I$1,$B$1)</f>
        <v>#NAME?</v>
      </c>
      <c r="J69" s="55" t="e">
        <f ca="1">_xll.EQNXTDZ($A$1,$B69,J$1,$B$1)</f>
        <v>#NAME?</v>
      </c>
      <c r="K69" s="55" t="e">
        <f ca="1">_xll.EQNXTDZ($A$1,$B69,K$1,$B$1)</f>
        <v>#NAME?</v>
      </c>
      <c r="L69" s="55" t="e">
        <f ca="1">_xll.EQNXTDZ($A$1,$B69,L$1,$B$1)</f>
        <v>#NAME?</v>
      </c>
      <c r="M69" s="55" t="e">
        <f ca="1">_xll.EQNXTDZ($A$1,$B69,M$1,$B$1)</f>
        <v>#NAME?</v>
      </c>
      <c r="N69" s="55" t="e">
        <f ca="1">_xll.EQNXTDZ($A$1,$B69,N$1,$B$1)</f>
        <v>#NAME?</v>
      </c>
      <c r="O69" s="55" t="e">
        <f ca="1">_xll.EQNXTDZ($A$1,$B69,O$1,$B$1)</f>
        <v>#NAME?</v>
      </c>
      <c r="P69" s="55" t="e">
        <f ca="1">_xll.EQNXTDZ($A$1,$B69,P$1,$B$1)</f>
        <v>#NAME?</v>
      </c>
      <c r="Q69" s="55" t="e">
        <f ca="1">_xll.EQNXTDZ($A$1,$B69,Q$1,$B$1)</f>
        <v>#NAME?</v>
      </c>
      <c r="R69" s="55" t="e">
        <f ca="1">_xll.EQNXTDZ($A$1,$B69,R$1,$B$1)</f>
        <v>#NAME?</v>
      </c>
      <c r="S69" s="55" t="e">
        <f ca="1">_xll.EQNXTDZ($A$1,$B69,S$1,$B$1)</f>
        <v>#NAME?</v>
      </c>
      <c r="T69" s="55" t="e">
        <f ca="1">_xll.EQNXTDZ($A$1,$B69,T$1,$B$1)</f>
        <v>#NAME?</v>
      </c>
      <c r="U69" s="55" t="e">
        <f ca="1">_xll.EQNXTDZ($A$1,$B69,U$1,$B$1)</f>
        <v>#NAME?</v>
      </c>
      <c r="V69" s="55" t="e">
        <f ca="1">_xll.EQNXTDZ($A$1,$B69,V$1,$B$1)</f>
        <v>#NAME?</v>
      </c>
      <c r="W69" s="55" t="e">
        <f ca="1">_xll.EQNXTDZ($A$1,$B69,W$1,$B$1)</f>
        <v>#NAME?</v>
      </c>
      <c r="X69" s="55" t="e">
        <f ca="1">_xll.EQNXTDZ($A$1,$B69,X$1,$B$1)</f>
        <v>#NAME?</v>
      </c>
      <c r="Y69" s="55" t="e">
        <f ca="1">_xll.EQNXTDZ($A$1,$B69,Y$1,$B$1)</f>
        <v>#NAME?</v>
      </c>
      <c r="Z69" s="55" t="e">
        <f ca="1">_xll.EQNXTDZ($A$1,$B69,Z$1,$B$1)</f>
        <v>#NAME?</v>
      </c>
      <c r="AA69" s="55" t="e">
        <f ca="1">_xll.EQNXTDZ($A$1,$B69,AA$1,$B$1)</f>
        <v>#NAME?</v>
      </c>
      <c r="AB69" s="55" t="e">
        <f ca="1">_xll.EQNXTDZ($A$1,$B69,AB$1,$B$1)</f>
        <v>#NAME?</v>
      </c>
      <c r="AC69" s="55" t="e">
        <f ca="1">_xll.EQNXTDZ($A$1,$B69,AC$1,$B$1)</f>
        <v>#NAME?</v>
      </c>
      <c r="AD69" s="55" t="e">
        <f ca="1">_xll.EQNXTDZ($A$1,$B69,AD$1,$B$1)</f>
        <v>#NAME?</v>
      </c>
      <c r="AE69" s="55" t="e">
        <f ca="1">_xll.EQNXTDZ($A$1,$B69,AE$1,$B$1)</f>
        <v>#NAME?</v>
      </c>
      <c r="AF69" s="55" t="e">
        <f ca="1">_xll.EQNXTDZ($A$1,$B69,AF$1,$B$1)</f>
        <v>#NAME?</v>
      </c>
    </row>
    <row r="70" spans="1:32" x14ac:dyDescent="0.25">
      <c r="A70" t="s">
        <v>170</v>
      </c>
      <c r="B70" t="s">
        <v>205</v>
      </c>
      <c r="C70" s="55" t="e">
        <f ca="1">_xll.EQNXTDZ($A$1,$B70,C$1,$B$1)</f>
        <v>#NAME?</v>
      </c>
      <c r="D70" s="55" t="e">
        <f ca="1">_xll.EQNXTDZ($A$1,$B70,D$1,$B$1)</f>
        <v>#NAME?</v>
      </c>
      <c r="E70" s="55" t="e">
        <f ca="1">_xll.EQNXTDZ($A$1,$B70,E$1,$B$1)</f>
        <v>#NAME?</v>
      </c>
      <c r="F70" s="55" t="e">
        <f ca="1">_xll.EQNXTDZ($A$1,$B70,F$1,$B$1)</f>
        <v>#NAME?</v>
      </c>
      <c r="G70" s="55" t="e">
        <f ca="1">_xll.EQNXTDZ($A$1,$B70,G$1,$B$1)</f>
        <v>#NAME?</v>
      </c>
      <c r="H70" s="55" t="e">
        <f ca="1">_xll.EQNXTDZ($A$1,$B70,H$1,$B$1)</f>
        <v>#NAME?</v>
      </c>
      <c r="I70" s="55" t="e">
        <f ca="1">_xll.EQNXTDZ($A$1,$B70,I$1,$B$1)</f>
        <v>#NAME?</v>
      </c>
      <c r="J70" s="55" t="e">
        <f ca="1">_xll.EQNXTDZ($A$1,$B70,J$1,$B$1)</f>
        <v>#NAME?</v>
      </c>
      <c r="K70" s="55" t="e">
        <f ca="1">_xll.EQNXTDZ($A$1,$B70,K$1,$B$1)</f>
        <v>#NAME?</v>
      </c>
      <c r="L70" s="55" t="e">
        <f ca="1">_xll.EQNXTDZ($A$1,$B70,L$1,$B$1)</f>
        <v>#NAME?</v>
      </c>
      <c r="M70" s="55" t="e">
        <f ca="1">_xll.EQNXTDZ($A$1,$B70,M$1,$B$1)</f>
        <v>#NAME?</v>
      </c>
      <c r="N70" s="55" t="e">
        <f ca="1">_xll.EQNXTDZ($A$1,$B70,N$1,$B$1)</f>
        <v>#NAME?</v>
      </c>
      <c r="O70" s="55" t="e">
        <f ca="1">_xll.EQNXTDZ($A$1,$B70,O$1,$B$1)</f>
        <v>#NAME?</v>
      </c>
      <c r="P70" s="55" t="e">
        <f ca="1">_xll.EQNXTDZ($A$1,$B70,P$1,$B$1)</f>
        <v>#NAME?</v>
      </c>
      <c r="Q70" s="55" t="e">
        <f ca="1">_xll.EQNXTDZ($A$1,$B70,Q$1,$B$1)</f>
        <v>#NAME?</v>
      </c>
      <c r="R70" s="55" t="e">
        <f ca="1">_xll.EQNXTDZ($A$1,$B70,R$1,$B$1)</f>
        <v>#NAME?</v>
      </c>
      <c r="S70" s="55" t="e">
        <f ca="1">_xll.EQNXTDZ($A$1,$B70,S$1,$B$1)</f>
        <v>#NAME?</v>
      </c>
      <c r="T70" s="55" t="e">
        <f ca="1">_xll.EQNXTDZ($A$1,$B70,T$1,$B$1)</f>
        <v>#NAME?</v>
      </c>
      <c r="U70" s="55" t="e">
        <f ca="1">_xll.EQNXTDZ($A$1,$B70,U$1,$B$1)</f>
        <v>#NAME?</v>
      </c>
      <c r="V70" s="55" t="e">
        <f ca="1">_xll.EQNXTDZ($A$1,$B70,V$1,$B$1)</f>
        <v>#NAME?</v>
      </c>
      <c r="W70" s="55" t="e">
        <f ca="1">_xll.EQNXTDZ($A$1,$B70,W$1,$B$1)</f>
        <v>#NAME?</v>
      </c>
      <c r="X70" s="55" t="e">
        <f ca="1">_xll.EQNXTDZ($A$1,$B70,X$1,$B$1)</f>
        <v>#NAME?</v>
      </c>
      <c r="Y70" s="55" t="e">
        <f ca="1">_xll.EQNXTDZ($A$1,$B70,Y$1,$B$1)</f>
        <v>#NAME?</v>
      </c>
      <c r="Z70" s="55" t="e">
        <f ca="1">_xll.EQNXTDZ($A$1,$B70,Z$1,$B$1)</f>
        <v>#NAME?</v>
      </c>
      <c r="AA70" s="55" t="e">
        <f ca="1">_xll.EQNXTDZ($A$1,$B70,AA$1,$B$1)</f>
        <v>#NAME?</v>
      </c>
      <c r="AB70" s="55" t="e">
        <f ca="1">_xll.EQNXTDZ($A$1,$B70,AB$1,$B$1)</f>
        <v>#NAME?</v>
      </c>
      <c r="AC70" s="55" t="e">
        <f ca="1">_xll.EQNXTDZ($A$1,$B70,AC$1,$B$1)</f>
        <v>#NAME?</v>
      </c>
      <c r="AD70" s="55" t="e">
        <f ca="1">_xll.EQNXTDZ($A$1,$B70,AD$1,$B$1)</f>
        <v>#NAME?</v>
      </c>
      <c r="AE70" s="55" t="e">
        <f ca="1">_xll.EQNXTDZ($A$1,$B70,AE$1,$B$1)</f>
        <v>#NAME?</v>
      </c>
      <c r="AF70" s="55" t="e">
        <f ca="1">_xll.EQNXTDZ($A$1,$B70,AF$1,$B$1)</f>
        <v>#NAME?</v>
      </c>
    </row>
    <row r="71" spans="1:32" x14ac:dyDescent="0.25">
      <c r="A71" t="s">
        <v>58</v>
      </c>
      <c r="B71" t="s">
        <v>206</v>
      </c>
      <c r="C71" s="55" t="e">
        <f ca="1">_xll.EQNXTDZ($A$1,$B71,C$1,$B$1)</f>
        <v>#NAME?</v>
      </c>
      <c r="D71" s="55" t="e">
        <f ca="1">_xll.EQNXTDZ($A$1,$B71,D$1,$B$1)</f>
        <v>#NAME?</v>
      </c>
      <c r="E71" s="55" t="e">
        <f ca="1">_xll.EQNXTDZ($A$1,$B71,E$1,$B$1)</f>
        <v>#NAME?</v>
      </c>
      <c r="F71" s="55" t="e">
        <f ca="1">_xll.EQNXTDZ($A$1,$B71,F$1,$B$1)</f>
        <v>#NAME?</v>
      </c>
      <c r="G71" s="55" t="e">
        <f ca="1">_xll.EQNXTDZ($A$1,$B71,G$1,$B$1)</f>
        <v>#NAME?</v>
      </c>
      <c r="H71" s="55" t="e">
        <f ca="1">_xll.EQNXTDZ($A$1,$B71,H$1,$B$1)</f>
        <v>#NAME?</v>
      </c>
      <c r="I71" s="55" t="e">
        <f ca="1">_xll.EQNXTDZ($A$1,$B71,I$1,$B$1)</f>
        <v>#NAME?</v>
      </c>
      <c r="J71" s="55" t="e">
        <f ca="1">_xll.EQNXTDZ($A$1,$B71,J$1,$B$1)</f>
        <v>#NAME?</v>
      </c>
      <c r="K71" s="55" t="e">
        <f ca="1">_xll.EQNXTDZ($A$1,$B71,K$1,$B$1)</f>
        <v>#NAME?</v>
      </c>
      <c r="L71" s="55" t="e">
        <f ca="1">_xll.EQNXTDZ($A$1,$B71,L$1,$B$1)</f>
        <v>#NAME?</v>
      </c>
      <c r="M71" s="55" t="e">
        <f ca="1">_xll.EQNXTDZ($A$1,$B71,M$1,$B$1)</f>
        <v>#NAME?</v>
      </c>
      <c r="N71" s="55" t="e">
        <f ca="1">_xll.EQNXTDZ($A$1,$B71,N$1,$B$1)</f>
        <v>#NAME?</v>
      </c>
      <c r="O71" s="55" t="e">
        <f ca="1">_xll.EQNXTDZ($A$1,$B71,O$1,$B$1)</f>
        <v>#NAME?</v>
      </c>
      <c r="P71" s="55" t="e">
        <f ca="1">_xll.EQNXTDZ($A$1,$B71,P$1,$B$1)</f>
        <v>#NAME?</v>
      </c>
      <c r="Q71" s="55" t="e">
        <f ca="1">_xll.EQNXTDZ($A$1,$B71,Q$1,$B$1)</f>
        <v>#NAME?</v>
      </c>
      <c r="R71" s="55" t="e">
        <f ca="1">_xll.EQNXTDZ($A$1,$B71,R$1,$B$1)</f>
        <v>#NAME?</v>
      </c>
      <c r="S71" s="55" t="e">
        <f ca="1">_xll.EQNXTDZ($A$1,$B71,S$1,$B$1)</f>
        <v>#NAME?</v>
      </c>
      <c r="T71" s="55" t="e">
        <f ca="1">_xll.EQNXTDZ($A$1,$B71,T$1,$B$1)</f>
        <v>#NAME?</v>
      </c>
      <c r="U71" s="55" t="e">
        <f ca="1">_xll.EQNXTDZ($A$1,$B71,U$1,$B$1)</f>
        <v>#NAME?</v>
      </c>
      <c r="V71" s="55" t="e">
        <f ca="1">_xll.EQNXTDZ($A$1,$B71,V$1,$B$1)</f>
        <v>#NAME?</v>
      </c>
      <c r="W71" s="55" t="e">
        <f ca="1">_xll.EQNXTDZ($A$1,$B71,W$1,$B$1)</f>
        <v>#NAME?</v>
      </c>
      <c r="X71" s="55" t="e">
        <f ca="1">_xll.EQNXTDZ($A$1,$B71,X$1,$B$1)</f>
        <v>#NAME?</v>
      </c>
      <c r="Y71" s="55" t="e">
        <f ca="1">_xll.EQNXTDZ($A$1,$B71,Y$1,$B$1)</f>
        <v>#NAME?</v>
      </c>
      <c r="Z71" s="55" t="e">
        <f ca="1">_xll.EQNXTDZ($A$1,$B71,Z$1,$B$1)</f>
        <v>#NAME?</v>
      </c>
      <c r="AA71" s="55" t="e">
        <f ca="1">_xll.EQNXTDZ($A$1,$B71,AA$1,$B$1)</f>
        <v>#NAME?</v>
      </c>
      <c r="AB71" s="55" t="e">
        <f ca="1">_xll.EQNXTDZ($A$1,$B71,AB$1,$B$1)</f>
        <v>#NAME?</v>
      </c>
      <c r="AC71" s="55" t="e">
        <f ca="1">_xll.EQNXTDZ($A$1,$B71,AC$1,$B$1)</f>
        <v>#NAME?</v>
      </c>
      <c r="AD71" s="55" t="e">
        <f ca="1">_xll.EQNXTDZ($A$1,$B71,AD$1,$B$1)</f>
        <v>#NAME?</v>
      </c>
      <c r="AE71" s="55" t="e">
        <f ca="1">_xll.EQNXTDZ($A$1,$B71,AE$1,$B$1)</f>
        <v>#NAME?</v>
      </c>
      <c r="AF71" s="55" t="e">
        <f ca="1">_xll.EQNXTDZ($A$1,$B71,AF$1,$B$1)</f>
        <v>#NAME?</v>
      </c>
    </row>
    <row r="72" spans="1:32" x14ac:dyDescent="0.25">
      <c r="A72" t="s">
        <v>59</v>
      </c>
      <c r="B72" t="s">
        <v>207</v>
      </c>
      <c r="C72" s="55" t="e">
        <f ca="1">_xll.EQNXTDZ($A$1,$B72,C$1,$B$1)</f>
        <v>#NAME?</v>
      </c>
      <c r="D72" s="55" t="e">
        <f ca="1">_xll.EQNXTDZ($A$1,$B72,D$1,$B$1)</f>
        <v>#NAME?</v>
      </c>
      <c r="E72" s="55" t="e">
        <f ca="1">_xll.EQNXTDZ($A$1,$B72,E$1,$B$1)</f>
        <v>#NAME?</v>
      </c>
      <c r="F72" s="55" t="e">
        <f ca="1">_xll.EQNXTDZ($A$1,$B72,F$1,$B$1)</f>
        <v>#NAME?</v>
      </c>
      <c r="G72" s="55" t="e">
        <f ca="1">_xll.EQNXTDZ($A$1,$B72,G$1,$B$1)</f>
        <v>#NAME?</v>
      </c>
      <c r="H72" s="55" t="e">
        <f ca="1">_xll.EQNXTDZ($A$1,$B72,H$1,$B$1)</f>
        <v>#NAME?</v>
      </c>
      <c r="I72" s="55" t="e">
        <f ca="1">_xll.EQNXTDZ($A$1,$B72,I$1,$B$1)</f>
        <v>#NAME?</v>
      </c>
      <c r="J72" s="55" t="e">
        <f ca="1">_xll.EQNXTDZ($A$1,$B72,J$1,$B$1)</f>
        <v>#NAME?</v>
      </c>
      <c r="K72" s="55" t="e">
        <f ca="1">_xll.EQNXTDZ($A$1,$B72,K$1,$B$1)</f>
        <v>#NAME?</v>
      </c>
      <c r="L72" s="55" t="e">
        <f ca="1">_xll.EQNXTDZ($A$1,$B72,L$1,$B$1)</f>
        <v>#NAME?</v>
      </c>
      <c r="M72" s="55" t="e">
        <f ca="1">_xll.EQNXTDZ($A$1,$B72,M$1,$B$1)</f>
        <v>#NAME?</v>
      </c>
      <c r="N72" s="55" t="e">
        <f ca="1">_xll.EQNXTDZ($A$1,$B72,N$1,$B$1)</f>
        <v>#NAME?</v>
      </c>
      <c r="O72" s="55" t="e">
        <f ca="1">_xll.EQNXTDZ($A$1,$B72,O$1,$B$1)</f>
        <v>#NAME?</v>
      </c>
      <c r="P72" s="55" t="e">
        <f ca="1">_xll.EQNXTDZ($A$1,$B72,P$1,$B$1)</f>
        <v>#NAME?</v>
      </c>
      <c r="Q72" s="55" t="e">
        <f ca="1">_xll.EQNXTDZ($A$1,$B72,Q$1,$B$1)</f>
        <v>#NAME?</v>
      </c>
      <c r="R72" s="55" t="e">
        <f ca="1">_xll.EQNXTDZ($A$1,$B72,R$1,$B$1)</f>
        <v>#NAME?</v>
      </c>
      <c r="S72" s="55" t="e">
        <f ca="1">_xll.EQNXTDZ($A$1,$B72,S$1,$B$1)</f>
        <v>#NAME?</v>
      </c>
      <c r="T72" s="55" t="e">
        <f ca="1">_xll.EQNXTDZ($A$1,$B72,T$1,$B$1)</f>
        <v>#NAME?</v>
      </c>
      <c r="U72" s="55" t="e">
        <f ca="1">_xll.EQNXTDZ($A$1,$B72,U$1,$B$1)</f>
        <v>#NAME?</v>
      </c>
      <c r="V72" s="55" t="e">
        <f ca="1">_xll.EQNXTDZ($A$1,$B72,V$1,$B$1)</f>
        <v>#NAME?</v>
      </c>
      <c r="W72" s="55" t="e">
        <f ca="1">_xll.EQNXTDZ($A$1,$B72,W$1,$B$1)</f>
        <v>#NAME?</v>
      </c>
      <c r="X72" s="55" t="e">
        <f ca="1">_xll.EQNXTDZ($A$1,$B72,X$1,$B$1)</f>
        <v>#NAME?</v>
      </c>
      <c r="Y72" s="55" t="e">
        <f ca="1">_xll.EQNXTDZ($A$1,$B72,Y$1,$B$1)</f>
        <v>#NAME?</v>
      </c>
      <c r="Z72" s="55" t="e">
        <f ca="1">_xll.EQNXTDZ($A$1,$B72,Z$1,$B$1)</f>
        <v>#NAME?</v>
      </c>
      <c r="AA72" s="55" t="e">
        <f ca="1">_xll.EQNXTDZ($A$1,$B72,AA$1,$B$1)</f>
        <v>#NAME?</v>
      </c>
      <c r="AB72" s="55" t="e">
        <f ca="1">_xll.EQNXTDZ($A$1,$B72,AB$1,$B$1)</f>
        <v>#NAME?</v>
      </c>
      <c r="AC72" s="55" t="e">
        <f ca="1">_xll.EQNXTDZ($A$1,$B72,AC$1,$B$1)</f>
        <v>#NAME?</v>
      </c>
      <c r="AD72" s="55" t="e">
        <f ca="1">_xll.EQNXTDZ($A$1,$B72,AD$1,$B$1)</f>
        <v>#NAME?</v>
      </c>
      <c r="AE72" s="55" t="e">
        <f ca="1">_xll.EQNXTDZ($A$1,$B72,AE$1,$B$1)</f>
        <v>#NAME?</v>
      </c>
      <c r="AF72" s="55" t="e">
        <f ca="1">_xll.EQNXTDZ($A$1,$B72,AF$1,$B$1)</f>
        <v>#NAME?</v>
      </c>
    </row>
    <row r="73" spans="1:32" x14ac:dyDescent="0.25">
      <c r="A73" t="s">
        <v>60</v>
      </c>
      <c r="B73" t="s">
        <v>208</v>
      </c>
      <c r="C73" s="55" t="e">
        <f ca="1">_xll.EQNXTDZ($A$1,$B73,C$1,$B$1)</f>
        <v>#NAME?</v>
      </c>
      <c r="D73" s="55" t="e">
        <f ca="1">_xll.EQNXTDZ($A$1,$B73,D$1,$B$1)</f>
        <v>#NAME?</v>
      </c>
      <c r="E73" s="55" t="e">
        <f ca="1">_xll.EQNXTDZ($A$1,$B73,E$1,$B$1)</f>
        <v>#NAME?</v>
      </c>
      <c r="F73" s="55" t="e">
        <f ca="1">_xll.EQNXTDZ($A$1,$B73,F$1,$B$1)</f>
        <v>#NAME?</v>
      </c>
      <c r="G73" s="55" t="e">
        <f ca="1">_xll.EQNXTDZ($A$1,$B73,G$1,$B$1)</f>
        <v>#NAME?</v>
      </c>
      <c r="H73" s="55" t="e">
        <f ca="1">_xll.EQNXTDZ($A$1,$B73,H$1,$B$1)</f>
        <v>#NAME?</v>
      </c>
      <c r="I73" s="55" t="e">
        <f ca="1">_xll.EQNXTDZ($A$1,$B73,I$1,$B$1)</f>
        <v>#NAME?</v>
      </c>
      <c r="J73" s="55" t="e">
        <f ca="1">_xll.EQNXTDZ($A$1,$B73,J$1,$B$1)</f>
        <v>#NAME?</v>
      </c>
      <c r="K73" s="55" t="e">
        <f ca="1">_xll.EQNXTDZ($A$1,$B73,K$1,$B$1)</f>
        <v>#NAME?</v>
      </c>
      <c r="L73" s="55" t="e">
        <f ca="1">_xll.EQNXTDZ($A$1,$B73,L$1,$B$1)</f>
        <v>#NAME?</v>
      </c>
      <c r="M73" s="55" t="e">
        <f ca="1">_xll.EQNXTDZ($A$1,$B73,M$1,$B$1)</f>
        <v>#NAME?</v>
      </c>
      <c r="N73" s="55" t="e">
        <f ca="1">_xll.EQNXTDZ($A$1,$B73,N$1,$B$1)</f>
        <v>#NAME?</v>
      </c>
      <c r="O73" s="55" t="e">
        <f ca="1">_xll.EQNXTDZ($A$1,$B73,O$1,$B$1)</f>
        <v>#NAME?</v>
      </c>
      <c r="P73" s="55" t="e">
        <f ca="1">_xll.EQNXTDZ($A$1,$B73,P$1,$B$1)</f>
        <v>#NAME?</v>
      </c>
      <c r="Q73" s="55" t="e">
        <f ca="1">_xll.EQNXTDZ($A$1,$B73,Q$1,$B$1)</f>
        <v>#NAME?</v>
      </c>
      <c r="R73" s="55" t="e">
        <f ca="1">_xll.EQNXTDZ($A$1,$B73,R$1,$B$1)</f>
        <v>#NAME?</v>
      </c>
      <c r="S73" s="55" t="e">
        <f ca="1">_xll.EQNXTDZ($A$1,$B73,S$1,$B$1)</f>
        <v>#NAME?</v>
      </c>
      <c r="T73" s="55" t="e">
        <f ca="1">_xll.EQNXTDZ($A$1,$B73,T$1,$B$1)</f>
        <v>#NAME?</v>
      </c>
      <c r="U73" s="55" t="e">
        <f ca="1">_xll.EQNXTDZ($A$1,$B73,U$1,$B$1)</f>
        <v>#NAME?</v>
      </c>
      <c r="V73" s="55" t="e">
        <f ca="1">_xll.EQNXTDZ($A$1,$B73,V$1,$B$1)</f>
        <v>#NAME?</v>
      </c>
      <c r="W73" s="55" t="e">
        <f ca="1">_xll.EQNXTDZ($A$1,$B73,W$1,$B$1)</f>
        <v>#NAME?</v>
      </c>
      <c r="X73" s="55" t="e">
        <f ca="1">_xll.EQNXTDZ($A$1,$B73,X$1,$B$1)</f>
        <v>#NAME?</v>
      </c>
      <c r="Y73" s="55" t="e">
        <f ca="1">_xll.EQNXTDZ($A$1,$B73,Y$1,$B$1)</f>
        <v>#NAME?</v>
      </c>
      <c r="Z73" s="55" t="e">
        <f ca="1">_xll.EQNXTDZ($A$1,$B73,Z$1,$B$1)</f>
        <v>#NAME?</v>
      </c>
      <c r="AA73" s="55" t="e">
        <f ca="1">_xll.EQNXTDZ($A$1,$B73,AA$1,$B$1)</f>
        <v>#NAME?</v>
      </c>
      <c r="AB73" s="55" t="e">
        <f ca="1">_xll.EQNXTDZ($A$1,$B73,AB$1,$B$1)</f>
        <v>#NAME?</v>
      </c>
      <c r="AC73" s="55" t="e">
        <f ca="1">_xll.EQNXTDZ($A$1,$B73,AC$1,$B$1)</f>
        <v>#NAME?</v>
      </c>
      <c r="AD73" s="55" t="e">
        <f ca="1">_xll.EQNXTDZ($A$1,$B73,AD$1,$B$1)</f>
        <v>#NAME?</v>
      </c>
      <c r="AE73" s="55" t="e">
        <f ca="1">_xll.EQNXTDZ($A$1,$B73,AE$1,$B$1)</f>
        <v>#NAME?</v>
      </c>
      <c r="AF73" s="55" t="e">
        <f ca="1">_xll.EQNXTDZ($A$1,$B73,AF$1,$B$1)</f>
        <v>#NAME?</v>
      </c>
    </row>
    <row r="74" spans="1:32" x14ac:dyDescent="0.25">
      <c r="A74" t="s">
        <v>171</v>
      </c>
      <c r="B74" t="s">
        <v>209</v>
      </c>
      <c r="C74" s="55" t="e">
        <f ca="1">_xll.EQNXTDZ($A$1,$B74,C$1,$B$1)</f>
        <v>#NAME?</v>
      </c>
      <c r="D74" s="55" t="e">
        <f ca="1">_xll.EQNXTDZ($A$1,$B74,D$1,$B$1)</f>
        <v>#NAME?</v>
      </c>
      <c r="E74" s="55" t="e">
        <f ca="1">_xll.EQNXTDZ($A$1,$B74,E$1,$B$1)</f>
        <v>#NAME?</v>
      </c>
      <c r="F74" s="55" t="e">
        <f ca="1">_xll.EQNXTDZ($A$1,$B74,F$1,$B$1)</f>
        <v>#NAME?</v>
      </c>
      <c r="G74" s="55" t="e">
        <f ca="1">_xll.EQNXTDZ($A$1,$B74,G$1,$B$1)</f>
        <v>#NAME?</v>
      </c>
      <c r="H74" s="55" t="e">
        <f ca="1">_xll.EQNXTDZ($A$1,$B74,H$1,$B$1)</f>
        <v>#NAME?</v>
      </c>
      <c r="I74" s="55" t="e">
        <f ca="1">_xll.EQNXTDZ($A$1,$B74,I$1,$B$1)</f>
        <v>#NAME?</v>
      </c>
      <c r="J74" s="55" t="e">
        <f ca="1">_xll.EQNXTDZ($A$1,$B74,J$1,$B$1)</f>
        <v>#NAME?</v>
      </c>
      <c r="K74" s="55" t="e">
        <f ca="1">_xll.EQNXTDZ($A$1,$B74,K$1,$B$1)</f>
        <v>#NAME?</v>
      </c>
      <c r="L74" s="55" t="e">
        <f ca="1">_xll.EQNXTDZ($A$1,$B74,L$1,$B$1)</f>
        <v>#NAME?</v>
      </c>
      <c r="M74" s="55" t="e">
        <f ca="1">_xll.EQNXTDZ($A$1,$B74,M$1,$B$1)</f>
        <v>#NAME?</v>
      </c>
      <c r="N74" s="55" t="e">
        <f ca="1">_xll.EQNXTDZ($A$1,$B74,N$1,$B$1)</f>
        <v>#NAME?</v>
      </c>
      <c r="O74" s="55" t="e">
        <f ca="1">_xll.EQNXTDZ($A$1,$B74,O$1,$B$1)</f>
        <v>#NAME?</v>
      </c>
      <c r="P74" s="55" t="e">
        <f ca="1">_xll.EQNXTDZ($A$1,$B74,P$1,$B$1)</f>
        <v>#NAME?</v>
      </c>
      <c r="Q74" s="55" t="e">
        <f ca="1">_xll.EQNXTDZ($A$1,$B74,Q$1,$B$1)</f>
        <v>#NAME?</v>
      </c>
      <c r="R74" s="55" t="e">
        <f ca="1">_xll.EQNXTDZ($A$1,$B74,R$1,$B$1)</f>
        <v>#NAME?</v>
      </c>
      <c r="S74" s="55" t="e">
        <f ca="1">_xll.EQNXTDZ($A$1,$B74,S$1,$B$1)</f>
        <v>#NAME?</v>
      </c>
      <c r="T74" s="55" t="e">
        <f ca="1">_xll.EQNXTDZ($A$1,$B74,T$1,$B$1)</f>
        <v>#NAME?</v>
      </c>
      <c r="U74" s="55" t="e">
        <f ca="1">_xll.EQNXTDZ($A$1,$B74,U$1,$B$1)</f>
        <v>#NAME?</v>
      </c>
      <c r="V74" s="55" t="e">
        <f ca="1">_xll.EQNXTDZ($A$1,$B74,V$1,$B$1)</f>
        <v>#NAME?</v>
      </c>
      <c r="W74" s="55" t="e">
        <f ca="1">_xll.EQNXTDZ($A$1,$B74,W$1,$B$1)</f>
        <v>#NAME?</v>
      </c>
      <c r="X74" s="55" t="e">
        <f ca="1">_xll.EQNXTDZ($A$1,$B74,X$1,$B$1)</f>
        <v>#NAME?</v>
      </c>
      <c r="Y74" s="55" t="e">
        <f ca="1">_xll.EQNXTDZ($A$1,$B74,Y$1,$B$1)</f>
        <v>#NAME?</v>
      </c>
      <c r="Z74" s="55" t="e">
        <f ca="1">_xll.EQNXTDZ($A$1,$B74,Z$1,$B$1)</f>
        <v>#NAME?</v>
      </c>
      <c r="AA74" s="55" t="e">
        <f ca="1">_xll.EQNXTDZ($A$1,$B74,AA$1,$B$1)</f>
        <v>#NAME?</v>
      </c>
      <c r="AB74" s="55" t="e">
        <f ca="1">_xll.EQNXTDZ($A$1,$B74,AB$1,$B$1)</f>
        <v>#NAME?</v>
      </c>
      <c r="AC74" s="55" t="e">
        <f ca="1">_xll.EQNXTDZ($A$1,$B74,AC$1,$B$1)</f>
        <v>#NAME?</v>
      </c>
      <c r="AD74" s="55" t="e">
        <f ca="1">_xll.EQNXTDZ($A$1,$B74,AD$1,$B$1)</f>
        <v>#NAME?</v>
      </c>
      <c r="AE74" s="55" t="e">
        <f ca="1">_xll.EQNXTDZ($A$1,$B74,AE$1,$B$1)</f>
        <v>#NAME?</v>
      </c>
      <c r="AF74" s="55" t="e">
        <f ca="1">_xll.EQNXTDZ($A$1,$B74,AF$1,$B$1)</f>
        <v>#NAME?</v>
      </c>
    </row>
    <row r="75" spans="1:32" x14ac:dyDescent="0.25">
      <c r="A75" t="s">
        <v>75</v>
      </c>
      <c r="B75" t="s">
        <v>210</v>
      </c>
      <c r="C75" s="55" t="e">
        <f ca="1">_xll.EQNXTDZ($A$1,$B75,C$1,$B$1)</f>
        <v>#NAME?</v>
      </c>
      <c r="D75" s="55" t="e">
        <f ca="1">_xll.EQNXTDZ($A$1,$B75,D$1,$B$1)</f>
        <v>#NAME?</v>
      </c>
      <c r="E75" s="55" t="e">
        <f ca="1">_xll.EQNXTDZ($A$1,$B75,E$1,$B$1)</f>
        <v>#NAME?</v>
      </c>
      <c r="F75" s="55" t="e">
        <f ca="1">_xll.EQNXTDZ($A$1,$B75,F$1,$B$1)</f>
        <v>#NAME?</v>
      </c>
      <c r="G75" s="55" t="e">
        <f ca="1">_xll.EQNXTDZ($A$1,$B75,G$1,$B$1)</f>
        <v>#NAME?</v>
      </c>
      <c r="H75" s="55" t="e">
        <f ca="1">_xll.EQNXTDZ($A$1,$B75,H$1,$B$1)</f>
        <v>#NAME?</v>
      </c>
      <c r="I75" s="55" t="e">
        <f ca="1">_xll.EQNXTDZ($A$1,$B75,I$1,$B$1)</f>
        <v>#NAME?</v>
      </c>
      <c r="J75" s="55" t="e">
        <f ca="1">_xll.EQNXTDZ($A$1,$B75,J$1,$B$1)</f>
        <v>#NAME?</v>
      </c>
      <c r="K75" s="55" t="e">
        <f ca="1">_xll.EQNXTDZ($A$1,$B75,K$1,$B$1)</f>
        <v>#NAME?</v>
      </c>
      <c r="L75" s="55" t="e">
        <f ca="1">_xll.EQNXTDZ($A$1,$B75,L$1,$B$1)</f>
        <v>#NAME?</v>
      </c>
      <c r="M75" s="55" t="e">
        <f ca="1">_xll.EQNXTDZ($A$1,$B75,M$1,$B$1)</f>
        <v>#NAME?</v>
      </c>
      <c r="N75" s="55" t="e">
        <f ca="1">_xll.EQNXTDZ($A$1,$B75,N$1,$B$1)</f>
        <v>#NAME?</v>
      </c>
      <c r="O75" s="55" t="e">
        <f ca="1">_xll.EQNXTDZ($A$1,$B75,O$1,$B$1)</f>
        <v>#NAME?</v>
      </c>
      <c r="P75" s="55" t="e">
        <f ca="1">_xll.EQNXTDZ($A$1,$B75,P$1,$B$1)</f>
        <v>#NAME?</v>
      </c>
      <c r="Q75" s="55" t="e">
        <f ca="1">_xll.EQNXTDZ($A$1,$B75,Q$1,$B$1)</f>
        <v>#NAME?</v>
      </c>
      <c r="R75" s="55" t="e">
        <f ca="1">_xll.EQNXTDZ($A$1,$B75,R$1,$B$1)</f>
        <v>#NAME?</v>
      </c>
      <c r="S75" s="55" t="e">
        <f ca="1">_xll.EQNXTDZ($A$1,$B75,S$1,$B$1)</f>
        <v>#NAME?</v>
      </c>
      <c r="T75" s="55" t="e">
        <f ca="1">_xll.EQNXTDZ($A$1,$B75,T$1,$B$1)</f>
        <v>#NAME?</v>
      </c>
      <c r="U75" s="55" t="e">
        <f ca="1">_xll.EQNXTDZ($A$1,$B75,U$1,$B$1)</f>
        <v>#NAME?</v>
      </c>
      <c r="V75" s="55" t="e">
        <f ca="1">_xll.EQNXTDZ($A$1,$B75,V$1,$B$1)</f>
        <v>#NAME?</v>
      </c>
      <c r="W75" s="55" t="e">
        <f ca="1">_xll.EQNXTDZ($A$1,$B75,W$1,$B$1)</f>
        <v>#NAME?</v>
      </c>
      <c r="X75" s="55" t="e">
        <f ca="1">_xll.EQNXTDZ($A$1,$B75,X$1,$B$1)</f>
        <v>#NAME?</v>
      </c>
      <c r="Y75" s="55" t="e">
        <f ca="1">_xll.EQNXTDZ($A$1,$B75,Y$1,$B$1)</f>
        <v>#NAME?</v>
      </c>
      <c r="Z75" s="55" t="e">
        <f ca="1">_xll.EQNXTDZ($A$1,$B75,Z$1,$B$1)</f>
        <v>#NAME?</v>
      </c>
      <c r="AA75" s="55" t="e">
        <f ca="1">_xll.EQNXTDZ($A$1,$B75,AA$1,$B$1)</f>
        <v>#NAME?</v>
      </c>
      <c r="AB75" s="55" t="e">
        <f ca="1">_xll.EQNXTDZ($A$1,$B75,AB$1,$B$1)</f>
        <v>#NAME?</v>
      </c>
      <c r="AC75" s="55" t="e">
        <f ca="1">_xll.EQNXTDZ($A$1,$B75,AC$1,$B$1)</f>
        <v>#NAME?</v>
      </c>
      <c r="AD75" s="55" t="e">
        <f ca="1">_xll.EQNXTDZ($A$1,$B75,AD$1,$B$1)</f>
        <v>#NAME?</v>
      </c>
      <c r="AE75" s="55" t="e">
        <f ca="1">_xll.EQNXTDZ($A$1,$B75,AE$1,$B$1)</f>
        <v>#NAME?</v>
      </c>
      <c r="AF75" s="55" t="e">
        <f ca="1">_xll.EQNXTDZ($A$1,$B75,AF$1,$B$1)</f>
        <v>#NAME?</v>
      </c>
    </row>
    <row r="76" spans="1:32" x14ac:dyDescent="0.25">
      <c r="A76" t="s">
        <v>61</v>
      </c>
      <c r="B76" t="s">
        <v>211</v>
      </c>
      <c r="C76" s="55" t="e">
        <f ca="1">_xll.EQNXTDZ($A$1,$B76,C$1,$B$1)</f>
        <v>#NAME?</v>
      </c>
      <c r="D76" s="55" t="e">
        <f ca="1">_xll.EQNXTDZ($A$1,$B76,D$1,$B$1)</f>
        <v>#NAME?</v>
      </c>
      <c r="E76" s="55" t="e">
        <f ca="1">_xll.EQNXTDZ($A$1,$B76,E$1,$B$1)</f>
        <v>#NAME?</v>
      </c>
      <c r="F76" s="55" t="e">
        <f ca="1">_xll.EQNXTDZ($A$1,$B76,F$1,$B$1)</f>
        <v>#NAME?</v>
      </c>
      <c r="G76" s="55" t="e">
        <f ca="1">_xll.EQNXTDZ($A$1,$B76,G$1,$B$1)</f>
        <v>#NAME?</v>
      </c>
      <c r="H76" s="55" t="e">
        <f ca="1">_xll.EQNXTDZ($A$1,$B76,H$1,$B$1)</f>
        <v>#NAME?</v>
      </c>
      <c r="I76" s="55" t="e">
        <f ca="1">_xll.EQNXTDZ($A$1,$B76,I$1,$B$1)</f>
        <v>#NAME?</v>
      </c>
      <c r="J76" s="55" t="e">
        <f ca="1">_xll.EQNXTDZ($A$1,$B76,J$1,$B$1)</f>
        <v>#NAME?</v>
      </c>
      <c r="K76" s="55" t="e">
        <f ca="1">_xll.EQNXTDZ($A$1,$B76,K$1,$B$1)</f>
        <v>#NAME?</v>
      </c>
      <c r="L76" s="55" t="e">
        <f ca="1">_xll.EQNXTDZ($A$1,$B76,L$1,$B$1)</f>
        <v>#NAME?</v>
      </c>
      <c r="M76" s="55" t="e">
        <f ca="1">_xll.EQNXTDZ($A$1,$B76,M$1,$B$1)</f>
        <v>#NAME?</v>
      </c>
      <c r="N76" s="55" t="e">
        <f ca="1">_xll.EQNXTDZ($A$1,$B76,N$1,$B$1)</f>
        <v>#NAME?</v>
      </c>
      <c r="O76" s="55" t="e">
        <f ca="1">_xll.EQNXTDZ($A$1,$B76,O$1,$B$1)</f>
        <v>#NAME?</v>
      </c>
      <c r="P76" s="55" t="e">
        <f ca="1">_xll.EQNXTDZ($A$1,$B76,P$1,$B$1)</f>
        <v>#NAME?</v>
      </c>
      <c r="Q76" s="55" t="e">
        <f ca="1">_xll.EQNXTDZ($A$1,$B76,Q$1,$B$1)</f>
        <v>#NAME?</v>
      </c>
      <c r="R76" s="55" t="e">
        <f ca="1">_xll.EQNXTDZ($A$1,$B76,R$1,$B$1)</f>
        <v>#NAME?</v>
      </c>
      <c r="S76" s="55" t="e">
        <f ca="1">_xll.EQNXTDZ($A$1,$B76,S$1,$B$1)</f>
        <v>#NAME?</v>
      </c>
      <c r="T76" s="55" t="e">
        <f ca="1">_xll.EQNXTDZ($A$1,$B76,T$1,$B$1)</f>
        <v>#NAME?</v>
      </c>
      <c r="U76" s="55" t="e">
        <f ca="1">_xll.EQNXTDZ($A$1,$B76,U$1,$B$1)</f>
        <v>#NAME?</v>
      </c>
      <c r="V76" s="55" t="e">
        <f ca="1">_xll.EQNXTDZ($A$1,$B76,V$1,$B$1)</f>
        <v>#NAME?</v>
      </c>
      <c r="W76" s="55" t="e">
        <f ca="1">_xll.EQNXTDZ($A$1,$B76,W$1,$B$1)</f>
        <v>#NAME?</v>
      </c>
      <c r="X76" s="55" t="e">
        <f ca="1">_xll.EQNXTDZ($A$1,$B76,X$1,$B$1)</f>
        <v>#NAME?</v>
      </c>
      <c r="Y76" s="55" t="e">
        <f ca="1">_xll.EQNXTDZ($A$1,$B76,Y$1,$B$1)</f>
        <v>#NAME?</v>
      </c>
      <c r="Z76" s="55" t="e">
        <f ca="1">_xll.EQNXTDZ($A$1,$B76,Z$1,$B$1)</f>
        <v>#NAME?</v>
      </c>
      <c r="AA76" s="55" t="e">
        <f ca="1">_xll.EQNXTDZ($A$1,$B76,AA$1,$B$1)</f>
        <v>#NAME?</v>
      </c>
      <c r="AB76" s="55" t="e">
        <f ca="1">_xll.EQNXTDZ($A$1,$B76,AB$1,$B$1)</f>
        <v>#NAME?</v>
      </c>
      <c r="AC76" s="55" t="e">
        <f ca="1">_xll.EQNXTDZ($A$1,$B76,AC$1,$B$1)</f>
        <v>#NAME?</v>
      </c>
      <c r="AD76" s="55" t="e">
        <f ca="1">_xll.EQNXTDZ($A$1,$B76,AD$1,$B$1)</f>
        <v>#NAME?</v>
      </c>
      <c r="AE76" s="55" t="e">
        <f ca="1">_xll.EQNXTDZ($A$1,$B76,AE$1,$B$1)</f>
        <v>#NAME?</v>
      </c>
      <c r="AF76" s="55" t="e">
        <f ca="1">_xll.EQNXTDZ($A$1,$B76,AF$1,$B$1)</f>
        <v>#NAME?</v>
      </c>
    </row>
    <row r="77" spans="1:32" x14ac:dyDescent="0.25">
      <c r="A77" t="s">
        <v>62</v>
      </c>
      <c r="B77" t="s">
        <v>212</v>
      </c>
      <c r="C77" s="55" t="e">
        <f ca="1">_xll.EQNXTDZ($A$1,$B77,C$1,$B$1)</f>
        <v>#NAME?</v>
      </c>
      <c r="D77" s="55" t="e">
        <f ca="1">_xll.EQNXTDZ($A$1,$B77,D$1,$B$1)</f>
        <v>#NAME?</v>
      </c>
      <c r="E77" s="55" t="e">
        <f ca="1">_xll.EQNXTDZ($A$1,$B77,E$1,$B$1)</f>
        <v>#NAME?</v>
      </c>
      <c r="F77" s="55" t="e">
        <f ca="1">_xll.EQNXTDZ($A$1,$B77,F$1,$B$1)</f>
        <v>#NAME?</v>
      </c>
      <c r="G77" s="55" t="e">
        <f ca="1">_xll.EQNXTDZ($A$1,$B77,G$1,$B$1)</f>
        <v>#NAME?</v>
      </c>
      <c r="H77" s="55" t="e">
        <f ca="1">_xll.EQNXTDZ($A$1,$B77,H$1,$B$1)</f>
        <v>#NAME?</v>
      </c>
      <c r="I77" s="55" t="e">
        <f ca="1">_xll.EQNXTDZ($A$1,$B77,I$1,$B$1)</f>
        <v>#NAME?</v>
      </c>
      <c r="J77" s="55" t="e">
        <f ca="1">_xll.EQNXTDZ($A$1,$B77,J$1,$B$1)</f>
        <v>#NAME?</v>
      </c>
      <c r="K77" s="55" t="e">
        <f ca="1">_xll.EQNXTDZ($A$1,$B77,K$1,$B$1)</f>
        <v>#NAME?</v>
      </c>
      <c r="L77" s="55" t="e">
        <f ca="1">_xll.EQNXTDZ($A$1,$B77,L$1,$B$1)</f>
        <v>#NAME?</v>
      </c>
      <c r="M77" s="55" t="e">
        <f ca="1">_xll.EQNXTDZ($A$1,$B77,M$1,$B$1)</f>
        <v>#NAME?</v>
      </c>
      <c r="N77" s="55" t="e">
        <f ca="1">_xll.EQNXTDZ($A$1,$B77,N$1,$B$1)</f>
        <v>#NAME?</v>
      </c>
      <c r="O77" s="55" t="e">
        <f ca="1">_xll.EQNXTDZ($A$1,$B77,O$1,$B$1)</f>
        <v>#NAME?</v>
      </c>
      <c r="P77" s="55" t="e">
        <f ca="1">_xll.EQNXTDZ($A$1,$B77,P$1,$B$1)</f>
        <v>#NAME?</v>
      </c>
      <c r="Q77" s="55" t="e">
        <f ca="1">_xll.EQNXTDZ($A$1,$B77,Q$1,$B$1)</f>
        <v>#NAME?</v>
      </c>
      <c r="R77" s="55" t="e">
        <f ca="1">_xll.EQNXTDZ($A$1,$B77,R$1,$B$1)</f>
        <v>#NAME?</v>
      </c>
      <c r="S77" s="55" t="e">
        <f ca="1">_xll.EQNXTDZ($A$1,$B77,S$1,$B$1)</f>
        <v>#NAME?</v>
      </c>
      <c r="T77" s="55" t="e">
        <f ca="1">_xll.EQNXTDZ($A$1,$B77,T$1,$B$1)</f>
        <v>#NAME?</v>
      </c>
      <c r="U77" s="55" t="e">
        <f ca="1">_xll.EQNXTDZ($A$1,$B77,U$1,$B$1)</f>
        <v>#NAME?</v>
      </c>
      <c r="V77" s="55" t="e">
        <f ca="1">_xll.EQNXTDZ($A$1,$B77,V$1,$B$1)</f>
        <v>#NAME?</v>
      </c>
      <c r="W77" s="55" t="e">
        <f ca="1">_xll.EQNXTDZ($A$1,$B77,W$1,$B$1)</f>
        <v>#NAME?</v>
      </c>
      <c r="X77" s="55" t="e">
        <f ca="1">_xll.EQNXTDZ($A$1,$B77,X$1,$B$1)</f>
        <v>#NAME?</v>
      </c>
      <c r="Y77" s="55" t="e">
        <f ca="1">_xll.EQNXTDZ($A$1,$B77,Y$1,$B$1)</f>
        <v>#NAME?</v>
      </c>
      <c r="Z77" s="55" t="e">
        <f ca="1">_xll.EQNXTDZ($A$1,$B77,Z$1,$B$1)</f>
        <v>#NAME?</v>
      </c>
      <c r="AA77" s="55" t="e">
        <f ca="1">_xll.EQNXTDZ($A$1,$B77,AA$1,$B$1)</f>
        <v>#NAME?</v>
      </c>
      <c r="AB77" s="55" t="e">
        <f ca="1">_xll.EQNXTDZ($A$1,$B77,AB$1,$B$1)</f>
        <v>#NAME?</v>
      </c>
      <c r="AC77" s="55" t="e">
        <f ca="1">_xll.EQNXTDZ($A$1,$B77,AC$1,$B$1)</f>
        <v>#NAME?</v>
      </c>
      <c r="AD77" s="55" t="e">
        <f ca="1">_xll.EQNXTDZ($A$1,$B77,AD$1,$B$1)</f>
        <v>#NAME?</v>
      </c>
      <c r="AE77" s="55" t="e">
        <f ca="1">_xll.EQNXTDZ($A$1,$B77,AE$1,$B$1)</f>
        <v>#NAME?</v>
      </c>
      <c r="AF77" s="55" t="e">
        <f ca="1">_xll.EQNXTDZ($A$1,$B77,AF$1,$B$1)</f>
        <v>#NAME?</v>
      </c>
    </row>
    <row r="78" spans="1:32" x14ac:dyDescent="0.25">
      <c r="A78" t="s">
        <v>76</v>
      </c>
      <c r="B78" t="s">
        <v>213</v>
      </c>
      <c r="C78" s="55" t="e">
        <f ca="1">_xll.EQNXTDZ($A$1,$B78,C$1,$B$1)</f>
        <v>#NAME?</v>
      </c>
      <c r="D78" s="55" t="e">
        <f ca="1">_xll.EQNXTDZ($A$1,$B78,D$1,$B$1)</f>
        <v>#NAME?</v>
      </c>
      <c r="E78" s="55" t="e">
        <f ca="1">_xll.EQNXTDZ($A$1,$B78,E$1,$B$1)</f>
        <v>#NAME?</v>
      </c>
      <c r="F78" s="55" t="e">
        <f ca="1">_xll.EQNXTDZ($A$1,$B78,F$1,$B$1)</f>
        <v>#NAME?</v>
      </c>
      <c r="G78" s="55" t="e">
        <f ca="1">_xll.EQNXTDZ($A$1,$B78,G$1,$B$1)</f>
        <v>#NAME?</v>
      </c>
      <c r="H78" s="55" t="e">
        <f ca="1">_xll.EQNXTDZ($A$1,$B78,H$1,$B$1)</f>
        <v>#NAME?</v>
      </c>
      <c r="I78" s="55" t="e">
        <f ca="1">_xll.EQNXTDZ($A$1,$B78,I$1,$B$1)</f>
        <v>#NAME?</v>
      </c>
      <c r="J78" s="55" t="e">
        <f ca="1">_xll.EQNXTDZ($A$1,$B78,J$1,$B$1)</f>
        <v>#NAME?</v>
      </c>
      <c r="K78" s="55" t="e">
        <f ca="1">_xll.EQNXTDZ($A$1,$B78,K$1,$B$1)</f>
        <v>#NAME?</v>
      </c>
      <c r="L78" s="55" t="e">
        <f ca="1">_xll.EQNXTDZ($A$1,$B78,L$1,$B$1)</f>
        <v>#NAME?</v>
      </c>
      <c r="M78" s="55" t="e">
        <f ca="1">_xll.EQNXTDZ($A$1,$B78,M$1,$B$1)</f>
        <v>#NAME?</v>
      </c>
      <c r="N78" s="55" t="e">
        <f ca="1">_xll.EQNXTDZ($A$1,$B78,N$1,$B$1)</f>
        <v>#NAME?</v>
      </c>
      <c r="O78" s="55" t="e">
        <f ca="1">_xll.EQNXTDZ($A$1,$B78,O$1,$B$1)</f>
        <v>#NAME?</v>
      </c>
      <c r="P78" s="55" t="e">
        <f ca="1">_xll.EQNXTDZ($A$1,$B78,P$1,$B$1)</f>
        <v>#NAME?</v>
      </c>
      <c r="Q78" s="55" t="e">
        <f ca="1">_xll.EQNXTDZ($A$1,$B78,Q$1,$B$1)</f>
        <v>#NAME?</v>
      </c>
      <c r="R78" s="55" t="e">
        <f ca="1">_xll.EQNXTDZ($A$1,$B78,R$1,$B$1)</f>
        <v>#NAME?</v>
      </c>
      <c r="S78" s="55" t="e">
        <f ca="1">_xll.EQNXTDZ($A$1,$B78,S$1,$B$1)</f>
        <v>#NAME?</v>
      </c>
      <c r="T78" s="55" t="e">
        <f ca="1">_xll.EQNXTDZ($A$1,$B78,T$1,$B$1)</f>
        <v>#NAME?</v>
      </c>
      <c r="U78" s="55" t="e">
        <f ca="1">_xll.EQNXTDZ($A$1,$B78,U$1,$B$1)</f>
        <v>#NAME?</v>
      </c>
      <c r="V78" s="55" t="e">
        <f ca="1">_xll.EQNXTDZ($A$1,$B78,V$1,$B$1)</f>
        <v>#NAME?</v>
      </c>
      <c r="W78" s="55" t="e">
        <f ca="1">_xll.EQNXTDZ($A$1,$B78,W$1,$B$1)</f>
        <v>#NAME?</v>
      </c>
      <c r="X78" s="55" t="e">
        <f ca="1">_xll.EQNXTDZ($A$1,$B78,X$1,$B$1)</f>
        <v>#NAME?</v>
      </c>
      <c r="Y78" s="55" t="e">
        <f ca="1">_xll.EQNXTDZ($A$1,$B78,Y$1,$B$1)</f>
        <v>#NAME?</v>
      </c>
      <c r="Z78" s="55" t="e">
        <f ca="1">_xll.EQNXTDZ($A$1,$B78,Z$1,$B$1)</f>
        <v>#NAME?</v>
      </c>
      <c r="AA78" s="55" t="e">
        <f ca="1">_xll.EQNXTDZ($A$1,$B78,AA$1,$B$1)</f>
        <v>#NAME?</v>
      </c>
      <c r="AB78" s="55" t="e">
        <f ca="1">_xll.EQNXTDZ($A$1,$B78,AB$1,$B$1)</f>
        <v>#NAME?</v>
      </c>
      <c r="AC78" s="55" t="e">
        <f ca="1">_xll.EQNXTDZ($A$1,$B78,AC$1,$B$1)</f>
        <v>#NAME?</v>
      </c>
      <c r="AD78" s="55" t="e">
        <f ca="1">_xll.EQNXTDZ($A$1,$B78,AD$1,$B$1)</f>
        <v>#NAME?</v>
      </c>
      <c r="AE78" s="55" t="e">
        <f ca="1">_xll.EQNXTDZ($A$1,$B78,AE$1,$B$1)</f>
        <v>#NAME?</v>
      </c>
      <c r="AF78" s="55" t="e">
        <f ca="1">_xll.EQNXTDZ($A$1,$B78,AF$1,$B$1)</f>
        <v>#NAME?</v>
      </c>
    </row>
    <row r="79" spans="1:32" x14ac:dyDescent="0.25">
      <c r="A79" t="s">
        <v>63</v>
      </c>
      <c r="B79" t="s">
        <v>214</v>
      </c>
      <c r="C79" s="55" t="e">
        <f ca="1">_xll.EQNXTDZ($A$1,$B79,C$1,$B$1)</f>
        <v>#NAME?</v>
      </c>
      <c r="D79" s="55" t="e">
        <f ca="1">_xll.EQNXTDZ($A$1,$B79,D$1,$B$1)</f>
        <v>#NAME?</v>
      </c>
      <c r="E79" s="55" t="e">
        <f ca="1">_xll.EQNXTDZ($A$1,$B79,E$1,$B$1)</f>
        <v>#NAME?</v>
      </c>
      <c r="F79" s="55" t="e">
        <f ca="1">_xll.EQNXTDZ($A$1,$B79,F$1,$B$1)</f>
        <v>#NAME?</v>
      </c>
      <c r="G79" s="55" t="e">
        <f ca="1">_xll.EQNXTDZ($A$1,$B79,G$1,$B$1)</f>
        <v>#NAME?</v>
      </c>
      <c r="H79" s="55" t="e">
        <f ca="1">_xll.EQNXTDZ($A$1,$B79,H$1,$B$1)</f>
        <v>#NAME?</v>
      </c>
      <c r="I79" s="55" t="e">
        <f ca="1">_xll.EQNXTDZ($A$1,$B79,I$1,$B$1)</f>
        <v>#NAME?</v>
      </c>
      <c r="J79" s="55" t="e">
        <f ca="1">_xll.EQNXTDZ($A$1,$B79,J$1,$B$1)</f>
        <v>#NAME?</v>
      </c>
      <c r="K79" s="55" t="e">
        <f ca="1">_xll.EQNXTDZ($A$1,$B79,K$1,$B$1)</f>
        <v>#NAME?</v>
      </c>
      <c r="L79" s="55" t="e">
        <f ca="1">_xll.EQNXTDZ($A$1,$B79,L$1,$B$1)</f>
        <v>#NAME?</v>
      </c>
      <c r="M79" s="55" t="e">
        <f ca="1">_xll.EQNXTDZ($A$1,$B79,M$1,$B$1)</f>
        <v>#NAME?</v>
      </c>
      <c r="N79" s="55" t="e">
        <f ca="1">_xll.EQNXTDZ($A$1,$B79,N$1,$B$1)</f>
        <v>#NAME?</v>
      </c>
      <c r="O79" s="55" t="e">
        <f ca="1">_xll.EQNXTDZ($A$1,$B79,O$1,$B$1)</f>
        <v>#NAME?</v>
      </c>
      <c r="P79" s="55" t="e">
        <f ca="1">_xll.EQNXTDZ($A$1,$B79,P$1,$B$1)</f>
        <v>#NAME?</v>
      </c>
      <c r="Q79" s="55" t="e">
        <f ca="1">_xll.EQNXTDZ($A$1,$B79,Q$1,$B$1)</f>
        <v>#NAME?</v>
      </c>
      <c r="R79" s="55" t="e">
        <f ca="1">_xll.EQNXTDZ($A$1,$B79,R$1,$B$1)</f>
        <v>#NAME?</v>
      </c>
      <c r="S79" s="55" t="e">
        <f ca="1">_xll.EQNXTDZ($A$1,$B79,S$1,$B$1)</f>
        <v>#NAME?</v>
      </c>
      <c r="T79" s="55" t="e">
        <f ca="1">_xll.EQNXTDZ($A$1,$B79,T$1,$B$1)</f>
        <v>#NAME?</v>
      </c>
      <c r="U79" s="55" t="e">
        <f ca="1">_xll.EQNXTDZ($A$1,$B79,U$1,$B$1)</f>
        <v>#NAME?</v>
      </c>
      <c r="V79" s="55" t="e">
        <f ca="1">_xll.EQNXTDZ($A$1,$B79,V$1,$B$1)</f>
        <v>#NAME?</v>
      </c>
      <c r="W79" s="55" t="e">
        <f ca="1">_xll.EQNXTDZ($A$1,$B79,W$1,$B$1)</f>
        <v>#NAME?</v>
      </c>
      <c r="X79" s="55" t="e">
        <f ca="1">_xll.EQNXTDZ($A$1,$B79,X$1,$B$1)</f>
        <v>#NAME?</v>
      </c>
      <c r="Y79" s="55" t="e">
        <f ca="1">_xll.EQNXTDZ($A$1,$B79,Y$1,$B$1)</f>
        <v>#NAME?</v>
      </c>
      <c r="Z79" s="55" t="e">
        <f ca="1">_xll.EQNXTDZ($A$1,$B79,Z$1,$B$1)</f>
        <v>#NAME?</v>
      </c>
      <c r="AA79" s="55" t="e">
        <f ca="1">_xll.EQNXTDZ($A$1,$B79,AA$1,$B$1)</f>
        <v>#NAME?</v>
      </c>
      <c r="AB79" s="55" t="e">
        <f ca="1">_xll.EQNXTDZ($A$1,$B79,AB$1,$B$1)</f>
        <v>#NAME?</v>
      </c>
      <c r="AC79" s="55" t="e">
        <f ca="1">_xll.EQNXTDZ($A$1,$B79,AC$1,$B$1)</f>
        <v>#NAME?</v>
      </c>
      <c r="AD79" s="55" t="e">
        <f ca="1">_xll.EQNXTDZ($A$1,$B79,AD$1,$B$1)</f>
        <v>#NAME?</v>
      </c>
      <c r="AE79" s="55" t="e">
        <f ca="1">_xll.EQNXTDZ($A$1,$B79,AE$1,$B$1)</f>
        <v>#NAME?</v>
      </c>
      <c r="AF79" s="55" t="e">
        <f ca="1">_xll.EQNXTDZ($A$1,$B79,AF$1,$B$1)</f>
        <v>#NAME?</v>
      </c>
    </row>
    <row r="80" spans="1:32" x14ac:dyDescent="0.25">
      <c r="A80" t="s">
        <v>64</v>
      </c>
      <c r="B80" t="s">
        <v>215</v>
      </c>
      <c r="C80" s="55" t="e">
        <f ca="1">_xll.EQNXTDZ($A$1,$B80,C$1,$B$1)</f>
        <v>#NAME?</v>
      </c>
      <c r="D80" s="55" t="e">
        <f ca="1">_xll.EQNXTDZ($A$1,$B80,D$1,$B$1)</f>
        <v>#NAME?</v>
      </c>
      <c r="E80" s="55" t="e">
        <f ca="1">_xll.EQNXTDZ($A$1,$B80,E$1,$B$1)</f>
        <v>#NAME?</v>
      </c>
      <c r="F80" s="55" t="e">
        <f ca="1">_xll.EQNXTDZ($A$1,$B80,F$1,$B$1)</f>
        <v>#NAME?</v>
      </c>
      <c r="G80" s="55" t="e">
        <f ca="1">_xll.EQNXTDZ($A$1,$B80,G$1,$B$1)</f>
        <v>#NAME?</v>
      </c>
      <c r="H80" s="55" t="e">
        <f ca="1">_xll.EQNXTDZ($A$1,$B80,H$1,$B$1)</f>
        <v>#NAME?</v>
      </c>
      <c r="I80" s="55" t="e">
        <f ca="1">_xll.EQNXTDZ($A$1,$B80,I$1,$B$1)</f>
        <v>#NAME?</v>
      </c>
      <c r="J80" s="55" t="e">
        <f ca="1">_xll.EQNXTDZ($A$1,$B80,J$1,$B$1)</f>
        <v>#NAME?</v>
      </c>
      <c r="K80" s="55" t="e">
        <f ca="1">_xll.EQNXTDZ($A$1,$B80,K$1,$B$1)</f>
        <v>#NAME?</v>
      </c>
      <c r="L80" s="55" t="e">
        <f ca="1">_xll.EQNXTDZ($A$1,$B80,L$1,$B$1)</f>
        <v>#NAME?</v>
      </c>
      <c r="M80" s="55" t="e">
        <f ca="1">_xll.EQNXTDZ($A$1,$B80,M$1,$B$1)</f>
        <v>#NAME?</v>
      </c>
      <c r="N80" s="55" t="e">
        <f ca="1">_xll.EQNXTDZ($A$1,$B80,N$1,$B$1)</f>
        <v>#NAME?</v>
      </c>
      <c r="O80" s="55" t="e">
        <f ca="1">_xll.EQNXTDZ($A$1,$B80,O$1,$B$1)</f>
        <v>#NAME?</v>
      </c>
      <c r="P80" s="55" t="e">
        <f ca="1">_xll.EQNXTDZ($A$1,$B80,P$1,$B$1)</f>
        <v>#NAME?</v>
      </c>
      <c r="Q80" s="55" t="e">
        <f ca="1">_xll.EQNXTDZ($A$1,$B80,Q$1,$B$1)</f>
        <v>#NAME?</v>
      </c>
      <c r="R80" s="55" t="e">
        <f ca="1">_xll.EQNXTDZ($A$1,$B80,R$1,$B$1)</f>
        <v>#NAME?</v>
      </c>
      <c r="S80" s="55" t="e">
        <f ca="1">_xll.EQNXTDZ($A$1,$B80,S$1,$B$1)</f>
        <v>#NAME?</v>
      </c>
      <c r="T80" s="55" t="e">
        <f ca="1">_xll.EQNXTDZ($A$1,$B80,T$1,$B$1)</f>
        <v>#NAME?</v>
      </c>
      <c r="U80" s="55" t="e">
        <f ca="1">_xll.EQNXTDZ($A$1,$B80,U$1,$B$1)</f>
        <v>#NAME?</v>
      </c>
      <c r="V80" s="55" t="e">
        <f ca="1">_xll.EQNXTDZ($A$1,$B80,V$1,$B$1)</f>
        <v>#NAME?</v>
      </c>
      <c r="W80" s="55" t="e">
        <f ca="1">_xll.EQNXTDZ($A$1,$B80,W$1,$B$1)</f>
        <v>#NAME?</v>
      </c>
      <c r="X80" s="55" t="e">
        <f ca="1">_xll.EQNXTDZ($A$1,$B80,X$1,$B$1)</f>
        <v>#NAME?</v>
      </c>
      <c r="Y80" s="55" t="e">
        <f ca="1">_xll.EQNXTDZ($A$1,$B80,Y$1,$B$1)</f>
        <v>#NAME?</v>
      </c>
      <c r="Z80" s="55" t="e">
        <f ca="1">_xll.EQNXTDZ($A$1,$B80,Z$1,$B$1)</f>
        <v>#NAME?</v>
      </c>
      <c r="AA80" s="55" t="e">
        <f ca="1">_xll.EQNXTDZ($A$1,$B80,AA$1,$B$1)</f>
        <v>#NAME?</v>
      </c>
      <c r="AB80" s="55" t="e">
        <f ca="1">_xll.EQNXTDZ($A$1,$B80,AB$1,$B$1)</f>
        <v>#NAME?</v>
      </c>
      <c r="AC80" s="55" t="e">
        <f ca="1">_xll.EQNXTDZ($A$1,$B80,AC$1,$B$1)</f>
        <v>#NAME?</v>
      </c>
      <c r="AD80" s="55" t="e">
        <f ca="1">_xll.EQNXTDZ($A$1,$B80,AD$1,$B$1)</f>
        <v>#NAME?</v>
      </c>
      <c r="AE80" s="55" t="e">
        <f ca="1">_xll.EQNXTDZ($A$1,$B80,AE$1,$B$1)</f>
        <v>#NAME?</v>
      </c>
      <c r="AF80" s="55" t="e">
        <f ca="1">_xll.EQNXTDZ($A$1,$B80,AF$1,$B$1)</f>
        <v>#NAME?</v>
      </c>
    </row>
    <row r="81" spans="1:32" x14ac:dyDescent="0.25">
      <c r="A81" t="s">
        <v>172</v>
      </c>
      <c r="B81" t="s">
        <v>216</v>
      </c>
      <c r="C81" s="55" t="e">
        <f ca="1">_xll.EQNXTDZ($A$1,$B81,C$1,$B$1)</f>
        <v>#NAME?</v>
      </c>
      <c r="D81" s="55" t="e">
        <f ca="1">_xll.EQNXTDZ($A$1,$B81,D$1,$B$1)</f>
        <v>#NAME?</v>
      </c>
      <c r="E81" s="55" t="e">
        <f ca="1">_xll.EQNXTDZ($A$1,$B81,E$1,$B$1)</f>
        <v>#NAME?</v>
      </c>
      <c r="F81" s="55" t="e">
        <f ca="1">_xll.EQNXTDZ($A$1,$B81,F$1,$B$1)</f>
        <v>#NAME?</v>
      </c>
      <c r="G81" s="55" t="e">
        <f ca="1">_xll.EQNXTDZ($A$1,$B81,G$1,$B$1)</f>
        <v>#NAME?</v>
      </c>
      <c r="H81" s="55" t="e">
        <f ca="1">_xll.EQNXTDZ($A$1,$B81,H$1,$B$1)</f>
        <v>#NAME?</v>
      </c>
      <c r="I81" s="55" t="e">
        <f ca="1">_xll.EQNXTDZ($A$1,$B81,I$1,$B$1)</f>
        <v>#NAME?</v>
      </c>
      <c r="J81" s="55" t="e">
        <f ca="1">_xll.EQNXTDZ($A$1,$B81,J$1,$B$1)</f>
        <v>#NAME?</v>
      </c>
      <c r="K81" s="55" t="e">
        <f ca="1">_xll.EQNXTDZ($A$1,$B81,K$1,$B$1)</f>
        <v>#NAME?</v>
      </c>
      <c r="L81" s="55" t="e">
        <f ca="1">_xll.EQNXTDZ($A$1,$B81,L$1,$B$1)</f>
        <v>#NAME?</v>
      </c>
      <c r="M81" s="55" t="e">
        <f ca="1">_xll.EQNXTDZ($A$1,$B81,M$1,$B$1)</f>
        <v>#NAME?</v>
      </c>
      <c r="N81" s="55" t="e">
        <f ca="1">_xll.EQNXTDZ($A$1,$B81,N$1,$B$1)</f>
        <v>#NAME?</v>
      </c>
      <c r="O81" s="55" t="e">
        <f ca="1">_xll.EQNXTDZ($A$1,$B81,O$1,$B$1)</f>
        <v>#NAME?</v>
      </c>
      <c r="P81" s="55" t="e">
        <f ca="1">_xll.EQNXTDZ($A$1,$B81,P$1,$B$1)</f>
        <v>#NAME?</v>
      </c>
      <c r="Q81" s="55" t="e">
        <f ca="1">_xll.EQNXTDZ($A$1,$B81,Q$1,$B$1)</f>
        <v>#NAME?</v>
      </c>
      <c r="R81" s="55" t="e">
        <f ca="1">_xll.EQNXTDZ($A$1,$B81,R$1,$B$1)</f>
        <v>#NAME?</v>
      </c>
      <c r="S81" s="55" t="e">
        <f ca="1">_xll.EQNXTDZ($A$1,$B81,S$1,$B$1)</f>
        <v>#NAME?</v>
      </c>
      <c r="T81" s="55" t="e">
        <f ca="1">_xll.EQNXTDZ($A$1,$B81,T$1,$B$1)</f>
        <v>#NAME?</v>
      </c>
      <c r="U81" s="55" t="e">
        <f ca="1">_xll.EQNXTDZ($A$1,$B81,U$1,$B$1)</f>
        <v>#NAME?</v>
      </c>
      <c r="V81" s="55" t="e">
        <f ca="1">_xll.EQNXTDZ($A$1,$B81,V$1,$B$1)</f>
        <v>#NAME?</v>
      </c>
      <c r="W81" s="55" t="e">
        <f ca="1">_xll.EQNXTDZ($A$1,$B81,W$1,$B$1)</f>
        <v>#NAME?</v>
      </c>
      <c r="X81" s="55" t="e">
        <f ca="1">_xll.EQNXTDZ($A$1,$B81,X$1,$B$1)</f>
        <v>#NAME?</v>
      </c>
      <c r="Y81" s="55" t="e">
        <f ca="1">_xll.EQNXTDZ($A$1,$B81,Y$1,$B$1)</f>
        <v>#NAME?</v>
      </c>
      <c r="Z81" s="55" t="e">
        <f ca="1">_xll.EQNXTDZ($A$1,$B81,Z$1,$B$1)</f>
        <v>#NAME?</v>
      </c>
      <c r="AA81" s="55" t="e">
        <f ca="1">_xll.EQNXTDZ($A$1,$B81,AA$1,$B$1)</f>
        <v>#NAME?</v>
      </c>
      <c r="AB81" s="55" t="e">
        <f ca="1">_xll.EQNXTDZ($A$1,$B81,AB$1,$B$1)</f>
        <v>#NAME?</v>
      </c>
      <c r="AC81" s="55" t="e">
        <f ca="1">_xll.EQNXTDZ($A$1,$B81,AC$1,$B$1)</f>
        <v>#NAME?</v>
      </c>
      <c r="AD81" s="55" t="e">
        <f ca="1">_xll.EQNXTDZ($A$1,$B81,AD$1,$B$1)</f>
        <v>#NAME?</v>
      </c>
      <c r="AE81" s="55" t="e">
        <f ca="1">_xll.EQNXTDZ($A$1,$B81,AE$1,$B$1)</f>
        <v>#NAME?</v>
      </c>
      <c r="AF81" s="55" t="e">
        <f ca="1">_xll.EQNXTDZ($A$1,$B81,AF$1,$B$1)</f>
        <v>#NAME?</v>
      </c>
    </row>
    <row r="82" spans="1:32" x14ac:dyDescent="0.25">
      <c r="A82" t="s">
        <v>173</v>
      </c>
      <c r="B82" t="s">
        <v>217</v>
      </c>
      <c r="C82" s="55" t="e">
        <f ca="1">_xll.EQNXTDZ($A$1,$B82,C$1,$B$1)</f>
        <v>#NAME?</v>
      </c>
      <c r="D82" s="55" t="e">
        <f ca="1">_xll.EQNXTDZ($A$1,$B82,D$1,$B$1)</f>
        <v>#NAME?</v>
      </c>
      <c r="E82" s="55" t="e">
        <f ca="1">_xll.EQNXTDZ($A$1,$B82,E$1,$B$1)</f>
        <v>#NAME?</v>
      </c>
      <c r="F82" s="55" t="e">
        <f ca="1">_xll.EQNXTDZ($A$1,$B82,F$1,$B$1)</f>
        <v>#NAME?</v>
      </c>
      <c r="G82" s="55" t="e">
        <f ca="1">_xll.EQNXTDZ($A$1,$B82,G$1,$B$1)</f>
        <v>#NAME?</v>
      </c>
      <c r="H82" s="55" t="e">
        <f ca="1">_xll.EQNXTDZ($A$1,$B82,H$1,$B$1)</f>
        <v>#NAME?</v>
      </c>
      <c r="I82" s="55" t="e">
        <f ca="1">_xll.EQNXTDZ($A$1,$B82,I$1,$B$1)</f>
        <v>#NAME?</v>
      </c>
      <c r="J82" s="55" t="e">
        <f ca="1">_xll.EQNXTDZ($A$1,$B82,J$1,$B$1)</f>
        <v>#NAME?</v>
      </c>
      <c r="K82" s="55" t="e">
        <f ca="1">_xll.EQNXTDZ($A$1,$B82,K$1,$B$1)</f>
        <v>#NAME?</v>
      </c>
      <c r="L82" s="55" t="e">
        <f ca="1">_xll.EQNXTDZ($A$1,$B82,L$1,$B$1)</f>
        <v>#NAME?</v>
      </c>
      <c r="M82" s="55" t="e">
        <f ca="1">_xll.EQNXTDZ($A$1,$B82,M$1,$B$1)</f>
        <v>#NAME?</v>
      </c>
      <c r="N82" s="55" t="e">
        <f ca="1">_xll.EQNXTDZ($A$1,$B82,N$1,$B$1)</f>
        <v>#NAME?</v>
      </c>
      <c r="O82" s="55" t="e">
        <f ca="1">_xll.EQNXTDZ($A$1,$B82,O$1,$B$1)</f>
        <v>#NAME?</v>
      </c>
      <c r="P82" s="55" t="e">
        <f ca="1">_xll.EQNXTDZ($A$1,$B82,P$1,$B$1)</f>
        <v>#NAME?</v>
      </c>
      <c r="Q82" s="55" t="e">
        <f ca="1">_xll.EQNXTDZ($A$1,$B82,Q$1,$B$1)</f>
        <v>#NAME?</v>
      </c>
      <c r="R82" s="55" t="e">
        <f ca="1">_xll.EQNXTDZ($A$1,$B82,R$1,$B$1)</f>
        <v>#NAME?</v>
      </c>
      <c r="S82" s="55" t="e">
        <f ca="1">_xll.EQNXTDZ($A$1,$B82,S$1,$B$1)</f>
        <v>#NAME?</v>
      </c>
      <c r="T82" s="55" t="e">
        <f ca="1">_xll.EQNXTDZ($A$1,$B82,T$1,$B$1)</f>
        <v>#NAME?</v>
      </c>
      <c r="U82" s="55" t="e">
        <f ca="1">_xll.EQNXTDZ($A$1,$B82,U$1,$B$1)</f>
        <v>#NAME?</v>
      </c>
      <c r="V82" s="55" t="e">
        <f ca="1">_xll.EQNXTDZ($A$1,$B82,V$1,$B$1)</f>
        <v>#NAME?</v>
      </c>
      <c r="W82" s="55" t="e">
        <f ca="1">_xll.EQNXTDZ($A$1,$B82,W$1,$B$1)</f>
        <v>#NAME?</v>
      </c>
      <c r="X82" s="55" t="e">
        <f ca="1">_xll.EQNXTDZ($A$1,$B82,X$1,$B$1)</f>
        <v>#NAME?</v>
      </c>
      <c r="Y82" s="55" t="e">
        <f ca="1">_xll.EQNXTDZ($A$1,$B82,Y$1,$B$1)</f>
        <v>#NAME?</v>
      </c>
      <c r="Z82" s="55" t="e">
        <f ca="1">_xll.EQNXTDZ($A$1,$B82,Z$1,$B$1)</f>
        <v>#NAME?</v>
      </c>
      <c r="AA82" s="55" t="e">
        <f ca="1">_xll.EQNXTDZ($A$1,$B82,AA$1,$B$1)</f>
        <v>#NAME?</v>
      </c>
      <c r="AB82" s="55" t="e">
        <f ca="1">_xll.EQNXTDZ($A$1,$B82,AB$1,$B$1)</f>
        <v>#NAME?</v>
      </c>
      <c r="AC82" s="55" t="e">
        <f ca="1">_xll.EQNXTDZ($A$1,$B82,AC$1,$B$1)</f>
        <v>#NAME?</v>
      </c>
      <c r="AD82" s="55" t="e">
        <f ca="1">_xll.EQNXTDZ($A$1,$B82,AD$1,$B$1)</f>
        <v>#NAME?</v>
      </c>
      <c r="AE82" s="55" t="e">
        <f ca="1">_xll.EQNXTDZ($A$1,$B82,AE$1,$B$1)</f>
        <v>#NAME?</v>
      </c>
      <c r="AF82" s="55" t="e">
        <f ca="1">_xll.EQNXTDZ($A$1,$B82,AF$1,$B$1)</f>
        <v>#NAME?</v>
      </c>
    </row>
    <row r="83" spans="1:32" x14ac:dyDescent="0.25">
      <c r="A83" t="s">
        <v>79</v>
      </c>
      <c r="B83" t="s">
        <v>218</v>
      </c>
      <c r="C83" s="55" t="e">
        <f ca="1">_xll.EQNXTDZ($A$1,$B83,C$1,$B$1)</f>
        <v>#NAME?</v>
      </c>
      <c r="D83" s="55" t="e">
        <f ca="1">_xll.EQNXTDZ($A$1,$B83,D$1,$B$1)</f>
        <v>#NAME?</v>
      </c>
      <c r="E83" s="55" t="e">
        <f ca="1">_xll.EQNXTDZ($A$1,$B83,E$1,$B$1)</f>
        <v>#NAME?</v>
      </c>
      <c r="F83" s="55" t="e">
        <f ca="1">_xll.EQNXTDZ($A$1,$B83,F$1,$B$1)</f>
        <v>#NAME?</v>
      </c>
      <c r="G83" s="55" t="e">
        <f ca="1">_xll.EQNXTDZ($A$1,$B83,G$1,$B$1)</f>
        <v>#NAME?</v>
      </c>
      <c r="H83" s="55" t="e">
        <f ca="1">_xll.EQNXTDZ($A$1,$B83,H$1,$B$1)</f>
        <v>#NAME?</v>
      </c>
      <c r="I83" s="55" t="e">
        <f ca="1">_xll.EQNXTDZ($A$1,$B83,I$1,$B$1)</f>
        <v>#NAME?</v>
      </c>
      <c r="J83" s="55" t="e">
        <f ca="1">_xll.EQNXTDZ($A$1,$B83,J$1,$B$1)</f>
        <v>#NAME?</v>
      </c>
      <c r="K83" s="55" t="e">
        <f ca="1">_xll.EQNXTDZ($A$1,$B83,K$1,$B$1)</f>
        <v>#NAME?</v>
      </c>
      <c r="L83" s="55" t="e">
        <f ca="1">_xll.EQNXTDZ($A$1,$B83,L$1,$B$1)</f>
        <v>#NAME?</v>
      </c>
      <c r="M83" s="55" t="e">
        <f ca="1">_xll.EQNXTDZ($A$1,$B83,M$1,$B$1)</f>
        <v>#NAME?</v>
      </c>
      <c r="N83" s="55" t="e">
        <f ca="1">_xll.EQNXTDZ($A$1,$B83,N$1,$B$1)</f>
        <v>#NAME?</v>
      </c>
      <c r="O83" s="55" t="e">
        <f ca="1">_xll.EQNXTDZ($A$1,$B83,O$1,$B$1)</f>
        <v>#NAME?</v>
      </c>
      <c r="P83" s="55" t="e">
        <f ca="1">_xll.EQNXTDZ($A$1,$B83,P$1,$B$1)</f>
        <v>#NAME?</v>
      </c>
      <c r="Q83" s="55" t="e">
        <f ca="1">_xll.EQNXTDZ($A$1,$B83,Q$1,$B$1)</f>
        <v>#NAME?</v>
      </c>
      <c r="R83" s="55" t="e">
        <f ca="1">_xll.EQNXTDZ($A$1,$B83,R$1,$B$1)</f>
        <v>#NAME?</v>
      </c>
      <c r="S83" s="55" t="e">
        <f ca="1">_xll.EQNXTDZ($A$1,$B83,S$1,$B$1)</f>
        <v>#NAME?</v>
      </c>
      <c r="T83" s="55" t="e">
        <f ca="1">_xll.EQNXTDZ($A$1,$B83,T$1,$B$1)</f>
        <v>#NAME?</v>
      </c>
      <c r="U83" s="55" t="e">
        <f ca="1">_xll.EQNXTDZ($A$1,$B83,U$1,$B$1)</f>
        <v>#NAME?</v>
      </c>
      <c r="V83" s="55" t="e">
        <f ca="1">_xll.EQNXTDZ($A$1,$B83,V$1,$B$1)</f>
        <v>#NAME?</v>
      </c>
      <c r="W83" s="55" t="e">
        <f ca="1">_xll.EQNXTDZ($A$1,$B83,W$1,$B$1)</f>
        <v>#NAME?</v>
      </c>
      <c r="X83" s="55" t="e">
        <f ca="1">_xll.EQNXTDZ($A$1,$B83,X$1,$B$1)</f>
        <v>#NAME?</v>
      </c>
      <c r="Y83" s="55" t="e">
        <f ca="1">_xll.EQNXTDZ($A$1,$B83,Y$1,$B$1)</f>
        <v>#NAME?</v>
      </c>
      <c r="Z83" s="55" t="e">
        <f ca="1">_xll.EQNXTDZ($A$1,$B83,Z$1,$B$1)</f>
        <v>#NAME?</v>
      </c>
      <c r="AA83" s="55" t="e">
        <f ca="1">_xll.EQNXTDZ($A$1,$B83,AA$1,$B$1)</f>
        <v>#NAME?</v>
      </c>
      <c r="AB83" s="55" t="e">
        <f ca="1">_xll.EQNXTDZ($A$1,$B83,AB$1,$B$1)</f>
        <v>#NAME?</v>
      </c>
      <c r="AC83" s="55" t="e">
        <f ca="1">_xll.EQNXTDZ($A$1,$B83,AC$1,$B$1)</f>
        <v>#NAME?</v>
      </c>
      <c r="AD83" s="55" t="e">
        <f ca="1">_xll.EQNXTDZ($A$1,$B83,AD$1,$B$1)</f>
        <v>#NAME?</v>
      </c>
      <c r="AE83" s="55" t="e">
        <f ca="1">_xll.EQNXTDZ($A$1,$B83,AE$1,$B$1)</f>
        <v>#NAME?</v>
      </c>
      <c r="AF83" s="55" t="e">
        <f ca="1">_xll.EQNXTDZ($A$1,$B83,AF$1,$B$1)</f>
        <v>#NAME?</v>
      </c>
    </row>
    <row r="84" spans="1:32" x14ac:dyDescent="0.25">
      <c r="A84" t="s">
        <v>174</v>
      </c>
      <c r="B84" t="s">
        <v>219</v>
      </c>
      <c r="C84" s="55" t="e">
        <f ca="1">_xll.EQNXTDZ($A$1,$B84,C$1,$B$1)</f>
        <v>#NAME?</v>
      </c>
      <c r="D84" s="55" t="e">
        <f ca="1">_xll.EQNXTDZ($A$1,$B84,D$1,$B$1)</f>
        <v>#NAME?</v>
      </c>
      <c r="E84" s="55" t="e">
        <f ca="1">_xll.EQNXTDZ($A$1,$B84,E$1,$B$1)</f>
        <v>#NAME?</v>
      </c>
      <c r="F84" s="55" t="e">
        <f ca="1">_xll.EQNXTDZ($A$1,$B84,F$1,$B$1)</f>
        <v>#NAME?</v>
      </c>
      <c r="G84" s="55" t="e">
        <f ca="1">_xll.EQNXTDZ($A$1,$B84,G$1,$B$1)</f>
        <v>#NAME?</v>
      </c>
      <c r="H84" s="55" t="e">
        <f ca="1">_xll.EQNXTDZ($A$1,$B84,H$1,$B$1)</f>
        <v>#NAME?</v>
      </c>
      <c r="I84" s="55" t="e">
        <f ca="1">_xll.EQNXTDZ($A$1,$B84,I$1,$B$1)</f>
        <v>#NAME?</v>
      </c>
      <c r="J84" s="55" t="e">
        <f ca="1">_xll.EQNXTDZ($A$1,$B84,J$1,$B$1)</f>
        <v>#NAME?</v>
      </c>
      <c r="K84" s="55" t="e">
        <f ca="1">_xll.EQNXTDZ($A$1,$B84,K$1,$B$1)</f>
        <v>#NAME?</v>
      </c>
      <c r="L84" s="55" t="e">
        <f ca="1">_xll.EQNXTDZ($A$1,$B84,L$1,$B$1)</f>
        <v>#NAME?</v>
      </c>
      <c r="M84" s="55" t="e">
        <f ca="1">_xll.EQNXTDZ($A$1,$B84,M$1,$B$1)</f>
        <v>#NAME?</v>
      </c>
      <c r="N84" s="55" t="e">
        <f ca="1">_xll.EQNXTDZ($A$1,$B84,N$1,$B$1)</f>
        <v>#NAME?</v>
      </c>
      <c r="O84" s="55" t="e">
        <f ca="1">_xll.EQNXTDZ($A$1,$B84,O$1,$B$1)</f>
        <v>#NAME?</v>
      </c>
      <c r="P84" s="55" t="e">
        <f ca="1">_xll.EQNXTDZ($A$1,$B84,P$1,$B$1)</f>
        <v>#NAME?</v>
      </c>
      <c r="Q84" s="55" t="e">
        <f ca="1">_xll.EQNXTDZ($A$1,$B84,Q$1,$B$1)</f>
        <v>#NAME?</v>
      </c>
      <c r="R84" s="55" t="e">
        <f ca="1">_xll.EQNXTDZ($A$1,$B84,R$1,$B$1)</f>
        <v>#NAME?</v>
      </c>
      <c r="S84" s="55" t="e">
        <f ca="1">_xll.EQNXTDZ($A$1,$B84,S$1,$B$1)</f>
        <v>#NAME?</v>
      </c>
      <c r="T84" s="55" t="e">
        <f ca="1">_xll.EQNXTDZ($A$1,$B84,T$1,$B$1)</f>
        <v>#NAME?</v>
      </c>
      <c r="U84" s="55" t="e">
        <f ca="1">_xll.EQNXTDZ($A$1,$B84,U$1,$B$1)</f>
        <v>#NAME?</v>
      </c>
      <c r="V84" s="55" t="e">
        <f ca="1">_xll.EQNXTDZ($A$1,$B84,V$1,$B$1)</f>
        <v>#NAME?</v>
      </c>
      <c r="W84" s="55" t="e">
        <f ca="1">_xll.EQNXTDZ($A$1,$B84,W$1,$B$1)</f>
        <v>#NAME?</v>
      </c>
      <c r="X84" s="55" t="e">
        <f ca="1">_xll.EQNXTDZ($A$1,$B84,X$1,$B$1)</f>
        <v>#NAME?</v>
      </c>
      <c r="Y84" s="55" t="e">
        <f ca="1">_xll.EQNXTDZ($A$1,$B84,Y$1,$B$1)</f>
        <v>#NAME?</v>
      </c>
      <c r="Z84" s="55" t="e">
        <f ca="1">_xll.EQNXTDZ($A$1,$B84,Z$1,$B$1)</f>
        <v>#NAME?</v>
      </c>
      <c r="AA84" s="55" t="e">
        <f ca="1">_xll.EQNXTDZ($A$1,$B84,AA$1,$B$1)</f>
        <v>#NAME?</v>
      </c>
      <c r="AB84" s="55" t="e">
        <f ca="1">_xll.EQNXTDZ($A$1,$B84,AB$1,$B$1)</f>
        <v>#NAME?</v>
      </c>
      <c r="AC84" s="55" t="e">
        <f ca="1">_xll.EQNXTDZ($A$1,$B84,AC$1,$B$1)</f>
        <v>#NAME?</v>
      </c>
      <c r="AD84" s="55" t="e">
        <f ca="1">_xll.EQNXTDZ($A$1,$B84,AD$1,$B$1)</f>
        <v>#NAME?</v>
      </c>
      <c r="AE84" s="55" t="e">
        <f ca="1">_xll.EQNXTDZ($A$1,$B84,AE$1,$B$1)</f>
        <v>#NAME?</v>
      </c>
      <c r="AF84" s="55" t="e">
        <f ca="1">_xll.EQNXTDZ($A$1,$B84,AF$1,$B$1)</f>
        <v>#NAME?</v>
      </c>
    </row>
    <row r="85" spans="1:32" x14ac:dyDescent="0.25">
      <c r="A85" t="s">
        <v>81</v>
      </c>
      <c r="B85" t="s">
        <v>220</v>
      </c>
      <c r="C85" s="55" t="e">
        <f ca="1">_xll.EQNXTDZ($A$1,$B85,C$1,$B$1)</f>
        <v>#NAME?</v>
      </c>
      <c r="D85" s="55" t="e">
        <f ca="1">_xll.EQNXTDZ($A$1,$B85,D$1,$B$1)</f>
        <v>#NAME?</v>
      </c>
      <c r="E85" s="55" t="e">
        <f ca="1">_xll.EQNXTDZ($A$1,$B85,E$1,$B$1)</f>
        <v>#NAME?</v>
      </c>
      <c r="F85" s="55" t="e">
        <f ca="1">_xll.EQNXTDZ($A$1,$B85,F$1,$B$1)</f>
        <v>#NAME?</v>
      </c>
      <c r="G85" s="55" t="e">
        <f ca="1">_xll.EQNXTDZ($A$1,$B85,G$1,$B$1)</f>
        <v>#NAME?</v>
      </c>
      <c r="H85" s="55" t="e">
        <f ca="1">_xll.EQNXTDZ($A$1,$B85,H$1,$B$1)</f>
        <v>#NAME?</v>
      </c>
      <c r="I85" s="55" t="e">
        <f ca="1">_xll.EQNXTDZ($A$1,$B85,I$1,$B$1)</f>
        <v>#NAME?</v>
      </c>
      <c r="J85" s="55" t="e">
        <f ca="1">_xll.EQNXTDZ($A$1,$B85,J$1,$B$1)</f>
        <v>#NAME?</v>
      </c>
      <c r="K85" s="55" t="e">
        <f ca="1">_xll.EQNXTDZ($A$1,$B85,K$1,$B$1)</f>
        <v>#NAME?</v>
      </c>
      <c r="L85" s="55" t="e">
        <f ca="1">_xll.EQNXTDZ($A$1,$B85,L$1,$B$1)</f>
        <v>#NAME?</v>
      </c>
      <c r="M85" s="55" t="e">
        <f ca="1">_xll.EQNXTDZ($A$1,$B85,M$1,$B$1)</f>
        <v>#NAME?</v>
      </c>
      <c r="N85" s="55" t="e">
        <f ca="1">_xll.EQNXTDZ($A$1,$B85,N$1,$B$1)</f>
        <v>#NAME?</v>
      </c>
      <c r="O85" s="55" t="e">
        <f ca="1">_xll.EQNXTDZ($A$1,$B85,O$1,$B$1)</f>
        <v>#NAME?</v>
      </c>
      <c r="P85" s="55" t="e">
        <f ca="1">_xll.EQNXTDZ($A$1,$B85,P$1,$B$1)</f>
        <v>#NAME?</v>
      </c>
      <c r="Q85" s="55" t="e">
        <f ca="1">_xll.EQNXTDZ($A$1,$B85,Q$1,$B$1)</f>
        <v>#NAME?</v>
      </c>
      <c r="R85" s="55" t="e">
        <f ca="1">_xll.EQNXTDZ($A$1,$B85,R$1,$B$1)</f>
        <v>#NAME?</v>
      </c>
      <c r="S85" s="55" t="e">
        <f ca="1">_xll.EQNXTDZ($A$1,$B85,S$1,$B$1)</f>
        <v>#NAME?</v>
      </c>
      <c r="T85" s="55" t="e">
        <f ca="1">_xll.EQNXTDZ($A$1,$B85,T$1,$B$1)</f>
        <v>#NAME?</v>
      </c>
      <c r="U85" s="55" t="e">
        <f ca="1">_xll.EQNXTDZ($A$1,$B85,U$1,$B$1)</f>
        <v>#NAME?</v>
      </c>
      <c r="V85" s="55" t="e">
        <f ca="1">_xll.EQNXTDZ($A$1,$B85,V$1,$B$1)</f>
        <v>#NAME?</v>
      </c>
      <c r="W85" s="55" t="e">
        <f ca="1">_xll.EQNXTDZ($A$1,$B85,W$1,$B$1)</f>
        <v>#NAME?</v>
      </c>
      <c r="X85" s="55" t="e">
        <f ca="1">_xll.EQNXTDZ($A$1,$B85,X$1,$B$1)</f>
        <v>#NAME?</v>
      </c>
      <c r="Y85" s="55" t="e">
        <f ca="1">_xll.EQNXTDZ($A$1,$B85,Y$1,$B$1)</f>
        <v>#NAME?</v>
      </c>
      <c r="Z85" s="55" t="e">
        <f ca="1">_xll.EQNXTDZ($A$1,$B85,Z$1,$B$1)</f>
        <v>#NAME?</v>
      </c>
      <c r="AA85" s="55" t="e">
        <f ca="1">_xll.EQNXTDZ($A$1,$B85,AA$1,$B$1)</f>
        <v>#NAME?</v>
      </c>
      <c r="AB85" s="55" t="e">
        <f ca="1">_xll.EQNXTDZ($A$1,$B85,AB$1,$B$1)</f>
        <v>#NAME?</v>
      </c>
      <c r="AC85" s="55" t="e">
        <f ca="1">_xll.EQNXTDZ($A$1,$B85,AC$1,$B$1)</f>
        <v>#NAME?</v>
      </c>
      <c r="AD85" s="55" t="e">
        <f ca="1">_xll.EQNXTDZ($A$1,$B85,AD$1,$B$1)</f>
        <v>#NAME?</v>
      </c>
      <c r="AE85" s="55" t="e">
        <f ca="1">_xll.EQNXTDZ($A$1,$B85,AE$1,$B$1)</f>
        <v>#NAME?</v>
      </c>
      <c r="AF85" s="55" t="e">
        <f ca="1">_xll.EQNXTDZ($A$1,$B85,AF$1,$B$1)</f>
        <v>#NAME?</v>
      </c>
    </row>
    <row r="86" spans="1:32" x14ac:dyDescent="0.25">
      <c r="A86" t="s">
        <v>239</v>
      </c>
      <c r="B86" t="s">
        <v>221</v>
      </c>
      <c r="C86" s="55" t="e">
        <f ca="1">_xll.EQNXTDZ($A$1,$B86,C$1,$B$1)</f>
        <v>#NAME?</v>
      </c>
      <c r="D86" s="55" t="e">
        <f ca="1">_xll.EQNXTDZ($A$1,$B86,D$1,$B$1)</f>
        <v>#NAME?</v>
      </c>
      <c r="E86" s="55" t="e">
        <f ca="1">_xll.EQNXTDZ($A$1,$B86,E$1,$B$1)</f>
        <v>#NAME?</v>
      </c>
      <c r="F86" s="55" t="e">
        <f ca="1">_xll.EQNXTDZ($A$1,$B86,F$1,$B$1)</f>
        <v>#NAME?</v>
      </c>
      <c r="G86" s="55" t="e">
        <f ca="1">_xll.EQNXTDZ($A$1,$B86,G$1,$B$1)</f>
        <v>#NAME?</v>
      </c>
      <c r="H86" s="55" t="e">
        <f ca="1">_xll.EQNXTDZ($A$1,$B86,H$1,$B$1)</f>
        <v>#NAME?</v>
      </c>
      <c r="I86" s="55" t="e">
        <f ca="1">_xll.EQNXTDZ($A$1,$B86,I$1,$B$1)</f>
        <v>#NAME?</v>
      </c>
      <c r="J86" s="55" t="e">
        <f ca="1">_xll.EQNXTDZ($A$1,$B86,J$1,$B$1)</f>
        <v>#NAME?</v>
      </c>
      <c r="K86" s="55" t="e">
        <f ca="1">_xll.EQNXTDZ($A$1,$B86,K$1,$B$1)</f>
        <v>#NAME?</v>
      </c>
      <c r="L86" s="55" t="e">
        <f ca="1">_xll.EQNXTDZ($A$1,$B86,L$1,$B$1)</f>
        <v>#NAME?</v>
      </c>
      <c r="M86" s="55" t="e">
        <f ca="1">_xll.EQNXTDZ($A$1,$B86,M$1,$B$1)</f>
        <v>#NAME?</v>
      </c>
      <c r="N86" s="55" t="e">
        <f ca="1">_xll.EQNXTDZ($A$1,$B86,N$1,$B$1)</f>
        <v>#NAME?</v>
      </c>
      <c r="O86" s="55" t="e">
        <f ca="1">_xll.EQNXTDZ($A$1,$B86,O$1,$B$1)</f>
        <v>#NAME?</v>
      </c>
      <c r="P86" s="55" t="e">
        <f ca="1">_xll.EQNXTDZ($A$1,$B86,P$1,$B$1)</f>
        <v>#NAME?</v>
      </c>
      <c r="Q86" s="55" t="e">
        <f ca="1">_xll.EQNXTDZ($A$1,$B86,Q$1,$B$1)</f>
        <v>#NAME?</v>
      </c>
      <c r="R86" s="55" t="e">
        <f ca="1">_xll.EQNXTDZ($A$1,$B86,R$1,$B$1)</f>
        <v>#NAME?</v>
      </c>
      <c r="S86" s="55" t="e">
        <f ca="1">_xll.EQNXTDZ($A$1,$B86,S$1,$B$1)</f>
        <v>#NAME?</v>
      </c>
      <c r="T86" s="55" t="e">
        <f ca="1">_xll.EQNXTDZ($A$1,$B86,T$1,$B$1)</f>
        <v>#NAME?</v>
      </c>
      <c r="U86" s="55" t="e">
        <f ca="1">_xll.EQNXTDZ($A$1,$B86,U$1,$B$1)</f>
        <v>#NAME?</v>
      </c>
      <c r="V86" s="55" t="e">
        <f ca="1">_xll.EQNXTDZ($A$1,$B86,V$1,$B$1)</f>
        <v>#NAME?</v>
      </c>
      <c r="W86" s="55" t="e">
        <f ca="1">_xll.EQNXTDZ($A$1,$B86,W$1,$B$1)</f>
        <v>#NAME?</v>
      </c>
      <c r="X86" s="55" t="e">
        <f ca="1">_xll.EQNXTDZ($A$1,$B86,X$1,$B$1)</f>
        <v>#NAME?</v>
      </c>
      <c r="Y86" s="55" t="e">
        <f ca="1">_xll.EQNXTDZ($A$1,$B86,Y$1,$B$1)</f>
        <v>#NAME?</v>
      </c>
      <c r="Z86" s="55" t="e">
        <f ca="1">_xll.EQNXTDZ($A$1,$B86,Z$1,$B$1)</f>
        <v>#NAME?</v>
      </c>
      <c r="AA86" s="55" t="e">
        <f ca="1">_xll.EQNXTDZ($A$1,$B86,AA$1,$B$1)</f>
        <v>#NAME?</v>
      </c>
      <c r="AB86" s="55" t="e">
        <f ca="1">_xll.EQNXTDZ($A$1,$B86,AB$1,$B$1)</f>
        <v>#NAME?</v>
      </c>
      <c r="AC86" s="55" t="e">
        <f ca="1">_xll.EQNXTDZ($A$1,$B86,AC$1,$B$1)</f>
        <v>#NAME?</v>
      </c>
      <c r="AD86" s="55" t="e">
        <f ca="1">_xll.EQNXTDZ($A$1,$B86,AD$1,$B$1)</f>
        <v>#NAME?</v>
      </c>
      <c r="AE86" s="55" t="e">
        <f ca="1">_xll.EQNXTDZ($A$1,$B86,AE$1,$B$1)</f>
        <v>#NAME?</v>
      </c>
      <c r="AF86" s="55" t="e">
        <f ca="1">_xll.EQNXTDZ($A$1,$B86,AF$1,$B$1)</f>
        <v>#NAME?</v>
      </c>
    </row>
    <row r="87" spans="1:32" x14ac:dyDescent="0.25">
      <c r="A87" t="s">
        <v>227</v>
      </c>
      <c r="B87" t="s">
        <v>231</v>
      </c>
      <c r="C87" s="55" t="e">
        <f ca="1">_xll.EQNXTDZ($A$1,$B87,C$1,$B$1)</f>
        <v>#NAME?</v>
      </c>
      <c r="D87" s="55" t="e">
        <f ca="1">_xll.EQNXTDZ($A$1,$B87,D$1,$B$1)</f>
        <v>#NAME?</v>
      </c>
      <c r="E87" s="55" t="e">
        <f ca="1">_xll.EQNXTDZ($A$1,$B87,E$1,$B$1)</f>
        <v>#NAME?</v>
      </c>
      <c r="F87" s="55" t="e">
        <f ca="1">_xll.EQNXTDZ($A$1,$B87,F$1,$B$1)</f>
        <v>#NAME?</v>
      </c>
      <c r="G87" s="55" t="e">
        <f ca="1">_xll.EQNXTDZ($A$1,$B87,G$1,$B$1)</f>
        <v>#NAME?</v>
      </c>
      <c r="H87" s="55" t="e">
        <f ca="1">_xll.EQNXTDZ($A$1,$B87,H$1,$B$1)</f>
        <v>#NAME?</v>
      </c>
      <c r="I87" s="55" t="e">
        <f ca="1">_xll.EQNXTDZ($A$1,$B87,I$1,$B$1)</f>
        <v>#NAME?</v>
      </c>
      <c r="J87" s="55" t="e">
        <f ca="1">_xll.EQNXTDZ($A$1,$B87,J$1,$B$1)</f>
        <v>#NAME?</v>
      </c>
      <c r="K87" s="55" t="e">
        <f ca="1">_xll.EQNXTDZ($A$1,$B87,K$1,$B$1)</f>
        <v>#NAME?</v>
      </c>
      <c r="L87" s="55" t="e">
        <f ca="1">_xll.EQNXTDZ($A$1,$B87,L$1,$B$1)</f>
        <v>#NAME?</v>
      </c>
      <c r="M87" s="55" t="e">
        <f ca="1">_xll.EQNXTDZ($A$1,$B87,M$1,$B$1)</f>
        <v>#NAME?</v>
      </c>
      <c r="N87" s="55" t="e">
        <f ca="1">_xll.EQNXTDZ($A$1,$B87,N$1,$B$1)</f>
        <v>#NAME?</v>
      </c>
      <c r="O87" s="55" t="e">
        <f ca="1">_xll.EQNXTDZ($A$1,$B87,O$1,$B$1)</f>
        <v>#NAME?</v>
      </c>
      <c r="P87" s="55" t="e">
        <f ca="1">_xll.EQNXTDZ($A$1,$B87,P$1,$B$1)</f>
        <v>#NAME?</v>
      </c>
      <c r="Q87" s="55" t="e">
        <f ca="1">_xll.EQNXTDZ($A$1,$B87,Q$1,$B$1)</f>
        <v>#NAME?</v>
      </c>
      <c r="R87" s="55" t="e">
        <f ca="1">_xll.EQNXTDZ($A$1,$B87,R$1,$B$1)</f>
        <v>#NAME?</v>
      </c>
      <c r="S87" s="55" t="e">
        <f ca="1">_xll.EQNXTDZ($A$1,$B87,S$1,$B$1)</f>
        <v>#NAME?</v>
      </c>
      <c r="T87" s="55" t="e">
        <f ca="1">_xll.EQNXTDZ($A$1,$B87,T$1,$B$1)</f>
        <v>#NAME?</v>
      </c>
      <c r="U87" s="55" t="e">
        <f ca="1">_xll.EQNXTDZ($A$1,$B87,U$1,$B$1)</f>
        <v>#NAME?</v>
      </c>
      <c r="V87" s="55" t="e">
        <f ca="1">_xll.EQNXTDZ($A$1,$B87,V$1,$B$1)</f>
        <v>#NAME?</v>
      </c>
      <c r="W87" s="55" t="e">
        <f ca="1">_xll.EQNXTDZ($A$1,$B87,W$1,$B$1)</f>
        <v>#NAME?</v>
      </c>
      <c r="X87" s="55" t="e">
        <f ca="1">_xll.EQNXTDZ($A$1,$B87,X$1,$B$1)</f>
        <v>#NAME?</v>
      </c>
      <c r="Y87" s="55" t="e">
        <f ca="1">_xll.EQNXTDZ($A$1,$B87,Y$1,$B$1)</f>
        <v>#NAME?</v>
      </c>
      <c r="Z87" s="55" t="e">
        <f ca="1">_xll.EQNXTDZ($A$1,$B87,Z$1,$B$1)</f>
        <v>#NAME?</v>
      </c>
      <c r="AA87" s="55" t="e">
        <f ca="1">_xll.EQNXTDZ($A$1,$B87,AA$1,$B$1)</f>
        <v>#NAME?</v>
      </c>
      <c r="AB87" s="55" t="e">
        <f ca="1">_xll.EQNXTDZ($A$1,$B87,AB$1,$B$1)</f>
        <v>#NAME?</v>
      </c>
      <c r="AC87" s="55" t="e">
        <f ca="1">_xll.EQNXTDZ($A$1,$B87,AC$1,$B$1)</f>
        <v>#NAME?</v>
      </c>
      <c r="AD87" s="55" t="e">
        <f ca="1">_xll.EQNXTDZ($A$1,$B87,AD$1,$B$1)</f>
        <v>#NAME?</v>
      </c>
      <c r="AE87" s="55" t="e">
        <f ca="1">_xll.EQNXTDZ($A$1,$B87,AE$1,$B$1)</f>
        <v>#NAME?</v>
      </c>
      <c r="AF87" s="55" t="e">
        <f ca="1">_xll.EQNXTDZ($A$1,$B87,AF$1,$B$1)</f>
        <v>#NAME?</v>
      </c>
    </row>
    <row r="88" spans="1:32" x14ac:dyDescent="0.25">
      <c r="A88" t="s">
        <v>228</v>
      </c>
      <c r="B88" t="s">
        <v>232</v>
      </c>
      <c r="C88" s="55" t="e">
        <f ca="1">_xll.EQNXTDZ($A$1,$B88,C$1,$B$1)</f>
        <v>#NAME?</v>
      </c>
      <c r="D88" s="55" t="e">
        <f ca="1">_xll.EQNXTDZ($A$1,$B88,D$1,$B$1)</f>
        <v>#NAME?</v>
      </c>
      <c r="E88" s="55" t="e">
        <f ca="1">_xll.EQNXTDZ($A$1,$B88,E$1,$B$1)</f>
        <v>#NAME?</v>
      </c>
      <c r="F88" s="55" t="e">
        <f ca="1">_xll.EQNXTDZ($A$1,$B88,F$1,$B$1)</f>
        <v>#NAME?</v>
      </c>
      <c r="G88" s="55" t="e">
        <f ca="1">_xll.EQNXTDZ($A$1,$B88,G$1,$B$1)</f>
        <v>#NAME?</v>
      </c>
      <c r="H88" s="55" t="e">
        <f ca="1">_xll.EQNXTDZ($A$1,$B88,H$1,$B$1)</f>
        <v>#NAME?</v>
      </c>
      <c r="I88" s="55" t="e">
        <f ca="1">_xll.EQNXTDZ($A$1,$B88,I$1,$B$1)</f>
        <v>#NAME?</v>
      </c>
      <c r="J88" s="55" t="e">
        <f ca="1">_xll.EQNXTDZ($A$1,$B88,J$1,$B$1)</f>
        <v>#NAME?</v>
      </c>
      <c r="K88" s="55" t="e">
        <f ca="1">_xll.EQNXTDZ($A$1,$B88,K$1,$B$1)</f>
        <v>#NAME?</v>
      </c>
      <c r="L88" s="55" t="e">
        <f ca="1">_xll.EQNXTDZ($A$1,$B88,L$1,$B$1)</f>
        <v>#NAME?</v>
      </c>
      <c r="M88" s="55" t="e">
        <f ca="1">_xll.EQNXTDZ($A$1,$B88,M$1,$B$1)</f>
        <v>#NAME?</v>
      </c>
      <c r="N88" s="55" t="e">
        <f ca="1">_xll.EQNXTDZ($A$1,$B88,N$1,$B$1)</f>
        <v>#NAME?</v>
      </c>
      <c r="O88" s="55" t="e">
        <f ca="1">_xll.EQNXTDZ($A$1,$B88,O$1,$B$1)</f>
        <v>#NAME?</v>
      </c>
      <c r="P88" s="55" t="e">
        <f ca="1">_xll.EQNXTDZ($A$1,$B88,P$1,$B$1)</f>
        <v>#NAME?</v>
      </c>
      <c r="Q88" s="55" t="e">
        <f ca="1">_xll.EQNXTDZ($A$1,$B88,Q$1,$B$1)</f>
        <v>#NAME?</v>
      </c>
      <c r="R88" s="55" t="e">
        <f ca="1">_xll.EQNXTDZ($A$1,$B88,R$1,$B$1)</f>
        <v>#NAME?</v>
      </c>
      <c r="S88" s="55" t="e">
        <f ca="1">_xll.EQNXTDZ($A$1,$B88,S$1,$B$1)</f>
        <v>#NAME?</v>
      </c>
      <c r="T88" s="55" t="e">
        <f ca="1">_xll.EQNXTDZ($A$1,$B88,T$1,$B$1)</f>
        <v>#NAME?</v>
      </c>
      <c r="U88" s="55" t="e">
        <f ca="1">_xll.EQNXTDZ($A$1,$B88,U$1,$B$1)</f>
        <v>#NAME?</v>
      </c>
      <c r="V88" s="55" t="e">
        <f ca="1">_xll.EQNXTDZ($A$1,$B88,V$1,$B$1)</f>
        <v>#NAME?</v>
      </c>
      <c r="W88" s="55" t="e">
        <f ca="1">_xll.EQNXTDZ($A$1,$B88,W$1,$B$1)</f>
        <v>#NAME?</v>
      </c>
      <c r="X88" s="55" t="e">
        <f ca="1">_xll.EQNXTDZ($A$1,$B88,X$1,$B$1)</f>
        <v>#NAME?</v>
      </c>
      <c r="Y88" s="55" t="e">
        <f ca="1">_xll.EQNXTDZ($A$1,$B88,Y$1,$B$1)</f>
        <v>#NAME?</v>
      </c>
      <c r="Z88" s="55" t="e">
        <f ca="1">_xll.EQNXTDZ($A$1,$B88,Z$1,$B$1)</f>
        <v>#NAME?</v>
      </c>
      <c r="AA88" s="55" t="e">
        <f ca="1">_xll.EQNXTDZ($A$1,$B88,AA$1,$B$1)</f>
        <v>#NAME?</v>
      </c>
      <c r="AB88" s="55" t="e">
        <f ca="1">_xll.EQNXTDZ($A$1,$B88,AB$1,$B$1)</f>
        <v>#NAME?</v>
      </c>
      <c r="AC88" s="55" t="e">
        <f ca="1">_xll.EQNXTDZ($A$1,$B88,AC$1,$B$1)</f>
        <v>#NAME?</v>
      </c>
      <c r="AD88" s="55" t="e">
        <f ca="1">_xll.EQNXTDZ($A$1,$B88,AD$1,$B$1)</f>
        <v>#NAME?</v>
      </c>
      <c r="AE88" s="55" t="e">
        <f ca="1">_xll.EQNXTDZ($A$1,$B88,AE$1,$B$1)</f>
        <v>#NAME?</v>
      </c>
      <c r="AF88" s="55" t="e">
        <f ca="1">_xll.EQNXTDZ($A$1,$B88,AF$1,$B$1)</f>
        <v>#NAME?</v>
      </c>
    </row>
    <row r="89" spans="1:32" x14ac:dyDescent="0.25">
      <c r="A89" t="s">
        <v>229</v>
      </c>
      <c r="B89" t="s">
        <v>233</v>
      </c>
      <c r="C89" s="55" t="e">
        <f ca="1">_xll.EQNXTDZ($A$1,$B89,C$1,$B$1)</f>
        <v>#NAME?</v>
      </c>
      <c r="D89" s="55" t="e">
        <f ca="1">_xll.EQNXTDZ($A$1,$B89,D$1,$B$1)</f>
        <v>#NAME?</v>
      </c>
      <c r="E89" s="55" t="e">
        <f ca="1">_xll.EQNXTDZ($A$1,$B89,E$1,$B$1)</f>
        <v>#NAME?</v>
      </c>
      <c r="F89" s="55" t="e">
        <f ca="1">_xll.EQNXTDZ($A$1,$B89,F$1,$B$1)</f>
        <v>#NAME?</v>
      </c>
      <c r="G89" s="55" t="e">
        <f ca="1">_xll.EQNXTDZ($A$1,$B89,G$1,$B$1)</f>
        <v>#NAME?</v>
      </c>
      <c r="H89" s="55" t="e">
        <f ca="1">_xll.EQNXTDZ($A$1,$B89,H$1,$B$1)</f>
        <v>#NAME?</v>
      </c>
      <c r="I89" s="55" t="e">
        <f ca="1">_xll.EQNXTDZ($A$1,$B89,I$1,$B$1)</f>
        <v>#NAME?</v>
      </c>
      <c r="J89" s="55" t="e">
        <f ca="1">_xll.EQNXTDZ($A$1,$B89,J$1,$B$1)</f>
        <v>#NAME?</v>
      </c>
      <c r="K89" s="55" t="e">
        <f ca="1">_xll.EQNXTDZ($A$1,$B89,K$1,$B$1)</f>
        <v>#NAME?</v>
      </c>
      <c r="L89" s="55" t="e">
        <f ca="1">_xll.EQNXTDZ($A$1,$B89,L$1,$B$1)</f>
        <v>#NAME?</v>
      </c>
      <c r="M89" s="55" t="e">
        <f ca="1">_xll.EQNXTDZ($A$1,$B89,M$1,$B$1)</f>
        <v>#NAME?</v>
      </c>
      <c r="N89" s="55" t="e">
        <f ca="1">_xll.EQNXTDZ($A$1,$B89,N$1,$B$1)</f>
        <v>#NAME?</v>
      </c>
      <c r="O89" s="55" t="e">
        <f ca="1">_xll.EQNXTDZ($A$1,$B89,O$1,$B$1)</f>
        <v>#NAME?</v>
      </c>
      <c r="P89" s="55" t="e">
        <f ca="1">_xll.EQNXTDZ($A$1,$B89,P$1,$B$1)</f>
        <v>#NAME?</v>
      </c>
      <c r="Q89" s="55" t="e">
        <f ca="1">_xll.EQNXTDZ($A$1,$B89,Q$1,$B$1)</f>
        <v>#NAME?</v>
      </c>
      <c r="R89" s="55" t="e">
        <f ca="1">_xll.EQNXTDZ($A$1,$B89,R$1,$B$1)</f>
        <v>#NAME?</v>
      </c>
      <c r="S89" s="55" t="e">
        <f ca="1">_xll.EQNXTDZ($A$1,$B89,S$1,$B$1)</f>
        <v>#NAME?</v>
      </c>
      <c r="T89" s="55" t="e">
        <f ca="1">_xll.EQNXTDZ($A$1,$B89,T$1,$B$1)</f>
        <v>#NAME?</v>
      </c>
      <c r="U89" s="55" t="e">
        <f ca="1">_xll.EQNXTDZ($A$1,$B89,U$1,$B$1)</f>
        <v>#NAME?</v>
      </c>
      <c r="V89" s="55" t="e">
        <f ca="1">_xll.EQNXTDZ($A$1,$B89,V$1,$B$1)</f>
        <v>#NAME?</v>
      </c>
      <c r="W89" s="55" t="e">
        <f ca="1">_xll.EQNXTDZ($A$1,$B89,W$1,$B$1)</f>
        <v>#NAME?</v>
      </c>
      <c r="X89" s="55" t="e">
        <f ca="1">_xll.EQNXTDZ($A$1,$B89,X$1,$B$1)</f>
        <v>#NAME?</v>
      </c>
      <c r="Y89" s="55" t="e">
        <f ca="1">_xll.EQNXTDZ($A$1,$B89,Y$1,$B$1)</f>
        <v>#NAME?</v>
      </c>
      <c r="Z89" s="55" t="e">
        <f ca="1">_xll.EQNXTDZ($A$1,$B89,Z$1,$B$1)</f>
        <v>#NAME?</v>
      </c>
      <c r="AA89" s="55" t="e">
        <f ca="1">_xll.EQNXTDZ($A$1,$B89,AA$1,$B$1)</f>
        <v>#NAME?</v>
      </c>
      <c r="AB89" s="55" t="e">
        <f ca="1">_xll.EQNXTDZ($A$1,$B89,AB$1,$B$1)</f>
        <v>#NAME?</v>
      </c>
      <c r="AC89" s="55" t="e">
        <f ca="1">_xll.EQNXTDZ($A$1,$B89,AC$1,$B$1)</f>
        <v>#NAME?</v>
      </c>
      <c r="AD89" s="55" t="e">
        <f ca="1">_xll.EQNXTDZ($A$1,$B89,AD$1,$B$1)</f>
        <v>#NAME?</v>
      </c>
      <c r="AE89" s="55" t="e">
        <f ca="1">_xll.EQNXTDZ($A$1,$B89,AE$1,$B$1)</f>
        <v>#NAME?</v>
      </c>
      <c r="AF89" s="55" t="e">
        <f ca="1">_xll.EQNXTDZ($A$1,$B89,AF$1,$B$1)</f>
        <v>#NAME?</v>
      </c>
    </row>
    <row r="90" spans="1:32" x14ac:dyDescent="0.25">
      <c r="A90" t="s">
        <v>230</v>
      </c>
      <c r="B90" t="s">
        <v>234</v>
      </c>
      <c r="C90" s="55" t="e">
        <f ca="1">_xll.EQNXTDZ($A$1,$B90,C$1,$B$1)</f>
        <v>#NAME?</v>
      </c>
      <c r="D90" s="55" t="e">
        <f ca="1">_xll.EQNXTDZ($A$1,$B90,D$1,$B$1)</f>
        <v>#NAME?</v>
      </c>
      <c r="E90" s="55" t="e">
        <f ca="1">_xll.EQNXTDZ($A$1,$B90,E$1,$B$1)</f>
        <v>#NAME?</v>
      </c>
      <c r="F90" s="55" t="e">
        <f ca="1">_xll.EQNXTDZ($A$1,$B90,F$1,$B$1)</f>
        <v>#NAME?</v>
      </c>
      <c r="G90" s="55" t="e">
        <f ca="1">_xll.EQNXTDZ($A$1,$B90,G$1,$B$1)</f>
        <v>#NAME?</v>
      </c>
      <c r="H90" s="55" t="e">
        <f ca="1">_xll.EQNXTDZ($A$1,$B90,H$1,$B$1)</f>
        <v>#NAME?</v>
      </c>
      <c r="I90" s="55" t="e">
        <f ca="1">_xll.EQNXTDZ($A$1,$B90,I$1,$B$1)</f>
        <v>#NAME?</v>
      </c>
      <c r="J90" s="55" t="e">
        <f ca="1">_xll.EQNXTDZ($A$1,$B90,J$1,$B$1)</f>
        <v>#NAME?</v>
      </c>
      <c r="K90" s="55" t="e">
        <f ca="1">_xll.EQNXTDZ($A$1,$B90,K$1,$B$1)</f>
        <v>#NAME?</v>
      </c>
      <c r="L90" s="55" t="e">
        <f ca="1">_xll.EQNXTDZ($A$1,$B90,L$1,$B$1)</f>
        <v>#NAME?</v>
      </c>
      <c r="M90" s="55" t="e">
        <f ca="1">_xll.EQNXTDZ($A$1,$B90,M$1,$B$1)</f>
        <v>#NAME?</v>
      </c>
      <c r="N90" s="55" t="e">
        <f ca="1">_xll.EQNXTDZ($A$1,$B90,N$1,$B$1)</f>
        <v>#NAME?</v>
      </c>
      <c r="O90" s="55" t="e">
        <f ca="1">_xll.EQNXTDZ($A$1,$B90,O$1,$B$1)</f>
        <v>#NAME?</v>
      </c>
      <c r="P90" s="55" t="e">
        <f ca="1">_xll.EQNXTDZ($A$1,$B90,P$1,$B$1)</f>
        <v>#NAME?</v>
      </c>
      <c r="Q90" s="55" t="e">
        <f ca="1">_xll.EQNXTDZ($A$1,$B90,Q$1,$B$1)</f>
        <v>#NAME?</v>
      </c>
      <c r="R90" s="55" t="e">
        <f ca="1">_xll.EQNXTDZ($A$1,$B90,R$1,$B$1)</f>
        <v>#NAME?</v>
      </c>
      <c r="S90" s="55" t="e">
        <f ca="1">_xll.EQNXTDZ($A$1,$B90,S$1,$B$1)</f>
        <v>#NAME?</v>
      </c>
      <c r="T90" s="55" t="e">
        <f ca="1">_xll.EQNXTDZ($A$1,$B90,T$1,$B$1)</f>
        <v>#NAME?</v>
      </c>
      <c r="U90" s="55" t="e">
        <f ca="1">_xll.EQNXTDZ($A$1,$B90,U$1,$B$1)</f>
        <v>#NAME?</v>
      </c>
      <c r="V90" s="55" t="e">
        <f ca="1">_xll.EQNXTDZ($A$1,$B90,V$1,$B$1)</f>
        <v>#NAME?</v>
      </c>
      <c r="W90" s="55" t="e">
        <f ca="1">_xll.EQNXTDZ($A$1,$B90,W$1,$B$1)</f>
        <v>#NAME?</v>
      </c>
      <c r="X90" s="55" t="e">
        <f ca="1">_xll.EQNXTDZ($A$1,$B90,X$1,$B$1)</f>
        <v>#NAME?</v>
      </c>
      <c r="Y90" s="55" t="e">
        <f ca="1">_xll.EQNXTDZ($A$1,$B90,Y$1,$B$1)</f>
        <v>#NAME?</v>
      </c>
      <c r="Z90" s="55" t="e">
        <f ca="1">_xll.EQNXTDZ($A$1,$B90,Z$1,$B$1)</f>
        <v>#NAME?</v>
      </c>
      <c r="AA90" s="55" t="e">
        <f ca="1">_xll.EQNXTDZ($A$1,$B90,AA$1,$B$1)</f>
        <v>#NAME?</v>
      </c>
      <c r="AB90" s="55" t="e">
        <f ca="1">_xll.EQNXTDZ($A$1,$B90,AB$1,$B$1)</f>
        <v>#NAME?</v>
      </c>
      <c r="AC90" s="55" t="e">
        <f ca="1">_xll.EQNXTDZ($A$1,$B90,AC$1,$B$1)</f>
        <v>#NAME?</v>
      </c>
      <c r="AD90" s="55" t="e">
        <f ca="1">_xll.EQNXTDZ($A$1,$B90,AD$1,$B$1)</f>
        <v>#NAME?</v>
      </c>
      <c r="AE90" s="55" t="e">
        <f ca="1">_xll.EQNXTDZ($A$1,$B90,AE$1,$B$1)</f>
        <v>#NAME?</v>
      </c>
      <c r="AF90" s="55" t="e">
        <f ca="1">_xll.EQNXTDZ($A$1,$B90,AF$1,$B$1)</f>
        <v>#NAME?</v>
      </c>
    </row>
    <row r="91" spans="1:32" x14ac:dyDescent="0.25">
      <c r="A91" t="s">
        <v>238</v>
      </c>
      <c r="B91" t="s">
        <v>235</v>
      </c>
      <c r="C91" s="55" t="e">
        <f ca="1">_xll.EQNXTDZ($A$1,$B91,C$1,$B$1)</f>
        <v>#NAME?</v>
      </c>
      <c r="D91" s="55" t="e">
        <f ca="1">_xll.EQNXTDZ($A$1,$B91,D$1,$B$1)</f>
        <v>#NAME?</v>
      </c>
      <c r="E91" s="55" t="e">
        <f ca="1">_xll.EQNXTDZ($A$1,$B91,E$1,$B$1)</f>
        <v>#NAME?</v>
      </c>
      <c r="F91" s="55" t="e">
        <f ca="1">_xll.EQNXTDZ($A$1,$B91,F$1,$B$1)</f>
        <v>#NAME?</v>
      </c>
      <c r="G91" s="55" t="e">
        <f ca="1">_xll.EQNXTDZ($A$1,$B91,G$1,$B$1)</f>
        <v>#NAME?</v>
      </c>
      <c r="H91" s="55" t="e">
        <f ca="1">_xll.EQNXTDZ($A$1,$B91,H$1,$B$1)</f>
        <v>#NAME?</v>
      </c>
      <c r="I91" s="55" t="e">
        <f ca="1">_xll.EQNXTDZ($A$1,$B91,I$1,$B$1)</f>
        <v>#NAME?</v>
      </c>
      <c r="J91" s="55" t="e">
        <f ca="1">_xll.EQNXTDZ($A$1,$B91,J$1,$B$1)</f>
        <v>#NAME?</v>
      </c>
      <c r="K91" s="55" t="e">
        <f ca="1">_xll.EQNXTDZ($A$1,$B91,K$1,$B$1)</f>
        <v>#NAME?</v>
      </c>
      <c r="L91" s="55" t="e">
        <f ca="1">_xll.EQNXTDZ($A$1,$B91,L$1,$B$1)</f>
        <v>#NAME?</v>
      </c>
      <c r="M91" s="55" t="e">
        <f ca="1">_xll.EQNXTDZ($A$1,$B91,M$1,$B$1)</f>
        <v>#NAME?</v>
      </c>
      <c r="N91" s="55" t="e">
        <f ca="1">_xll.EQNXTDZ($A$1,$B91,N$1,$B$1)</f>
        <v>#NAME?</v>
      </c>
      <c r="O91" s="55" t="e">
        <f ca="1">_xll.EQNXTDZ($A$1,$B91,O$1,$B$1)</f>
        <v>#NAME?</v>
      </c>
      <c r="P91" s="55" t="e">
        <f ca="1">_xll.EQNXTDZ($A$1,$B91,P$1,$B$1)</f>
        <v>#NAME?</v>
      </c>
      <c r="Q91" s="55" t="e">
        <f ca="1">_xll.EQNXTDZ($A$1,$B91,Q$1,$B$1)</f>
        <v>#NAME?</v>
      </c>
      <c r="R91" s="55" t="e">
        <f ca="1">_xll.EQNXTDZ($A$1,$B91,R$1,$B$1)</f>
        <v>#NAME?</v>
      </c>
      <c r="S91" s="55" t="e">
        <f ca="1">_xll.EQNXTDZ($A$1,$B91,S$1,$B$1)</f>
        <v>#NAME?</v>
      </c>
      <c r="T91" s="55" t="e">
        <f ca="1">_xll.EQNXTDZ($A$1,$B91,T$1,$B$1)</f>
        <v>#NAME?</v>
      </c>
      <c r="U91" s="55" t="e">
        <f ca="1">_xll.EQNXTDZ($A$1,$B91,U$1,$B$1)</f>
        <v>#NAME?</v>
      </c>
      <c r="V91" s="55" t="e">
        <f ca="1">_xll.EQNXTDZ($A$1,$B91,V$1,$B$1)</f>
        <v>#NAME?</v>
      </c>
      <c r="W91" s="55" t="e">
        <f ca="1">_xll.EQNXTDZ($A$1,$B91,W$1,$B$1)</f>
        <v>#NAME?</v>
      </c>
      <c r="X91" s="55" t="e">
        <f ca="1">_xll.EQNXTDZ($A$1,$B91,X$1,$B$1)</f>
        <v>#NAME?</v>
      </c>
      <c r="Y91" s="55" t="e">
        <f ca="1">_xll.EQNXTDZ($A$1,$B91,Y$1,$B$1)</f>
        <v>#NAME?</v>
      </c>
      <c r="Z91" s="55" t="e">
        <f ca="1">_xll.EQNXTDZ($A$1,$B91,Z$1,$B$1)</f>
        <v>#NAME?</v>
      </c>
      <c r="AA91" s="55" t="e">
        <f ca="1">_xll.EQNXTDZ($A$1,$B91,AA$1,$B$1)</f>
        <v>#NAME?</v>
      </c>
      <c r="AB91" s="55" t="e">
        <f ca="1">_xll.EQNXTDZ($A$1,$B91,AB$1,$B$1)</f>
        <v>#NAME?</v>
      </c>
      <c r="AC91" s="55" t="e">
        <f ca="1">_xll.EQNXTDZ($A$1,$B91,AC$1,$B$1)</f>
        <v>#NAME?</v>
      </c>
      <c r="AD91" s="55" t="e">
        <f ca="1">_xll.EQNXTDZ($A$1,$B91,AD$1,$B$1)</f>
        <v>#NAME?</v>
      </c>
      <c r="AE91" s="55" t="e">
        <f ca="1">_xll.EQNXTDZ($A$1,$B91,AE$1,$B$1)</f>
        <v>#NAME?</v>
      </c>
      <c r="AF91" s="55" t="e">
        <f ca="1">_xll.EQNXTDZ($A$1,$B91,AF$1,$B$1)</f>
        <v>#NAME?</v>
      </c>
    </row>
    <row r="92" spans="1:32" x14ac:dyDescent="0.25">
      <c r="A92" t="s">
        <v>237</v>
      </c>
      <c r="B92" t="s">
        <v>236</v>
      </c>
      <c r="C92" s="55" t="e">
        <f ca="1">_xll.EQNXTDZ($A$1,$B92,C$1,$B$1)</f>
        <v>#NAME?</v>
      </c>
      <c r="D92" s="55" t="e">
        <f ca="1">_xll.EQNXTDZ($A$1,$B92,D$1,$B$1)</f>
        <v>#NAME?</v>
      </c>
      <c r="E92" s="55" t="e">
        <f ca="1">_xll.EQNXTDZ($A$1,$B92,E$1,$B$1)</f>
        <v>#NAME?</v>
      </c>
      <c r="F92" s="55" t="e">
        <f ca="1">_xll.EQNXTDZ($A$1,$B92,F$1,$B$1)</f>
        <v>#NAME?</v>
      </c>
      <c r="G92" s="55" t="e">
        <f ca="1">_xll.EQNXTDZ($A$1,$B92,G$1,$B$1)</f>
        <v>#NAME?</v>
      </c>
      <c r="H92" s="55" t="e">
        <f ca="1">_xll.EQNXTDZ($A$1,$B92,H$1,$B$1)</f>
        <v>#NAME?</v>
      </c>
      <c r="I92" s="55" t="e">
        <f ca="1">_xll.EQNXTDZ($A$1,$B92,I$1,$B$1)</f>
        <v>#NAME?</v>
      </c>
      <c r="J92" s="55" t="e">
        <f ca="1">_xll.EQNXTDZ($A$1,$B92,J$1,$B$1)</f>
        <v>#NAME?</v>
      </c>
      <c r="K92" s="55" t="e">
        <f ca="1">_xll.EQNXTDZ($A$1,$B92,K$1,$B$1)</f>
        <v>#NAME?</v>
      </c>
      <c r="L92" s="55" t="e">
        <f ca="1">_xll.EQNXTDZ($A$1,$B92,L$1,$B$1)</f>
        <v>#NAME?</v>
      </c>
      <c r="M92" s="55" t="e">
        <f ca="1">_xll.EQNXTDZ($A$1,$B92,M$1,$B$1)</f>
        <v>#NAME?</v>
      </c>
      <c r="N92" s="55" t="e">
        <f ca="1">_xll.EQNXTDZ($A$1,$B92,N$1,$B$1)</f>
        <v>#NAME?</v>
      </c>
      <c r="O92" s="55" t="e">
        <f ca="1">_xll.EQNXTDZ($A$1,$B92,O$1,$B$1)</f>
        <v>#NAME?</v>
      </c>
      <c r="P92" s="55" t="e">
        <f ca="1">_xll.EQNXTDZ($A$1,$B92,P$1,$B$1)</f>
        <v>#NAME?</v>
      </c>
      <c r="Q92" s="55" t="e">
        <f ca="1">_xll.EQNXTDZ($A$1,$B92,Q$1,$B$1)</f>
        <v>#NAME?</v>
      </c>
      <c r="R92" s="55" t="e">
        <f ca="1">_xll.EQNXTDZ($A$1,$B92,R$1,$B$1)</f>
        <v>#NAME?</v>
      </c>
      <c r="S92" s="55" t="e">
        <f ca="1">_xll.EQNXTDZ($A$1,$B92,S$1,$B$1)</f>
        <v>#NAME?</v>
      </c>
      <c r="T92" s="55" t="e">
        <f ca="1">_xll.EQNXTDZ($A$1,$B92,T$1,$B$1)</f>
        <v>#NAME?</v>
      </c>
      <c r="U92" s="55" t="e">
        <f ca="1">_xll.EQNXTDZ($A$1,$B92,U$1,$B$1)</f>
        <v>#NAME?</v>
      </c>
      <c r="V92" s="55" t="e">
        <f ca="1">_xll.EQNXTDZ($A$1,$B92,V$1,$B$1)</f>
        <v>#NAME?</v>
      </c>
      <c r="W92" s="55" t="e">
        <f ca="1">_xll.EQNXTDZ($A$1,$B92,W$1,$B$1)</f>
        <v>#NAME?</v>
      </c>
      <c r="X92" s="55" t="e">
        <f ca="1">_xll.EQNXTDZ($A$1,$B92,X$1,$B$1)</f>
        <v>#NAME?</v>
      </c>
      <c r="Y92" s="55" t="e">
        <f ca="1">_xll.EQNXTDZ($A$1,$B92,Y$1,$B$1)</f>
        <v>#NAME?</v>
      </c>
      <c r="Z92" s="55" t="e">
        <f ca="1">_xll.EQNXTDZ($A$1,$B92,Z$1,$B$1)</f>
        <v>#NAME?</v>
      </c>
      <c r="AA92" s="55" t="e">
        <f ca="1">_xll.EQNXTDZ($A$1,$B92,AA$1,$B$1)</f>
        <v>#NAME?</v>
      </c>
      <c r="AB92" s="55" t="e">
        <f ca="1">_xll.EQNXTDZ($A$1,$B92,AB$1,$B$1)</f>
        <v>#NAME?</v>
      </c>
      <c r="AC92" s="55" t="e">
        <f ca="1">_xll.EQNXTDZ($A$1,$B92,AC$1,$B$1)</f>
        <v>#NAME?</v>
      </c>
      <c r="AD92" s="55" t="e">
        <f ca="1">_xll.EQNXTDZ($A$1,$B92,AD$1,$B$1)</f>
        <v>#NAME?</v>
      </c>
      <c r="AE92" s="55" t="e">
        <f ca="1">_xll.EQNXTDZ($A$1,$B92,AE$1,$B$1)</f>
        <v>#NAME?</v>
      </c>
      <c r="AF92" s="55" t="e">
        <f ca="1">_xll.EQNXTDZ($A$1,$B92,AF$1,$B$1)</f>
        <v>#NAME?</v>
      </c>
    </row>
    <row r="93" spans="1:32" x14ac:dyDescent="0.25">
      <c r="A93" t="s">
        <v>83</v>
      </c>
      <c r="B93" t="s">
        <v>245</v>
      </c>
      <c r="C93" s="55" t="e">
        <f ca="1">_xll.EQNXTDZ($A$1,$B93,C$1,$B$1)</f>
        <v>#NAME?</v>
      </c>
      <c r="D93" s="55" t="e">
        <f ca="1">_xll.EQNXTDZ($A$1,$B93,D$1,$B$1)</f>
        <v>#NAME?</v>
      </c>
      <c r="E93" s="55" t="e">
        <f ca="1">_xll.EQNXTDZ($A$1,$B93,E$1,$B$1)</f>
        <v>#NAME?</v>
      </c>
      <c r="F93" s="55" t="e">
        <f ca="1">_xll.EQNXTDZ($A$1,$B93,F$1,$B$1)</f>
        <v>#NAME?</v>
      </c>
      <c r="G93" s="55" t="e">
        <f ca="1">_xll.EQNXTDZ($A$1,$B93,G$1,$B$1)</f>
        <v>#NAME?</v>
      </c>
      <c r="H93" s="55" t="e">
        <f ca="1">_xll.EQNXTDZ($A$1,$B93,H$1,$B$1)</f>
        <v>#NAME?</v>
      </c>
      <c r="I93" s="55" t="e">
        <f ca="1">_xll.EQNXTDZ($A$1,$B93,I$1,$B$1)</f>
        <v>#NAME?</v>
      </c>
      <c r="J93" s="55" t="e">
        <f ca="1">_xll.EQNXTDZ($A$1,$B93,J$1,$B$1)</f>
        <v>#NAME?</v>
      </c>
      <c r="K93" s="55" t="e">
        <f ca="1">_xll.EQNXTDZ($A$1,$B93,K$1,$B$1)</f>
        <v>#NAME?</v>
      </c>
      <c r="L93" s="55" t="e">
        <f ca="1">_xll.EQNXTDZ($A$1,$B93,L$1,$B$1)</f>
        <v>#NAME?</v>
      </c>
      <c r="M93" s="55" t="e">
        <f ca="1">_xll.EQNXTDZ($A$1,$B93,M$1,$B$1)</f>
        <v>#NAME?</v>
      </c>
      <c r="N93" s="55" t="e">
        <f ca="1">_xll.EQNXTDZ($A$1,$B93,N$1,$B$1)</f>
        <v>#NAME?</v>
      </c>
      <c r="O93" s="55" t="e">
        <f ca="1">_xll.EQNXTDZ($A$1,$B93,O$1,$B$1)</f>
        <v>#NAME?</v>
      </c>
      <c r="P93" s="55" t="e">
        <f ca="1">_xll.EQNXTDZ($A$1,$B93,P$1,$B$1)</f>
        <v>#NAME?</v>
      </c>
      <c r="Q93" s="55" t="e">
        <f ca="1">_xll.EQNXTDZ($A$1,$B93,Q$1,$B$1)</f>
        <v>#NAME?</v>
      </c>
      <c r="R93" s="55" t="e">
        <f ca="1">_xll.EQNXTDZ($A$1,$B93,R$1,$B$1)</f>
        <v>#NAME?</v>
      </c>
      <c r="S93" s="55" t="e">
        <f ca="1">_xll.EQNXTDZ($A$1,$B93,S$1,$B$1)</f>
        <v>#NAME?</v>
      </c>
      <c r="T93" s="55" t="e">
        <f ca="1">_xll.EQNXTDZ($A$1,$B93,T$1,$B$1)</f>
        <v>#NAME?</v>
      </c>
      <c r="U93" s="55" t="e">
        <f ca="1">_xll.EQNXTDZ($A$1,$B93,U$1,$B$1)</f>
        <v>#NAME?</v>
      </c>
      <c r="V93" s="55" t="e">
        <f ca="1">_xll.EQNXTDZ($A$1,$B93,V$1,$B$1)</f>
        <v>#NAME?</v>
      </c>
      <c r="W93" s="55" t="e">
        <f ca="1">_xll.EQNXTDZ($A$1,$B93,W$1,$B$1)</f>
        <v>#NAME?</v>
      </c>
      <c r="X93" s="55" t="e">
        <f ca="1">_xll.EQNXTDZ($A$1,$B93,X$1,$B$1)</f>
        <v>#NAME?</v>
      </c>
      <c r="Y93" s="55" t="e">
        <f ca="1">_xll.EQNXTDZ($A$1,$B93,Y$1,$B$1)</f>
        <v>#NAME?</v>
      </c>
      <c r="Z93" s="55" t="e">
        <f ca="1">_xll.EQNXTDZ($A$1,$B93,Z$1,$B$1)</f>
        <v>#NAME?</v>
      </c>
      <c r="AA93" s="55" t="e">
        <f ca="1">_xll.EQNXTDZ($A$1,$B93,AA$1,$B$1)</f>
        <v>#NAME?</v>
      </c>
      <c r="AB93" s="55" t="e">
        <f ca="1">_xll.EQNXTDZ($A$1,$B93,AB$1,$B$1)</f>
        <v>#NAME?</v>
      </c>
      <c r="AC93" s="55" t="e">
        <f ca="1">_xll.EQNXTDZ($A$1,$B93,AC$1,$B$1)</f>
        <v>#NAME?</v>
      </c>
      <c r="AD93" s="55" t="e">
        <f ca="1">_xll.EQNXTDZ($A$1,$B93,AD$1,$B$1)</f>
        <v>#NAME?</v>
      </c>
      <c r="AE93" s="55" t="e">
        <f ca="1">_xll.EQNXTDZ($A$1,$B93,AE$1,$B$1)</f>
        <v>#NAME?</v>
      </c>
      <c r="AF93" s="55" t="e">
        <f ca="1">_xll.EQNXTDZ($A$1,$B93,AF$1,$B$1)</f>
        <v>#NAME?</v>
      </c>
    </row>
    <row r="94" spans="1:32" x14ac:dyDescent="0.25">
      <c r="A94" t="s">
        <v>240</v>
      </c>
      <c r="B94" t="s">
        <v>246</v>
      </c>
      <c r="C94" s="55" t="e">
        <f ca="1">_xll.EQNXTDZ($A$1,$B94,C$1,$B$1)</f>
        <v>#NAME?</v>
      </c>
      <c r="D94" s="55" t="e">
        <f ca="1">_xll.EQNXTDZ($A$1,$B94,D$1,$B$1)</f>
        <v>#NAME?</v>
      </c>
      <c r="E94" s="55" t="e">
        <f ca="1">_xll.EQNXTDZ($A$1,$B94,E$1,$B$1)</f>
        <v>#NAME?</v>
      </c>
      <c r="F94" s="55" t="e">
        <f ca="1">_xll.EQNXTDZ($A$1,$B94,F$1,$B$1)</f>
        <v>#NAME?</v>
      </c>
      <c r="G94" s="55" t="e">
        <f ca="1">_xll.EQNXTDZ($A$1,$B94,G$1,$B$1)</f>
        <v>#NAME?</v>
      </c>
      <c r="H94" s="55" t="e">
        <f ca="1">_xll.EQNXTDZ($A$1,$B94,H$1,$B$1)</f>
        <v>#NAME?</v>
      </c>
      <c r="I94" s="55" t="e">
        <f ca="1">_xll.EQNXTDZ($A$1,$B94,I$1,$B$1)</f>
        <v>#NAME?</v>
      </c>
      <c r="J94" s="55" t="e">
        <f ca="1">_xll.EQNXTDZ($A$1,$B94,J$1,$B$1)</f>
        <v>#NAME?</v>
      </c>
      <c r="K94" s="55" t="e">
        <f ca="1">_xll.EQNXTDZ($A$1,$B94,K$1,$B$1)</f>
        <v>#NAME?</v>
      </c>
      <c r="L94" s="55" t="e">
        <f ca="1">_xll.EQNXTDZ($A$1,$B94,L$1,$B$1)</f>
        <v>#NAME?</v>
      </c>
      <c r="M94" s="55" t="e">
        <f ca="1">_xll.EQNXTDZ($A$1,$B94,M$1,$B$1)</f>
        <v>#NAME?</v>
      </c>
      <c r="N94" s="55" t="e">
        <f ca="1">_xll.EQNXTDZ($A$1,$B94,N$1,$B$1)</f>
        <v>#NAME?</v>
      </c>
      <c r="O94" s="55" t="e">
        <f ca="1">_xll.EQNXTDZ($A$1,$B94,O$1,$B$1)</f>
        <v>#NAME?</v>
      </c>
      <c r="P94" s="55" t="e">
        <f ca="1">_xll.EQNXTDZ($A$1,$B94,P$1,$B$1)</f>
        <v>#NAME?</v>
      </c>
      <c r="Q94" s="55" t="e">
        <f ca="1">_xll.EQNXTDZ($A$1,$B94,Q$1,$B$1)</f>
        <v>#NAME?</v>
      </c>
      <c r="R94" s="55" t="e">
        <f ca="1">_xll.EQNXTDZ($A$1,$B94,R$1,$B$1)</f>
        <v>#NAME?</v>
      </c>
      <c r="S94" s="55" t="e">
        <f ca="1">_xll.EQNXTDZ($A$1,$B94,S$1,$B$1)</f>
        <v>#NAME?</v>
      </c>
      <c r="T94" s="55" t="e">
        <f ca="1">_xll.EQNXTDZ($A$1,$B94,T$1,$B$1)</f>
        <v>#NAME?</v>
      </c>
      <c r="U94" s="55" t="e">
        <f ca="1">_xll.EQNXTDZ($A$1,$B94,U$1,$B$1)</f>
        <v>#NAME?</v>
      </c>
      <c r="V94" s="55" t="e">
        <f ca="1">_xll.EQNXTDZ($A$1,$B94,V$1,$B$1)</f>
        <v>#NAME?</v>
      </c>
      <c r="W94" s="55" t="e">
        <f ca="1">_xll.EQNXTDZ($A$1,$B94,W$1,$B$1)</f>
        <v>#NAME?</v>
      </c>
      <c r="X94" s="55" t="e">
        <f ca="1">_xll.EQNXTDZ($A$1,$B94,X$1,$B$1)</f>
        <v>#NAME?</v>
      </c>
      <c r="Y94" s="55" t="e">
        <f ca="1">_xll.EQNXTDZ($A$1,$B94,Y$1,$B$1)</f>
        <v>#NAME?</v>
      </c>
      <c r="Z94" s="55" t="e">
        <f ca="1">_xll.EQNXTDZ($A$1,$B94,Z$1,$B$1)</f>
        <v>#NAME?</v>
      </c>
      <c r="AA94" s="55" t="e">
        <f ca="1">_xll.EQNXTDZ($A$1,$B94,AA$1,$B$1)</f>
        <v>#NAME?</v>
      </c>
      <c r="AB94" s="55" t="e">
        <f ca="1">_xll.EQNXTDZ($A$1,$B94,AB$1,$B$1)</f>
        <v>#NAME?</v>
      </c>
      <c r="AC94" s="55" t="e">
        <f ca="1">_xll.EQNXTDZ($A$1,$B94,AC$1,$B$1)</f>
        <v>#NAME?</v>
      </c>
      <c r="AD94" s="55" t="e">
        <f ca="1">_xll.EQNXTDZ($A$1,$B94,AD$1,$B$1)</f>
        <v>#NAME?</v>
      </c>
      <c r="AE94" s="55" t="e">
        <f ca="1">_xll.EQNXTDZ($A$1,$B94,AE$1,$B$1)</f>
        <v>#NAME?</v>
      </c>
      <c r="AF94" s="55" t="e">
        <f ca="1">_xll.EQNXTDZ($A$1,$B94,AF$1,$B$1)</f>
        <v>#NAME?</v>
      </c>
    </row>
    <row r="95" spans="1:32" x14ac:dyDescent="0.25">
      <c r="A95" t="s">
        <v>82</v>
      </c>
      <c r="B95" t="s">
        <v>247</v>
      </c>
      <c r="C95" s="55" t="e">
        <f ca="1">_xll.EQNXTDZ($A$1,$B95,C$1,$B$1)</f>
        <v>#NAME?</v>
      </c>
      <c r="D95" s="55" t="e">
        <f ca="1">_xll.EQNXTDZ($A$1,$B95,D$1,$B$1)</f>
        <v>#NAME?</v>
      </c>
      <c r="E95" s="55" t="e">
        <f ca="1">_xll.EQNXTDZ($A$1,$B95,E$1,$B$1)</f>
        <v>#NAME?</v>
      </c>
      <c r="F95" s="55" t="e">
        <f ca="1">_xll.EQNXTDZ($A$1,$B95,F$1,$B$1)</f>
        <v>#NAME?</v>
      </c>
      <c r="G95" s="55" t="e">
        <f ca="1">_xll.EQNXTDZ($A$1,$B95,G$1,$B$1)</f>
        <v>#NAME?</v>
      </c>
      <c r="H95" s="55" t="e">
        <f ca="1">_xll.EQNXTDZ($A$1,$B95,H$1,$B$1)</f>
        <v>#NAME?</v>
      </c>
      <c r="I95" s="55" t="e">
        <f ca="1">_xll.EQNXTDZ($A$1,$B95,I$1,$B$1)</f>
        <v>#NAME?</v>
      </c>
      <c r="J95" s="55" t="e">
        <f ca="1">_xll.EQNXTDZ($A$1,$B95,J$1,$B$1)</f>
        <v>#NAME?</v>
      </c>
      <c r="K95" s="55" t="e">
        <f ca="1">_xll.EQNXTDZ($A$1,$B95,K$1,$B$1)</f>
        <v>#NAME?</v>
      </c>
      <c r="L95" s="55" t="e">
        <f ca="1">_xll.EQNXTDZ($A$1,$B95,L$1,$B$1)</f>
        <v>#NAME?</v>
      </c>
      <c r="M95" s="55" t="e">
        <f ca="1">_xll.EQNXTDZ($A$1,$B95,M$1,$B$1)</f>
        <v>#NAME?</v>
      </c>
      <c r="N95" s="55" t="e">
        <f ca="1">_xll.EQNXTDZ($A$1,$B95,N$1,$B$1)</f>
        <v>#NAME?</v>
      </c>
      <c r="O95" s="55" t="e">
        <f ca="1">_xll.EQNXTDZ($A$1,$B95,O$1,$B$1)</f>
        <v>#NAME?</v>
      </c>
      <c r="P95" s="55" t="e">
        <f ca="1">_xll.EQNXTDZ($A$1,$B95,P$1,$B$1)</f>
        <v>#NAME?</v>
      </c>
      <c r="Q95" s="55" t="e">
        <f ca="1">_xll.EQNXTDZ($A$1,$B95,Q$1,$B$1)</f>
        <v>#NAME?</v>
      </c>
      <c r="R95" s="55" t="e">
        <f ca="1">_xll.EQNXTDZ($A$1,$B95,R$1,$B$1)</f>
        <v>#NAME?</v>
      </c>
      <c r="S95" s="55" t="e">
        <f ca="1">_xll.EQNXTDZ($A$1,$B95,S$1,$B$1)</f>
        <v>#NAME?</v>
      </c>
      <c r="T95" s="55" t="e">
        <f ca="1">_xll.EQNXTDZ($A$1,$B95,T$1,$B$1)</f>
        <v>#NAME?</v>
      </c>
      <c r="U95" s="55" t="e">
        <f ca="1">_xll.EQNXTDZ($A$1,$B95,U$1,$B$1)</f>
        <v>#NAME?</v>
      </c>
      <c r="V95" s="55" t="e">
        <f ca="1">_xll.EQNXTDZ($A$1,$B95,V$1,$B$1)</f>
        <v>#NAME?</v>
      </c>
      <c r="W95" s="55" t="e">
        <f ca="1">_xll.EQNXTDZ($A$1,$B95,W$1,$B$1)</f>
        <v>#NAME?</v>
      </c>
      <c r="X95" s="55" t="e">
        <f ca="1">_xll.EQNXTDZ($A$1,$B95,X$1,$B$1)</f>
        <v>#NAME?</v>
      </c>
      <c r="Y95" s="55" t="e">
        <f ca="1">_xll.EQNXTDZ($A$1,$B95,Y$1,$B$1)</f>
        <v>#NAME?</v>
      </c>
      <c r="Z95" s="55" t="e">
        <f ca="1">_xll.EQNXTDZ($A$1,$B95,Z$1,$B$1)</f>
        <v>#NAME?</v>
      </c>
      <c r="AA95" s="55" t="e">
        <f ca="1">_xll.EQNXTDZ($A$1,$B95,AA$1,$B$1)</f>
        <v>#NAME?</v>
      </c>
      <c r="AB95" s="55" t="e">
        <f ca="1">_xll.EQNXTDZ($A$1,$B95,AB$1,$B$1)</f>
        <v>#NAME?</v>
      </c>
      <c r="AC95" s="55" t="e">
        <f ca="1">_xll.EQNXTDZ($A$1,$B95,AC$1,$B$1)</f>
        <v>#NAME?</v>
      </c>
      <c r="AD95" s="55" t="e">
        <f ca="1">_xll.EQNXTDZ($A$1,$B95,AD$1,$B$1)</f>
        <v>#NAME?</v>
      </c>
      <c r="AE95" s="55" t="e">
        <f ca="1">_xll.EQNXTDZ($A$1,$B95,AE$1,$B$1)</f>
        <v>#NAME?</v>
      </c>
      <c r="AF95" s="55" t="e">
        <f ca="1">_xll.EQNXTDZ($A$1,$B95,AF$1,$B$1)</f>
        <v>#NAME?</v>
      </c>
    </row>
    <row r="96" spans="1:32" x14ac:dyDescent="0.25">
      <c r="A96" t="s">
        <v>241</v>
      </c>
      <c r="B96" t="s">
        <v>248</v>
      </c>
      <c r="C96" s="55" t="e">
        <f ca="1">_xll.EQNXTDZ($A$1,$B96,C$1,$B$1)</f>
        <v>#NAME?</v>
      </c>
      <c r="D96" s="55" t="e">
        <f ca="1">_xll.EQNXTDZ($A$1,$B96,D$1,$B$1)</f>
        <v>#NAME?</v>
      </c>
      <c r="E96" s="55" t="e">
        <f ca="1">_xll.EQNXTDZ($A$1,$B96,E$1,$B$1)</f>
        <v>#NAME?</v>
      </c>
      <c r="F96" s="55" t="e">
        <f ca="1">_xll.EQNXTDZ($A$1,$B96,F$1,$B$1)</f>
        <v>#NAME?</v>
      </c>
      <c r="G96" s="55" t="e">
        <f ca="1">_xll.EQNXTDZ($A$1,$B96,G$1,$B$1)</f>
        <v>#NAME?</v>
      </c>
      <c r="H96" s="55" t="e">
        <f ca="1">_xll.EQNXTDZ($A$1,$B96,H$1,$B$1)</f>
        <v>#NAME?</v>
      </c>
      <c r="I96" s="55" t="e">
        <f ca="1">_xll.EQNXTDZ($A$1,$B96,I$1,$B$1)</f>
        <v>#NAME?</v>
      </c>
      <c r="J96" s="55" t="e">
        <f ca="1">_xll.EQNXTDZ($A$1,$B96,J$1,$B$1)</f>
        <v>#NAME?</v>
      </c>
      <c r="K96" s="55" t="e">
        <f ca="1">_xll.EQNXTDZ($A$1,$B96,K$1,$B$1)</f>
        <v>#NAME?</v>
      </c>
      <c r="L96" s="55" t="e">
        <f ca="1">_xll.EQNXTDZ($A$1,$B96,L$1,$B$1)</f>
        <v>#NAME?</v>
      </c>
      <c r="M96" s="55" t="e">
        <f ca="1">_xll.EQNXTDZ($A$1,$B96,M$1,$B$1)</f>
        <v>#NAME?</v>
      </c>
      <c r="N96" s="55" t="e">
        <f ca="1">_xll.EQNXTDZ($A$1,$B96,N$1,$B$1)</f>
        <v>#NAME?</v>
      </c>
      <c r="O96" s="55" t="e">
        <f ca="1">_xll.EQNXTDZ($A$1,$B96,O$1,$B$1)</f>
        <v>#NAME?</v>
      </c>
      <c r="P96" s="55" t="e">
        <f ca="1">_xll.EQNXTDZ($A$1,$B96,P$1,$B$1)</f>
        <v>#NAME?</v>
      </c>
      <c r="Q96" s="55" t="e">
        <f ca="1">_xll.EQNXTDZ($A$1,$B96,Q$1,$B$1)</f>
        <v>#NAME?</v>
      </c>
      <c r="R96" s="55" t="e">
        <f ca="1">_xll.EQNXTDZ($A$1,$B96,R$1,$B$1)</f>
        <v>#NAME?</v>
      </c>
      <c r="S96" s="55" t="e">
        <f ca="1">_xll.EQNXTDZ($A$1,$B96,S$1,$B$1)</f>
        <v>#NAME?</v>
      </c>
      <c r="T96" s="55" t="e">
        <f ca="1">_xll.EQNXTDZ($A$1,$B96,T$1,$B$1)</f>
        <v>#NAME?</v>
      </c>
      <c r="U96" s="55" t="e">
        <f ca="1">_xll.EQNXTDZ($A$1,$B96,U$1,$B$1)</f>
        <v>#NAME?</v>
      </c>
      <c r="V96" s="55" t="e">
        <f ca="1">_xll.EQNXTDZ($A$1,$B96,V$1,$B$1)</f>
        <v>#NAME?</v>
      </c>
      <c r="W96" s="55" t="e">
        <f ca="1">_xll.EQNXTDZ($A$1,$B96,W$1,$B$1)</f>
        <v>#NAME?</v>
      </c>
      <c r="X96" s="55" t="e">
        <f ca="1">_xll.EQNXTDZ($A$1,$B96,X$1,$B$1)</f>
        <v>#NAME?</v>
      </c>
      <c r="Y96" s="55" t="e">
        <f ca="1">_xll.EQNXTDZ($A$1,$B96,Y$1,$B$1)</f>
        <v>#NAME?</v>
      </c>
      <c r="Z96" s="55" t="e">
        <f ca="1">_xll.EQNXTDZ($A$1,$B96,Z$1,$B$1)</f>
        <v>#NAME?</v>
      </c>
      <c r="AA96" s="55" t="e">
        <f ca="1">_xll.EQNXTDZ($A$1,$B96,AA$1,$B$1)</f>
        <v>#NAME?</v>
      </c>
      <c r="AB96" s="55" t="e">
        <f ca="1">_xll.EQNXTDZ($A$1,$B96,AB$1,$B$1)</f>
        <v>#NAME?</v>
      </c>
      <c r="AC96" s="55" t="e">
        <f ca="1">_xll.EQNXTDZ($A$1,$B96,AC$1,$B$1)</f>
        <v>#NAME?</v>
      </c>
      <c r="AD96" s="55" t="e">
        <f ca="1">_xll.EQNXTDZ($A$1,$B96,AD$1,$B$1)</f>
        <v>#NAME?</v>
      </c>
      <c r="AE96" s="55" t="e">
        <f ca="1">_xll.EQNXTDZ($A$1,$B96,AE$1,$B$1)</f>
        <v>#NAME?</v>
      </c>
      <c r="AF96" s="55" t="e">
        <f ca="1">_xll.EQNXTDZ($A$1,$B96,AF$1,$B$1)</f>
        <v>#NAME?</v>
      </c>
    </row>
    <row r="97" spans="1:32" x14ac:dyDescent="0.25">
      <c r="A97" t="s">
        <v>242</v>
      </c>
      <c r="B97" t="s">
        <v>249</v>
      </c>
      <c r="C97" s="55" t="e">
        <f ca="1">_xll.EQNXTDZ($A$1,$B97,C$1,$B$1)</f>
        <v>#NAME?</v>
      </c>
      <c r="D97" s="55" t="e">
        <f ca="1">_xll.EQNXTDZ($A$1,$B97,D$1,$B$1)</f>
        <v>#NAME?</v>
      </c>
      <c r="E97" s="55" t="e">
        <f ca="1">_xll.EQNXTDZ($A$1,$B97,E$1,$B$1)</f>
        <v>#NAME?</v>
      </c>
      <c r="F97" s="55" t="e">
        <f ca="1">_xll.EQNXTDZ($A$1,$B97,F$1,$B$1)</f>
        <v>#NAME?</v>
      </c>
      <c r="G97" s="55" t="e">
        <f ca="1">_xll.EQNXTDZ($A$1,$B97,G$1,$B$1)</f>
        <v>#NAME?</v>
      </c>
      <c r="H97" s="55" t="e">
        <f ca="1">_xll.EQNXTDZ($A$1,$B97,H$1,$B$1)</f>
        <v>#NAME?</v>
      </c>
      <c r="I97" s="55" t="e">
        <f ca="1">_xll.EQNXTDZ($A$1,$B97,I$1,$B$1)</f>
        <v>#NAME?</v>
      </c>
      <c r="J97" s="55" t="e">
        <f ca="1">_xll.EQNXTDZ($A$1,$B97,J$1,$B$1)</f>
        <v>#NAME?</v>
      </c>
      <c r="K97" s="55" t="e">
        <f ca="1">_xll.EQNXTDZ($A$1,$B97,K$1,$B$1)</f>
        <v>#NAME?</v>
      </c>
      <c r="L97" s="55" t="e">
        <f ca="1">_xll.EQNXTDZ($A$1,$B97,L$1,$B$1)</f>
        <v>#NAME?</v>
      </c>
      <c r="M97" s="55" t="e">
        <f ca="1">_xll.EQNXTDZ($A$1,$B97,M$1,$B$1)</f>
        <v>#NAME?</v>
      </c>
      <c r="N97" s="55" t="e">
        <f ca="1">_xll.EQNXTDZ($A$1,$B97,N$1,$B$1)</f>
        <v>#NAME?</v>
      </c>
      <c r="O97" s="55" t="e">
        <f ca="1">_xll.EQNXTDZ($A$1,$B97,O$1,$B$1)</f>
        <v>#NAME?</v>
      </c>
      <c r="P97" s="55" t="e">
        <f ca="1">_xll.EQNXTDZ($A$1,$B97,P$1,$B$1)</f>
        <v>#NAME?</v>
      </c>
      <c r="Q97" s="55" t="e">
        <f ca="1">_xll.EQNXTDZ($A$1,$B97,Q$1,$B$1)</f>
        <v>#NAME?</v>
      </c>
      <c r="R97" s="55" t="e">
        <f ca="1">_xll.EQNXTDZ($A$1,$B97,R$1,$B$1)</f>
        <v>#NAME?</v>
      </c>
      <c r="S97" s="55" t="e">
        <f ca="1">_xll.EQNXTDZ($A$1,$B97,S$1,$B$1)</f>
        <v>#NAME?</v>
      </c>
      <c r="T97" s="55" t="e">
        <f ca="1">_xll.EQNXTDZ($A$1,$B97,T$1,$B$1)</f>
        <v>#NAME?</v>
      </c>
      <c r="U97" s="55" t="e">
        <f ca="1">_xll.EQNXTDZ($A$1,$B97,U$1,$B$1)</f>
        <v>#NAME?</v>
      </c>
      <c r="V97" s="55" t="e">
        <f ca="1">_xll.EQNXTDZ($A$1,$B97,V$1,$B$1)</f>
        <v>#NAME?</v>
      </c>
      <c r="W97" s="55" t="e">
        <f ca="1">_xll.EQNXTDZ($A$1,$B97,W$1,$B$1)</f>
        <v>#NAME?</v>
      </c>
      <c r="X97" s="55" t="e">
        <f ca="1">_xll.EQNXTDZ($A$1,$B97,X$1,$B$1)</f>
        <v>#NAME?</v>
      </c>
      <c r="Y97" s="55" t="e">
        <f ca="1">_xll.EQNXTDZ($A$1,$B97,Y$1,$B$1)</f>
        <v>#NAME?</v>
      </c>
      <c r="Z97" s="55" t="e">
        <f ca="1">_xll.EQNXTDZ($A$1,$B97,Z$1,$B$1)</f>
        <v>#NAME?</v>
      </c>
      <c r="AA97" s="55" t="e">
        <f ca="1">_xll.EQNXTDZ($A$1,$B97,AA$1,$B$1)</f>
        <v>#NAME?</v>
      </c>
      <c r="AB97" s="55" t="e">
        <f ca="1">_xll.EQNXTDZ($A$1,$B97,AB$1,$B$1)</f>
        <v>#NAME?</v>
      </c>
      <c r="AC97" s="55" t="e">
        <f ca="1">_xll.EQNXTDZ($A$1,$B97,AC$1,$B$1)</f>
        <v>#NAME?</v>
      </c>
      <c r="AD97" s="55" t="e">
        <f ca="1">_xll.EQNXTDZ($A$1,$B97,AD$1,$B$1)</f>
        <v>#NAME?</v>
      </c>
      <c r="AE97" s="55" t="e">
        <f ca="1">_xll.EQNXTDZ($A$1,$B97,AE$1,$B$1)</f>
        <v>#NAME?</v>
      </c>
      <c r="AF97" s="55" t="e">
        <f ca="1">_xll.EQNXTDZ($A$1,$B97,AF$1,$B$1)</f>
        <v>#NAME?</v>
      </c>
    </row>
    <row r="98" spans="1:32" x14ac:dyDescent="0.25">
      <c r="A98" t="s">
        <v>243</v>
      </c>
      <c r="B98" t="s">
        <v>250</v>
      </c>
      <c r="C98" s="55" t="e">
        <f ca="1">_xll.EQNXTDZ($A$1,$B98,C$1,$B$1)</f>
        <v>#NAME?</v>
      </c>
      <c r="D98" s="55" t="e">
        <f ca="1">_xll.EQNXTDZ($A$1,$B98,D$1,$B$1)</f>
        <v>#NAME?</v>
      </c>
      <c r="E98" s="55" t="e">
        <f ca="1">_xll.EQNXTDZ($A$1,$B98,E$1,$B$1)</f>
        <v>#NAME?</v>
      </c>
      <c r="F98" s="55" t="e">
        <f ca="1">_xll.EQNXTDZ($A$1,$B98,F$1,$B$1)</f>
        <v>#NAME?</v>
      </c>
      <c r="G98" s="55" t="e">
        <f ca="1">_xll.EQNXTDZ($A$1,$B98,G$1,$B$1)</f>
        <v>#NAME?</v>
      </c>
      <c r="H98" s="55" t="e">
        <f ca="1">_xll.EQNXTDZ($A$1,$B98,H$1,$B$1)</f>
        <v>#NAME?</v>
      </c>
      <c r="I98" s="55" t="e">
        <f ca="1">_xll.EQNXTDZ($A$1,$B98,I$1,$B$1)</f>
        <v>#NAME?</v>
      </c>
      <c r="J98" s="55" t="e">
        <f ca="1">_xll.EQNXTDZ($A$1,$B98,J$1,$B$1)</f>
        <v>#NAME?</v>
      </c>
      <c r="K98" s="55" t="e">
        <f ca="1">_xll.EQNXTDZ($A$1,$B98,K$1,$B$1)</f>
        <v>#NAME?</v>
      </c>
      <c r="L98" s="55" t="e">
        <f ca="1">_xll.EQNXTDZ($A$1,$B98,L$1,$B$1)</f>
        <v>#NAME?</v>
      </c>
      <c r="M98" s="55" t="e">
        <f ca="1">_xll.EQNXTDZ($A$1,$B98,M$1,$B$1)</f>
        <v>#NAME?</v>
      </c>
      <c r="N98" s="55" t="e">
        <f ca="1">_xll.EQNXTDZ($A$1,$B98,N$1,$B$1)</f>
        <v>#NAME?</v>
      </c>
      <c r="O98" s="55" t="e">
        <f ca="1">_xll.EQNXTDZ($A$1,$B98,O$1,$B$1)</f>
        <v>#NAME?</v>
      </c>
      <c r="P98" s="55" t="e">
        <f ca="1">_xll.EQNXTDZ($A$1,$B98,P$1,$B$1)</f>
        <v>#NAME?</v>
      </c>
      <c r="Q98" s="55" t="e">
        <f ca="1">_xll.EQNXTDZ($A$1,$B98,Q$1,$B$1)</f>
        <v>#NAME?</v>
      </c>
      <c r="R98" s="55" t="e">
        <f ca="1">_xll.EQNXTDZ($A$1,$B98,R$1,$B$1)</f>
        <v>#NAME?</v>
      </c>
      <c r="S98" s="55" t="e">
        <f ca="1">_xll.EQNXTDZ($A$1,$B98,S$1,$B$1)</f>
        <v>#NAME?</v>
      </c>
      <c r="T98" s="55" t="e">
        <f ca="1">_xll.EQNXTDZ($A$1,$B98,T$1,$B$1)</f>
        <v>#NAME?</v>
      </c>
      <c r="U98" s="55" t="e">
        <f ca="1">_xll.EQNXTDZ($A$1,$B98,U$1,$B$1)</f>
        <v>#NAME?</v>
      </c>
      <c r="V98" s="55" t="e">
        <f ca="1">_xll.EQNXTDZ($A$1,$B98,V$1,$B$1)</f>
        <v>#NAME?</v>
      </c>
      <c r="W98" s="55" t="e">
        <f ca="1">_xll.EQNXTDZ($A$1,$B98,W$1,$B$1)</f>
        <v>#NAME?</v>
      </c>
      <c r="X98" s="55" t="e">
        <f ca="1">_xll.EQNXTDZ($A$1,$B98,X$1,$B$1)</f>
        <v>#NAME?</v>
      </c>
      <c r="Y98" s="55" t="e">
        <f ca="1">_xll.EQNXTDZ($A$1,$B98,Y$1,$B$1)</f>
        <v>#NAME?</v>
      </c>
      <c r="Z98" s="55" t="e">
        <f ca="1">_xll.EQNXTDZ($A$1,$B98,Z$1,$B$1)</f>
        <v>#NAME?</v>
      </c>
      <c r="AA98" s="55" t="e">
        <f ca="1">_xll.EQNXTDZ($A$1,$B98,AA$1,$B$1)</f>
        <v>#NAME?</v>
      </c>
      <c r="AB98" s="55" t="e">
        <f ca="1">_xll.EQNXTDZ($A$1,$B98,AB$1,$B$1)</f>
        <v>#NAME?</v>
      </c>
      <c r="AC98" s="55" t="e">
        <f ca="1">_xll.EQNXTDZ($A$1,$B98,AC$1,$B$1)</f>
        <v>#NAME?</v>
      </c>
      <c r="AD98" s="55" t="e">
        <f ca="1">_xll.EQNXTDZ($A$1,$B98,AD$1,$B$1)</f>
        <v>#NAME?</v>
      </c>
      <c r="AE98" s="55" t="e">
        <f ca="1">_xll.EQNXTDZ($A$1,$B98,AE$1,$B$1)</f>
        <v>#NAME?</v>
      </c>
      <c r="AF98" s="55" t="e">
        <f ca="1">_xll.EQNXTDZ($A$1,$B98,AF$1,$B$1)</f>
        <v>#NAME?</v>
      </c>
    </row>
    <row r="99" spans="1:32" x14ac:dyDescent="0.25">
      <c r="A99" t="s">
        <v>244</v>
      </c>
      <c r="B99" t="s">
        <v>251</v>
      </c>
      <c r="C99" s="55" t="e">
        <f ca="1">_xll.EQNXTDZ($A$1,$B99,C$1,$B$1)</f>
        <v>#NAME?</v>
      </c>
      <c r="D99" s="55" t="e">
        <f ca="1">_xll.EQNXTDZ($A$1,$B99,D$1,$B$1)</f>
        <v>#NAME?</v>
      </c>
      <c r="E99" s="55" t="e">
        <f ca="1">_xll.EQNXTDZ($A$1,$B99,E$1,$B$1)</f>
        <v>#NAME?</v>
      </c>
      <c r="F99" s="55" t="e">
        <f ca="1">_xll.EQNXTDZ($A$1,$B99,F$1,$B$1)</f>
        <v>#NAME?</v>
      </c>
      <c r="G99" s="55" t="e">
        <f ca="1">_xll.EQNXTDZ($A$1,$B99,G$1,$B$1)</f>
        <v>#NAME?</v>
      </c>
      <c r="H99" s="55" t="e">
        <f ca="1">_xll.EQNXTDZ($A$1,$B99,H$1,$B$1)</f>
        <v>#NAME?</v>
      </c>
      <c r="I99" s="55" t="e">
        <f ca="1">_xll.EQNXTDZ($A$1,$B99,I$1,$B$1)</f>
        <v>#NAME?</v>
      </c>
      <c r="J99" s="55" t="e">
        <f ca="1">_xll.EQNXTDZ($A$1,$B99,J$1,$B$1)</f>
        <v>#NAME?</v>
      </c>
      <c r="K99" s="55" t="e">
        <f ca="1">_xll.EQNXTDZ($A$1,$B99,K$1,$B$1)</f>
        <v>#NAME?</v>
      </c>
      <c r="L99" s="55" t="e">
        <f ca="1">_xll.EQNXTDZ($A$1,$B99,L$1,$B$1)</f>
        <v>#NAME?</v>
      </c>
      <c r="M99" s="55" t="e">
        <f ca="1">_xll.EQNXTDZ($A$1,$B99,M$1,$B$1)</f>
        <v>#NAME?</v>
      </c>
      <c r="N99" s="55" t="e">
        <f ca="1">_xll.EQNXTDZ($A$1,$B99,N$1,$B$1)</f>
        <v>#NAME?</v>
      </c>
      <c r="O99" s="55" t="e">
        <f ca="1">_xll.EQNXTDZ($A$1,$B99,O$1,$B$1)</f>
        <v>#NAME?</v>
      </c>
      <c r="P99" s="55" t="e">
        <f ca="1">_xll.EQNXTDZ($A$1,$B99,P$1,$B$1)</f>
        <v>#NAME?</v>
      </c>
      <c r="Q99" s="55" t="e">
        <f ca="1">_xll.EQNXTDZ($A$1,$B99,Q$1,$B$1)</f>
        <v>#NAME?</v>
      </c>
      <c r="R99" s="55" t="e">
        <f ca="1">_xll.EQNXTDZ($A$1,$B99,R$1,$B$1)</f>
        <v>#NAME?</v>
      </c>
      <c r="S99" s="55" t="e">
        <f ca="1">_xll.EQNXTDZ($A$1,$B99,S$1,$B$1)</f>
        <v>#NAME?</v>
      </c>
      <c r="T99" s="55" t="e">
        <f ca="1">_xll.EQNXTDZ($A$1,$B99,T$1,$B$1)</f>
        <v>#NAME?</v>
      </c>
      <c r="U99" s="55" t="e">
        <f ca="1">_xll.EQNXTDZ($A$1,$B99,U$1,$B$1)</f>
        <v>#NAME?</v>
      </c>
      <c r="V99" s="55" t="e">
        <f ca="1">_xll.EQNXTDZ($A$1,$B99,V$1,$B$1)</f>
        <v>#NAME?</v>
      </c>
      <c r="W99" s="55" t="e">
        <f ca="1">_xll.EQNXTDZ($A$1,$B99,W$1,$B$1)</f>
        <v>#NAME?</v>
      </c>
      <c r="X99" s="55" t="e">
        <f ca="1">_xll.EQNXTDZ($A$1,$B99,X$1,$B$1)</f>
        <v>#NAME?</v>
      </c>
      <c r="Y99" s="55" t="e">
        <f ca="1">_xll.EQNXTDZ($A$1,$B99,Y$1,$B$1)</f>
        <v>#NAME?</v>
      </c>
      <c r="Z99" s="55" t="e">
        <f ca="1">_xll.EQNXTDZ($A$1,$B99,Z$1,$B$1)</f>
        <v>#NAME?</v>
      </c>
      <c r="AA99" s="55" t="e">
        <f ca="1">_xll.EQNXTDZ($A$1,$B99,AA$1,$B$1)</f>
        <v>#NAME?</v>
      </c>
      <c r="AB99" s="55" t="e">
        <f ca="1">_xll.EQNXTDZ($A$1,$B99,AB$1,$B$1)</f>
        <v>#NAME?</v>
      </c>
      <c r="AC99" s="55" t="e">
        <f ca="1">_xll.EQNXTDZ($A$1,$B99,AC$1,$B$1)</f>
        <v>#NAME?</v>
      </c>
      <c r="AD99" s="55" t="e">
        <f ca="1">_xll.EQNXTDZ($A$1,$B99,AD$1,$B$1)</f>
        <v>#NAME?</v>
      </c>
      <c r="AE99" s="55" t="e">
        <f ca="1">_xll.EQNXTDZ($A$1,$B99,AE$1,$B$1)</f>
        <v>#NAME?</v>
      </c>
      <c r="AF99" s="55" t="e">
        <f ca="1">_xll.EQNXTDZ($A$1,$B99,AF$1,$B$1)</f>
        <v>#NAME?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 t="e">
        <f ca="1">_xll.EQNXTDZ($A$1,$B104,C$1,$B$1)</f>
        <v>#NAME?</v>
      </c>
      <c r="D104" s="55" t="e">
        <f ca="1">_xll.EQNXTDZ($A$1,$B104,D$1,$B$1)</f>
        <v>#NAME?</v>
      </c>
      <c r="E104" s="55" t="e">
        <f ca="1">_xll.EQNXTDZ($A$1,$B104,E$1,$B$1)</f>
        <v>#NAME?</v>
      </c>
      <c r="F104" s="55" t="e">
        <f ca="1">_xll.EQNXTDZ($A$1,$B104,F$1,$B$1)</f>
        <v>#NAME?</v>
      </c>
      <c r="G104" s="55" t="e">
        <f ca="1">_xll.EQNXTDZ($A$1,$B104,G$1,$B$1)</f>
        <v>#NAME?</v>
      </c>
      <c r="H104" s="55" t="e">
        <f ca="1">_xll.EQNXTDZ($A$1,$B104,H$1,$B$1)</f>
        <v>#NAME?</v>
      </c>
      <c r="I104" s="55" t="e">
        <f ca="1">_xll.EQNXTDZ($A$1,$B104,I$1,$B$1)</f>
        <v>#NAME?</v>
      </c>
      <c r="J104" s="55" t="e">
        <f ca="1">_xll.EQNXTDZ($A$1,$B104,J$1,$B$1)</f>
        <v>#NAME?</v>
      </c>
      <c r="K104" s="55" t="e">
        <f ca="1">_xll.EQNXTDZ($A$1,$B104,K$1,$B$1)</f>
        <v>#NAME?</v>
      </c>
      <c r="L104" s="55" t="e">
        <f ca="1">_xll.EQNXTDZ($A$1,$B104,L$1,$B$1)</f>
        <v>#NAME?</v>
      </c>
      <c r="M104" s="55" t="e">
        <f ca="1">_xll.EQNXTDZ($A$1,$B104,M$1,$B$1)</f>
        <v>#NAME?</v>
      </c>
      <c r="N104" s="55" t="e">
        <f ca="1">_xll.EQNXTDZ($A$1,$B104,N$1,$B$1)</f>
        <v>#NAME?</v>
      </c>
      <c r="O104" s="55" t="e">
        <f ca="1">_xll.EQNXTDZ($A$1,$B104,O$1,$B$1)</f>
        <v>#NAME?</v>
      </c>
      <c r="P104" s="55" t="e">
        <f ca="1">_xll.EQNXTDZ($A$1,$B104,P$1,$B$1)</f>
        <v>#NAME?</v>
      </c>
      <c r="Q104" s="55" t="e">
        <f ca="1">_xll.EQNXTDZ($A$1,$B104,Q$1,$B$1)</f>
        <v>#NAME?</v>
      </c>
      <c r="R104" s="55" t="e">
        <f ca="1">_xll.EQNXTDZ($A$1,$B104,R$1,$B$1)</f>
        <v>#NAME?</v>
      </c>
      <c r="S104" s="55" t="e">
        <f ca="1">_xll.EQNXTDZ($A$1,$B104,S$1,$B$1)</f>
        <v>#NAME?</v>
      </c>
      <c r="T104" s="55" t="e">
        <f ca="1">_xll.EQNXTDZ($A$1,$B104,T$1,$B$1)</f>
        <v>#NAME?</v>
      </c>
      <c r="U104" s="55" t="e">
        <f ca="1">_xll.EQNXTDZ($A$1,$B104,U$1,$B$1)</f>
        <v>#NAME?</v>
      </c>
      <c r="V104" s="55" t="e">
        <f ca="1">_xll.EQNXTDZ($A$1,$B104,V$1,$B$1)</f>
        <v>#NAME?</v>
      </c>
      <c r="W104" s="55" t="e">
        <f ca="1">_xll.EQNXTDZ($A$1,$B104,W$1,$B$1)</f>
        <v>#NAME?</v>
      </c>
      <c r="X104" s="55" t="e">
        <f ca="1">_xll.EQNXTDZ($A$1,$B104,X$1,$B$1)</f>
        <v>#NAME?</v>
      </c>
      <c r="Y104" s="55" t="e">
        <f ca="1">_xll.EQNXTDZ($A$1,$B104,Y$1,$B$1)</f>
        <v>#NAME?</v>
      </c>
      <c r="Z104" s="55" t="e">
        <f ca="1">_xll.EQNXTDZ($A$1,$B104,Z$1,$B$1)</f>
        <v>#NAME?</v>
      </c>
      <c r="AA104" s="55" t="e">
        <f ca="1">_xll.EQNXTDZ($A$1,$B104,AA$1,$B$1)</f>
        <v>#NAME?</v>
      </c>
      <c r="AB104" s="55" t="e">
        <f ca="1">_xll.EQNXTDZ($A$1,$B104,AB$1,$B$1)</f>
        <v>#NAME?</v>
      </c>
      <c r="AC104" s="55" t="e">
        <f ca="1">_xll.EQNXTDZ($A$1,$B104,AC$1,$B$1)</f>
        <v>#NAME?</v>
      </c>
      <c r="AD104" s="55" t="e">
        <f ca="1">_xll.EQNXTDZ($A$1,$B104,AD$1,$B$1)</f>
        <v>#NAME?</v>
      </c>
      <c r="AE104" s="55" t="e">
        <f ca="1">_xll.EQNXTDZ($A$1,$B104,AE$1,$B$1)</f>
        <v>#NAME?</v>
      </c>
      <c r="AF104" s="55" t="e">
        <f ca="1">_xll.EQNXTDZ($A$1,$B104,AF$1,$B$1)</f>
        <v>#NAME?</v>
      </c>
    </row>
    <row r="105" spans="1:32" x14ac:dyDescent="0.25">
      <c r="A105" t="s">
        <v>315</v>
      </c>
      <c r="B105" t="s">
        <v>321</v>
      </c>
      <c r="C105" s="55" t="e">
        <f ca="1">_xll.EQNXTDZ($A$1,$B105,C$1,$B$1)</f>
        <v>#NAME?</v>
      </c>
      <c r="D105" s="55" t="e">
        <f ca="1">_xll.EQNXTDZ($A$1,$B105,D$1,$B$1)</f>
        <v>#NAME?</v>
      </c>
      <c r="E105" s="55" t="e">
        <f ca="1">_xll.EQNXTDZ($A$1,$B105,E$1,$B$1)</f>
        <v>#NAME?</v>
      </c>
      <c r="F105" s="55" t="e">
        <f ca="1">_xll.EQNXTDZ($A$1,$B105,F$1,$B$1)</f>
        <v>#NAME?</v>
      </c>
      <c r="G105" s="55" t="e">
        <f ca="1">_xll.EQNXTDZ($A$1,$B105,G$1,$B$1)</f>
        <v>#NAME?</v>
      </c>
      <c r="H105" s="55" t="e">
        <f ca="1">_xll.EQNXTDZ($A$1,$B105,H$1,$B$1)</f>
        <v>#NAME?</v>
      </c>
      <c r="I105" s="55" t="e">
        <f ca="1">_xll.EQNXTDZ($A$1,$B105,I$1,$B$1)</f>
        <v>#NAME?</v>
      </c>
      <c r="J105" s="55" t="e">
        <f ca="1">_xll.EQNXTDZ($A$1,$B105,J$1,$B$1)</f>
        <v>#NAME?</v>
      </c>
      <c r="K105" s="55" t="e">
        <f ca="1">_xll.EQNXTDZ($A$1,$B105,K$1,$B$1)</f>
        <v>#NAME?</v>
      </c>
      <c r="L105" s="55" t="e">
        <f ca="1">_xll.EQNXTDZ($A$1,$B105,L$1,$B$1)</f>
        <v>#NAME?</v>
      </c>
      <c r="M105" s="55" t="e">
        <f ca="1">_xll.EQNXTDZ($A$1,$B105,M$1,$B$1)</f>
        <v>#NAME?</v>
      </c>
      <c r="N105" s="55" t="e">
        <f ca="1">_xll.EQNXTDZ($A$1,$B105,N$1,$B$1)</f>
        <v>#NAME?</v>
      </c>
      <c r="O105" s="55" t="e">
        <f ca="1">_xll.EQNXTDZ($A$1,$B105,O$1,$B$1)</f>
        <v>#NAME?</v>
      </c>
      <c r="P105" s="55" t="e">
        <f ca="1">_xll.EQNXTDZ($A$1,$B105,P$1,$B$1)</f>
        <v>#NAME?</v>
      </c>
      <c r="Q105" s="55" t="e">
        <f ca="1">_xll.EQNXTDZ($A$1,$B105,Q$1,$B$1)</f>
        <v>#NAME?</v>
      </c>
      <c r="R105" s="55" t="e">
        <f ca="1">_xll.EQNXTDZ($A$1,$B105,R$1,$B$1)</f>
        <v>#NAME?</v>
      </c>
      <c r="S105" s="55" t="e">
        <f ca="1">_xll.EQNXTDZ($A$1,$B105,S$1,$B$1)</f>
        <v>#NAME?</v>
      </c>
      <c r="T105" s="55" t="e">
        <f ca="1">_xll.EQNXTDZ($A$1,$B105,T$1,$B$1)</f>
        <v>#NAME?</v>
      </c>
      <c r="U105" s="55" t="e">
        <f ca="1">_xll.EQNXTDZ($A$1,$B105,U$1,$B$1)</f>
        <v>#NAME?</v>
      </c>
      <c r="V105" s="55" t="e">
        <f ca="1">_xll.EQNXTDZ($A$1,$B105,V$1,$B$1)</f>
        <v>#NAME?</v>
      </c>
      <c r="W105" s="55" t="e">
        <f ca="1">_xll.EQNXTDZ($A$1,$B105,W$1,$B$1)</f>
        <v>#NAME?</v>
      </c>
      <c r="X105" s="55" t="e">
        <f ca="1">_xll.EQNXTDZ($A$1,$B105,X$1,$B$1)</f>
        <v>#NAME?</v>
      </c>
      <c r="Y105" s="55" t="e">
        <f ca="1">_xll.EQNXTDZ($A$1,$B105,Y$1,$B$1)</f>
        <v>#NAME?</v>
      </c>
      <c r="Z105" s="55" t="e">
        <f ca="1">_xll.EQNXTDZ($A$1,$B105,Z$1,$B$1)</f>
        <v>#NAME?</v>
      </c>
      <c r="AA105" s="55" t="e">
        <f ca="1">_xll.EQNXTDZ($A$1,$B105,AA$1,$B$1)</f>
        <v>#NAME?</v>
      </c>
      <c r="AB105" s="55" t="e">
        <f ca="1">_xll.EQNXTDZ($A$1,$B105,AB$1,$B$1)</f>
        <v>#NAME?</v>
      </c>
      <c r="AC105" s="55" t="e">
        <f ca="1">_xll.EQNXTDZ($A$1,$B105,AC$1,$B$1)</f>
        <v>#NAME?</v>
      </c>
      <c r="AD105" s="55" t="e">
        <f ca="1">_xll.EQNXTDZ($A$1,$B105,AD$1,$B$1)</f>
        <v>#NAME?</v>
      </c>
      <c r="AE105" s="55" t="e">
        <f ca="1">_xll.EQNXTDZ($A$1,$B105,AE$1,$B$1)</f>
        <v>#NAME?</v>
      </c>
      <c r="AF105" s="55" t="e">
        <f ca="1">_xll.EQNXTDZ($A$1,$B105,AF$1,$B$1)</f>
        <v>#NAME?</v>
      </c>
    </row>
    <row r="106" spans="1:32" x14ac:dyDescent="0.25">
      <c r="A106" t="s">
        <v>316</v>
      </c>
      <c r="B106" t="s">
        <v>322</v>
      </c>
      <c r="C106" s="55" t="e">
        <f ca="1">_xll.EQNXTDZ($A$1,$B106,C$1,$B$1)</f>
        <v>#NAME?</v>
      </c>
      <c r="D106" s="55" t="e">
        <f ca="1">_xll.EQNXTDZ($A$1,$B106,D$1,$B$1)</f>
        <v>#NAME?</v>
      </c>
      <c r="E106" s="55" t="e">
        <f ca="1">_xll.EQNXTDZ($A$1,$B106,E$1,$B$1)</f>
        <v>#NAME?</v>
      </c>
      <c r="F106" s="55" t="e">
        <f ca="1">_xll.EQNXTDZ($A$1,$B106,F$1,$B$1)</f>
        <v>#NAME?</v>
      </c>
      <c r="G106" s="55" t="e">
        <f ca="1">_xll.EQNXTDZ($A$1,$B106,G$1,$B$1)</f>
        <v>#NAME?</v>
      </c>
      <c r="H106" s="55" t="e">
        <f ca="1">_xll.EQNXTDZ($A$1,$B106,H$1,$B$1)</f>
        <v>#NAME?</v>
      </c>
      <c r="I106" s="55" t="e">
        <f ca="1">_xll.EQNXTDZ($A$1,$B106,I$1,$B$1)</f>
        <v>#NAME?</v>
      </c>
      <c r="J106" s="55" t="e">
        <f ca="1">_xll.EQNXTDZ($A$1,$B106,J$1,$B$1)</f>
        <v>#NAME?</v>
      </c>
      <c r="K106" s="55" t="e">
        <f ca="1">_xll.EQNXTDZ($A$1,$B106,K$1,$B$1)</f>
        <v>#NAME?</v>
      </c>
      <c r="L106" s="55" t="e">
        <f ca="1">_xll.EQNXTDZ($A$1,$B106,L$1,$B$1)</f>
        <v>#NAME?</v>
      </c>
      <c r="M106" s="55" t="e">
        <f ca="1">_xll.EQNXTDZ($A$1,$B106,M$1,$B$1)</f>
        <v>#NAME?</v>
      </c>
      <c r="N106" s="55" t="e">
        <f ca="1">_xll.EQNXTDZ($A$1,$B106,N$1,$B$1)</f>
        <v>#NAME?</v>
      </c>
      <c r="O106" s="55" t="e">
        <f ca="1">_xll.EQNXTDZ($A$1,$B106,O$1,$B$1)</f>
        <v>#NAME?</v>
      </c>
      <c r="P106" s="55" t="e">
        <f ca="1">_xll.EQNXTDZ($A$1,$B106,P$1,$B$1)</f>
        <v>#NAME?</v>
      </c>
      <c r="Q106" s="55" t="e">
        <f ca="1">_xll.EQNXTDZ($A$1,$B106,Q$1,$B$1)</f>
        <v>#NAME?</v>
      </c>
      <c r="R106" s="55" t="e">
        <f ca="1">_xll.EQNXTDZ($A$1,$B106,R$1,$B$1)</f>
        <v>#NAME?</v>
      </c>
      <c r="S106" s="55" t="e">
        <f ca="1">_xll.EQNXTDZ($A$1,$B106,S$1,$B$1)</f>
        <v>#NAME?</v>
      </c>
      <c r="T106" s="55" t="e">
        <f ca="1">_xll.EQNXTDZ($A$1,$B106,T$1,$B$1)</f>
        <v>#NAME?</v>
      </c>
      <c r="U106" s="55" t="e">
        <f ca="1">_xll.EQNXTDZ($A$1,$B106,U$1,$B$1)</f>
        <v>#NAME?</v>
      </c>
      <c r="V106" s="55" t="e">
        <f ca="1">_xll.EQNXTDZ($A$1,$B106,V$1,$B$1)</f>
        <v>#NAME?</v>
      </c>
      <c r="W106" s="55" t="e">
        <f ca="1">_xll.EQNXTDZ($A$1,$B106,W$1,$B$1)</f>
        <v>#NAME?</v>
      </c>
      <c r="X106" s="55" t="e">
        <f ca="1">_xll.EQNXTDZ($A$1,$B106,X$1,$B$1)</f>
        <v>#NAME?</v>
      </c>
      <c r="Y106" s="55" t="e">
        <f ca="1">_xll.EQNXTDZ($A$1,$B106,Y$1,$B$1)</f>
        <v>#NAME?</v>
      </c>
      <c r="Z106" s="55" t="e">
        <f ca="1">_xll.EQNXTDZ($A$1,$B106,Z$1,$B$1)</f>
        <v>#NAME?</v>
      </c>
      <c r="AA106" s="55" t="e">
        <f ca="1">_xll.EQNXTDZ($A$1,$B106,AA$1,$B$1)</f>
        <v>#NAME?</v>
      </c>
      <c r="AB106" s="55" t="e">
        <f ca="1">_xll.EQNXTDZ($A$1,$B106,AB$1,$B$1)</f>
        <v>#NAME?</v>
      </c>
      <c r="AC106" s="55" t="e">
        <f ca="1">_xll.EQNXTDZ($A$1,$B106,AC$1,$B$1)</f>
        <v>#NAME?</v>
      </c>
      <c r="AD106" s="55" t="e">
        <f ca="1">_xll.EQNXTDZ($A$1,$B106,AD$1,$B$1)</f>
        <v>#NAME?</v>
      </c>
      <c r="AE106" s="55" t="e">
        <f ca="1">_xll.EQNXTDZ($A$1,$B106,AE$1,$B$1)</f>
        <v>#NAME?</v>
      </c>
      <c r="AF106" s="55" t="e">
        <f ca="1">_xll.EQNXTDZ($A$1,$B106,AF$1,$B$1)</f>
        <v>#NAME?</v>
      </c>
    </row>
    <row r="107" spans="1:32" x14ac:dyDescent="0.25">
      <c r="A107" t="s">
        <v>317</v>
      </c>
      <c r="B107" t="s">
        <v>323</v>
      </c>
      <c r="C107" s="55" t="e">
        <f ca="1">_xll.EQNXTDZ($A$1,$B107,C$1,$B$1)</f>
        <v>#NAME?</v>
      </c>
      <c r="D107" s="55" t="e">
        <f ca="1">_xll.EQNXTDZ($A$1,$B107,D$1,$B$1)</f>
        <v>#NAME?</v>
      </c>
      <c r="E107" s="55" t="e">
        <f ca="1">_xll.EQNXTDZ($A$1,$B107,E$1,$B$1)</f>
        <v>#NAME?</v>
      </c>
      <c r="F107" s="55" t="e">
        <f ca="1">_xll.EQNXTDZ($A$1,$B107,F$1,$B$1)</f>
        <v>#NAME?</v>
      </c>
      <c r="G107" s="55" t="e">
        <f ca="1">_xll.EQNXTDZ($A$1,$B107,G$1,$B$1)</f>
        <v>#NAME?</v>
      </c>
      <c r="H107" s="55" t="e">
        <f ca="1">_xll.EQNXTDZ($A$1,$B107,H$1,$B$1)</f>
        <v>#NAME?</v>
      </c>
      <c r="I107" s="55" t="e">
        <f ca="1">_xll.EQNXTDZ($A$1,$B107,I$1,$B$1)</f>
        <v>#NAME?</v>
      </c>
      <c r="J107" s="55" t="e">
        <f ca="1">_xll.EQNXTDZ($A$1,$B107,J$1,$B$1)</f>
        <v>#NAME?</v>
      </c>
      <c r="K107" s="55" t="e">
        <f ca="1">_xll.EQNXTDZ($A$1,$B107,K$1,$B$1)</f>
        <v>#NAME?</v>
      </c>
      <c r="L107" s="55" t="e">
        <f ca="1">_xll.EQNXTDZ($A$1,$B107,L$1,$B$1)</f>
        <v>#NAME?</v>
      </c>
      <c r="M107" s="55" t="e">
        <f ca="1">_xll.EQNXTDZ($A$1,$B107,M$1,$B$1)</f>
        <v>#NAME?</v>
      </c>
      <c r="N107" s="55" t="e">
        <f ca="1">_xll.EQNXTDZ($A$1,$B107,N$1,$B$1)</f>
        <v>#NAME?</v>
      </c>
      <c r="O107" s="55" t="e">
        <f ca="1">_xll.EQNXTDZ($A$1,$B107,O$1,$B$1)</f>
        <v>#NAME?</v>
      </c>
      <c r="P107" s="55" t="e">
        <f ca="1">_xll.EQNXTDZ($A$1,$B107,P$1,$B$1)</f>
        <v>#NAME?</v>
      </c>
      <c r="Q107" s="55" t="e">
        <f ca="1">_xll.EQNXTDZ($A$1,$B107,Q$1,$B$1)</f>
        <v>#NAME?</v>
      </c>
      <c r="R107" s="55" t="e">
        <f ca="1">_xll.EQNXTDZ($A$1,$B107,R$1,$B$1)</f>
        <v>#NAME?</v>
      </c>
      <c r="S107" s="55" t="e">
        <f ca="1">_xll.EQNXTDZ($A$1,$B107,S$1,$B$1)</f>
        <v>#NAME?</v>
      </c>
      <c r="T107" s="55" t="e">
        <f ca="1">_xll.EQNXTDZ($A$1,$B107,T$1,$B$1)</f>
        <v>#NAME?</v>
      </c>
      <c r="U107" s="55" t="e">
        <f ca="1">_xll.EQNXTDZ($A$1,$B107,U$1,$B$1)</f>
        <v>#NAME?</v>
      </c>
      <c r="V107" s="55" t="e">
        <f ca="1">_xll.EQNXTDZ($A$1,$B107,V$1,$B$1)</f>
        <v>#NAME?</v>
      </c>
      <c r="W107" s="55" t="e">
        <f ca="1">_xll.EQNXTDZ($A$1,$B107,W$1,$B$1)</f>
        <v>#NAME?</v>
      </c>
      <c r="X107" s="55" t="e">
        <f ca="1">_xll.EQNXTDZ($A$1,$B107,X$1,$B$1)</f>
        <v>#NAME?</v>
      </c>
      <c r="Y107" s="55" t="e">
        <f ca="1">_xll.EQNXTDZ($A$1,$B107,Y$1,$B$1)</f>
        <v>#NAME?</v>
      </c>
      <c r="Z107" s="55" t="e">
        <f ca="1">_xll.EQNXTDZ($A$1,$B107,Z$1,$B$1)</f>
        <v>#NAME?</v>
      </c>
      <c r="AA107" s="55" t="e">
        <f ca="1">_xll.EQNXTDZ($A$1,$B107,AA$1,$B$1)</f>
        <v>#NAME?</v>
      </c>
      <c r="AB107" s="55" t="e">
        <f ca="1">_xll.EQNXTDZ($A$1,$B107,AB$1,$B$1)</f>
        <v>#NAME?</v>
      </c>
      <c r="AC107" s="55" t="e">
        <f ca="1">_xll.EQNXTDZ($A$1,$B107,AC$1,$B$1)</f>
        <v>#NAME?</v>
      </c>
      <c r="AD107" s="55" t="e">
        <f ca="1">_xll.EQNXTDZ($A$1,$B107,AD$1,$B$1)</f>
        <v>#NAME?</v>
      </c>
      <c r="AE107" s="55" t="e">
        <f ca="1">_xll.EQNXTDZ($A$1,$B107,AE$1,$B$1)</f>
        <v>#NAME?</v>
      </c>
      <c r="AF107" s="55" t="e">
        <f ca="1">_xll.EQNXTDZ($A$1,$B107,AF$1,$B$1)</f>
        <v>#NAME?</v>
      </c>
    </row>
    <row r="108" spans="1:32" x14ac:dyDescent="0.25">
      <c r="A108" t="s">
        <v>318</v>
      </c>
      <c r="B108" t="s">
        <v>324</v>
      </c>
      <c r="C108" s="55" t="e">
        <f ca="1">_xll.EQNXTDZ($A$1,$B108,C$1,$B$1)</f>
        <v>#NAME?</v>
      </c>
      <c r="D108" s="55" t="e">
        <f ca="1">_xll.EQNXTDZ($A$1,$B108,D$1,$B$1)</f>
        <v>#NAME?</v>
      </c>
      <c r="E108" s="55" t="e">
        <f ca="1">_xll.EQNXTDZ($A$1,$B108,E$1,$B$1)</f>
        <v>#NAME?</v>
      </c>
      <c r="F108" s="55" t="e">
        <f ca="1">_xll.EQNXTDZ($A$1,$B108,F$1,$B$1)</f>
        <v>#NAME?</v>
      </c>
      <c r="G108" s="55" t="e">
        <f ca="1">_xll.EQNXTDZ($A$1,$B108,G$1,$B$1)</f>
        <v>#NAME?</v>
      </c>
      <c r="H108" s="55" t="e">
        <f ca="1">_xll.EQNXTDZ($A$1,$B108,H$1,$B$1)</f>
        <v>#NAME?</v>
      </c>
      <c r="I108" s="55" t="e">
        <f ca="1">_xll.EQNXTDZ($A$1,$B108,I$1,$B$1)</f>
        <v>#NAME?</v>
      </c>
      <c r="J108" s="55" t="e">
        <f ca="1">_xll.EQNXTDZ($A$1,$B108,J$1,$B$1)</f>
        <v>#NAME?</v>
      </c>
      <c r="K108" s="55" t="e">
        <f ca="1">_xll.EQNXTDZ($A$1,$B108,K$1,$B$1)</f>
        <v>#NAME?</v>
      </c>
      <c r="L108" s="55" t="e">
        <f ca="1">_xll.EQNXTDZ($A$1,$B108,L$1,$B$1)</f>
        <v>#NAME?</v>
      </c>
      <c r="M108" s="55" t="e">
        <f ca="1">_xll.EQNXTDZ($A$1,$B108,M$1,$B$1)</f>
        <v>#NAME?</v>
      </c>
      <c r="N108" s="55" t="e">
        <f ca="1">_xll.EQNXTDZ($A$1,$B108,N$1,$B$1)</f>
        <v>#NAME?</v>
      </c>
      <c r="O108" s="55" t="e">
        <f ca="1">_xll.EQNXTDZ($A$1,$B108,O$1,$B$1)</f>
        <v>#NAME?</v>
      </c>
      <c r="P108" s="55" t="e">
        <f ca="1">_xll.EQNXTDZ($A$1,$B108,P$1,$B$1)</f>
        <v>#NAME?</v>
      </c>
      <c r="Q108" s="55" t="e">
        <f ca="1">_xll.EQNXTDZ($A$1,$B108,Q$1,$B$1)</f>
        <v>#NAME?</v>
      </c>
      <c r="R108" s="55" t="e">
        <f ca="1">_xll.EQNXTDZ($A$1,$B108,R$1,$B$1)</f>
        <v>#NAME?</v>
      </c>
      <c r="S108" s="55" t="e">
        <f ca="1">_xll.EQNXTDZ($A$1,$B108,S$1,$B$1)</f>
        <v>#NAME?</v>
      </c>
      <c r="T108" s="55" t="e">
        <f ca="1">_xll.EQNXTDZ($A$1,$B108,T$1,$B$1)</f>
        <v>#NAME?</v>
      </c>
      <c r="U108" s="55" t="e">
        <f ca="1">_xll.EQNXTDZ($A$1,$B108,U$1,$B$1)</f>
        <v>#NAME?</v>
      </c>
      <c r="V108" s="55" t="e">
        <f ca="1">_xll.EQNXTDZ($A$1,$B108,V$1,$B$1)</f>
        <v>#NAME?</v>
      </c>
      <c r="W108" s="55" t="e">
        <f ca="1">_xll.EQNXTDZ($A$1,$B108,W$1,$B$1)</f>
        <v>#NAME?</v>
      </c>
      <c r="X108" s="55" t="e">
        <f ca="1">_xll.EQNXTDZ($A$1,$B108,X$1,$B$1)</f>
        <v>#NAME?</v>
      </c>
      <c r="Y108" s="55" t="e">
        <f ca="1">_xll.EQNXTDZ($A$1,$B108,Y$1,$B$1)</f>
        <v>#NAME?</v>
      </c>
      <c r="Z108" s="55" t="e">
        <f ca="1">_xll.EQNXTDZ($A$1,$B108,Z$1,$B$1)</f>
        <v>#NAME?</v>
      </c>
      <c r="AA108" s="55" t="e">
        <f ca="1">_xll.EQNXTDZ($A$1,$B108,AA$1,$B$1)</f>
        <v>#NAME?</v>
      </c>
      <c r="AB108" s="55" t="e">
        <f ca="1">_xll.EQNXTDZ($A$1,$B108,AB$1,$B$1)</f>
        <v>#NAME?</v>
      </c>
      <c r="AC108" s="55" t="e">
        <f ca="1">_xll.EQNXTDZ($A$1,$B108,AC$1,$B$1)</f>
        <v>#NAME?</v>
      </c>
      <c r="AD108" s="55" t="e">
        <f ca="1">_xll.EQNXTDZ($A$1,$B108,AD$1,$B$1)</f>
        <v>#NAME?</v>
      </c>
      <c r="AE108" s="55" t="e">
        <f ca="1">_xll.EQNXTDZ($A$1,$B108,AE$1,$B$1)</f>
        <v>#NAME?</v>
      </c>
      <c r="AF108" s="55" t="e">
        <f ca="1">_xll.EQNXTDZ($A$1,$B108,AF$1,$B$1)</f>
        <v>#NAME?</v>
      </c>
    </row>
    <row r="109" spans="1:32" x14ac:dyDescent="0.25">
      <c r="A109" t="s">
        <v>319</v>
      </c>
      <c r="B109" t="s">
        <v>325</v>
      </c>
      <c r="C109" s="55" t="e">
        <f ca="1">_xll.EQNXTDZ($A$1,$B109,C$1,$B$1)</f>
        <v>#NAME?</v>
      </c>
      <c r="D109" s="55" t="e">
        <f ca="1">_xll.EQNXTDZ($A$1,$B109,D$1,$B$1)</f>
        <v>#NAME?</v>
      </c>
      <c r="E109" s="55" t="e">
        <f ca="1">_xll.EQNXTDZ($A$1,$B109,E$1,$B$1)</f>
        <v>#NAME?</v>
      </c>
      <c r="F109" s="55" t="e">
        <f ca="1">_xll.EQNXTDZ($A$1,$B109,F$1,$B$1)</f>
        <v>#NAME?</v>
      </c>
      <c r="G109" s="55" t="e">
        <f ca="1">_xll.EQNXTDZ($A$1,$B109,G$1,$B$1)</f>
        <v>#NAME?</v>
      </c>
      <c r="H109" s="55" t="e">
        <f ca="1">_xll.EQNXTDZ($A$1,$B109,H$1,$B$1)</f>
        <v>#NAME?</v>
      </c>
      <c r="I109" s="55" t="e">
        <f ca="1">_xll.EQNXTDZ($A$1,$B109,I$1,$B$1)</f>
        <v>#NAME?</v>
      </c>
      <c r="J109" s="55" t="e">
        <f ca="1">_xll.EQNXTDZ($A$1,$B109,J$1,$B$1)</f>
        <v>#NAME?</v>
      </c>
      <c r="K109" s="55" t="e">
        <f ca="1">_xll.EQNXTDZ($A$1,$B109,K$1,$B$1)</f>
        <v>#NAME?</v>
      </c>
      <c r="L109" s="55" t="e">
        <f ca="1">_xll.EQNXTDZ($A$1,$B109,L$1,$B$1)</f>
        <v>#NAME?</v>
      </c>
      <c r="M109" s="55" t="e">
        <f ca="1">_xll.EQNXTDZ($A$1,$B109,M$1,$B$1)</f>
        <v>#NAME?</v>
      </c>
      <c r="N109" s="55" t="e">
        <f ca="1">_xll.EQNXTDZ($A$1,$B109,N$1,$B$1)</f>
        <v>#NAME?</v>
      </c>
      <c r="O109" s="55" t="e">
        <f ca="1">_xll.EQNXTDZ($A$1,$B109,O$1,$B$1)</f>
        <v>#NAME?</v>
      </c>
      <c r="P109" s="55" t="e">
        <f ca="1">_xll.EQNXTDZ($A$1,$B109,P$1,$B$1)</f>
        <v>#NAME?</v>
      </c>
      <c r="Q109" s="55" t="e">
        <f ca="1">_xll.EQNXTDZ($A$1,$B109,Q$1,$B$1)</f>
        <v>#NAME?</v>
      </c>
      <c r="R109" s="55" t="e">
        <f ca="1">_xll.EQNXTDZ($A$1,$B109,R$1,$B$1)</f>
        <v>#NAME?</v>
      </c>
      <c r="S109" s="55" t="e">
        <f ca="1">_xll.EQNXTDZ($A$1,$B109,S$1,$B$1)</f>
        <v>#NAME?</v>
      </c>
      <c r="T109" s="55" t="e">
        <f ca="1">_xll.EQNXTDZ($A$1,$B109,T$1,$B$1)</f>
        <v>#NAME?</v>
      </c>
      <c r="U109" s="55" t="e">
        <f ca="1">_xll.EQNXTDZ($A$1,$B109,U$1,$B$1)</f>
        <v>#NAME?</v>
      </c>
      <c r="V109" s="55" t="e">
        <f ca="1">_xll.EQNXTDZ($A$1,$B109,V$1,$B$1)</f>
        <v>#NAME?</v>
      </c>
      <c r="W109" s="55" t="e">
        <f ca="1">_xll.EQNXTDZ($A$1,$B109,W$1,$B$1)</f>
        <v>#NAME?</v>
      </c>
      <c r="X109" s="55" t="e">
        <f ca="1">_xll.EQNXTDZ($A$1,$B109,X$1,$B$1)</f>
        <v>#NAME?</v>
      </c>
      <c r="Y109" s="55" t="e">
        <f ca="1">_xll.EQNXTDZ($A$1,$B109,Y$1,$B$1)</f>
        <v>#NAME?</v>
      </c>
      <c r="Z109" s="55" t="e">
        <f ca="1">_xll.EQNXTDZ($A$1,$B109,Z$1,$B$1)</f>
        <v>#NAME?</v>
      </c>
      <c r="AA109" s="55" t="e">
        <f ca="1">_xll.EQNXTDZ($A$1,$B109,AA$1,$B$1)</f>
        <v>#NAME?</v>
      </c>
      <c r="AB109" s="55" t="e">
        <f ca="1">_xll.EQNXTDZ($A$1,$B109,AB$1,$B$1)</f>
        <v>#NAME?</v>
      </c>
      <c r="AC109" s="55" t="e">
        <f ca="1">_xll.EQNXTDZ($A$1,$B109,AC$1,$B$1)</f>
        <v>#NAME?</v>
      </c>
      <c r="AD109" s="55" t="e">
        <f ca="1">_xll.EQNXTDZ($A$1,$B109,AD$1,$B$1)</f>
        <v>#NAME?</v>
      </c>
      <c r="AE109" s="55" t="e">
        <f ca="1">_xll.EQNXTDZ($A$1,$B109,AE$1,$B$1)</f>
        <v>#NAME?</v>
      </c>
      <c r="AF109" s="55" t="e">
        <f ca="1">_xll.EQNXTDZ($A$1,$B109,AF$1,$B$1)</f>
        <v>#NAME?</v>
      </c>
    </row>
    <row r="110" spans="1:32" x14ac:dyDescent="0.25">
      <c r="A110" t="s">
        <v>326</v>
      </c>
      <c r="B110" t="s">
        <v>328</v>
      </c>
      <c r="C110" s="55" t="e">
        <f ca="1">_xll.EQNXTDZ($A$1,$B110,C$1,$B$1)</f>
        <v>#NAME?</v>
      </c>
      <c r="D110" s="55" t="e">
        <f ca="1">_xll.EQNXTDZ($A$1,$B110,D$1,$B$1)</f>
        <v>#NAME?</v>
      </c>
      <c r="E110" s="55" t="e">
        <f ca="1">_xll.EQNXTDZ($A$1,$B110,E$1,$B$1)</f>
        <v>#NAME?</v>
      </c>
      <c r="F110" s="55" t="e">
        <f ca="1">_xll.EQNXTDZ($A$1,$B110,F$1,$B$1)</f>
        <v>#NAME?</v>
      </c>
      <c r="G110" s="55" t="e">
        <f ca="1">_xll.EQNXTDZ($A$1,$B110,G$1,$B$1)</f>
        <v>#NAME?</v>
      </c>
      <c r="H110" s="55" t="e">
        <f ca="1">_xll.EQNXTDZ($A$1,$B110,H$1,$B$1)</f>
        <v>#NAME?</v>
      </c>
      <c r="I110" s="55" t="e">
        <f ca="1">_xll.EQNXTDZ($A$1,$B110,I$1,$B$1)</f>
        <v>#NAME?</v>
      </c>
      <c r="J110" s="55" t="e">
        <f ca="1">_xll.EQNXTDZ($A$1,$B110,J$1,$B$1)</f>
        <v>#NAME?</v>
      </c>
      <c r="K110" s="55" t="e">
        <f ca="1">_xll.EQNXTDZ($A$1,$B110,K$1,$B$1)</f>
        <v>#NAME?</v>
      </c>
      <c r="L110" s="55" t="e">
        <f ca="1">_xll.EQNXTDZ($A$1,$B110,L$1,$B$1)</f>
        <v>#NAME?</v>
      </c>
      <c r="M110" s="55" t="e">
        <f ca="1">_xll.EQNXTDZ($A$1,$B110,M$1,$B$1)</f>
        <v>#NAME?</v>
      </c>
      <c r="N110" s="55" t="e">
        <f ca="1">_xll.EQNXTDZ($A$1,$B110,N$1,$B$1)</f>
        <v>#NAME?</v>
      </c>
      <c r="O110" s="55" t="e">
        <f ca="1">_xll.EQNXTDZ($A$1,$B110,O$1,$B$1)</f>
        <v>#NAME?</v>
      </c>
      <c r="P110" s="55" t="e">
        <f ca="1">_xll.EQNXTDZ($A$1,$B110,P$1,$B$1)</f>
        <v>#NAME?</v>
      </c>
      <c r="Q110" s="55" t="e">
        <f ca="1">_xll.EQNXTDZ($A$1,$B110,Q$1,$B$1)</f>
        <v>#NAME?</v>
      </c>
      <c r="R110" s="55" t="e">
        <f ca="1">_xll.EQNXTDZ($A$1,$B110,R$1,$B$1)</f>
        <v>#NAME?</v>
      </c>
      <c r="S110" s="55" t="e">
        <f ca="1">_xll.EQNXTDZ($A$1,$B110,S$1,$B$1)</f>
        <v>#NAME?</v>
      </c>
      <c r="T110" s="55" t="e">
        <f ca="1">_xll.EQNXTDZ($A$1,$B110,T$1,$B$1)</f>
        <v>#NAME?</v>
      </c>
      <c r="U110" s="55" t="e">
        <f ca="1">_xll.EQNXTDZ($A$1,$B110,U$1,$B$1)</f>
        <v>#NAME?</v>
      </c>
      <c r="V110" s="55" t="e">
        <f ca="1">_xll.EQNXTDZ($A$1,$B110,V$1,$B$1)</f>
        <v>#NAME?</v>
      </c>
      <c r="W110" s="55" t="e">
        <f ca="1">_xll.EQNXTDZ($A$1,$B110,W$1,$B$1)</f>
        <v>#NAME?</v>
      </c>
      <c r="X110" s="55" t="e">
        <f ca="1">_xll.EQNXTDZ($A$1,$B110,X$1,$B$1)</f>
        <v>#NAME?</v>
      </c>
      <c r="Y110" s="55" t="e">
        <f ca="1">_xll.EQNXTDZ($A$1,$B110,Y$1,$B$1)</f>
        <v>#NAME?</v>
      </c>
      <c r="Z110" s="55" t="e">
        <f ca="1">_xll.EQNXTDZ($A$1,$B110,Z$1,$B$1)</f>
        <v>#NAME?</v>
      </c>
      <c r="AA110" s="55" t="e">
        <f ca="1">_xll.EQNXTDZ($A$1,$B110,AA$1,$B$1)</f>
        <v>#NAME?</v>
      </c>
      <c r="AB110" s="55" t="e">
        <f ca="1">_xll.EQNXTDZ($A$1,$B110,AB$1,$B$1)</f>
        <v>#NAME?</v>
      </c>
      <c r="AC110" s="55" t="e">
        <f ca="1">_xll.EQNXTDZ($A$1,$B110,AC$1,$B$1)</f>
        <v>#NAME?</v>
      </c>
      <c r="AD110" s="55" t="e">
        <f ca="1">_xll.EQNXTDZ($A$1,$B110,AD$1,$B$1)</f>
        <v>#NAME?</v>
      </c>
      <c r="AE110" s="55" t="e">
        <f ca="1">_xll.EQNXTDZ($A$1,$B110,AE$1,$B$1)</f>
        <v>#NAME?</v>
      </c>
      <c r="AF110" s="55" t="e">
        <f ca="1">_xll.EQNXTDZ($A$1,$B110,AF$1,$B$1)</f>
        <v>#NAME?</v>
      </c>
    </row>
    <row r="111" spans="1:32" x14ac:dyDescent="0.25">
      <c r="A111" t="s">
        <v>252</v>
      </c>
      <c r="B111" t="s">
        <v>329</v>
      </c>
      <c r="C111" s="56" t="e">
        <f ca="1">_xll.EQNXTDZ($A$1,$B111,C$5)</f>
        <v>#NAME?</v>
      </c>
      <c r="D111" s="56" t="e">
        <f ca="1">_xll.EQNXTDZ($A$1,$B111,D$5)</f>
        <v>#NAME?</v>
      </c>
      <c r="E111" s="56" t="e">
        <f ca="1">_xll.EQNXTDZ($A$1,$B111,E$5)</f>
        <v>#NAME?</v>
      </c>
      <c r="F111" s="56" t="e">
        <f ca="1">_xll.EQNXTDZ($A$1,$B111,F$5)</f>
        <v>#NAME?</v>
      </c>
      <c r="G111" s="56" t="e">
        <f ca="1">_xll.EQNXTDZ($A$1,$B111,G$5)</f>
        <v>#NAME?</v>
      </c>
      <c r="H111" s="56" t="e">
        <f ca="1">_xll.EQNXTDZ($A$1,$B111,H$5)</f>
        <v>#NAME?</v>
      </c>
      <c r="I111" s="56" t="e">
        <f ca="1">_xll.EQNXTDZ($A$1,$B111,I$5)</f>
        <v>#NAME?</v>
      </c>
      <c r="J111" s="56" t="e">
        <f ca="1">_xll.EQNXTDZ($A$1,$B111,J$5)</f>
        <v>#NAME?</v>
      </c>
      <c r="K111" s="56" t="e">
        <f ca="1">_xll.EQNXTDZ($A$1,$B111,K$5)</f>
        <v>#NAME?</v>
      </c>
      <c r="L111" s="56" t="e">
        <f ca="1">_xll.EQNXTDZ($A$1,$B111,L$5)</f>
        <v>#NAME?</v>
      </c>
      <c r="M111" s="56" t="e">
        <f ca="1">_xll.EQNXTDZ($A$1,$B111,M$5)</f>
        <v>#NAME?</v>
      </c>
      <c r="N111" s="56" t="e">
        <f ca="1">_xll.EQNXTDZ($A$1,$B111,N$5)</f>
        <v>#NAME?</v>
      </c>
      <c r="O111" s="56" t="e">
        <f ca="1">_xll.EQNXTDZ($A$1,$B111,O$5)</f>
        <v>#NAME?</v>
      </c>
      <c r="P111" s="56" t="e">
        <f ca="1">_xll.EQNXTDZ($A$1,$B111,P$5)</f>
        <v>#NAME?</v>
      </c>
      <c r="Q111" s="56" t="e">
        <f ca="1">_xll.EQNXTDZ($A$1,$B111,Q$5)</f>
        <v>#NAME?</v>
      </c>
      <c r="R111" s="56" t="e">
        <f ca="1">_xll.EQNXTDZ($A$1,$B111,R$5)</f>
        <v>#NAME?</v>
      </c>
      <c r="S111" s="56" t="e">
        <f ca="1">_xll.EQNXTDZ($A$1,$B111,S$5)</f>
        <v>#NAME?</v>
      </c>
      <c r="T111" s="56" t="e">
        <f ca="1">_xll.EQNXTDZ($A$1,$B111,T$5)</f>
        <v>#NAME?</v>
      </c>
      <c r="U111" s="56" t="e">
        <f ca="1">_xll.EQNXTDZ($A$1,$B111,U$5)</f>
        <v>#NAME?</v>
      </c>
      <c r="V111" s="56" t="e">
        <f ca="1">_xll.EQNXTDZ($A$1,$B111,V$5)</f>
        <v>#NAME?</v>
      </c>
      <c r="W111" s="56" t="e">
        <f ca="1">_xll.EQNXTDZ($A$1,$B111,W$5)</f>
        <v>#NAME?</v>
      </c>
      <c r="X111" s="56" t="e">
        <f ca="1">_xll.EQNXTDZ($A$1,$B111,X$5)</f>
        <v>#NAME?</v>
      </c>
      <c r="Y111" s="56" t="e">
        <f ca="1">_xll.EQNXTDZ($A$1,$B111,Y$5)</f>
        <v>#NAME?</v>
      </c>
      <c r="Z111" s="56" t="e">
        <f ca="1">_xll.EQNXTDZ($A$1,$B111,Z$5)</f>
        <v>#NAME?</v>
      </c>
      <c r="AA111" s="56" t="e">
        <f ca="1">_xll.EQNXTDZ($A$1,$B111,AA$5)</f>
        <v>#NAME?</v>
      </c>
      <c r="AB111" s="56" t="e">
        <f ca="1">_xll.EQNXTDZ($A$1,$B111,AB$5)</f>
        <v>#NAME?</v>
      </c>
      <c r="AC111" s="56" t="e">
        <f ca="1">_xll.EQNXTDZ($A$1,$B111,AC$5)</f>
        <v>#NAME?</v>
      </c>
      <c r="AD111" s="56" t="e">
        <f ca="1">_xll.EQNXTDZ($A$1,$B111,AD$5)</f>
        <v>#NAME?</v>
      </c>
      <c r="AE111" s="56" t="e">
        <f ca="1">_xll.EQNXTDZ($A$1,$B111,AE$5)</f>
        <v>#NAME?</v>
      </c>
      <c r="AF111" s="56" t="e">
        <f ca="1">_xll.EQNXTDZ($A$1,$B111,AF$5)</f>
        <v>#NAME?</v>
      </c>
    </row>
    <row r="112" spans="1:32" x14ac:dyDescent="0.25">
      <c r="A112" t="s">
        <v>327</v>
      </c>
      <c r="B112" t="s">
        <v>330</v>
      </c>
      <c r="C112" s="56" t="e">
        <f ca="1">_xll.EQNXTDZ($A$1,$B112,C$5)</f>
        <v>#NAME?</v>
      </c>
      <c r="D112" s="56" t="e">
        <f ca="1">_xll.EQNXTDZ($A$1,$B112,D$5)</f>
        <v>#NAME?</v>
      </c>
      <c r="E112" s="56" t="e">
        <f ca="1">_xll.EQNXTDZ($A$1,$B112,E$5)</f>
        <v>#NAME?</v>
      </c>
      <c r="F112" s="56" t="e">
        <f ca="1">_xll.EQNXTDZ($A$1,$B112,F$5)</f>
        <v>#NAME?</v>
      </c>
      <c r="G112" s="56" t="e">
        <f ca="1">_xll.EQNXTDZ($A$1,$B112,G$5)</f>
        <v>#NAME?</v>
      </c>
      <c r="H112" s="56" t="e">
        <f ca="1">_xll.EQNXTDZ($A$1,$B112,H$5)</f>
        <v>#NAME?</v>
      </c>
      <c r="I112" s="56" t="e">
        <f ca="1">_xll.EQNXTDZ($A$1,$B112,I$5)</f>
        <v>#NAME?</v>
      </c>
      <c r="J112" s="56" t="e">
        <f ca="1">_xll.EQNXTDZ($A$1,$B112,J$5)</f>
        <v>#NAME?</v>
      </c>
      <c r="K112" s="56" t="e">
        <f ca="1">_xll.EQNXTDZ($A$1,$B112,K$5)</f>
        <v>#NAME?</v>
      </c>
      <c r="L112" s="56" t="e">
        <f ca="1">_xll.EQNXTDZ($A$1,$B112,L$5)</f>
        <v>#NAME?</v>
      </c>
      <c r="M112" s="56" t="e">
        <f ca="1">_xll.EQNXTDZ($A$1,$B112,M$5)</f>
        <v>#NAME?</v>
      </c>
      <c r="N112" s="56" t="e">
        <f ca="1">_xll.EQNXTDZ($A$1,$B112,N$5)</f>
        <v>#NAME?</v>
      </c>
      <c r="O112" s="56" t="e">
        <f ca="1">_xll.EQNXTDZ($A$1,$B112,O$5)</f>
        <v>#NAME?</v>
      </c>
      <c r="P112" s="56" t="e">
        <f ca="1">_xll.EQNXTDZ($A$1,$B112,P$5)</f>
        <v>#NAME?</v>
      </c>
      <c r="Q112" s="56" t="e">
        <f ca="1">_xll.EQNXTDZ($A$1,$B112,Q$5)</f>
        <v>#NAME?</v>
      </c>
      <c r="R112" s="56" t="e">
        <f ca="1">_xll.EQNXTDZ($A$1,$B112,R$5)</f>
        <v>#NAME?</v>
      </c>
      <c r="S112" s="56" t="e">
        <f ca="1">_xll.EQNXTDZ($A$1,$B112,S$5)</f>
        <v>#NAME?</v>
      </c>
      <c r="T112" s="56" t="e">
        <f ca="1">_xll.EQNXTDZ($A$1,$B112,T$5)</f>
        <v>#NAME?</v>
      </c>
      <c r="U112" s="56" t="e">
        <f ca="1">_xll.EQNXTDZ($A$1,$B112,U$5)</f>
        <v>#NAME?</v>
      </c>
      <c r="V112" s="56" t="e">
        <f ca="1">_xll.EQNXTDZ($A$1,$B112,V$5)</f>
        <v>#NAME?</v>
      </c>
      <c r="W112" s="56" t="e">
        <f ca="1">_xll.EQNXTDZ($A$1,$B112,W$5)</f>
        <v>#NAME?</v>
      </c>
      <c r="X112" s="56" t="e">
        <f ca="1">_xll.EQNXTDZ($A$1,$B112,X$5)</f>
        <v>#NAME?</v>
      </c>
      <c r="Y112" s="56" t="e">
        <f ca="1">_xll.EQNXTDZ($A$1,$B112,Y$5)</f>
        <v>#NAME?</v>
      </c>
      <c r="Z112" s="56" t="e">
        <f ca="1">_xll.EQNXTDZ($A$1,$B112,Z$5)</f>
        <v>#NAME?</v>
      </c>
      <c r="AA112" s="56" t="e">
        <f ca="1">_xll.EQNXTDZ($A$1,$B112,AA$5)</f>
        <v>#NAME?</v>
      </c>
      <c r="AB112" s="56" t="e">
        <f ca="1">_xll.EQNXTDZ($A$1,$B112,AB$5)</f>
        <v>#NAME?</v>
      </c>
      <c r="AC112" s="56" t="e">
        <f ca="1">_xll.EQNXTDZ($A$1,$B112,AC$5)</f>
        <v>#NAME?</v>
      </c>
      <c r="AD112" s="56" t="e">
        <f ca="1">_xll.EQNXTDZ($A$1,$B112,AD$5)</f>
        <v>#NAME?</v>
      </c>
      <c r="AE112" s="56" t="e">
        <f ca="1">_xll.EQNXTDZ($A$1,$B112,AE$5)</f>
        <v>#NAME?</v>
      </c>
      <c r="AF112" s="56" t="e">
        <f ca="1">_xll.EQNXTDZ($A$1,$B112,AF$5)</f>
        <v>#NAME?</v>
      </c>
    </row>
    <row r="113" spans="1:32" x14ac:dyDescent="0.25">
      <c r="A113" t="s">
        <v>332</v>
      </c>
      <c r="B113" t="s">
        <v>331</v>
      </c>
      <c r="C113" s="56" t="e">
        <f ca="1">_xll.EQNXTDZ($A$1,$B113,C$5)</f>
        <v>#NAME?</v>
      </c>
      <c r="D113" s="56" t="e">
        <f ca="1">_xll.EQNXTDZ($A$1,$B113,D$5)</f>
        <v>#NAME?</v>
      </c>
      <c r="E113" s="56" t="e">
        <f ca="1">_xll.EQNXTDZ($A$1,$B113,E$5)</f>
        <v>#NAME?</v>
      </c>
      <c r="F113" s="56" t="e">
        <f ca="1">_xll.EQNXTDZ($A$1,$B113,F$5)</f>
        <v>#NAME?</v>
      </c>
      <c r="G113" s="56" t="e">
        <f ca="1">_xll.EQNXTDZ($A$1,$B113,G$5)</f>
        <v>#NAME?</v>
      </c>
      <c r="H113" s="56" t="e">
        <f ca="1">_xll.EQNXTDZ($A$1,$B113,H$5)</f>
        <v>#NAME?</v>
      </c>
      <c r="I113" s="56" t="e">
        <f ca="1">_xll.EQNXTDZ($A$1,$B113,I$5)</f>
        <v>#NAME?</v>
      </c>
      <c r="J113" s="56" t="e">
        <f ca="1">_xll.EQNXTDZ($A$1,$B113,J$5)</f>
        <v>#NAME?</v>
      </c>
      <c r="K113" s="56" t="e">
        <f ca="1">_xll.EQNXTDZ($A$1,$B113,K$5)</f>
        <v>#NAME?</v>
      </c>
      <c r="L113" s="56" t="e">
        <f ca="1">_xll.EQNXTDZ($A$1,$B113,L$5)</f>
        <v>#NAME?</v>
      </c>
      <c r="M113" s="56" t="e">
        <f ca="1">_xll.EQNXTDZ($A$1,$B113,M$5)</f>
        <v>#NAME?</v>
      </c>
      <c r="N113" s="56" t="e">
        <f ca="1">_xll.EQNXTDZ($A$1,$B113,N$5)</f>
        <v>#NAME?</v>
      </c>
      <c r="O113" s="56" t="e">
        <f ca="1">_xll.EQNXTDZ($A$1,$B113,O$5)</f>
        <v>#NAME?</v>
      </c>
      <c r="P113" s="56" t="e">
        <f ca="1">_xll.EQNXTDZ($A$1,$B113,P$5)</f>
        <v>#NAME?</v>
      </c>
      <c r="Q113" s="56" t="e">
        <f ca="1">_xll.EQNXTDZ($A$1,$B113,Q$5)</f>
        <v>#NAME?</v>
      </c>
      <c r="R113" s="56" t="e">
        <f ca="1">_xll.EQNXTDZ($A$1,$B113,R$5)</f>
        <v>#NAME?</v>
      </c>
      <c r="S113" s="56" t="e">
        <f ca="1">_xll.EQNXTDZ($A$1,$B113,S$5)</f>
        <v>#NAME?</v>
      </c>
      <c r="T113" s="56" t="e">
        <f ca="1">_xll.EQNXTDZ($A$1,$B113,T$5)</f>
        <v>#NAME?</v>
      </c>
      <c r="U113" s="56" t="e">
        <f ca="1">_xll.EQNXTDZ($A$1,$B113,U$5)</f>
        <v>#NAME?</v>
      </c>
      <c r="V113" s="56" t="e">
        <f ca="1">_xll.EQNXTDZ($A$1,$B113,V$5)</f>
        <v>#NAME?</v>
      </c>
      <c r="W113" s="56" t="e">
        <f ca="1">_xll.EQNXTDZ($A$1,$B113,W$5)</f>
        <v>#NAME?</v>
      </c>
      <c r="X113" s="56" t="e">
        <f ca="1">_xll.EQNXTDZ($A$1,$B113,X$5)</f>
        <v>#NAME?</v>
      </c>
      <c r="Y113" s="56" t="e">
        <f ca="1">_xll.EQNXTDZ($A$1,$B113,Y$5)</f>
        <v>#NAME?</v>
      </c>
      <c r="Z113" s="56" t="e">
        <f ca="1">_xll.EQNXTDZ($A$1,$B113,Z$5)</f>
        <v>#NAME?</v>
      </c>
      <c r="AA113" s="56" t="e">
        <f ca="1">_xll.EQNXTDZ($A$1,$B113,AA$5)</f>
        <v>#NAME?</v>
      </c>
      <c r="AB113" s="56" t="e">
        <f ca="1">_xll.EQNXTDZ($A$1,$B113,AB$5)</f>
        <v>#NAME?</v>
      </c>
      <c r="AC113" s="56" t="e">
        <f ca="1">_xll.EQNXTDZ($A$1,$B113,AC$5)</f>
        <v>#NAME?</v>
      </c>
      <c r="AD113" s="56" t="e">
        <f ca="1">_xll.EQNXTDZ($A$1,$B113,AD$5)</f>
        <v>#NAME?</v>
      </c>
      <c r="AE113" s="56" t="e">
        <f ca="1">_xll.EQNXTDZ($A$1,$B113,AE$5)</f>
        <v>#NAME?</v>
      </c>
      <c r="AF113" s="56" t="e">
        <f ca="1">_xll.EQNXTDZ($A$1,$B113,AF$5)</f>
        <v>#NAME?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132406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t="e" cm="1">
        <f t="array" aca="1" ref="C5" ca="1">_xll.EQNXTDZ($A$1,$B5,C$1)</f>
        <v>#NAME?</v>
      </c>
      <c r="D5" t="e" cm="1">
        <f t="array" aca="1" ref="D5" ca="1">_xll.EQNXTDZ($A$1,$B5,D$1)</f>
        <v>#NAME?</v>
      </c>
      <c r="E5" t="e" cm="1">
        <f t="array" aca="1" ref="E5" ca="1">_xll.EQNXTDZ($A$1,$B5,E$1)</f>
        <v>#NAME?</v>
      </c>
      <c r="F5" t="e" cm="1">
        <f t="array" aca="1" ref="F5" ca="1">_xll.EQNXTDZ($A$1,$B5,F$1)</f>
        <v>#NAME?</v>
      </c>
      <c r="G5" t="e" cm="1">
        <f t="array" aca="1" ref="G5" ca="1">_xll.EQNXTDZ($A$1,$B5,G$1)</f>
        <v>#NAME?</v>
      </c>
      <c r="H5" t="e" cm="1">
        <f t="array" aca="1" ref="H5" ca="1">_xll.EQNXTDZ($A$1,$B5,H$1)</f>
        <v>#NAME?</v>
      </c>
      <c r="I5" t="e" cm="1">
        <f t="array" aca="1" ref="I5" ca="1">_xll.EQNXTDZ($A$1,$B5,I$1)</f>
        <v>#NAME?</v>
      </c>
      <c r="J5" t="e" cm="1">
        <f t="array" aca="1" ref="J5" ca="1">_xll.EQNXTDZ($A$1,$B5,J$1)</f>
        <v>#NAME?</v>
      </c>
      <c r="K5" t="e" cm="1">
        <f t="array" aca="1" ref="K5" ca="1">_xll.EQNXTDZ($A$1,$B5,K$1)</f>
        <v>#NAME?</v>
      </c>
      <c r="L5" t="e" cm="1">
        <f t="array" aca="1" ref="L5" ca="1">_xll.EQNXTDZ($A$1,$B5,L$1)</f>
        <v>#NAME?</v>
      </c>
      <c r="M5" t="e" cm="1">
        <f t="array" aca="1" ref="M5" ca="1">_xll.EQNXTDZ($A$1,$B5,M$1)</f>
        <v>#NAME?</v>
      </c>
      <c r="N5" t="e" cm="1">
        <f t="array" aca="1" ref="N5" ca="1">_xll.EQNXTDZ($A$1,$B5,N$1)</f>
        <v>#NAME?</v>
      </c>
      <c r="O5" t="e" cm="1">
        <f t="array" aca="1" ref="O5" ca="1">_xll.EQNXTDZ($A$1,$B5,O$1)</f>
        <v>#NAME?</v>
      </c>
      <c r="P5" t="e" cm="1">
        <f t="array" aca="1" ref="P5" ca="1">_xll.EQNXTDZ($A$1,$B5,P$1)</f>
        <v>#NAME?</v>
      </c>
      <c r="Q5" t="e" cm="1">
        <f t="array" aca="1" ref="Q5" ca="1">_xll.EQNXTDZ($A$1,$B5,Q$1)</f>
        <v>#NAME?</v>
      </c>
      <c r="R5" t="e" cm="1">
        <f t="array" aca="1" ref="R5" ca="1">_xll.EQNXTDZ($A$1,$B5,R$1)</f>
        <v>#NAME?</v>
      </c>
      <c r="S5" t="e" cm="1">
        <f t="array" aca="1" ref="S5" ca="1">_xll.EQNXTDZ($A$1,$B5,S$1)</f>
        <v>#NAME?</v>
      </c>
      <c r="T5" t="e" cm="1">
        <f t="array" aca="1" ref="T5" ca="1">_xll.EQNXTDZ($A$1,$B5,T$1)</f>
        <v>#NAME?</v>
      </c>
      <c r="U5" t="e" cm="1">
        <f t="array" aca="1" ref="U5" ca="1">_xll.EQNXTDZ($A$1,$B5,U$1)</f>
        <v>#NAME?</v>
      </c>
      <c r="V5" t="e" cm="1">
        <f t="array" aca="1" ref="V5" ca="1">_xll.EQNXTDZ($A$1,$B5,V$1)</f>
        <v>#NAME?</v>
      </c>
      <c r="W5" t="e" cm="1">
        <f t="array" aca="1" ref="W5" ca="1">_xll.EQNXTDZ($A$1,$B5,W$1)</f>
        <v>#NAME?</v>
      </c>
      <c r="X5" t="e" cm="1">
        <f t="array" aca="1" ref="X5" ca="1">_xll.EQNXTDZ($A$1,$B5,X$1)</f>
        <v>#NAME?</v>
      </c>
      <c r="Y5" t="e" cm="1">
        <f t="array" aca="1" ref="Y5" ca="1">_xll.EQNXTDZ($A$1,$B5,Y$1)</f>
        <v>#NAME?</v>
      </c>
      <c r="Z5" t="e" cm="1">
        <f t="array" aca="1" ref="Z5" ca="1">_xll.EQNXTDZ($A$1,$B5,Z$1)</f>
        <v>#NAME?</v>
      </c>
      <c r="AA5" t="e" cm="1">
        <f t="array" aca="1" ref="AA5" ca="1">_xll.EQNXTDZ($A$1,$B5,AA$1)</f>
        <v>#NAME?</v>
      </c>
      <c r="AB5" t="e" cm="1">
        <f t="array" aca="1" ref="AB5" ca="1">_xll.EQNXTDZ($A$1,$B5,AB$1)</f>
        <v>#NAME?</v>
      </c>
      <c r="AC5" t="e" cm="1">
        <f t="array" aca="1" ref="AC5" ca="1">_xll.EQNXTDZ($A$1,$B5,AC$1)</f>
        <v>#NAME?</v>
      </c>
      <c r="AD5" t="e" cm="1">
        <f t="array" aca="1" ref="AD5" ca="1">_xll.EQNXTDZ($A$1,$B5,AD$1)</f>
        <v>#NAME?</v>
      </c>
      <c r="AE5" t="e" cm="1">
        <f t="array" aca="1" ref="AE5" ca="1">_xll.EQNXTDZ($A$1,$B5,AE$1)</f>
        <v>#NAME?</v>
      </c>
      <c r="AF5" t="e" cm="1">
        <f t="array" aca="1" ref="AF5" ca="1">_xll.EQNXTDZ($A$1,$B5,AF$1)</f>
        <v>#NAME?</v>
      </c>
      <c r="AG5" t="e" cm="1">
        <f t="array" aca="1" ref="AG5" ca="1">_xll.EQNXTDZ($A$1,$B5,AG$1)</f>
        <v>#NAME?</v>
      </c>
      <c r="AH5" t="e" cm="1">
        <f t="array" aca="1" ref="AH5" ca="1">_xll.EQNXTDZ($A$1,$B5,AH$1)</f>
        <v>#NAME?</v>
      </c>
      <c r="AI5" t="e" cm="1">
        <f t="array" aca="1" ref="AI5" ca="1">_xll.EQNXTDZ($A$1,$B5,AI$1)</f>
        <v>#NAME?</v>
      </c>
      <c r="AJ5" t="e" cm="1">
        <f t="array" aca="1" ref="AJ5" ca="1">_xll.EQNXTDZ($A$1,$B5,AJ$1)</f>
        <v>#NAME?</v>
      </c>
      <c r="AK5" t="e" cm="1">
        <f t="array" aca="1" ref="AK5" ca="1">_xll.EQNXTDZ($A$1,$B5,AK$1)</f>
        <v>#NAME?</v>
      </c>
      <c r="AL5" t="e" cm="1">
        <f t="array" aca="1" ref="AL5" ca="1">_xll.EQNXTDZ($A$1,$B5,AL$1)</f>
        <v>#NAME?</v>
      </c>
      <c r="AM5" t="e" cm="1">
        <f t="array" aca="1" ref="AM5" ca="1">_xll.EQNXTDZ($A$1,$B5,AM$1)</f>
        <v>#NAME?</v>
      </c>
      <c r="AN5" t="e" cm="1">
        <f t="array" aca="1" ref="AN5" ca="1">_xll.EQNXTDZ($A$1,$B5,AN$1)</f>
        <v>#NAME?</v>
      </c>
      <c r="AO5" t="e" cm="1">
        <f t="array" aca="1" ref="AO5" ca="1">_xll.EQNXTDZ($A$1,$B5,AO$1)</f>
        <v>#NAME?</v>
      </c>
      <c r="AP5" t="e" cm="1">
        <f t="array" aca="1" ref="AP5" ca="1">_xll.EQNXTDZ($A$1,$B5,AP$1)</f>
        <v>#NAME?</v>
      </c>
      <c r="AQ5" t="e" cm="1">
        <f t="array" aca="1" ref="AQ5" ca="1">_xll.EQNXTDZ($A$1,$B5,AQ$1)</f>
        <v>#NAME?</v>
      </c>
      <c r="AR5" t="e" cm="1">
        <f t="array" aca="1" ref="AR5" ca="1">_xll.EQNXTDZ($A$1,$B5,AR$1)</f>
        <v>#NAME?</v>
      </c>
      <c r="AS5" t="e" cm="1">
        <f t="array" aca="1" ref="AS5" ca="1">_xll.EQNXTDZ($A$1,$B5,AS$1)</f>
        <v>#NAME?</v>
      </c>
      <c r="AT5" t="e" cm="1">
        <f t="array" aca="1" ref="AT5" ca="1">_xll.EQNXTDZ($A$1,$B5,AT$1)</f>
        <v>#NAME?</v>
      </c>
      <c r="AU5" t="e" cm="1">
        <f t="array" aca="1" ref="AU5" ca="1">_xll.EQNXTDZ($A$1,$B5,AU$1)</f>
        <v>#NAME?</v>
      </c>
      <c r="AV5" t="e" cm="1">
        <f t="array" aca="1" ref="AV5" ca="1">_xll.EQNXTDZ($A$1,$B5,AV$1)</f>
        <v>#NAME?</v>
      </c>
      <c r="AW5" t="e" cm="1">
        <f t="array" aca="1" ref="AW5" ca="1">_xll.EQNXTDZ($A$1,$B5,AW$1)</f>
        <v>#NAME?</v>
      </c>
      <c r="AX5" t="e" cm="1">
        <f t="array" aca="1" ref="AX5" ca="1">_xll.EQNXTDZ($A$1,$B5,AX$1)</f>
        <v>#NAME?</v>
      </c>
      <c r="AY5" t="e" cm="1">
        <f t="array" aca="1" ref="AY5" ca="1">_xll.EQNXTDZ($A$1,$B5,AY$1)</f>
        <v>#NAME?</v>
      </c>
      <c r="AZ5" t="e" cm="1">
        <f t="array" aca="1" ref="AZ5" ca="1">_xll.EQNXTDZ($A$1,$B5,AZ$1)</f>
        <v>#NAME?</v>
      </c>
      <c r="BA5" t="e" cm="1">
        <f t="array" aca="1" ref="BA5" ca="1">_xll.EQNXTDZ($A$1,$B5,BA$1)</f>
        <v>#NAME?</v>
      </c>
      <c r="BB5" t="e" cm="1">
        <f t="array" aca="1" ref="BB5" ca="1">_xll.EQNXTDZ($A$1,$B5,BB$1)</f>
        <v>#NAME?</v>
      </c>
      <c r="BC5" t="e" cm="1">
        <f t="array" aca="1" ref="BC5" ca="1">_xll.EQNXTDZ($A$1,$B5,BC$1)</f>
        <v>#NAME?</v>
      </c>
      <c r="BD5" t="e" cm="1">
        <f t="array" aca="1" ref="BD5" ca="1">_xll.EQNXTDZ($A$1,$B5,BD$1)</f>
        <v>#NAME?</v>
      </c>
      <c r="BE5" t="e" cm="1">
        <f t="array" aca="1" ref="BE5" ca="1">_xll.EQNXTDZ($A$1,$B5,BE$1)</f>
        <v>#NAME?</v>
      </c>
      <c r="BF5" t="e" cm="1">
        <f t="array" aca="1" ref="BF5" ca="1">_xll.EQNXTDZ($A$1,$B5,BF$1)</f>
        <v>#NAME?</v>
      </c>
      <c r="BG5" t="e" cm="1">
        <f t="array" aca="1" ref="BG5" ca="1">_xll.EQNXTDZ($A$1,$B5,BG$1)</f>
        <v>#NAME?</v>
      </c>
      <c r="BH5" t="e" cm="1">
        <f t="array" aca="1" ref="BH5" ca="1">_xll.EQNXTDZ($A$1,$B5,BH$1)</f>
        <v>#NAME?</v>
      </c>
      <c r="BI5" t="e" cm="1">
        <f t="array" aca="1" ref="BI5" ca="1">_xll.EQNXTDZ($A$1,$B5,BI$1)</f>
        <v>#NAME?</v>
      </c>
      <c r="BJ5" t="e" cm="1">
        <f t="array" aca="1" ref="BJ5" ca="1">_xll.EQNXTDZ($A$1,$B5,BJ$1)</f>
        <v>#NAME?</v>
      </c>
      <c r="BK5" t="e" cm="1">
        <f t="array" aca="1" ref="BK5" ca="1">_xll.EQNXTDZ($A$1,$B5,BK$1)</f>
        <v>#NAME?</v>
      </c>
      <c r="BL5" t="e" cm="1">
        <f t="array" aca="1" ref="BL5" ca="1">_xll.EQNXTDZ($A$1,$B5,BL$1)</f>
        <v>#NAME?</v>
      </c>
      <c r="BM5" t="e" cm="1">
        <f t="array" aca="1" ref="BM5" ca="1">_xll.EQNXTDZ($A$1,$B5,BM$1)</f>
        <v>#NAME?</v>
      </c>
      <c r="BN5" t="e" cm="1">
        <f t="array" aca="1" ref="BN5" ca="1">_xll.EQNXTDZ($A$1,$B5,BN$1)</f>
        <v>#NAME?</v>
      </c>
      <c r="BO5" t="e" cm="1">
        <f t="array" aca="1" ref="BO5" ca="1">_xll.EQNXTDZ($A$1,$B5,BO$1)</f>
        <v>#NAME?</v>
      </c>
      <c r="BP5" t="e" cm="1">
        <f t="array" aca="1" ref="BP5" ca="1">_xll.EQNXTDZ($A$1,$B5,BP$1)</f>
        <v>#NAME?</v>
      </c>
      <c r="BQ5" t="e" cm="1">
        <f t="array" aca="1" ref="BQ5" ca="1">_xll.EQNXTDZ($A$1,$B5,BQ$1)</f>
        <v>#NAME?</v>
      </c>
      <c r="BR5" t="e" cm="1">
        <f t="array" aca="1" ref="BR5" ca="1">_xll.EQNXTDZ($A$1,$B5,BR$1)</f>
        <v>#NAME?</v>
      </c>
      <c r="BS5" t="e" cm="1">
        <f t="array" aca="1" ref="BS5" ca="1">_xll.EQNXTDZ($A$1,$B5,BS$1)</f>
        <v>#NAME?</v>
      </c>
      <c r="BT5" t="e" cm="1">
        <f t="array" aca="1" ref="BT5" ca="1">_xll.EQNXTDZ($A$1,$B5,BT$1)</f>
        <v>#NAME?</v>
      </c>
      <c r="BU5" t="e" cm="1">
        <f t="array" aca="1" ref="BU5" ca="1">_xll.EQNXTDZ($A$1,$B5,BU$1)</f>
        <v>#NAME?</v>
      </c>
      <c r="BV5" t="e" cm="1">
        <f t="array" aca="1" ref="BV5" ca="1">_xll.EQNXTDZ($A$1,$B5,BV$1)</f>
        <v>#NAME?</v>
      </c>
      <c r="BW5" t="e" cm="1">
        <f t="array" aca="1" ref="BW5" ca="1">_xll.EQNXTDZ($A$1,$B5,BW$1)</f>
        <v>#NAME?</v>
      </c>
      <c r="BX5" t="e" cm="1">
        <f t="array" aca="1" ref="BX5" ca="1">_xll.EQNXTDZ($A$1,$B5,BX$1)</f>
        <v>#NAME?</v>
      </c>
      <c r="BY5" t="e" cm="1">
        <f t="array" aca="1" ref="BY5" ca="1">_xll.EQNXTDZ($A$1,$B5,BY$1)</f>
        <v>#NAME?</v>
      </c>
      <c r="BZ5" t="e" cm="1">
        <f t="array" aca="1" ref="BZ5" ca="1">_xll.EQNXTDZ($A$1,$B5,BZ$1)</f>
        <v>#NAME?</v>
      </c>
      <c r="CA5" t="e" cm="1">
        <f t="array" aca="1" ref="CA5" ca="1">_xll.EQNXTDZ($A$1,$B5,CA$1)</f>
        <v>#NAME?</v>
      </c>
      <c r="CB5" t="e" cm="1">
        <f t="array" aca="1" ref="CB5" ca="1">_xll.EQNXTDZ($A$1,$B5,CB$1)</f>
        <v>#NAME?</v>
      </c>
      <c r="CC5" t="e" cm="1">
        <f t="array" aca="1" ref="CC5" ca="1">_xll.EQNXTDZ($A$1,$B5,CC$1)</f>
        <v>#NAME?</v>
      </c>
      <c r="CD5" t="e" cm="1">
        <f t="array" aca="1" ref="CD5" ca="1">_xll.EQNXTDZ($A$1,$B5,CD$1)</f>
        <v>#NAME?</v>
      </c>
      <c r="CE5" t="e" cm="1">
        <f t="array" aca="1" ref="CE5" ca="1">_xll.EQNXTDZ($A$1,$B5,CE$1)</f>
        <v>#NAME?</v>
      </c>
      <c r="CF5" t="e" cm="1">
        <f t="array" aca="1" ref="CF5" ca="1">_xll.EQNXTDZ($A$1,$B5,CF$1)</f>
        <v>#NAME?</v>
      </c>
      <c r="CG5" t="e" cm="1">
        <f t="array" aca="1" ref="CG5" ca="1">_xll.EQNXTDZ($A$1,$B5,CG$1)</f>
        <v>#NAME?</v>
      </c>
      <c r="CH5" t="e" cm="1">
        <f t="array" aca="1" ref="CH5" ca="1">_xll.EQNXTDZ($A$1,$B5,CH$1)</f>
        <v>#NAME?</v>
      </c>
      <c r="CI5" t="e" cm="1">
        <f t="array" aca="1" ref="CI5" ca="1">_xll.EQNXTDZ($A$1,$B5,CI$1)</f>
        <v>#NAME?</v>
      </c>
      <c r="CJ5" t="e" cm="1">
        <f t="array" aca="1" ref="CJ5" ca="1">_xll.EQNXTDZ($A$1,$B5,CJ$1)</f>
        <v>#NAME?</v>
      </c>
      <c r="CK5" t="e" cm="1">
        <f t="array" aca="1" ref="CK5" ca="1">_xll.EQNXTDZ($A$1,$B5,CK$1)</f>
        <v>#NAME?</v>
      </c>
      <c r="CL5" t="e" cm="1">
        <f t="array" aca="1" ref="CL5" ca="1">_xll.EQNXTDZ($A$1,$B5,CL$1)</f>
        <v>#NAME?</v>
      </c>
      <c r="CM5" t="e" cm="1">
        <f t="array" aca="1" ref="CM5" ca="1">_xll.EQNXTDZ($A$1,$B5,CM$1)</f>
        <v>#NAME?</v>
      </c>
      <c r="CN5" t="e" cm="1">
        <f t="array" aca="1" ref="CN5" ca="1">_xll.EQNXTDZ($A$1,$B5,CN$1)</f>
        <v>#NAME?</v>
      </c>
      <c r="CO5" t="e" cm="1">
        <f t="array" aca="1" ref="CO5" ca="1">_xll.EQNXTDZ($A$1,$B5,CO$1)</f>
        <v>#NAME?</v>
      </c>
      <c r="CP5" t="e" cm="1">
        <f t="array" aca="1" ref="CP5" ca="1">_xll.EQNXTDZ($A$1,$B5,CP$1)</f>
        <v>#NAME?</v>
      </c>
      <c r="CQ5" t="e" cm="1">
        <f t="array" aca="1" ref="CQ5" ca="1">_xll.EQNXTDZ($A$1,$B5,CQ$1)</f>
        <v>#NAME?</v>
      </c>
      <c r="CR5" t="e" cm="1">
        <f t="array" aca="1" ref="CR5" ca="1">_xll.EQNXTDZ($A$1,$B5,CR$1)</f>
        <v>#NAME?</v>
      </c>
      <c r="CS5" t="e" cm="1">
        <f t="array" aca="1" ref="CS5" ca="1">_xll.EQNXTDZ($A$1,$B5,CS$1)</f>
        <v>#NAME?</v>
      </c>
      <c r="CT5" t="e" cm="1">
        <f t="array" aca="1" ref="CT5" ca="1">_xll.EQNXTDZ($A$1,$B5,CT$1)</f>
        <v>#NAME?</v>
      </c>
      <c r="CU5" t="e" cm="1">
        <f t="array" aca="1" ref="CU5" ca="1">_xll.EQNXTDZ($A$1,$B5,CU$1)</f>
        <v>#NAME?</v>
      </c>
      <c r="CV5" t="e" cm="1">
        <f t="array" aca="1" ref="CV5" ca="1">_xll.EQNXTDZ($A$1,$B5,CV$1)</f>
        <v>#NAME?</v>
      </c>
      <c r="CW5" t="e" cm="1">
        <f t="array" aca="1" ref="CW5" ca="1">_xll.EQNXTDZ($A$1,$B5,CW$1)</f>
        <v>#NAME?</v>
      </c>
      <c r="CX5" t="e" cm="1">
        <f t="array" aca="1" ref="CX5" ca="1">_xll.EQNXTDZ($A$1,$B5,CX$1)</f>
        <v>#NAME?</v>
      </c>
      <c r="CY5" t="e" cm="1">
        <f t="array" aca="1" ref="CY5" ca="1">_xll.EQNXTDZ($A$1,$B5,CY$1)</f>
        <v>#NAME?</v>
      </c>
      <c r="CZ5" t="e" cm="1">
        <f t="array" aca="1" ref="CZ5" ca="1">_xll.EQNXTDZ($A$1,$B5,CZ$1)</f>
        <v>#NAME?</v>
      </c>
      <c r="DA5" t="e" cm="1">
        <f t="array" aca="1" ref="DA5" ca="1">_xll.EQNXTDZ($A$1,$B5,DA$1)</f>
        <v>#NAME?</v>
      </c>
      <c r="DB5" t="e" cm="1">
        <f t="array" aca="1" ref="DB5" ca="1">_xll.EQNXTDZ($A$1,$B5,DB$1)</f>
        <v>#NAME?</v>
      </c>
      <c r="DC5" t="e" cm="1">
        <f t="array" aca="1" ref="DC5" ca="1">_xll.EQNXTDZ($A$1,$B5,DC$1)</f>
        <v>#NAME?</v>
      </c>
      <c r="DD5" t="e" cm="1">
        <f t="array" aca="1" ref="DD5" ca="1">_xll.EQNXTDZ($A$1,$B5,DD$1)</f>
        <v>#NAME?</v>
      </c>
      <c r="DE5" t="e" cm="1">
        <f t="array" aca="1" ref="DE5" ca="1">_xll.EQNXTDZ($A$1,$B5,DE$1)</f>
        <v>#NAME?</v>
      </c>
      <c r="DF5" t="e" cm="1">
        <f t="array" aca="1" ref="DF5" ca="1">_xll.EQNXTDZ($A$1,$B5,DF$1)</f>
        <v>#NAME?</v>
      </c>
      <c r="DG5" t="e" cm="1">
        <f t="array" aca="1" ref="DG5" ca="1">_xll.EQNXTDZ($A$1,$B5,DG$1)</f>
        <v>#NAME?</v>
      </c>
      <c r="DH5" t="e" cm="1">
        <f t="array" aca="1" ref="DH5" ca="1">_xll.EQNXTDZ($A$1,$B5,DH$1)</f>
        <v>#NAME?</v>
      </c>
      <c r="DI5" t="e" cm="1">
        <f t="array" aca="1" ref="DI5" ca="1">_xll.EQNXTDZ($A$1,$B5,DI$1)</f>
        <v>#NAME?</v>
      </c>
      <c r="DJ5" t="e" cm="1">
        <f t="array" aca="1" ref="DJ5" ca="1">_xll.EQNXTDZ($A$1,$B5,DJ$1)</f>
        <v>#NAME?</v>
      </c>
      <c r="DK5" t="e" cm="1">
        <f t="array" aca="1" ref="DK5" ca="1">_xll.EQNXTDZ($A$1,$B5,DK$1)</f>
        <v>#NAME?</v>
      </c>
      <c r="DL5" t="e" cm="1">
        <f t="array" aca="1" ref="DL5" ca="1">_xll.EQNXTDZ($A$1,$B5,DL$1)</f>
        <v>#NAME?</v>
      </c>
      <c r="DM5" t="e" cm="1">
        <f t="array" aca="1" ref="DM5" ca="1">_xll.EQNXTDZ($A$1,$B5,DM$1)</f>
        <v>#NAME?</v>
      </c>
      <c r="DN5" t="e" cm="1">
        <f t="array" aca="1" ref="DN5" ca="1">_xll.EQNXTDZ($A$1,$B5,DN$1)</f>
        <v>#NAME?</v>
      </c>
      <c r="DO5" t="e" cm="1">
        <f t="array" aca="1" ref="DO5" ca="1">_xll.EQNXTDZ($A$1,$B5,DO$1)</f>
        <v>#NAME?</v>
      </c>
      <c r="DP5" t="e" cm="1">
        <f t="array" aca="1" ref="DP5" ca="1">_xll.EQNXTDZ($A$1,$B5,DP$1)</f>
        <v>#NAME?</v>
      </c>
      <c r="DQ5" t="e" cm="1">
        <f t="array" aca="1" ref="DQ5" ca="1">_xll.EQNXTDZ($A$1,$B5,DQ$1)</f>
        <v>#NAME?</v>
      </c>
      <c r="DR5" t="e" cm="1">
        <f t="array" aca="1" ref="DR5" ca="1">_xll.EQNXTDZ($A$1,$B5,DR$1)</f>
        <v>#NAME?</v>
      </c>
      <c r="DS5" t="e" cm="1">
        <f t="array" aca="1" ref="DS5" ca="1">_xll.EQNXTDZ($A$1,$B5,DS$1)</f>
        <v>#NAME?</v>
      </c>
      <c r="DT5" t="e" cm="1">
        <f t="array" aca="1" ref="DT5" ca="1">_xll.EQNXTDZ($A$1,$B5,DT$1)</f>
        <v>#NAME?</v>
      </c>
      <c r="DU5" t="e" cm="1">
        <f t="array" aca="1" ref="DU5" ca="1">_xll.EQNXTDZ($A$1,$B5,DU$1)</f>
        <v>#NAME?</v>
      </c>
      <c r="DV5" t="e" cm="1">
        <f t="array" aca="1" ref="DV5" ca="1">_xll.EQNXTDZ($A$1,$B5,DV$1)</f>
        <v>#NAME?</v>
      </c>
      <c r="DW5" t="e" cm="1">
        <f t="array" aca="1" ref="DW5" ca="1">_xll.EQNXTDZ($A$1,$B5,DW$1)</f>
        <v>#NAME?</v>
      </c>
      <c r="DX5" t="e" cm="1">
        <f t="array" aca="1" ref="DX5" ca="1">_xll.EQNXTDZ($A$1,$B5,DX$1)</f>
        <v>#NAME?</v>
      </c>
      <c r="DY5" t="e" cm="1">
        <f t="array" aca="1" ref="DY5" ca="1">_xll.EQNXTDZ($A$1,$B5,DY$1)</f>
        <v>#NAME?</v>
      </c>
      <c r="DZ5" t="e" cm="1">
        <f t="array" aca="1" ref="DZ5" ca="1">_xll.EQNXTDZ($A$1,$B5,DZ$1)</f>
        <v>#NAME?</v>
      </c>
      <c r="EA5" t="e" cm="1">
        <f t="array" aca="1" ref="EA5" ca="1">_xll.EQNXTDZ($A$1,$B5,EA$1)</f>
        <v>#NAME?</v>
      </c>
      <c r="EB5" t="e" cm="1">
        <f t="array" aca="1" ref="EB5" ca="1">_xll.EQNXTDZ($A$1,$B5,EB$1)</f>
        <v>#NAME?</v>
      </c>
      <c r="EC5" t="e" cm="1">
        <f t="array" aca="1" ref="EC5" ca="1">_xll.EQNXTDZ($A$1,$B5,EC$1)</f>
        <v>#NAME?</v>
      </c>
      <c r="ED5" t="e" cm="1">
        <f t="array" aca="1" ref="ED5" ca="1">_xll.EQNXTDZ($A$1,$B5,ED$1)</f>
        <v>#NAME?</v>
      </c>
      <c r="EE5" t="e" cm="1">
        <f t="array" aca="1" ref="EE5" ca="1">_xll.EQNXTDZ($A$1,$B5,EE$1)</f>
        <v>#NAME?</v>
      </c>
      <c r="EF5" t="e" cm="1">
        <f t="array" aca="1" ref="EF5" ca="1">_xll.EQNXTDZ($A$1,$B5,EF$1)</f>
        <v>#NAME?</v>
      </c>
      <c r="EG5" t="e" cm="1">
        <f t="array" aca="1" ref="EG5" ca="1">_xll.EQNXTDZ($A$1,$B5,EG$1)</f>
        <v>#NAME?</v>
      </c>
      <c r="EH5" t="e" cm="1">
        <f t="array" aca="1" ref="EH5" ca="1">_xll.EQNXTDZ($A$1,$B5,EH$1)</f>
        <v>#NAME?</v>
      </c>
      <c r="EI5" t="e" cm="1">
        <f t="array" aca="1" ref="EI5" ca="1">_xll.EQNXTDZ($A$1,$B5,EI$1)</f>
        <v>#NAME?</v>
      </c>
      <c r="EJ5" t="e" cm="1">
        <f t="array" aca="1" ref="EJ5" ca="1">_xll.EQNXTDZ($A$1,$B5,EJ$1)</f>
        <v>#NAME?</v>
      </c>
      <c r="EK5" t="e" cm="1">
        <f t="array" aca="1" ref="EK5" ca="1">_xll.EQNXTDZ($A$1,$B5,EK$1)</f>
        <v>#NAME?</v>
      </c>
      <c r="EL5" t="e" cm="1">
        <f t="array" aca="1" ref="EL5" ca="1">_xll.EQNXTDZ($A$1,$B5,EL$1)</f>
        <v>#NAME?</v>
      </c>
      <c r="EM5" t="e" cm="1">
        <f t="array" aca="1" ref="EM5" ca="1">_xll.EQNXTDZ($A$1,$B5,EM$1)</f>
        <v>#NAME?</v>
      </c>
      <c r="EN5" t="e" cm="1">
        <f t="array" aca="1" ref="EN5" ca="1">_xll.EQNXTDZ($A$1,$B5,EN$1)</f>
        <v>#NAME?</v>
      </c>
      <c r="EO5" t="e" cm="1">
        <f t="array" aca="1" ref="EO5" ca="1">_xll.EQNXTDZ($A$1,$B5,EO$1)</f>
        <v>#NAME?</v>
      </c>
      <c r="EP5" t="e" cm="1">
        <f t="array" aca="1" ref="EP5" ca="1">_xll.EQNXTDZ($A$1,$B5,EP$1)</f>
        <v>#NAME?</v>
      </c>
      <c r="EQ5" t="e" cm="1">
        <f t="array" aca="1" ref="EQ5" ca="1">_xll.EQNXTDZ($A$1,$B5,EQ$1)</f>
        <v>#NAME?</v>
      </c>
      <c r="ER5" t="e" cm="1">
        <f t="array" aca="1" ref="ER5" ca="1">_xll.EQNXTDZ($A$1,$B5,ER$1)</f>
        <v>#NAME?</v>
      </c>
      <c r="ES5" t="e" cm="1">
        <f t="array" aca="1" ref="ES5" ca="1">_xll.EQNXTDZ($A$1,$B5,ES$1)</f>
        <v>#NAME?</v>
      </c>
      <c r="ET5" t="e" cm="1">
        <f t="array" aca="1" ref="ET5" ca="1">_xll.EQNXTDZ($A$1,$B5,ET$1)</f>
        <v>#NAME?</v>
      </c>
      <c r="EU5" t="e" cm="1">
        <f t="array" aca="1" ref="EU5" ca="1">_xll.EQNXTDZ($A$1,$B5,EU$1)</f>
        <v>#NAME?</v>
      </c>
      <c r="EV5" t="e" cm="1">
        <f t="array" aca="1" ref="EV5" ca="1">_xll.EQNXTDZ($A$1,$B5,EV$1)</f>
        <v>#NAME?</v>
      </c>
      <c r="EW5" t="e" cm="1">
        <f t="array" aca="1" ref="EW5" ca="1">_xll.EQNXTDZ($A$1,$B5,EW$1)</f>
        <v>#NAME?</v>
      </c>
      <c r="EX5" t="e" cm="1">
        <f t="array" aca="1" ref="EX5" ca="1">_xll.EQNXTDZ($A$1,$B5,EX$1)</f>
        <v>#NAME?</v>
      </c>
      <c r="EY5" t="e" cm="1">
        <f t="array" aca="1" ref="EY5" ca="1">_xll.EQNXTDZ($A$1,$B5,EY$1)</f>
        <v>#NAME?</v>
      </c>
      <c r="EZ5" t="e" cm="1">
        <f t="array" aca="1" ref="EZ5" ca="1">_xll.EQNXTDZ($A$1,$B5,EZ$1)</f>
        <v>#NAME?</v>
      </c>
      <c r="FA5" t="e" cm="1">
        <f t="array" aca="1" ref="FA5" ca="1">_xll.EQNXTDZ($A$1,$B5,FA$1)</f>
        <v>#NAME?</v>
      </c>
      <c r="FB5" t="e" cm="1">
        <f t="array" aca="1" ref="FB5" ca="1">_xll.EQNXTDZ($A$1,$B5,FB$1)</f>
        <v>#NAME?</v>
      </c>
      <c r="FC5" t="e" cm="1">
        <f t="array" aca="1" ref="FC5" ca="1">_xll.EQNXTDZ($A$1,$B5,FC$1)</f>
        <v>#NAME?</v>
      </c>
      <c r="FD5" t="e" cm="1">
        <f t="array" aca="1" ref="FD5" ca="1">_xll.EQNXTDZ($A$1,$B5,FD$1)</f>
        <v>#NAME?</v>
      </c>
      <c r="FE5" t="e" cm="1">
        <f t="array" aca="1" ref="FE5" ca="1">_xll.EQNXTDZ($A$1,$B5,FE$1)</f>
        <v>#NAME?</v>
      </c>
      <c r="FF5" t="e" cm="1">
        <f t="array" aca="1" ref="FF5" ca="1">_xll.EQNXTDZ($A$1,$B5,FF$1)</f>
        <v>#NAME?</v>
      </c>
      <c r="FG5" t="e" cm="1">
        <f t="array" aca="1" ref="FG5" ca="1">_xll.EQNXTDZ($A$1,$B5,FG$1)</f>
        <v>#NAME?</v>
      </c>
      <c r="FH5" t="e" cm="1">
        <f t="array" aca="1" ref="FH5" ca="1">_xll.EQNXTDZ($A$1,$B5,FH$1)</f>
        <v>#NAME?</v>
      </c>
      <c r="FI5" t="e" cm="1">
        <f t="array" aca="1" ref="FI5" ca="1">_xll.EQNXTDZ($A$1,$B5,FI$1)</f>
        <v>#NAME?</v>
      </c>
      <c r="FJ5" t="e" cm="1">
        <f t="array" aca="1" ref="FJ5" ca="1">_xll.EQNXTDZ($A$1,$B5,FJ$1)</f>
        <v>#NAME?</v>
      </c>
      <c r="FK5" t="e" cm="1">
        <f t="array" aca="1" ref="FK5" ca="1">_xll.EQNXTDZ($A$1,$B5,FK$1)</f>
        <v>#NAME?</v>
      </c>
      <c r="FL5" t="e" cm="1">
        <f t="array" aca="1" ref="FL5" ca="1">_xll.EQNXTDZ($A$1,$B5,FL$1)</f>
        <v>#NAME?</v>
      </c>
      <c r="FM5" t="e" cm="1">
        <f t="array" aca="1" ref="FM5" ca="1">_xll.EQNXTDZ($A$1,$B5,FM$1)</f>
        <v>#NAME?</v>
      </c>
      <c r="FN5" t="e" cm="1">
        <f t="array" aca="1" ref="FN5" ca="1">_xll.EQNXTDZ($A$1,$B5,FN$1)</f>
        <v>#NAME?</v>
      </c>
      <c r="FO5" t="e" cm="1">
        <f t="array" aca="1" ref="FO5" ca="1">_xll.EQNXTDZ($A$1,$B5,FO$1)</f>
        <v>#NAME?</v>
      </c>
      <c r="FP5" t="e" cm="1">
        <f t="array" aca="1" ref="FP5" ca="1">_xll.EQNXTDZ($A$1,$B5,FP$1)</f>
        <v>#NAME?</v>
      </c>
      <c r="FQ5" t="e" cm="1">
        <f t="array" aca="1" ref="FQ5" ca="1">_xll.EQNXTDZ($A$1,$B5,FQ$1)</f>
        <v>#NAME?</v>
      </c>
      <c r="FR5" t="e" cm="1">
        <f t="array" aca="1" ref="FR5" ca="1">_xll.EQNXTDZ($A$1,$B5,FR$1)</f>
        <v>#NAME?</v>
      </c>
      <c r="FS5" t="e" cm="1">
        <f t="array" aca="1" ref="FS5" ca="1">_xll.EQNXTDZ($A$1,$B5,FS$1)</f>
        <v>#NAME?</v>
      </c>
      <c r="FT5" t="e" cm="1">
        <f t="array" aca="1" ref="FT5" ca="1">_xll.EQNXTDZ($A$1,$B5,FT$1)</f>
        <v>#NAME?</v>
      </c>
      <c r="FU5" t="e" cm="1">
        <f t="array" aca="1" ref="FU5" ca="1">_xll.EQNXTDZ($A$1,$B5,FU$1)</f>
        <v>#NAME?</v>
      </c>
      <c r="FV5" t="e" cm="1">
        <f t="array" aca="1" ref="FV5" ca="1">_xll.EQNXTDZ($A$1,$B5,FV$1)</f>
        <v>#NAME?</v>
      </c>
      <c r="FW5" t="e" cm="1">
        <f t="array" aca="1" ref="FW5" ca="1">_xll.EQNXTDZ($A$1,$B5,FW$1)</f>
        <v>#NAME?</v>
      </c>
      <c r="FX5" t="e" cm="1">
        <f t="array" aca="1" ref="FX5" ca="1">_xll.EQNXTDZ($A$1,$B5,FX$1)</f>
        <v>#NAME?</v>
      </c>
      <c r="FY5" t="e" cm="1">
        <f t="array" aca="1" ref="FY5" ca="1">_xll.EQNXTDZ($A$1,$B5,FY$1)</f>
        <v>#NAME?</v>
      </c>
      <c r="FZ5" t="e" cm="1">
        <f t="array" aca="1" ref="FZ5" ca="1">_xll.EQNXTDZ($A$1,$B5,FZ$1)</f>
        <v>#NAME?</v>
      </c>
      <c r="GA5" t="e" cm="1">
        <f t="array" aca="1" ref="GA5" ca="1">_xll.EQNXTDZ($A$1,$B5,GA$1)</f>
        <v>#NAME?</v>
      </c>
      <c r="GB5" t="e" cm="1">
        <f t="array" aca="1" ref="GB5" ca="1">_xll.EQNXTDZ($A$1,$B5,GB$1)</f>
        <v>#NAME?</v>
      </c>
      <c r="GC5" t="e" cm="1">
        <f t="array" aca="1" ref="GC5" ca="1">_xll.EQNXTDZ($A$1,$B5,GC$1)</f>
        <v>#NAME?</v>
      </c>
      <c r="GD5" t="e" cm="1">
        <f t="array" aca="1" ref="GD5" ca="1">_xll.EQNXTDZ($A$1,$B5,GD$1)</f>
        <v>#NAME?</v>
      </c>
      <c r="GE5" t="e" cm="1">
        <f t="array" aca="1" ref="GE5" ca="1">_xll.EQNXTDZ($A$1,$B5,GE$1)</f>
        <v>#NAME?</v>
      </c>
      <c r="GF5" t="e" cm="1">
        <f t="array" aca="1" ref="GF5" ca="1">_xll.EQNXTDZ($A$1,$B5,GF$1)</f>
        <v>#NAME?</v>
      </c>
      <c r="GG5" t="e" cm="1">
        <f t="array" aca="1" ref="GG5" ca="1">_xll.EQNXTDZ($A$1,$B5,GG$1)</f>
        <v>#NAME?</v>
      </c>
      <c r="GH5" t="e" cm="1">
        <f t="array" aca="1" ref="GH5" ca="1">_xll.EQNXTDZ($A$1,$B5,GH$1)</f>
        <v>#NAME?</v>
      </c>
      <c r="GI5" t="e" cm="1">
        <f t="array" aca="1" ref="GI5" ca="1">_xll.EQNXTDZ($A$1,$B5,GI$1)</f>
        <v>#NAME?</v>
      </c>
      <c r="GJ5" t="e" cm="1">
        <f t="array" aca="1" ref="GJ5" ca="1">_xll.EQNXTDZ($A$1,$B5,GJ$1)</f>
        <v>#NAME?</v>
      </c>
      <c r="GK5" t="e" cm="1">
        <f t="array" aca="1" ref="GK5" ca="1">_xll.EQNXTDZ($A$1,$B5,GK$1)</f>
        <v>#NAME?</v>
      </c>
      <c r="GL5" t="e" cm="1">
        <f t="array" aca="1" ref="GL5" ca="1">_xll.EQNXTDZ($A$1,$B5,GL$1)</f>
        <v>#NAME?</v>
      </c>
      <c r="GM5" t="e" cm="1">
        <f t="array" aca="1" ref="GM5" ca="1">_xll.EQNXTDZ($A$1,$B5,GM$1)</f>
        <v>#NAME?</v>
      </c>
      <c r="GN5" t="e" cm="1">
        <f t="array" aca="1" ref="GN5" ca="1">_xll.EQNXTDZ($A$1,$B5,GN$1)</f>
        <v>#NAME?</v>
      </c>
      <c r="GO5" t="e" cm="1">
        <f t="array" aca="1" ref="GO5" ca="1">_xll.EQNXTDZ($A$1,$B5,GO$1)</f>
        <v>#NAME?</v>
      </c>
      <c r="GP5" t="e" cm="1">
        <f t="array" aca="1" ref="GP5" ca="1">_xll.EQNXTDZ($A$1,$B5,GP$1)</f>
        <v>#NAME?</v>
      </c>
      <c r="GQ5" t="e" cm="1">
        <f t="array" aca="1" ref="GQ5" ca="1">_xll.EQNXTDZ($A$1,$B5,GQ$1)</f>
        <v>#NAME?</v>
      </c>
      <c r="GR5" t="e" cm="1">
        <f t="array" aca="1" ref="GR5" ca="1">_xll.EQNXTDZ($A$1,$B5,GR$1)</f>
        <v>#NAME?</v>
      </c>
      <c r="GS5" t="e" cm="1">
        <f t="array" aca="1" ref="GS5" ca="1">_xll.EQNXTDZ($A$1,$B5,GS$1)</f>
        <v>#NAME?</v>
      </c>
      <c r="GT5" t="e" cm="1">
        <f t="array" aca="1" ref="GT5" ca="1">_xll.EQNXTDZ($A$1,$B5,GT$1)</f>
        <v>#NAME?</v>
      </c>
      <c r="GU5" t="e" cm="1">
        <f t="array" aca="1" ref="GU5" ca="1">_xll.EQNXTDZ($A$1,$B5,GU$1)</f>
        <v>#NAME?</v>
      </c>
      <c r="GV5" t="e" cm="1">
        <f t="array" aca="1" ref="GV5" ca="1">_xll.EQNXTDZ($A$1,$B5,GV$1)</f>
        <v>#NAME?</v>
      </c>
      <c r="GW5" t="e" cm="1">
        <f t="array" aca="1" ref="GW5" ca="1">_xll.EQNXTDZ($A$1,$B5,GW$1)</f>
        <v>#NAME?</v>
      </c>
      <c r="GX5" t="e" cm="1">
        <f t="array" aca="1" ref="GX5" ca="1">_xll.EQNXTDZ($A$1,$B5,GX$1)</f>
        <v>#NAME?</v>
      </c>
      <c r="GY5" t="e" cm="1">
        <f t="array" aca="1" ref="GY5" ca="1">_xll.EQNXTDZ($A$1,$B5,GY$1)</f>
        <v>#NAME?</v>
      </c>
      <c r="GZ5" t="e" cm="1">
        <f t="array" aca="1" ref="GZ5" ca="1">_xll.EQNXTDZ($A$1,$B5,GZ$1)</f>
        <v>#NAME?</v>
      </c>
      <c r="HA5" t="e" cm="1">
        <f t="array" aca="1" ref="HA5" ca="1">_xll.EQNXTDZ($A$1,$B5,HA$1)</f>
        <v>#NAME?</v>
      </c>
      <c r="HB5" t="e" cm="1">
        <f t="array" aca="1" ref="HB5" ca="1">_xll.EQNXTDZ($A$1,$B5,HB$1)</f>
        <v>#NAME?</v>
      </c>
      <c r="HC5" t="e" cm="1">
        <f t="array" aca="1" ref="HC5" ca="1">_xll.EQNXTDZ($A$1,$B5,HC$1)</f>
        <v>#NAME?</v>
      </c>
      <c r="HD5" t="e" cm="1">
        <f t="array" aca="1" ref="HD5" ca="1">_xll.EQNXTDZ($A$1,$B5,HD$1)</f>
        <v>#NAME?</v>
      </c>
      <c r="HE5" t="e" cm="1">
        <f t="array" aca="1" ref="HE5" ca="1">_xll.EQNXTDZ($A$1,$B5,HE$1)</f>
        <v>#NAME?</v>
      </c>
      <c r="HF5" t="e" cm="1">
        <f t="array" aca="1" ref="HF5" ca="1">_xll.EQNXTDZ($A$1,$B5,HF$1)</f>
        <v>#NAME?</v>
      </c>
      <c r="HG5" t="e" cm="1">
        <f t="array" aca="1" ref="HG5" ca="1">_xll.EQNXTDZ($A$1,$B5,HG$1)</f>
        <v>#NAME?</v>
      </c>
      <c r="HH5" t="e" cm="1">
        <f t="array" aca="1" ref="HH5" ca="1">_xll.EQNXTDZ($A$1,$B5,HH$1)</f>
        <v>#NAME?</v>
      </c>
    </row>
    <row r="6" spans="1:294" x14ac:dyDescent="0.25">
      <c r="A6" t="s">
        <v>415</v>
      </c>
      <c r="B6" t="s">
        <v>417</v>
      </c>
      <c r="C6" t="e" cm="1">
        <f t="array" aca="1" ref="C6" ca="1">_xll.EQNXTDZ($A$1,$B6,C$1)</f>
        <v>#NAME?</v>
      </c>
      <c r="D6" t="e" cm="1">
        <f t="array" aca="1" ref="D6" ca="1">_xll.EQNXTDZ($A$1,$B6,D$1)</f>
        <v>#NAME?</v>
      </c>
      <c r="E6" t="e" cm="1">
        <f t="array" aca="1" ref="E6" ca="1">_xll.EQNXTDZ($A$1,$B6,E$1)</f>
        <v>#NAME?</v>
      </c>
      <c r="F6" t="e" cm="1">
        <f t="array" aca="1" ref="F6" ca="1">_xll.EQNXTDZ($A$1,$B6,F$1)</f>
        <v>#NAME?</v>
      </c>
      <c r="G6" t="e" cm="1">
        <f t="array" aca="1" ref="G6" ca="1">_xll.EQNXTDZ($A$1,$B6,G$1)</f>
        <v>#NAME?</v>
      </c>
      <c r="H6" t="e" cm="1">
        <f t="array" aca="1" ref="H6" ca="1">_xll.EQNXTDZ($A$1,$B6,H$1)</f>
        <v>#NAME?</v>
      </c>
      <c r="I6" t="e" cm="1">
        <f t="array" aca="1" ref="I6" ca="1">_xll.EQNXTDZ($A$1,$B6,I$1)</f>
        <v>#NAME?</v>
      </c>
      <c r="J6" t="e" cm="1">
        <f t="array" aca="1" ref="J6" ca="1">_xll.EQNXTDZ($A$1,$B6,J$1)</f>
        <v>#NAME?</v>
      </c>
      <c r="K6" t="e" cm="1">
        <f t="array" aca="1" ref="K6" ca="1">_xll.EQNXTDZ($A$1,$B6,K$1)</f>
        <v>#NAME?</v>
      </c>
      <c r="L6" t="e" cm="1">
        <f t="array" aca="1" ref="L6" ca="1">_xll.EQNXTDZ($A$1,$B6,L$1)</f>
        <v>#NAME?</v>
      </c>
      <c r="M6" t="e" cm="1">
        <f t="array" aca="1" ref="M6" ca="1">_xll.EQNXTDZ($A$1,$B6,M$1)</f>
        <v>#NAME?</v>
      </c>
      <c r="N6" t="e" cm="1">
        <f t="array" aca="1" ref="N6" ca="1">_xll.EQNXTDZ($A$1,$B6,N$1)</f>
        <v>#NAME?</v>
      </c>
      <c r="O6" t="e" cm="1">
        <f t="array" aca="1" ref="O6" ca="1">_xll.EQNXTDZ($A$1,$B6,O$1)</f>
        <v>#NAME?</v>
      </c>
      <c r="P6" t="e" cm="1">
        <f t="array" aca="1" ref="P6" ca="1">_xll.EQNXTDZ($A$1,$B6,P$1)</f>
        <v>#NAME?</v>
      </c>
      <c r="Q6" t="e" cm="1">
        <f t="array" aca="1" ref="Q6" ca="1">_xll.EQNXTDZ($A$1,$B6,Q$1)</f>
        <v>#NAME?</v>
      </c>
      <c r="R6" t="e" cm="1">
        <f t="array" aca="1" ref="R6" ca="1">_xll.EQNXTDZ($A$1,$B6,R$1)</f>
        <v>#NAME?</v>
      </c>
      <c r="S6" t="e" cm="1">
        <f t="array" aca="1" ref="S6" ca="1">_xll.EQNXTDZ($A$1,$B6,S$1)</f>
        <v>#NAME?</v>
      </c>
      <c r="T6" t="e" cm="1">
        <f t="array" aca="1" ref="T6" ca="1">_xll.EQNXTDZ($A$1,$B6,T$1)</f>
        <v>#NAME?</v>
      </c>
      <c r="U6" t="e" cm="1">
        <f t="array" aca="1" ref="U6" ca="1">_xll.EQNXTDZ($A$1,$B6,U$1)</f>
        <v>#NAME?</v>
      </c>
      <c r="V6" t="e" cm="1">
        <f t="array" aca="1" ref="V6" ca="1">_xll.EQNXTDZ($A$1,$B6,V$1)</f>
        <v>#NAME?</v>
      </c>
      <c r="W6" t="e" cm="1">
        <f t="array" aca="1" ref="W6" ca="1">_xll.EQNXTDZ($A$1,$B6,W$1)</f>
        <v>#NAME?</v>
      </c>
      <c r="X6" t="e" cm="1">
        <f t="array" aca="1" ref="X6" ca="1">_xll.EQNXTDZ($A$1,$B6,X$1)</f>
        <v>#NAME?</v>
      </c>
      <c r="Y6" t="e" cm="1">
        <f t="array" aca="1" ref="Y6" ca="1">_xll.EQNXTDZ($A$1,$B6,Y$1)</f>
        <v>#NAME?</v>
      </c>
      <c r="Z6" t="e" cm="1">
        <f t="array" aca="1" ref="Z6" ca="1">_xll.EQNXTDZ($A$1,$B6,Z$1)</f>
        <v>#NAME?</v>
      </c>
      <c r="AA6" t="e" cm="1">
        <f t="array" aca="1" ref="AA6" ca="1">_xll.EQNXTDZ($A$1,$B6,AA$1)</f>
        <v>#NAME?</v>
      </c>
      <c r="AB6" t="e" cm="1">
        <f t="array" aca="1" ref="AB6" ca="1">_xll.EQNXTDZ($A$1,$B6,AB$1)</f>
        <v>#NAME?</v>
      </c>
      <c r="AC6" t="e" cm="1">
        <f t="array" aca="1" ref="AC6" ca="1">_xll.EQNXTDZ($A$1,$B6,AC$1)</f>
        <v>#NAME?</v>
      </c>
      <c r="AD6" t="e" cm="1">
        <f t="array" aca="1" ref="AD6" ca="1">_xll.EQNXTDZ($A$1,$B6,AD$1)</f>
        <v>#NAME?</v>
      </c>
      <c r="AE6" t="e" cm="1">
        <f t="array" aca="1" ref="AE6" ca="1">_xll.EQNXTDZ($A$1,$B6,AE$1)</f>
        <v>#NAME?</v>
      </c>
      <c r="AF6" t="e" cm="1">
        <f t="array" aca="1" ref="AF6" ca="1">_xll.EQNXTDZ($A$1,$B6,AF$1)</f>
        <v>#NAME?</v>
      </c>
      <c r="AG6" t="e" cm="1">
        <f t="array" aca="1" ref="AG6" ca="1">_xll.EQNXTDZ($A$1,$B6,AG$1)</f>
        <v>#NAME?</v>
      </c>
      <c r="AH6" t="e" cm="1">
        <f t="array" aca="1" ref="AH6" ca="1">_xll.EQNXTDZ($A$1,$B6,AH$1)</f>
        <v>#NAME?</v>
      </c>
      <c r="AI6" t="e" cm="1">
        <f t="array" aca="1" ref="AI6" ca="1">_xll.EQNXTDZ($A$1,$B6,AI$1)</f>
        <v>#NAME?</v>
      </c>
      <c r="AJ6" t="e" cm="1">
        <f t="array" aca="1" ref="AJ6" ca="1">_xll.EQNXTDZ($A$1,$B6,AJ$1)</f>
        <v>#NAME?</v>
      </c>
      <c r="AK6" t="e" cm="1">
        <f t="array" aca="1" ref="AK6" ca="1">_xll.EQNXTDZ($A$1,$B6,AK$1)</f>
        <v>#NAME?</v>
      </c>
      <c r="AL6" t="e" cm="1">
        <f t="array" aca="1" ref="AL6" ca="1">_xll.EQNXTDZ($A$1,$B6,AL$1)</f>
        <v>#NAME?</v>
      </c>
      <c r="AM6" t="e" cm="1">
        <f t="array" aca="1" ref="AM6" ca="1">_xll.EQNXTDZ($A$1,$B6,AM$1)</f>
        <v>#NAME?</v>
      </c>
      <c r="AN6" t="e" cm="1">
        <f t="array" aca="1" ref="AN6" ca="1">_xll.EQNXTDZ($A$1,$B6,AN$1)</f>
        <v>#NAME?</v>
      </c>
      <c r="AO6" t="e" cm="1">
        <f t="array" aca="1" ref="AO6" ca="1">_xll.EQNXTDZ($A$1,$B6,AO$1)</f>
        <v>#NAME?</v>
      </c>
      <c r="AP6" t="e" cm="1">
        <f t="array" aca="1" ref="AP6" ca="1">_xll.EQNXTDZ($A$1,$B6,AP$1)</f>
        <v>#NAME?</v>
      </c>
      <c r="AQ6" t="e" cm="1">
        <f t="array" aca="1" ref="AQ6" ca="1">_xll.EQNXTDZ($A$1,$B6,AQ$1)</f>
        <v>#NAME?</v>
      </c>
      <c r="AR6" t="e" cm="1">
        <f t="array" aca="1" ref="AR6" ca="1">_xll.EQNXTDZ($A$1,$B6,AR$1)</f>
        <v>#NAME?</v>
      </c>
      <c r="AS6" t="e" cm="1">
        <f t="array" aca="1" ref="AS6" ca="1">_xll.EQNXTDZ($A$1,$B6,AS$1)</f>
        <v>#NAME?</v>
      </c>
      <c r="AT6" t="e" cm="1">
        <f t="array" aca="1" ref="AT6" ca="1">_xll.EQNXTDZ($A$1,$B6,AT$1)</f>
        <v>#NAME?</v>
      </c>
      <c r="AU6" t="e" cm="1">
        <f t="array" aca="1" ref="AU6" ca="1">_xll.EQNXTDZ($A$1,$B6,AU$1)</f>
        <v>#NAME?</v>
      </c>
      <c r="AV6" t="e" cm="1">
        <f t="array" aca="1" ref="AV6" ca="1">_xll.EQNXTDZ($A$1,$B6,AV$1)</f>
        <v>#NAME?</v>
      </c>
      <c r="AW6" t="e" cm="1">
        <f t="array" aca="1" ref="AW6" ca="1">_xll.EQNXTDZ($A$1,$B6,AW$1)</f>
        <v>#NAME?</v>
      </c>
      <c r="AX6" t="e" cm="1">
        <f t="array" aca="1" ref="AX6" ca="1">_xll.EQNXTDZ($A$1,$B6,AX$1)</f>
        <v>#NAME?</v>
      </c>
      <c r="AY6" t="e" cm="1">
        <f t="array" aca="1" ref="AY6" ca="1">_xll.EQNXTDZ($A$1,$B6,AY$1)</f>
        <v>#NAME?</v>
      </c>
      <c r="AZ6" t="e" cm="1">
        <f t="array" aca="1" ref="AZ6" ca="1">_xll.EQNXTDZ($A$1,$B6,AZ$1)</f>
        <v>#NAME?</v>
      </c>
      <c r="BA6" t="e" cm="1">
        <f t="array" aca="1" ref="BA6" ca="1">_xll.EQNXTDZ($A$1,$B6,BA$1)</f>
        <v>#NAME?</v>
      </c>
      <c r="BB6" t="e" cm="1">
        <f t="array" aca="1" ref="BB6" ca="1">_xll.EQNXTDZ($A$1,$B6,BB$1)</f>
        <v>#NAME?</v>
      </c>
      <c r="BC6" t="e" cm="1">
        <f t="array" aca="1" ref="BC6" ca="1">_xll.EQNXTDZ($A$1,$B6,BC$1)</f>
        <v>#NAME?</v>
      </c>
      <c r="BD6" t="e" cm="1">
        <f t="array" aca="1" ref="BD6" ca="1">_xll.EQNXTDZ($A$1,$B6,BD$1)</f>
        <v>#NAME?</v>
      </c>
      <c r="BE6" t="e" cm="1">
        <f t="array" aca="1" ref="BE6" ca="1">_xll.EQNXTDZ($A$1,$B6,BE$1)</f>
        <v>#NAME?</v>
      </c>
      <c r="BF6" t="e" cm="1">
        <f t="array" aca="1" ref="BF6" ca="1">_xll.EQNXTDZ($A$1,$B6,BF$1)</f>
        <v>#NAME?</v>
      </c>
      <c r="BG6" t="e" cm="1">
        <f t="array" aca="1" ref="BG6" ca="1">_xll.EQNXTDZ($A$1,$B6,BG$1)</f>
        <v>#NAME?</v>
      </c>
      <c r="BH6" t="e" cm="1">
        <f t="array" aca="1" ref="BH6" ca="1">_xll.EQNXTDZ($A$1,$B6,BH$1)</f>
        <v>#NAME?</v>
      </c>
      <c r="BI6" t="e" cm="1">
        <f t="array" aca="1" ref="BI6" ca="1">_xll.EQNXTDZ($A$1,$B6,BI$1)</f>
        <v>#NAME?</v>
      </c>
      <c r="BJ6" t="e" cm="1">
        <f t="array" aca="1" ref="BJ6" ca="1">_xll.EQNXTDZ($A$1,$B6,BJ$1)</f>
        <v>#NAME?</v>
      </c>
      <c r="BK6" t="e" cm="1">
        <f t="array" aca="1" ref="BK6" ca="1">_xll.EQNXTDZ($A$1,$B6,BK$1)</f>
        <v>#NAME?</v>
      </c>
      <c r="BL6" t="e" cm="1">
        <f t="array" aca="1" ref="BL6" ca="1">_xll.EQNXTDZ($A$1,$B6,BL$1)</f>
        <v>#NAME?</v>
      </c>
      <c r="BM6" t="e" cm="1">
        <f t="array" aca="1" ref="BM6" ca="1">_xll.EQNXTDZ($A$1,$B6,BM$1)</f>
        <v>#NAME?</v>
      </c>
      <c r="BN6" t="e" cm="1">
        <f t="array" aca="1" ref="BN6" ca="1">_xll.EQNXTDZ($A$1,$B6,BN$1)</f>
        <v>#NAME?</v>
      </c>
      <c r="BO6" t="e" cm="1">
        <f t="array" aca="1" ref="BO6" ca="1">_xll.EQNXTDZ($A$1,$B6,BO$1)</f>
        <v>#NAME?</v>
      </c>
      <c r="BP6" t="e" cm="1">
        <f t="array" aca="1" ref="BP6" ca="1">_xll.EQNXTDZ($A$1,$B6,BP$1)</f>
        <v>#NAME?</v>
      </c>
      <c r="BQ6" t="e" cm="1">
        <f t="array" aca="1" ref="BQ6" ca="1">_xll.EQNXTDZ($A$1,$B6,BQ$1)</f>
        <v>#NAME?</v>
      </c>
      <c r="BR6" t="e" cm="1">
        <f t="array" aca="1" ref="BR6" ca="1">_xll.EQNXTDZ($A$1,$B6,BR$1)</f>
        <v>#NAME?</v>
      </c>
      <c r="BS6" t="e" cm="1">
        <f t="array" aca="1" ref="BS6" ca="1">_xll.EQNXTDZ($A$1,$B6,BS$1)</f>
        <v>#NAME?</v>
      </c>
      <c r="BT6" t="e" cm="1">
        <f t="array" aca="1" ref="BT6" ca="1">_xll.EQNXTDZ($A$1,$B6,BT$1)</f>
        <v>#NAME?</v>
      </c>
      <c r="BU6" t="e" cm="1">
        <f t="array" aca="1" ref="BU6" ca="1">_xll.EQNXTDZ($A$1,$B6,BU$1)</f>
        <v>#NAME?</v>
      </c>
      <c r="BV6" t="e" cm="1">
        <f t="array" aca="1" ref="BV6" ca="1">_xll.EQNXTDZ($A$1,$B6,BV$1)</f>
        <v>#NAME?</v>
      </c>
      <c r="BW6" t="e" cm="1">
        <f t="array" aca="1" ref="BW6" ca="1">_xll.EQNXTDZ($A$1,$B6,BW$1)</f>
        <v>#NAME?</v>
      </c>
      <c r="BX6" t="e" cm="1">
        <f t="array" aca="1" ref="BX6" ca="1">_xll.EQNXTDZ($A$1,$B6,BX$1)</f>
        <v>#NAME?</v>
      </c>
      <c r="BY6" t="e" cm="1">
        <f t="array" aca="1" ref="BY6" ca="1">_xll.EQNXTDZ($A$1,$B6,BY$1)</f>
        <v>#NAME?</v>
      </c>
      <c r="BZ6" t="e" cm="1">
        <f t="array" aca="1" ref="BZ6" ca="1">_xll.EQNXTDZ($A$1,$B6,BZ$1)</f>
        <v>#NAME?</v>
      </c>
      <c r="CA6" t="e" cm="1">
        <f t="array" aca="1" ref="CA6" ca="1">_xll.EQNXTDZ($A$1,$B6,CA$1)</f>
        <v>#NAME?</v>
      </c>
      <c r="CB6" t="e" cm="1">
        <f t="array" aca="1" ref="CB6" ca="1">_xll.EQNXTDZ($A$1,$B6,CB$1)</f>
        <v>#NAME?</v>
      </c>
      <c r="CC6" t="e" cm="1">
        <f t="array" aca="1" ref="CC6" ca="1">_xll.EQNXTDZ($A$1,$B6,CC$1)</f>
        <v>#NAME?</v>
      </c>
      <c r="CD6" t="e" cm="1">
        <f t="array" aca="1" ref="CD6" ca="1">_xll.EQNXTDZ($A$1,$B6,CD$1)</f>
        <v>#NAME?</v>
      </c>
      <c r="CE6" t="e" cm="1">
        <f t="array" aca="1" ref="CE6" ca="1">_xll.EQNXTDZ($A$1,$B6,CE$1)</f>
        <v>#NAME?</v>
      </c>
      <c r="CF6" t="e" cm="1">
        <f t="array" aca="1" ref="CF6" ca="1">_xll.EQNXTDZ($A$1,$B6,CF$1)</f>
        <v>#NAME?</v>
      </c>
      <c r="CG6" t="e" cm="1">
        <f t="array" aca="1" ref="CG6" ca="1">_xll.EQNXTDZ($A$1,$B6,CG$1)</f>
        <v>#NAME?</v>
      </c>
      <c r="CH6" t="e" cm="1">
        <f t="array" aca="1" ref="CH6" ca="1">_xll.EQNXTDZ($A$1,$B6,CH$1)</f>
        <v>#NAME?</v>
      </c>
      <c r="CI6" t="e" cm="1">
        <f t="array" aca="1" ref="CI6" ca="1">_xll.EQNXTDZ($A$1,$B6,CI$1)</f>
        <v>#NAME?</v>
      </c>
      <c r="CJ6" t="e" cm="1">
        <f t="array" aca="1" ref="CJ6" ca="1">_xll.EQNXTDZ($A$1,$B6,CJ$1)</f>
        <v>#NAME?</v>
      </c>
      <c r="CK6" t="e" cm="1">
        <f t="array" aca="1" ref="CK6" ca="1">_xll.EQNXTDZ($A$1,$B6,CK$1)</f>
        <v>#NAME?</v>
      </c>
      <c r="CL6" t="e" cm="1">
        <f t="array" aca="1" ref="CL6" ca="1">_xll.EQNXTDZ($A$1,$B6,CL$1)</f>
        <v>#NAME?</v>
      </c>
      <c r="CM6" t="e" cm="1">
        <f t="array" aca="1" ref="CM6" ca="1">_xll.EQNXTDZ($A$1,$B6,CM$1)</f>
        <v>#NAME?</v>
      </c>
      <c r="CN6" t="e" cm="1">
        <f t="array" aca="1" ref="CN6" ca="1">_xll.EQNXTDZ($A$1,$B6,CN$1)</f>
        <v>#NAME?</v>
      </c>
      <c r="CO6" t="e" cm="1">
        <f t="array" aca="1" ref="CO6" ca="1">_xll.EQNXTDZ($A$1,$B6,CO$1)</f>
        <v>#NAME?</v>
      </c>
      <c r="CP6" t="e" cm="1">
        <f t="array" aca="1" ref="CP6" ca="1">_xll.EQNXTDZ($A$1,$B6,CP$1)</f>
        <v>#NAME?</v>
      </c>
      <c r="CQ6" t="e" cm="1">
        <f t="array" aca="1" ref="CQ6" ca="1">_xll.EQNXTDZ($A$1,$B6,CQ$1)</f>
        <v>#NAME?</v>
      </c>
      <c r="CR6" t="e" cm="1">
        <f t="array" aca="1" ref="CR6" ca="1">_xll.EQNXTDZ($A$1,$B6,CR$1)</f>
        <v>#NAME?</v>
      </c>
      <c r="CS6" t="e" cm="1">
        <f t="array" aca="1" ref="CS6" ca="1">_xll.EQNXTDZ($A$1,$B6,CS$1)</f>
        <v>#NAME?</v>
      </c>
      <c r="CT6" t="e" cm="1">
        <f t="array" aca="1" ref="CT6" ca="1">_xll.EQNXTDZ($A$1,$B6,CT$1)</f>
        <v>#NAME?</v>
      </c>
      <c r="CU6" t="e" cm="1">
        <f t="array" aca="1" ref="CU6" ca="1">_xll.EQNXTDZ($A$1,$B6,CU$1)</f>
        <v>#NAME?</v>
      </c>
      <c r="CV6" t="e" cm="1">
        <f t="array" aca="1" ref="CV6" ca="1">_xll.EQNXTDZ($A$1,$B6,CV$1)</f>
        <v>#NAME?</v>
      </c>
      <c r="CW6" t="e" cm="1">
        <f t="array" aca="1" ref="CW6" ca="1">_xll.EQNXTDZ($A$1,$B6,CW$1)</f>
        <v>#NAME?</v>
      </c>
      <c r="CX6" t="e" cm="1">
        <f t="array" aca="1" ref="CX6" ca="1">_xll.EQNXTDZ($A$1,$B6,CX$1)</f>
        <v>#NAME?</v>
      </c>
      <c r="CY6" t="e" cm="1">
        <f t="array" aca="1" ref="CY6" ca="1">_xll.EQNXTDZ($A$1,$B6,CY$1)</f>
        <v>#NAME?</v>
      </c>
      <c r="CZ6" t="e" cm="1">
        <f t="array" aca="1" ref="CZ6" ca="1">_xll.EQNXTDZ($A$1,$B6,CZ$1)</f>
        <v>#NAME?</v>
      </c>
      <c r="DA6" t="e" cm="1">
        <f t="array" aca="1" ref="DA6" ca="1">_xll.EQNXTDZ($A$1,$B6,DA$1)</f>
        <v>#NAME?</v>
      </c>
      <c r="DB6" t="e" cm="1">
        <f t="array" aca="1" ref="DB6" ca="1">_xll.EQNXTDZ($A$1,$B6,DB$1)</f>
        <v>#NAME?</v>
      </c>
      <c r="DC6" t="e" cm="1">
        <f t="array" aca="1" ref="DC6" ca="1">_xll.EQNXTDZ($A$1,$B6,DC$1)</f>
        <v>#NAME?</v>
      </c>
      <c r="DD6" t="e" cm="1">
        <f t="array" aca="1" ref="DD6" ca="1">_xll.EQNXTDZ($A$1,$B6,DD$1)</f>
        <v>#NAME?</v>
      </c>
      <c r="DE6" t="e" cm="1">
        <f t="array" aca="1" ref="DE6" ca="1">_xll.EQNXTDZ($A$1,$B6,DE$1)</f>
        <v>#NAME?</v>
      </c>
      <c r="DF6" t="e" cm="1">
        <f t="array" aca="1" ref="DF6" ca="1">_xll.EQNXTDZ($A$1,$B6,DF$1)</f>
        <v>#NAME?</v>
      </c>
      <c r="DG6" t="e" cm="1">
        <f t="array" aca="1" ref="DG6" ca="1">_xll.EQNXTDZ($A$1,$B6,DG$1)</f>
        <v>#NAME?</v>
      </c>
      <c r="DH6" t="e" cm="1">
        <f t="array" aca="1" ref="DH6" ca="1">_xll.EQNXTDZ($A$1,$B6,DH$1)</f>
        <v>#NAME?</v>
      </c>
      <c r="DI6" t="e" cm="1">
        <f t="array" aca="1" ref="DI6" ca="1">_xll.EQNXTDZ($A$1,$B6,DI$1)</f>
        <v>#NAME?</v>
      </c>
      <c r="DJ6" t="e" cm="1">
        <f t="array" aca="1" ref="DJ6" ca="1">_xll.EQNXTDZ($A$1,$B6,DJ$1)</f>
        <v>#NAME?</v>
      </c>
      <c r="DK6" t="e" cm="1">
        <f t="array" aca="1" ref="DK6" ca="1">_xll.EQNXTDZ($A$1,$B6,DK$1)</f>
        <v>#NAME?</v>
      </c>
      <c r="DL6" t="e" cm="1">
        <f t="array" aca="1" ref="DL6" ca="1">_xll.EQNXTDZ($A$1,$B6,DL$1)</f>
        <v>#NAME?</v>
      </c>
      <c r="DM6" t="e" cm="1">
        <f t="array" aca="1" ref="DM6" ca="1">_xll.EQNXTDZ($A$1,$B6,DM$1)</f>
        <v>#NAME?</v>
      </c>
      <c r="DN6" t="e" cm="1">
        <f t="array" aca="1" ref="DN6" ca="1">_xll.EQNXTDZ($A$1,$B6,DN$1)</f>
        <v>#NAME?</v>
      </c>
      <c r="DO6" t="e" cm="1">
        <f t="array" aca="1" ref="DO6" ca="1">_xll.EQNXTDZ($A$1,$B6,DO$1)</f>
        <v>#NAME?</v>
      </c>
      <c r="DP6" t="e" cm="1">
        <f t="array" aca="1" ref="DP6" ca="1">_xll.EQNXTDZ($A$1,$B6,DP$1)</f>
        <v>#NAME?</v>
      </c>
      <c r="DQ6" t="e" cm="1">
        <f t="array" aca="1" ref="DQ6" ca="1">_xll.EQNXTDZ($A$1,$B6,DQ$1)</f>
        <v>#NAME?</v>
      </c>
      <c r="DR6" t="e" cm="1">
        <f t="array" aca="1" ref="DR6" ca="1">_xll.EQNXTDZ($A$1,$B6,DR$1)</f>
        <v>#NAME?</v>
      </c>
      <c r="DS6" t="e" cm="1">
        <f t="array" aca="1" ref="DS6" ca="1">_xll.EQNXTDZ($A$1,$B6,DS$1)</f>
        <v>#NAME?</v>
      </c>
      <c r="DT6" t="e" cm="1">
        <f t="array" aca="1" ref="DT6" ca="1">_xll.EQNXTDZ($A$1,$B6,DT$1)</f>
        <v>#NAME?</v>
      </c>
      <c r="DU6" t="e" cm="1">
        <f t="array" aca="1" ref="DU6" ca="1">_xll.EQNXTDZ($A$1,$B6,DU$1)</f>
        <v>#NAME?</v>
      </c>
      <c r="DV6" t="e" cm="1">
        <f t="array" aca="1" ref="DV6" ca="1">_xll.EQNXTDZ($A$1,$B6,DV$1)</f>
        <v>#NAME?</v>
      </c>
      <c r="DW6" t="e" cm="1">
        <f t="array" aca="1" ref="DW6" ca="1">_xll.EQNXTDZ($A$1,$B6,DW$1)</f>
        <v>#NAME?</v>
      </c>
      <c r="DX6" t="e" cm="1">
        <f t="array" aca="1" ref="DX6" ca="1">_xll.EQNXTDZ($A$1,$B6,DX$1)</f>
        <v>#NAME?</v>
      </c>
      <c r="DY6" t="e" cm="1">
        <f t="array" aca="1" ref="DY6" ca="1">_xll.EQNXTDZ($A$1,$B6,DY$1)</f>
        <v>#NAME?</v>
      </c>
      <c r="DZ6" t="e" cm="1">
        <f t="array" aca="1" ref="DZ6" ca="1">_xll.EQNXTDZ($A$1,$B6,DZ$1)</f>
        <v>#NAME?</v>
      </c>
      <c r="EA6" t="e" cm="1">
        <f t="array" aca="1" ref="EA6" ca="1">_xll.EQNXTDZ($A$1,$B6,EA$1)</f>
        <v>#NAME?</v>
      </c>
      <c r="EB6" t="e" cm="1">
        <f t="array" aca="1" ref="EB6" ca="1">_xll.EQNXTDZ($A$1,$B6,EB$1)</f>
        <v>#NAME?</v>
      </c>
      <c r="EC6" t="e" cm="1">
        <f t="array" aca="1" ref="EC6" ca="1">_xll.EQNXTDZ($A$1,$B6,EC$1)</f>
        <v>#NAME?</v>
      </c>
      <c r="ED6" t="e" cm="1">
        <f t="array" aca="1" ref="ED6" ca="1">_xll.EQNXTDZ($A$1,$B6,ED$1)</f>
        <v>#NAME?</v>
      </c>
      <c r="EE6" t="e" cm="1">
        <f t="array" aca="1" ref="EE6" ca="1">_xll.EQNXTDZ($A$1,$B6,EE$1)</f>
        <v>#NAME?</v>
      </c>
      <c r="EF6" t="e" cm="1">
        <f t="array" aca="1" ref="EF6" ca="1">_xll.EQNXTDZ($A$1,$B6,EF$1)</f>
        <v>#NAME?</v>
      </c>
      <c r="EG6" t="e" cm="1">
        <f t="array" aca="1" ref="EG6" ca="1">_xll.EQNXTDZ($A$1,$B6,EG$1)</f>
        <v>#NAME?</v>
      </c>
      <c r="EH6" t="e" cm="1">
        <f t="array" aca="1" ref="EH6" ca="1">_xll.EQNXTDZ($A$1,$B6,EH$1)</f>
        <v>#NAME?</v>
      </c>
      <c r="EI6" t="e" cm="1">
        <f t="array" aca="1" ref="EI6" ca="1">_xll.EQNXTDZ($A$1,$B6,EI$1)</f>
        <v>#NAME?</v>
      </c>
      <c r="EJ6" t="e" cm="1">
        <f t="array" aca="1" ref="EJ6" ca="1">_xll.EQNXTDZ($A$1,$B6,EJ$1)</f>
        <v>#NAME?</v>
      </c>
      <c r="EK6" t="e" cm="1">
        <f t="array" aca="1" ref="EK6" ca="1">_xll.EQNXTDZ($A$1,$B6,EK$1)</f>
        <v>#NAME?</v>
      </c>
      <c r="EL6" t="e" cm="1">
        <f t="array" aca="1" ref="EL6" ca="1">_xll.EQNXTDZ($A$1,$B6,EL$1)</f>
        <v>#NAME?</v>
      </c>
      <c r="EM6" t="e" cm="1">
        <f t="array" aca="1" ref="EM6" ca="1">_xll.EQNXTDZ($A$1,$B6,EM$1)</f>
        <v>#NAME?</v>
      </c>
      <c r="EN6" t="e" cm="1">
        <f t="array" aca="1" ref="EN6" ca="1">_xll.EQNXTDZ($A$1,$B6,EN$1)</f>
        <v>#NAME?</v>
      </c>
      <c r="EO6" t="e" cm="1">
        <f t="array" aca="1" ref="EO6" ca="1">_xll.EQNXTDZ($A$1,$B6,EO$1)</f>
        <v>#NAME?</v>
      </c>
      <c r="EP6" t="e" cm="1">
        <f t="array" aca="1" ref="EP6" ca="1">_xll.EQNXTDZ($A$1,$B6,EP$1)</f>
        <v>#NAME?</v>
      </c>
      <c r="EQ6" t="e" cm="1">
        <f t="array" aca="1" ref="EQ6" ca="1">_xll.EQNXTDZ($A$1,$B6,EQ$1)</f>
        <v>#NAME?</v>
      </c>
      <c r="ER6" t="e" cm="1">
        <f t="array" aca="1" ref="ER6" ca="1">_xll.EQNXTDZ($A$1,$B6,ER$1)</f>
        <v>#NAME?</v>
      </c>
      <c r="ES6" t="e" cm="1">
        <f t="array" aca="1" ref="ES6" ca="1">_xll.EQNXTDZ($A$1,$B6,ES$1)</f>
        <v>#NAME?</v>
      </c>
      <c r="ET6" t="e" cm="1">
        <f t="array" aca="1" ref="ET6" ca="1">_xll.EQNXTDZ($A$1,$B6,ET$1)</f>
        <v>#NAME?</v>
      </c>
      <c r="EU6" t="e" cm="1">
        <f t="array" aca="1" ref="EU6" ca="1">_xll.EQNXTDZ($A$1,$B6,EU$1)</f>
        <v>#NAME?</v>
      </c>
      <c r="EV6" t="e" cm="1">
        <f t="array" aca="1" ref="EV6" ca="1">_xll.EQNXTDZ($A$1,$B6,EV$1)</f>
        <v>#NAME?</v>
      </c>
      <c r="EW6" t="e" cm="1">
        <f t="array" aca="1" ref="EW6" ca="1">_xll.EQNXTDZ($A$1,$B6,EW$1)</f>
        <v>#NAME?</v>
      </c>
      <c r="EX6" t="e" cm="1">
        <f t="array" aca="1" ref="EX6" ca="1">_xll.EQNXTDZ($A$1,$B6,EX$1)</f>
        <v>#NAME?</v>
      </c>
      <c r="EY6" t="e" cm="1">
        <f t="array" aca="1" ref="EY6" ca="1">_xll.EQNXTDZ($A$1,$B6,EY$1)</f>
        <v>#NAME?</v>
      </c>
      <c r="EZ6" t="e" cm="1">
        <f t="array" aca="1" ref="EZ6" ca="1">_xll.EQNXTDZ($A$1,$B6,EZ$1)</f>
        <v>#NAME?</v>
      </c>
      <c r="FA6" t="e" cm="1">
        <f t="array" aca="1" ref="FA6" ca="1">_xll.EQNXTDZ($A$1,$B6,FA$1)</f>
        <v>#NAME?</v>
      </c>
      <c r="FB6" t="e" cm="1">
        <f t="array" aca="1" ref="FB6" ca="1">_xll.EQNXTDZ($A$1,$B6,FB$1)</f>
        <v>#NAME?</v>
      </c>
      <c r="FC6" t="e" cm="1">
        <f t="array" aca="1" ref="FC6" ca="1">_xll.EQNXTDZ($A$1,$B6,FC$1)</f>
        <v>#NAME?</v>
      </c>
      <c r="FD6" t="e" cm="1">
        <f t="array" aca="1" ref="FD6" ca="1">_xll.EQNXTDZ($A$1,$B6,FD$1)</f>
        <v>#NAME?</v>
      </c>
      <c r="FE6" t="e" cm="1">
        <f t="array" aca="1" ref="FE6" ca="1">_xll.EQNXTDZ($A$1,$B6,FE$1)</f>
        <v>#NAME?</v>
      </c>
      <c r="FF6" t="e" cm="1">
        <f t="array" aca="1" ref="FF6" ca="1">_xll.EQNXTDZ($A$1,$B6,FF$1)</f>
        <v>#NAME?</v>
      </c>
      <c r="FG6" t="e" cm="1">
        <f t="array" aca="1" ref="FG6" ca="1">_xll.EQNXTDZ($A$1,$B6,FG$1)</f>
        <v>#NAME?</v>
      </c>
      <c r="FH6" t="e" cm="1">
        <f t="array" aca="1" ref="FH6" ca="1">_xll.EQNXTDZ($A$1,$B6,FH$1)</f>
        <v>#NAME?</v>
      </c>
      <c r="FI6" t="e" cm="1">
        <f t="array" aca="1" ref="FI6" ca="1">_xll.EQNXTDZ($A$1,$B6,FI$1)</f>
        <v>#NAME?</v>
      </c>
      <c r="FJ6" t="e" cm="1">
        <f t="array" aca="1" ref="FJ6" ca="1">_xll.EQNXTDZ($A$1,$B6,FJ$1)</f>
        <v>#NAME?</v>
      </c>
      <c r="FK6" t="e" cm="1">
        <f t="array" aca="1" ref="FK6" ca="1">_xll.EQNXTDZ($A$1,$B6,FK$1)</f>
        <v>#NAME?</v>
      </c>
      <c r="FL6" t="e" cm="1">
        <f t="array" aca="1" ref="FL6" ca="1">_xll.EQNXTDZ($A$1,$B6,FL$1)</f>
        <v>#NAME?</v>
      </c>
      <c r="FM6" t="e" cm="1">
        <f t="array" aca="1" ref="FM6" ca="1">_xll.EQNXTDZ($A$1,$B6,FM$1)</f>
        <v>#NAME?</v>
      </c>
      <c r="FN6" t="e" cm="1">
        <f t="array" aca="1" ref="FN6" ca="1">_xll.EQNXTDZ($A$1,$B6,FN$1)</f>
        <v>#NAME?</v>
      </c>
      <c r="FO6" t="e" cm="1">
        <f t="array" aca="1" ref="FO6" ca="1">_xll.EQNXTDZ($A$1,$B6,FO$1)</f>
        <v>#NAME?</v>
      </c>
      <c r="FP6" t="e" cm="1">
        <f t="array" aca="1" ref="FP6" ca="1">_xll.EQNXTDZ($A$1,$B6,FP$1)</f>
        <v>#NAME?</v>
      </c>
      <c r="FQ6" t="e" cm="1">
        <f t="array" aca="1" ref="FQ6" ca="1">_xll.EQNXTDZ($A$1,$B6,FQ$1)</f>
        <v>#NAME?</v>
      </c>
      <c r="FR6" t="e" cm="1">
        <f t="array" aca="1" ref="FR6" ca="1">_xll.EQNXTDZ($A$1,$B6,FR$1)</f>
        <v>#NAME?</v>
      </c>
      <c r="FS6" t="e" cm="1">
        <f t="array" aca="1" ref="FS6" ca="1">_xll.EQNXTDZ($A$1,$B6,FS$1)</f>
        <v>#NAME?</v>
      </c>
      <c r="FT6" t="e" cm="1">
        <f t="array" aca="1" ref="FT6" ca="1">_xll.EQNXTDZ($A$1,$B6,FT$1)</f>
        <v>#NAME?</v>
      </c>
      <c r="FU6" t="e" cm="1">
        <f t="array" aca="1" ref="FU6" ca="1">_xll.EQNXTDZ($A$1,$B6,FU$1)</f>
        <v>#NAME?</v>
      </c>
      <c r="FV6" t="e" cm="1">
        <f t="array" aca="1" ref="FV6" ca="1">_xll.EQNXTDZ($A$1,$B6,FV$1)</f>
        <v>#NAME?</v>
      </c>
      <c r="FW6" t="e" cm="1">
        <f t="array" aca="1" ref="FW6" ca="1">_xll.EQNXTDZ($A$1,$B6,FW$1)</f>
        <v>#NAME?</v>
      </c>
      <c r="FX6" t="e" cm="1">
        <f t="array" aca="1" ref="FX6" ca="1">_xll.EQNXTDZ($A$1,$B6,FX$1)</f>
        <v>#NAME?</v>
      </c>
      <c r="FY6" t="e" cm="1">
        <f t="array" aca="1" ref="FY6" ca="1">_xll.EQNXTDZ($A$1,$B6,FY$1)</f>
        <v>#NAME?</v>
      </c>
      <c r="FZ6" t="e" cm="1">
        <f t="array" aca="1" ref="FZ6" ca="1">_xll.EQNXTDZ($A$1,$B6,FZ$1)</f>
        <v>#NAME?</v>
      </c>
      <c r="GA6" t="e" cm="1">
        <f t="array" aca="1" ref="GA6" ca="1">_xll.EQNXTDZ($A$1,$B6,GA$1)</f>
        <v>#NAME?</v>
      </c>
      <c r="GB6" t="e" cm="1">
        <f t="array" aca="1" ref="GB6" ca="1">_xll.EQNXTDZ($A$1,$B6,GB$1)</f>
        <v>#NAME?</v>
      </c>
      <c r="GC6" t="e" cm="1">
        <f t="array" aca="1" ref="GC6" ca="1">_xll.EQNXTDZ($A$1,$B6,GC$1)</f>
        <v>#NAME?</v>
      </c>
      <c r="GD6" t="e" cm="1">
        <f t="array" aca="1" ref="GD6" ca="1">_xll.EQNXTDZ($A$1,$B6,GD$1)</f>
        <v>#NAME?</v>
      </c>
      <c r="GE6" t="e" cm="1">
        <f t="array" aca="1" ref="GE6" ca="1">_xll.EQNXTDZ($A$1,$B6,GE$1)</f>
        <v>#NAME?</v>
      </c>
      <c r="GF6" t="e" cm="1">
        <f t="array" aca="1" ref="GF6" ca="1">_xll.EQNXTDZ($A$1,$B6,GF$1)</f>
        <v>#NAME?</v>
      </c>
      <c r="GG6" t="e" cm="1">
        <f t="array" aca="1" ref="GG6" ca="1">_xll.EQNXTDZ($A$1,$B6,GG$1)</f>
        <v>#NAME?</v>
      </c>
      <c r="GH6" t="e" cm="1">
        <f t="array" aca="1" ref="GH6" ca="1">_xll.EQNXTDZ($A$1,$B6,GH$1)</f>
        <v>#NAME?</v>
      </c>
      <c r="GI6" t="e" cm="1">
        <f t="array" aca="1" ref="GI6" ca="1">_xll.EQNXTDZ($A$1,$B6,GI$1)</f>
        <v>#NAME?</v>
      </c>
      <c r="GJ6" t="e" cm="1">
        <f t="array" aca="1" ref="GJ6" ca="1">_xll.EQNXTDZ($A$1,$B6,GJ$1)</f>
        <v>#NAME?</v>
      </c>
      <c r="GK6" t="e" cm="1">
        <f t="array" aca="1" ref="GK6" ca="1">_xll.EQNXTDZ($A$1,$B6,GK$1)</f>
        <v>#NAME?</v>
      </c>
      <c r="GL6" t="e" cm="1">
        <f t="array" aca="1" ref="GL6" ca="1">_xll.EQNXTDZ($A$1,$B6,GL$1)</f>
        <v>#NAME?</v>
      </c>
      <c r="GM6" t="e" cm="1">
        <f t="array" aca="1" ref="GM6" ca="1">_xll.EQNXTDZ($A$1,$B6,GM$1)</f>
        <v>#NAME?</v>
      </c>
      <c r="GN6" t="e" cm="1">
        <f t="array" aca="1" ref="GN6" ca="1">_xll.EQNXTDZ($A$1,$B6,GN$1)</f>
        <v>#NAME?</v>
      </c>
      <c r="GO6" t="e" cm="1">
        <f t="array" aca="1" ref="GO6" ca="1">_xll.EQNXTDZ($A$1,$B6,GO$1)</f>
        <v>#NAME?</v>
      </c>
      <c r="GP6" t="e" cm="1">
        <f t="array" aca="1" ref="GP6" ca="1">_xll.EQNXTDZ($A$1,$B6,GP$1)</f>
        <v>#NAME?</v>
      </c>
      <c r="GQ6" t="e" cm="1">
        <f t="array" aca="1" ref="GQ6" ca="1">_xll.EQNXTDZ($A$1,$B6,GQ$1)</f>
        <v>#NAME?</v>
      </c>
      <c r="GR6" t="e" cm="1">
        <f t="array" aca="1" ref="GR6" ca="1">_xll.EQNXTDZ($A$1,$B6,GR$1)</f>
        <v>#NAME?</v>
      </c>
      <c r="GS6" t="e" cm="1">
        <f t="array" aca="1" ref="GS6" ca="1">_xll.EQNXTDZ($A$1,$B6,GS$1)</f>
        <v>#NAME?</v>
      </c>
      <c r="GT6" t="e" cm="1">
        <f t="array" aca="1" ref="GT6" ca="1">_xll.EQNXTDZ($A$1,$B6,GT$1)</f>
        <v>#NAME?</v>
      </c>
      <c r="GU6" t="e" cm="1">
        <f t="array" aca="1" ref="GU6" ca="1">_xll.EQNXTDZ($A$1,$B6,GU$1)</f>
        <v>#NAME?</v>
      </c>
      <c r="GV6" t="e" cm="1">
        <f t="array" aca="1" ref="GV6" ca="1">_xll.EQNXTDZ($A$1,$B6,GV$1)</f>
        <v>#NAME?</v>
      </c>
      <c r="GW6" t="e" cm="1">
        <f t="array" aca="1" ref="GW6" ca="1">_xll.EQNXTDZ($A$1,$B6,GW$1)</f>
        <v>#NAME?</v>
      </c>
      <c r="GX6" t="e" cm="1">
        <f t="array" aca="1" ref="GX6" ca="1">_xll.EQNXTDZ($A$1,$B6,GX$1)</f>
        <v>#NAME?</v>
      </c>
      <c r="GY6" t="e" cm="1">
        <f t="array" aca="1" ref="GY6" ca="1">_xll.EQNXTDZ($A$1,$B6,GY$1)</f>
        <v>#NAME?</v>
      </c>
      <c r="GZ6" t="e" cm="1">
        <f t="array" aca="1" ref="GZ6" ca="1">_xll.EQNXTDZ($A$1,$B6,GZ$1)</f>
        <v>#NAME?</v>
      </c>
      <c r="HA6" t="e" cm="1">
        <f t="array" aca="1" ref="HA6" ca="1">_xll.EQNXTDZ($A$1,$B6,HA$1)</f>
        <v>#NAME?</v>
      </c>
      <c r="HB6" t="e" cm="1">
        <f t="array" aca="1" ref="HB6" ca="1">_xll.EQNXTDZ($A$1,$B6,HB$1)</f>
        <v>#NAME?</v>
      </c>
      <c r="HC6" t="e" cm="1">
        <f t="array" aca="1" ref="HC6" ca="1">_xll.EQNXTDZ($A$1,$B6,HC$1)</f>
        <v>#NAME?</v>
      </c>
      <c r="HD6" t="e" cm="1">
        <f t="array" aca="1" ref="HD6" ca="1">_xll.EQNXTDZ($A$1,$B6,HD$1)</f>
        <v>#NAME?</v>
      </c>
      <c r="HE6" t="e" cm="1">
        <f t="array" aca="1" ref="HE6" ca="1">_xll.EQNXTDZ($A$1,$B6,HE$1)</f>
        <v>#NAME?</v>
      </c>
      <c r="HF6" t="e" cm="1">
        <f t="array" aca="1" ref="HF6" ca="1">_xll.EQNXTDZ($A$1,$B6,HF$1)</f>
        <v>#NAME?</v>
      </c>
      <c r="HG6" t="e" cm="1">
        <f t="array" aca="1" ref="HG6" ca="1">_xll.EQNXTDZ($A$1,$B6,HG$1)</f>
        <v>#NAME?</v>
      </c>
      <c r="HH6" t="e" cm="1">
        <f t="array" aca="1" ref="HH6" ca="1">_xll.EQNXTDZ($A$1,$B6,HH$1)</f>
        <v>#NAME?</v>
      </c>
    </row>
    <row r="7" spans="1:294" s="116" customFormat="1" x14ac:dyDescent="0.25">
      <c r="A7" s="116" t="s">
        <v>38</v>
      </c>
      <c r="B7" s="116" t="s">
        <v>418</v>
      </c>
      <c r="C7" s="116" t="e" cm="1">
        <f t="array" aca="1" ref="C7" ca="1">_xll.EQNXTDZ($A$1,$B7,C$1)</f>
        <v>#NAME?</v>
      </c>
      <c r="D7" s="116" t="e" cm="1">
        <f t="array" aca="1" ref="D7" ca="1">_xll.EQNXTDZ($A$1,$B7,D$1)</f>
        <v>#NAME?</v>
      </c>
      <c r="E7" s="116" t="e" cm="1">
        <f t="array" aca="1" ref="E7" ca="1">_xll.EQNXTDZ($A$1,$B7,E$1)</f>
        <v>#NAME?</v>
      </c>
      <c r="F7" s="116" t="e" cm="1">
        <f t="array" aca="1" ref="F7" ca="1">_xll.EQNXTDZ($A$1,$B7,F$1)</f>
        <v>#NAME?</v>
      </c>
      <c r="G7" s="116" t="e" cm="1">
        <f t="array" aca="1" ref="G7" ca="1">_xll.EQNXTDZ($A$1,$B7,G$1)</f>
        <v>#NAME?</v>
      </c>
      <c r="H7" s="116" t="e" cm="1">
        <f t="array" aca="1" ref="H7" ca="1">_xll.EQNXTDZ($A$1,$B7,H$1)</f>
        <v>#NAME?</v>
      </c>
      <c r="I7" s="116" t="e" cm="1">
        <f t="array" aca="1" ref="I7" ca="1">_xll.EQNXTDZ($A$1,$B7,I$1)</f>
        <v>#NAME?</v>
      </c>
      <c r="J7" s="116" t="e" cm="1">
        <f t="array" aca="1" ref="J7" ca="1">_xll.EQNXTDZ($A$1,$B7,J$1)</f>
        <v>#NAME?</v>
      </c>
      <c r="K7" s="116" t="e" cm="1">
        <f t="array" aca="1" ref="K7" ca="1">_xll.EQNXTDZ($A$1,$B7,K$1)</f>
        <v>#NAME?</v>
      </c>
      <c r="L7" s="116" t="e" cm="1">
        <f t="array" aca="1" ref="L7" ca="1">_xll.EQNXTDZ($A$1,$B7,L$1)</f>
        <v>#NAME?</v>
      </c>
      <c r="M7" s="116" t="e" cm="1">
        <f t="array" aca="1" ref="M7" ca="1">_xll.EQNXTDZ($A$1,$B7,M$1)</f>
        <v>#NAME?</v>
      </c>
      <c r="N7" s="116" t="e" cm="1">
        <f t="array" aca="1" ref="N7" ca="1">_xll.EQNXTDZ($A$1,$B7,N$1)</f>
        <v>#NAME?</v>
      </c>
      <c r="O7" s="116" t="e" cm="1">
        <f t="array" aca="1" ref="O7" ca="1">_xll.EQNXTDZ($A$1,$B7,O$1)</f>
        <v>#NAME?</v>
      </c>
      <c r="P7" s="116" t="e" cm="1">
        <f t="array" aca="1" ref="P7" ca="1">_xll.EQNXTDZ($A$1,$B7,P$1)</f>
        <v>#NAME?</v>
      </c>
      <c r="Q7" s="116" t="e" cm="1">
        <f t="array" aca="1" ref="Q7" ca="1">_xll.EQNXTDZ($A$1,$B7,Q$1)</f>
        <v>#NAME?</v>
      </c>
      <c r="R7" s="116" t="e" cm="1">
        <f t="array" aca="1" ref="R7" ca="1">_xll.EQNXTDZ($A$1,$B7,R$1)</f>
        <v>#NAME?</v>
      </c>
      <c r="S7" s="116" t="e" cm="1">
        <f t="array" aca="1" ref="S7" ca="1">_xll.EQNXTDZ($A$1,$B7,S$1)</f>
        <v>#NAME?</v>
      </c>
      <c r="T7" s="116" t="e" cm="1">
        <f t="array" aca="1" ref="T7" ca="1">_xll.EQNXTDZ($A$1,$B7,T$1)</f>
        <v>#NAME?</v>
      </c>
      <c r="U7" s="116" t="e" cm="1">
        <f t="array" aca="1" ref="U7" ca="1">_xll.EQNXTDZ($A$1,$B7,U$1)</f>
        <v>#NAME?</v>
      </c>
      <c r="V7" s="116" t="e" cm="1">
        <f t="array" aca="1" ref="V7" ca="1">_xll.EQNXTDZ($A$1,$B7,V$1)</f>
        <v>#NAME?</v>
      </c>
      <c r="W7" s="116" t="e" cm="1">
        <f t="array" aca="1" ref="W7" ca="1">_xll.EQNXTDZ($A$1,$B7,W$1)</f>
        <v>#NAME?</v>
      </c>
      <c r="X7" s="116" t="e" cm="1">
        <f t="array" aca="1" ref="X7" ca="1">_xll.EQNXTDZ($A$1,$B7,X$1)</f>
        <v>#NAME?</v>
      </c>
      <c r="Y7" s="116" t="e" cm="1">
        <f t="array" aca="1" ref="Y7" ca="1">_xll.EQNXTDZ($A$1,$B7,Y$1)</f>
        <v>#NAME?</v>
      </c>
      <c r="Z7" s="116" t="e" cm="1">
        <f t="array" aca="1" ref="Z7" ca="1">_xll.EQNXTDZ($A$1,$B7,Z$1)</f>
        <v>#NAME?</v>
      </c>
      <c r="AA7" s="116" t="e" cm="1">
        <f t="array" aca="1" ref="AA7" ca="1">_xll.EQNXTDZ($A$1,$B7,AA$1)</f>
        <v>#NAME?</v>
      </c>
      <c r="AB7" s="116" t="e" cm="1">
        <f t="array" aca="1" ref="AB7" ca="1">_xll.EQNXTDZ($A$1,$B7,AB$1)</f>
        <v>#NAME?</v>
      </c>
      <c r="AC7" s="116" t="e" cm="1">
        <f t="array" aca="1" ref="AC7" ca="1">_xll.EQNXTDZ($A$1,$B7,AC$1)</f>
        <v>#NAME?</v>
      </c>
      <c r="AD7" s="116" t="e" cm="1">
        <f t="array" aca="1" ref="AD7" ca="1">_xll.EQNXTDZ($A$1,$B7,AD$1)</f>
        <v>#NAME?</v>
      </c>
      <c r="AE7" s="116" t="e" cm="1">
        <f t="array" aca="1" ref="AE7" ca="1">_xll.EQNXTDZ($A$1,$B7,AE$1)</f>
        <v>#NAME?</v>
      </c>
      <c r="AF7" s="116" t="e" cm="1">
        <f t="array" aca="1" ref="AF7" ca="1">_xll.EQNXTDZ($A$1,$B7,AF$1)</f>
        <v>#NAME?</v>
      </c>
      <c r="AG7" s="116" t="e" cm="1">
        <f t="array" aca="1" ref="AG7" ca="1">_xll.EQNXTDZ($A$1,$B7,AG$1)</f>
        <v>#NAME?</v>
      </c>
      <c r="AH7" s="116" t="e" cm="1">
        <f t="array" aca="1" ref="AH7" ca="1">_xll.EQNXTDZ($A$1,$B7,AH$1)</f>
        <v>#NAME?</v>
      </c>
      <c r="AI7" s="116" t="e" cm="1">
        <f t="array" aca="1" ref="AI7" ca="1">_xll.EQNXTDZ($A$1,$B7,AI$1)</f>
        <v>#NAME?</v>
      </c>
      <c r="AJ7" s="116" t="e" cm="1">
        <f t="array" aca="1" ref="AJ7" ca="1">_xll.EQNXTDZ($A$1,$B7,AJ$1)</f>
        <v>#NAME?</v>
      </c>
      <c r="AK7" s="116" t="e" cm="1">
        <f t="array" aca="1" ref="AK7" ca="1">_xll.EQNXTDZ($A$1,$B7,AK$1)</f>
        <v>#NAME?</v>
      </c>
      <c r="AL7" s="116" t="e" cm="1">
        <f t="array" aca="1" ref="AL7" ca="1">_xll.EQNXTDZ($A$1,$B7,AL$1)</f>
        <v>#NAME?</v>
      </c>
      <c r="AM7" s="116" t="e" cm="1">
        <f t="array" aca="1" ref="AM7" ca="1">_xll.EQNXTDZ($A$1,$B7,AM$1)</f>
        <v>#NAME?</v>
      </c>
      <c r="AN7" s="116" t="e" cm="1">
        <f t="array" aca="1" ref="AN7" ca="1">_xll.EQNXTDZ($A$1,$B7,AN$1)</f>
        <v>#NAME?</v>
      </c>
      <c r="AO7" s="116" t="e" cm="1">
        <f t="array" aca="1" ref="AO7" ca="1">_xll.EQNXTDZ($A$1,$B7,AO$1)</f>
        <v>#NAME?</v>
      </c>
      <c r="AP7" s="116" t="e" cm="1">
        <f t="array" aca="1" ref="AP7" ca="1">_xll.EQNXTDZ($A$1,$B7,AP$1)</f>
        <v>#NAME?</v>
      </c>
      <c r="AQ7" s="116" t="e" cm="1">
        <f t="array" aca="1" ref="AQ7" ca="1">_xll.EQNXTDZ($A$1,$B7,AQ$1)</f>
        <v>#NAME?</v>
      </c>
      <c r="AR7" s="116" t="e" cm="1">
        <f t="array" aca="1" ref="AR7" ca="1">_xll.EQNXTDZ($A$1,$B7,AR$1)</f>
        <v>#NAME?</v>
      </c>
      <c r="AS7" s="116" t="e" cm="1">
        <f t="array" aca="1" ref="AS7" ca="1">_xll.EQNXTDZ($A$1,$B7,AS$1)</f>
        <v>#NAME?</v>
      </c>
      <c r="AT7" s="116" t="e" cm="1">
        <f t="array" aca="1" ref="AT7" ca="1">_xll.EQNXTDZ($A$1,$B7,AT$1)</f>
        <v>#NAME?</v>
      </c>
      <c r="AU7" s="116" t="e" cm="1">
        <f t="array" aca="1" ref="AU7" ca="1">_xll.EQNXTDZ($A$1,$B7,AU$1)</f>
        <v>#NAME?</v>
      </c>
      <c r="AV7" s="116" t="e" cm="1">
        <f t="array" aca="1" ref="AV7" ca="1">_xll.EQNXTDZ($A$1,$B7,AV$1)</f>
        <v>#NAME?</v>
      </c>
      <c r="AW7" s="116" t="e" cm="1">
        <f t="array" aca="1" ref="AW7" ca="1">_xll.EQNXTDZ($A$1,$B7,AW$1)</f>
        <v>#NAME?</v>
      </c>
      <c r="AX7" s="116" t="e" cm="1">
        <f t="array" aca="1" ref="AX7" ca="1">_xll.EQNXTDZ($A$1,$B7,AX$1)</f>
        <v>#NAME?</v>
      </c>
      <c r="AY7" s="116" t="e" cm="1">
        <f t="array" aca="1" ref="AY7" ca="1">_xll.EQNXTDZ($A$1,$B7,AY$1)</f>
        <v>#NAME?</v>
      </c>
      <c r="AZ7" s="116" t="e" cm="1">
        <f t="array" aca="1" ref="AZ7" ca="1">_xll.EQNXTDZ($A$1,$B7,AZ$1)</f>
        <v>#NAME?</v>
      </c>
      <c r="BA7" s="116" t="e" cm="1">
        <f t="array" aca="1" ref="BA7" ca="1">_xll.EQNXTDZ($A$1,$B7,BA$1)</f>
        <v>#NAME?</v>
      </c>
      <c r="BB7" s="116" t="e" cm="1">
        <f t="array" aca="1" ref="BB7" ca="1">_xll.EQNXTDZ($A$1,$B7,BB$1)</f>
        <v>#NAME?</v>
      </c>
      <c r="BC7" s="116" t="e" cm="1">
        <f t="array" aca="1" ref="BC7" ca="1">_xll.EQNXTDZ($A$1,$B7,BC$1)</f>
        <v>#NAME?</v>
      </c>
      <c r="BD7" s="116" t="e" cm="1">
        <f t="array" aca="1" ref="BD7" ca="1">_xll.EQNXTDZ($A$1,$B7,BD$1)</f>
        <v>#NAME?</v>
      </c>
      <c r="BE7" s="116" t="e" cm="1">
        <f t="array" aca="1" ref="BE7" ca="1">_xll.EQNXTDZ($A$1,$B7,BE$1)</f>
        <v>#NAME?</v>
      </c>
      <c r="BF7" s="116" t="e" cm="1">
        <f t="array" aca="1" ref="BF7" ca="1">_xll.EQNXTDZ($A$1,$B7,BF$1)</f>
        <v>#NAME?</v>
      </c>
      <c r="BG7" s="116" t="e" cm="1">
        <f t="array" aca="1" ref="BG7" ca="1">_xll.EQNXTDZ($A$1,$B7,BG$1)</f>
        <v>#NAME?</v>
      </c>
      <c r="BH7" s="116" t="e" cm="1">
        <f t="array" aca="1" ref="BH7" ca="1">_xll.EQNXTDZ($A$1,$B7,BH$1)</f>
        <v>#NAME?</v>
      </c>
      <c r="BI7" s="116" t="e" cm="1">
        <f t="array" aca="1" ref="BI7" ca="1">_xll.EQNXTDZ($A$1,$B7,BI$1)</f>
        <v>#NAME?</v>
      </c>
      <c r="BJ7" s="116" t="e" cm="1">
        <f t="array" aca="1" ref="BJ7" ca="1">_xll.EQNXTDZ($A$1,$B7,BJ$1)</f>
        <v>#NAME?</v>
      </c>
      <c r="BK7" s="116" t="e" cm="1">
        <f t="array" aca="1" ref="BK7" ca="1">_xll.EQNXTDZ($A$1,$B7,BK$1)</f>
        <v>#NAME?</v>
      </c>
      <c r="BL7" s="116" t="e" cm="1">
        <f t="array" aca="1" ref="BL7" ca="1">_xll.EQNXTDZ($A$1,$B7,BL$1)</f>
        <v>#NAME?</v>
      </c>
      <c r="BM7" s="116" t="e" cm="1">
        <f t="array" aca="1" ref="BM7" ca="1">_xll.EQNXTDZ($A$1,$B7,BM$1)</f>
        <v>#NAME?</v>
      </c>
      <c r="BN7" s="116" t="e" cm="1">
        <f t="array" aca="1" ref="BN7" ca="1">_xll.EQNXTDZ($A$1,$B7,BN$1)</f>
        <v>#NAME?</v>
      </c>
      <c r="BO7" s="116" t="e" cm="1">
        <f t="array" aca="1" ref="BO7" ca="1">_xll.EQNXTDZ($A$1,$B7,BO$1)</f>
        <v>#NAME?</v>
      </c>
      <c r="BP7" s="116" t="e" cm="1">
        <f t="array" aca="1" ref="BP7" ca="1">_xll.EQNXTDZ($A$1,$B7,BP$1)</f>
        <v>#NAME?</v>
      </c>
      <c r="BQ7" s="116" t="e" cm="1">
        <f t="array" aca="1" ref="BQ7" ca="1">_xll.EQNXTDZ($A$1,$B7,BQ$1)</f>
        <v>#NAME?</v>
      </c>
      <c r="BR7" s="116" t="e" cm="1">
        <f t="array" aca="1" ref="BR7" ca="1">_xll.EQNXTDZ($A$1,$B7,BR$1)</f>
        <v>#NAME?</v>
      </c>
      <c r="BS7" s="116" t="e" cm="1">
        <f t="array" aca="1" ref="BS7" ca="1">_xll.EQNXTDZ($A$1,$B7,BS$1)</f>
        <v>#NAME?</v>
      </c>
      <c r="BT7" s="116" t="e" cm="1">
        <f t="array" aca="1" ref="BT7" ca="1">_xll.EQNXTDZ($A$1,$B7,BT$1)</f>
        <v>#NAME?</v>
      </c>
      <c r="BU7" s="116" t="e" cm="1">
        <f t="array" aca="1" ref="BU7" ca="1">_xll.EQNXTDZ($A$1,$B7,BU$1)</f>
        <v>#NAME?</v>
      </c>
      <c r="BV7" s="116" t="e" cm="1">
        <f t="array" aca="1" ref="BV7" ca="1">_xll.EQNXTDZ($A$1,$B7,BV$1)</f>
        <v>#NAME?</v>
      </c>
      <c r="BW7" s="116" t="e" cm="1">
        <f t="array" aca="1" ref="BW7" ca="1">_xll.EQNXTDZ($A$1,$B7,BW$1)</f>
        <v>#NAME?</v>
      </c>
      <c r="BX7" s="116" t="e" cm="1">
        <f t="array" aca="1" ref="BX7" ca="1">_xll.EQNXTDZ($A$1,$B7,BX$1)</f>
        <v>#NAME?</v>
      </c>
      <c r="BY7" s="116" t="e" cm="1">
        <f t="array" aca="1" ref="BY7" ca="1">_xll.EQNXTDZ($A$1,$B7,BY$1)</f>
        <v>#NAME?</v>
      </c>
      <c r="BZ7" s="116" t="e" cm="1">
        <f t="array" aca="1" ref="BZ7" ca="1">_xll.EQNXTDZ($A$1,$B7,BZ$1)</f>
        <v>#NAME?</v>
      </c>
      <c r="CA7" s="116" t="e" cm="1">
        <f t="array" aca="1" ref="CA7" ca="1">_xll.EQNXTDZ($A$1,$B7,CA$1)</f>
        <v>#NAME?</v>
      </c>
      <c r="CB7" s="116" t="e" cm="1">
        <f t="array" aca="1" ref="CB7" ca="1">_xll.EQNXTDZ($A$1,$B7,CB$1)</f>
        <v>#NAME?</v>
      </c>
      <c r="CC7" s="116" t="e" cm="1">
        <f t="array" aca="1" ref="CC7" ca="1">_xll.EQNXTDZ($A$1,$B7,CC$1)</f>
        <v>#NAME?</v>
      </c>
      <c r="CD7" s="116" t="e" cm="1">
        <f t="array" aca="1" ref="CD7" ca="1">_xll.EQNXTDZ($A$1,$B7,CD$1)</f>
        <v>#NAME?</v>
      </c>
      <c r="CE7" s="116" t="e" cm="1">
        <f t="array" aca="1" ref="CE7" ca="1">_xll.EQNXTDZ($A$1,$B7,CE$1)</f>
        <v>#NAME?</v>
      </c>
      <c r="CF7" s="116" t="e" cm="1">
        <f t="array" aca="1" ref="CF7" ca="1">_xll.EQNXTDZ($A$1,$B7,CF$1)</f>
        <v>#NAME?</v>
      </c>
      <c r="CG7" s="116" t="e" cm="1">
        <f t="array" aca="1" ref="CG7" ca="1">_xll.EQNXTDZ($A$1,$B7,CG$1)</f>
        <v>#NAME?</v>
      </c>
      <c r="CH7" s="116" t="e" cm="1">
        <f t="array" aca="1" ref="CH7" ca="1">_xll.EQNXTDZ($A$1,$B7,CH$1)</f>
        <v>#NAME?</v>
      </c>
      <c r="CI7" s="116" t="e" cm="1">
        <f t="array" aca="1" ref="CI7" ca="1">_xll.EQNXTDZ($A$1,$B7,CI$1)</f>
        <v>#NAME?</v>
      </c>
      <c r="CJ7" s="116" t="e" cm="1">
        <f t="array" aca="1" ref="CJ7" ca="1">_xll.EQNXTDZ($A$1,$B7,CJ$1)</f>
        <v>#NAME?</v>
      </c>
      <c r="CK7" s="116" t="e" cm="1">
        <f t="array" aca="1" ref="CK7" ca="1">_xll.EQNXTDZ($A$1,$B7,CK$1)</f>
        <v>#NAME?</v>
      </c>
      <c r="CL7" s="116" t="e" cm="1">
        <f t="array" aca="1" ref="CL7" ca="1">_xll.EQNXTDZ($A$1,$B7,CL$1)</f>
        <v>#NAME?</v>
      </c>
      <c r="CM7" s="116" t="e" cm="1">
        <f t="array" aca="1" ref="CM7" ca="1">_xll.EQNXTDZ($A$1,$B7,CM$1)</f>
        <v>#NAME?</v>
      </c>
      <c r="CN7" s="116" t="e" cm="1">
        <f t="array" aca="1" ref="CN7" ca="1">_xll.EQNXTDZ($A$1,$B7,CN$1)</f>
        <v>#NAME?</v>
      </c>
      <c r="CO7" s="116" t="e" cm="1">
        <f t="array" aca="1" ref="CO7" ca="1">_xll.EQNXTDZ($A$1,$B7,CO$1)</f>
        <v>#NAME?</v>
      </c>
      <c r="CP7" s="116" t="e" cm="1">
        <f t="array" aca="1" ref="CP7" ca="1">_xll.EQNXTDZ($A$1,$B7,CP$1)</f>
        <v>#NAME?</v>
      </c>
      <c r="CQ7" s="116" t="e" cm="1">
        <f t="array" aca="1" ref="CQ7" ca="1">_xll.EQNXTDZ($A$1,$B7,CQ$1)</f>
        <v>#NAME?</v>
      </c>
      <c r="CR7" s="116" t="e" cm="1">
        <f t="array" aca="1" ref="CR7" ca="1">_xll.EQNXTDZ($A$1,$B7,CR$1)</f>
        <v>#NAME?</v>
      </c>
      <c r="CS7" s="116" t="e" cm="1">
        <f t="array" aca="1" ref="CS7" ca="1">_xll.EQNXTDZ($A$1,$B7,CS$1)</f>
        <v>#NAME?</v>
      </c>
      <c r="CT7" s="116" t="e" cm="1">
        <f t="array" aca="1" ref="CT7" ca="1">_xll.EQNXTDZ($A$1,$B7,CT$1)</f>
        <v>#NAME?</v>
      </c>
      <c r="CU7" s="116" t="e" cm="1">
        <f t="array" aca="1" ref="CU7" ca="1">_xll.EQNXTDZ($A$1,$B7,CU$1)</f>
        <v>#NAME?</v>
      </c>
      <c r="CV7" s="116" t="e" cm="1">
        <f t="array" aca="1" ref="CV7" ca="1">_xll.EQNXTDZ($A$1,$B7,CV$1)</f>
        <v>#NAME?</v>
      </c>
      <c r="CW7" s="116" t="e" cm="1">
        <f t="array" aca="1" ref="CW7" ca="1">_xll.EQNXTDZ($A$1,$B7,CW$1)</f>
        <v>#NAME?</v>
      </c>
      <c r="CX7" s="116" t="e" cm="1">
        <f t="array" aca="1" ref="CX7" ca="1">_xll.EQNXTDZ($A$1,$B7,CX$1)</f>
        <v>#NAME?</v>
      </c>
      <c r="CY7" s="116" t="e" cm="1">
        <f t="array" aca="1" ref="CY7" ca="1">_xll.EQNXTDZ($A$1,$B7,CY$1)</f>
        <v>#NAME?</v>
      </c>
      <c r="CZ7" s="116" t="e" cm="1">
        <f t="array" aca="1" ref="CZ7" ca="1">_xll.EQNXTDZ($A$1,$B7,CZ$1)</f>
        <v>#NAME?</v>
      </c>
      <c r="DA7" s="116" t="e" cm="1">
        <f t="array" aca="1" ref="DA7" ca="1">_xll.EQNXTDZ($A$1,$B7,DA$1)</f>
        <v>#NAME?</v>
      </c>
      <c r="DB7" s="116" t="e" cm="1">
        <f t="array" aca="1" ref="DB7" ca="1">_xll.EQNXTDZ($A$1,$B7,DB$1)</f>
        <v>#NAME?</v>
      </c>
      <c r="DC7" s="116" t="e" cm="1">
        <f t="array" aca="1" ref="DC7" ca="1">_xll.EQNXTDZ($A$1,$B7,DC$1)</f>
        <v>#NAME?</v>
      </c>
      <c r="DD7" s="116" t="e" cm="1">
        <f t="array" aca="1" ref="DD7" ca="1">_xll.EQNXTDZ($A$1,$B7,DD$1)</f>
        <v>#NAME?</v>
      </c>
      <c r="DE7" s="116" t="e" cm="1">
        <f t="array" aca="1" ref="DE7" ca="1">_xll.EQNXTDZ($A$1,$B7,DE$1)</f>
        <v>#NAME?</v>
      </c>
      <c r="DF7" s="116" t="e" cm="1">
        <f t="array" aca="1" ref="DF7" ca="1">_xll.EQNXTDZ($A$1,$B7,DF$1)</f>
        <v>#NAME?</v>
      </c>
      <c r="DG7" s="116" t="e" cm="1">
        <f t="array" aca="1" ref="DG7" ca="1">_xll.EQNXTDZ($A$1,$B7,DG$1)</f>
        <v>#NAME?</v>
      </c>
      <c r="DH7" s="116" t="e" cm="1">
        <f t="array" aca="1" ref="DH7" ca="1">_xll.EQNXTDZ($A$1,$B7,DH$1)</f>
        <v>#NAME?</v>
      </c>
      <c r="DI7" s="116" t="e" cm="1">
        <f t="array" aca="1" ref="DI7" ca="1">_xll.EQNXTDZ($A$1,$B7,DI$1)</f>
        <v>#NAME?</v>
      </c>
      <c r="DJ7" s="116" t="e" cm="1">
        <f t="array" aca="1" ref="DJ7" ca="1">_xll.EQNXTDZ($A$1,$B7,DJ$1)</f>
        <v>#NAME?</v>
      </c>
      <c r="DK7" s="116" t="e" cm="1">
        <f t="array" aca="1" ref="DK7" ca="1">_xll.EQNXTDZ($A$1,$B7,DK$1)</f>
        <v>#NAME?</v>
      </c>
      <c r="DL7" s="116" t="e" cm="1">
        <f t="array" aca="1" ref="DL7" ca="1">_xll.EQNXTDZ($A$1,$B7,DL$1)</f>
        <v>#NAME?</v>
      </c>
      <c r="DM7" s="116" t="e" cm="1">
        <f t="array" aca="1" ref="DM7" ca="1">_xll.EQNXTDZ($A$1,$B7,DM$1)</f>
        <v>#NAME?</v>
      </c>
      <c r="DN7" s="116" t="e" cm="1">
        <f t="array" aca="1" ref="DN7" ca="1">_xll.EQNXTDZ($A$1,$B7,DN$1)</f>
        <v>#NAME?</v>
      </c>
      <c r="DO7" s="116" t="e" cm="1">
        <f t="array" aca="1" ref="DO7" ca="1">_xll.EQNXTDZ($A$1,$B7,DO$1)</f>
        <v>#NAME?</v>
      </c>
      <c r="DP7" s="116" t="e" cm="1">
        <f t="array" aca="1" ref="DP7" ca="1">_xll.EQNXTDZ($A$1,$B7,DP$1)</f>
        <v>#NAME?</v>
      </c>
      <c r="DQ7" s="116" t="e" cm="1">
        <f t="array" aca="1" ref="DQ7" ca="1">_xll.EQNXTDZ($A$1,$B7,DQ$1)</f>
        <v>#NAME?</v>
      </c>
      <c r="DR7" s="116" t="e" cm="1">
        <f t="array" aca="1" ref="DR7" ca="1">_xll.EQNXTDZ($A$1,$B7,DR$1)</f>
        <v>#NAME?</v>
      </c>
      <c r="DS7" s="116" t="e" cm="1">
        <f t="array" aca="1" ref="DS7" ca="1">_xll.EQNXTDZ($A$1,$B7,DS$1)</f>
        <v>#NAME?</v>
      </c>
      <c r="DT7" s="116" t="e" cm="1">
        <f t="array" aca="1" ref="DT7" ca="1">_xll.EQNXTDZ($A$1,$B7,DT$1)</f>
        <v>#NAME?</v>
      </c>
      <c r="DU7" s="116" t="e" cm="1">
        <f t="array" aca="1" ref="DU7" ca="1">_xll.EQNXTDZ($A$1,$B7,DU$1)</f>
        <v>#NAME?</v>
      </c>
      <c r="DV7" s="116" t="e" cm="1">
        <f t="array" aca="1" ref="DV7" ca="1">_xll.EQNXTDZ($A$1,$B7,DV$1)</f>
        <v>#NAME?</v>
      </c>
      <c r="DW7" s="116" t="e" cm="1">
        <f t="array" aca="1" ref="DW7" ca="1">_xll.EQNXTDZ($A$1,$B7,DW$1)</f>
        <v>#NAME?</v>
      </c>
      <c r="DX7" s="116" t="e" cm="1">
        <f t="array" aca="1" ref="DX7" ca="1">_xll.EQNXTDZ($A$1,$B7,DX$1)</f>
        <v>#NAME?</v>
      </c>
      <c r="DY7" s="116" t="e" cm="1">
        <f t="array" aca="1" ref="DY7" ca="1">_xll.EQNXTDZ($A$1,$B7,DY$1)</f>
        <v>#NAME?</v>
      </c>
      <c r="DZ7" s="116" t="e" cm="1">
        <f t="array" aca="1" ref="DZ7" ca="1">_xll.EQNXTDZ($A$1,$B7,DZ$1)</f>
        <v>#NAME?</v>
      </c>
      <c r="EA7" s="116" t="e" cm="1">
        <f t="array" aca="1" ref="EA7" ca="1">_xll.EQNXTDZ($A$1,$B7,EA$1)</f>
        <v>#NAME?</v>
      </c>
      <c r="EB7" s="116" t="e" cm="1">
        <f t="array" aca="1" ref="EB7" ca="1">_xll.EQNXTDZ($A$1,$B7,EB$1)</f>
        <v>#NAME?</v>
      </c>
      <c r="EC7" s="116" t="e" cm="1">
        <f t="array" aca="1" ref="EC7" ca="1">_xll.EQNXTDZ($A$1,$B7,EC$1)</f>
        <v>#NAME?</v>
      </c>
      <c r="ED7" s="116" t="e" cm="1">
        <f t="array" aca="1" ref="ED7" ca="1">_xll.EQNXTDZ($A$1,$B7,ED$1)</f>
        <v>#NAME?</v>
      </c>
      <c r="EE7" s="116" t="e" cm="1">
        <f t="array" aca="1" ref="EE7" ca="1">_xll.EQNXTDZ($A$1,$B7,EE$1)</f>
        <v>#NAME?</v>
      </c>
      <c r="EF7" s="116" t="e" cm="1">
        <f t="array" aca="1" ref="EF7" ca="1">_xll.EQNXTDZ($A$1,$B7,EF$1)</f>
        <v>#NAME?</v>
      </c>
      <c r="EG7" s="116" t="e" cm="1">
        <f t="array" aca="1" ref="EG7" ca="1">_xll.EQNXTDZ($A$1,$B7,EG$1)</f>
        <v>#NAME?</v>
      </c>
      <c r="EH7" s="116" t="e" cm="1">
        <f t="array" aca="1" ref="EH7" ca="1">_xll.EQNXTDZ($A$1,$B7,EH$1)</f>
        <v>#NAME?</v>
      </c>
      <c r="EI7" s="116" t="e" cm="1">
        <f t="array" aca="1" ref="EI7" ca="1">_xll.EQNXTDZ($A$1,$B7,EI$1)</f>
        <v>#NAME?</v>
      </c>
      <c r="EJ7" s="116" t="e" cm="1">
        <f t="array" aca="1" ref="EJ7" ca="1">_xll.EQNXTDZ($A$1,$B7,EJ$1)</f>
        <v>#NAME?</v>
      </c>
      <c r="EK7" s="116" t="e" cm="1">
        <f t="array" aca="1" ref="EK7" ca="1">_xll.EQNXTDZ($A$1,$B7,EK$1)</f>
        <v>#NAME?</v>
      </c>
      <c r="EL7" s="116" t="e" cm="1">
        <f t="array" aca="1" ref="EL7" ca="1">_xll.EQNXTDZ($A$1,$B7,EL$1)</f>
        <v>#NAME?</v>
      </c>
      <c r="EM7" s="116" t="e" cm="1">
        <f t="array" aca="1" ref="EM7" ca="1">_xll.EQNXTDZ($A$1,$B7,EM$1)</f>
        <v>#NAME?</v>
      </c>
      <c r="EN7" s="116" t="e" cm="1">
        <f t="array" aca="1" ref="EN7" ca="1">_xll.EQNXTDZ($A$1,$B7,EN$1)</f>
        <v>#NAME?</v>
      </c>
      <c r="EO7" s="116" t="e" cm="1">
        <f t="array" aca="1" ref="EO7" ca="1">_xll.EQNXTDZ($A$1,$B7,EO$1)</f>
        <v>#NAME?</v>
      </c>
      <c r="EP7" s="116" t="e" cm="1">
        <f t="array" aca="1" ref="EP7" ca="1">_xll.EQNXTDZ($A$1,$B7,EP$1)</f>
        <v>#NAME?</v>
      </c>
      <c r="EQ7" s="116" t="e" cm="1">
        <f t="array" aca="1" ref="EQ7" ca="1">_xll.EQNXTDZ($A$1,$B7,EQ$1)</f>
        <v>#NAME?</v>
      </c>
      <c r="ER7" s="116" t="e" cm="1">
        <f t="array" aca="1" ref="ER7" ca="1">_xll.EQNXTDZ($A$1,$B7,ER$1)</f>
        <v>#NAME?</v>
      </c>
      <c r="ES7" s="116" t="e" cm="1">
        <f t="array" aca="1" ref="ES7" ca="1">_xll.EQNXTDZ($A$1,$B7,ES$1)</f>
        <v>#NAME?</v>
      </c>
      <c r="ET7" s="116" t="e" cm="1">
        <f t="array" aca="1" ref="ET7" ca="1">_xll.EQNXTDZ($A$1,$B7,ET$1)</f>
        <v>#NAME?</v>
      </c>
      <c r="EU7" s="116" t="e" cm="1">
        <f t="array" aca="1" ref="EU7" ca="1">_xll.EQNXTDZ($A$1,$B7,EU$1)</f>
        <v>#NAME?</v>
      </c>
      <c r="EV7" s="116" t="e" cm="1">
        <f t="array" aca="1" ref="EV7" ca="1">_xll.EQNXTDZ($A$1,$B7,EV$1)</f>
        <v>#NAME?</v>
      </c>
      <c r="EW7" s="116" t="e" cm="1">
        <f t="array" aca="1" ref="EW7" ca="1">_xll.EQNXTDZ($A$1,$B7,EW$1)</f>
        <v>#NAME?</v>
      </c>
      <c r="EX7" s="116" t="e" cm="1">
        <f t="array" aca="1" ref="EX7" ca="1">_xll.EQNXTDZ($A$1,$B7,EX$1)</f>
        <v>#NAME?</v>
      </c>
      <c r="EY7" s="116" t="e" cm="1">
        <f t="array" aca="1" ref="EY7" ca="1">_xll.EQNXTDZ($A$1,$B7,EY$1)</f>
        <v>#NAME?</v>
      </c>
      <c r="EZ7" s="116" t="e" cm="1">
        <f t="array" aca="1" ref="EZ7" ca="1">_xll.EQNXTDZ($A$1,$B7,EZ$1)</f>
        <v>#NAME?</v>
      </c>
      <c r="FA7" s="116" t="e" cm="1">
        <f t="array" aca="1" ref="FA7" ca="1">_xll.EQNXTDZ($A$1,$B7,FA$1)</f>
        <v>#NAME?</v>
      </c>
      <c r="FB7" s="116" t="e" cm="1">
        <f t="array" aca="1" ref="FB7" ca="1">_xll.EQNXTDZ($A$1,$B7,FB$1)</f>
        <v>#NAME?</v>
      </c>
      <c r="FC7" s="116" t="e" cm="1">
        <f t="array" aca="1" ref="FC7" ca="1">_xll.EQNXTDZ($A$1,$B7,FC$1)</f>
        <v>#NAME?</v>
      </c>
      <c r="FD7" s="116" t="e" cm="1">
        <f t="array" aca="1" ref="FD7" ca="1">_xll.EQNXTDZ($A$1,$B7,FD$1)</f>
        <v>#NAME?</v>
      </c>
      <c r="FE7" s="116" t="e" cm="1">
        <f t="array" aca="1" ref="FE7" ca="1">_xll.EQNXTDZ($A$1,$B7,FE$1)</f>
        <v>#NAME?</v>
      </c>
      <c r="FF7" s="116" t="e" cm="1">
        <f t="array" aca="1" ref="FF7" ca="1">_xll.EQNXTDZ($A$1,$B7,FF$1)</f>
        <v>#NAME?</v>
      </c>
      <c r="FG7" s="116" t="e" cm="1">
        <f t="array" aca="1" ref="FG7" ca="1">_xll.EQNXTDZ($A$1,$B7,FG$1)</f>
        <v>#NAME?</v>
      </c>
      <c r="FH7" s="116" t="e" cm="1">
        <f t="array" aca="1" ref="FH7" ca="1">_xll.EQNXTDZ($A$1,$B7,FH$1)</f>
        <v>#NAME?</v>
      </c>
      <c r="FI7" s="116" t="e" cm="1">
        <f t="array" aca="1" ref="FI7" ca="1">_xll.EQNXTDZ($A$1,$B7,FI$1)</f>
        <v>#NAME?</v>
      </c>
      <c r="FJ7" s="116" t="e" cm="1">
        <f t="array" aca="1" ref="FJ7" ca="1">_xll.EQNXTDZ($A$1,$B7,FJ$1)</f>
        <v>#NAME?</v>
      </c>
      <c r="FK7" s="116" t="e" cm="1">
        <f t="array" aca="1" ref="FK7" ca="1">_xll.EQNXTDZ($A$1,$B7,FK$1)</f>
        <v>#NAME?</v>
      </c>
      <c r="FL7" s="116" t="e" cm="1">
        <f t="array" aca="1" ref="FL7" ca="1">_xll.EQNXTDZ($A$1,$B7,FL$1)</f>
        <v>#NAME?</v>
      </c>
      <c r="FM7" s="116" t="e" cm="1">
        <f t="array" aca="1" ref="FM7" ca="1">_xll.EQNXTDZ($A$1,$B7,FM$1)</f>
        <v>#NAME?</v>
      </c>
      <c r="FN7" s="116" t="e" cm="1">
        <f t="array" aca="1" ref="FN7" ca="1">_xll.EQNXTDZ($A$1,$B7,FN$1)</f>
        <v>#NAME?</v>
      </c>
      <c r="FO7" s="116" t="e" cm="1">
        <f t="array" aca="1" ref="FO7" ca="1">_xll.EQNXTDZ($A$1,$B7,FO$1)</f>
        <v>#NAME?</v>
      </c>
      <c r="FP7" s="116" t="e" cm="1">
        <f t="array" aca="1" ref="FP7" ca="1">_xll.EQNXTDZ($A$1,$B7,FP$1)</f>
        <v>#NAME?</v>
      </c>
      <c r="FQ7" s="116" t="e" cm="1">
        <f t="array" aca="1" ref="FQ7" ca="1">_xll.EQNXTDZ($A$1,$B7,FQ$1)</f>
        <v>#NAME?</v>
      </c>
      <c r="FR7" s="116" t="e" cm="1">
        <f t="array" aca="1" ref="FR7" ca="1">_xll.EQNXTDZ($A$1,$B7,FR$1)</f>
        <v>#NAME?</v>
      </c>
      <c r="FS7" s="116" t="e" cm="1">
        <f t="array" aca="1" ref="FS7" ca="1">_xll.EQNXTDZ($A$1,$B7,FS$1)</f>
        <v>#NAME?</v>
      </c>
      <c r="FT7" s="116" t="e" cm="1">
        <f t="array" aca="1" ref="FT7" ca="1">_xll.EQNXTDZ($A$1,$B7,FT$1)</f>
        <v>#NAME?</v>
      </c>
      <c r="FU7" s="116" t="e" cm="1">
        <f t="array" aca="1" ref="FU7" ca="1">_xll.EQNXTDZ($A$1,$B7,FU$1)</f>
        <v>#NAME?</v>
      </c>
      <c r="FV7" s="116" t="e" cm="1">
        <f t="array" aca="1" ref="FV7" ca="1">_xll.EQNXTDZ($A$1,$B7,FV$1)</f>
        <v>#NAME?</v>
      </c>
      <c r="FW7" s="116" t="e" cm="1">
        <f t="array" aca="1" ref="FW7" ca="1">_xll.EQNXTDZ($A$1,$B7,FW$1)</f>
        <v>#NAME?</v>
      </c>
      <c r="FX7" s="116" t="e" cm="1">
        <f t="array" aca="1" ref="FX7" ca="1">_xll.EQNXTDZ($A$1,$B7,FX$1)</f>
        <v>#NAME?</v>
      </c>
      <c r="FY7" s="116" t="e" cm="1">
        <f t="array" aca="1" ref="FY7" ca="1">_xll.EQNXTDZ($A$1,$B7,FY$1)</f>
        <v>#NAME?</v>
      </c>
      <c r="FZ7" s="116" t="e" cm="1">
        <f t="array" aca="1" ref="FZ7" ca="1">_xll.EQNXTDZ($A$1,$B7,FZ$1)</f>
        <v>#NAME?</v>
      </c>
      <c r="GA7" s="116" t="e" cm="1">
        <f t="array" aca="1" ref="GA7" ca="1">_xll.EQNXTDZ($A$1,$B7,GA$1)</f>
        <v>#NAME?</v>
      </c>
      <c r="GB7" s="116" t="e" cm="1">
        <f t="array" aca="1" ref="GB7" ca="1">_xll.EQNXTDZ($A$1,$B7,GB$1)</f>
        <v>#NAME?</v>
      </c>
      <c r="GC7" s="116" t="e" cm="1">
        <f t="array" aca="1" ref="GC7" ca="1">_xll.EQNXTDZ($A$1,$B7,GC$1)</f>
        <v>#NAME?</v>
      </c>
      <c r="GD7" s="116" t="e" cm="1">
        <f t="array" aca="1" ref="GD7" ca="1">_xll.EQNXTDZ($A$1,$B7,GD$1)</f>
        <v>#NAME?</v>
      </c>
      <c r="GE7" s="116" t="e" cm="1">
        <f t="array" aca="1" ref="GE7" ca="1">_xll.EQNXTDZ($A$1,$B7,GE$1)</f>
        <v>#NAME?</v>
      </c>
      <c r="GF7" s="116" t="e" cm="1">
        <f t="array" aca="1" ref="GF7" ca="1">_xll.EQNXTDZ($A$1,$B7,GF$1)</f>
        <v>#NAME?</v>
      </c>
      <c r="GG7" s="116" t="e" cm="1">
        <f t="array" aca="1" ref="GG7" ca="1">_xll.EQNXTDZ($A$1,$B7,GG$1)</f>
        <v>#NAME?</v>
      </c>
      <c r="GH7" s="116" t="e" cm="1">
        <f t="array" aca="1" ref="GH7" ca="1">_xll.EQNXTDZ($A$1,$B7,GH$1)</f>
        <v>#NAME?</v>
      </c>
      <c r="GI7" s="116" t="e" cm="1">
        <f t="array" aca="1" ref="GI7" ca="1">_xll.EQNXTDZ($A$1,$B7,GI$1)</f>
        <v>#NAME?</v>
      </c>
      <c r="GJ7" s="116" t="e" cm="1">
        <f t="array" aca="1" ref="GJ7" ca="1">_xll.EQNXTDZ($A$1,$B7,GJ$1)</f>
        <v>#NAME?</v>
      </c>
      <c r="GK7" s="116" t="e" cm="1">
        <f t="array" aca="1" ref="GK7" ca="1">_xll.EQNXTDZ($A$1,$B7,GK$1)</f>
        <v>#NAME?</v>
      </c>
      <c r="GL7" s="116" t="e" cm="1">
        <f t="array" aca="1" ref="GL7" ca="1">_xll.EQNXTDZ($A$1,$B7,GL$1)</f>
        <v>#NAME?</v>
      </c>
      <c r="GM7" s="116" t="e" cm="1">
        <f t="array" aca="1" ref="GM7" ca="1">_xll.EQNXTDZ($A$1,$B7,GM$1)</f>
        <v>#NAME?</v>
      </c>
      <c r="GN7" s="116" t="e" cm="1">
        <f t="array" aca="1" ref="GN7" ca="1">_xll.EQNXTDZ($A$1,$B7,GN$1)</f>
        <v>#NAME?</v>
      </c>
      <c r="GO7" s="116" t="e" cm="1">
        <f t="array" aca="1" ref="GO7" ca="1">_xll.EQNXTDZ($A$1,$B7,GO$1)</f>
        <v>#NAME?</v>
      </c>
      <c r="GP7" s="116" t="e" cm="1">
        <f t="array" aca="1" ref="GP7" ca="1">_xll.EQNXTDZ($A$1,$B7,GP$1)</f>
        <v>#NAME?</v>
      </c>
      <c r="GQ7" s="116" t="e" cm="1">
        <f t="array" aca="1" ref="GQ7" ca="1">_xll.EQNXTDZ($A$1,$B7,GQ$1)</f>
        <v>#NAME?</v>
      </c>
      <c r="GR7" s="116" t="e" cm="1">
        <f t="array" aca="1" ref="GR7" ca="1">_xll.EQNXTDZ($A$1,$B7,GR$1)</f>
        <v>#NAME?</v>
      </c>
      <c r="GS7" s="116" t="e" cm="1">
        <f t="array" aca="1" ref="GS7" ca="1">_xll.EQNXTDZ($A$1,$B7,GS$1)</f>
        <v>#NAME?</v>
      </c>
      <c r="GT7" s="116" t="e" cm="1">
        <f t="array" aca="1" ref="GT7" ca="1">_xll.EQNXTDZ($A$1,$B7,GT$1)</f>
        <v>#NAME?</v>
      </c>
      <c r="GU7" s="116" t="e" cm="1">
        <f t="array" aca="1" ref="GU7" ca="1">_xll.EQNXTDZ($A$1,$B7,GU$1)</f>
        <v>#NAME?</v>
      </c>
      <c r="GV7" s="116" t="e" cm="1">
        <f t="array" aca="1" ref="GV7" ca="1">_xll.EQNXTDZ($A$1,$B7,GV$1)</f>
        <v>#NAME?</v>
      </c>
      <c r="GW7" s="116" t="e" cm="1">
        <f t="array" aca="1" ref="GW7" ca="1">_xll.EQNXTDZ($A$1,$B7,GW$1)</f>
        <v>#NAME?</v>
      </c>
      <c r="GX7" s="116" t="e" cm="1">
        <f t="array" aca="1" ref="GX7" ca="1">_xll.EQNXTDZ($A$1,$B7,GX$1)</f>
        <v>#NAME?</v>
      </c>
      <c r="GY7" s="116" t="e" cm="1">
        <f t="array" aca="1" ref="GY7" ca="1">_xll.EQNXTDZ($A$1,$B7,GY$1)</f>
        <v>#NAME?</v>
      </c>
      <c r="GZ7" s="116" t="e" cm="1">
        <f t="array" aca="1" ref="GZ7" ca="1">_xll.EQNXTDZ($A$1,$B7,GZ$1)</f>
        <v>#NAME?</v>
      </c>
      <c r="HA7" s="116" t="e" cm="1">
        <f t="array" aca="1" ref="HA7" ca="1">_xll.EQNXTDZ($A$1,$B7,HA$1)</f>
        <v>#NAME?</v>
      </c>
      <c r="HB7" s="116" t="e" cm="1">
        <f t="array" aca="1" ref="HB7" ca="1">_xll.EQNXTDZ($A$1,$B7,HB$1)</f>
        <v>#NAME?</v>
      </c>
      <c r="HC7" s="116" t="e" cm="1">
        <f t="array" aca="1" ref="HC7" ca="1">_xll.EQNXTDZ($A$1,$B7,HC$1)</f>
        <v>#NAME?</v>
      </c>
      <c r="HD7" s="116" t="e" cm="1">
        <f t="array" aca="1" ref="HD7" ca="1">_xll.EQNXTDZ($A$1,$B7,HD$1)</f>
        <v>#NAME?</v>
      </c>
      <c r="HE7" s="116" t="e" cm="1">
        <f t="array" aca="1" ref="HE7" ca="1">_xll.EQNXTDZ($A$1,$B7,HE$1)</f>
        <v>#NAME?</v>
      </c>
      <c r="HF7" s="116" t="e" cm="1">
        <f t="array" aca="1" ref="HF7" ca="1">_xll.EQNXTDZ($A$1,$B7,HF$1)</f>
        <v>#NAME?</v>
      </c>
      <c r="HG7" s="116" t="e" cm="1">
        <f t="array" aca="1" ref="HG7" ca="1">_xll.EQNXTDZ($A$1,$B7,HG$1)</f>
        <v>#NAME?</v>
      </c>
      <c r="HH7" s="116" t="e" cm="1">
        <f t="array" aca="1" ref="HH7" ca="1">_xll.EQNXTDZ($A$1,$B7,HH$1)</f>
        <v>#NAME?</v>
      </c>
      <c r="HP7" s="116" t="e">
        <f ca="1">+MAX(D7:F7)</f>
        <v>#NAME?</v>
      </c>
      <c r="HQ7" s="116" t="e">
        <f ca="1">+MAX(G7:I7)</f>
        <v>#NAME?</v>
      </c>
      <c r="HR7" s="116" t="e">
        <f ca="1">+MAX(J7:L7)</f>
        <v>#NAME?</v>
      </c>
      <c r="HS7" s="116" t="e">
        <f ca="1">+MAX(M7:O7)</f>
        <v>#NAME?</v>
      </c>
      <c r="HT7" s="116" t="e">
        <f ca="1">+MAX(P7:R7)</f>
        <v>#NAME?</v>
      </c>
      <c r="HU7" s="116" t="e">
        <f ca="1">+MAX(S7:U7)</f>
        <v>#NAME?</v>
      </c>
      <c r="HV7" s="116" t="e">
        <f ca="1">+MAX(V7:X7)</f>
        <v>#NAME?</v>
      </c>
      <c r="HW7" s="116" t="e">
        <f ca="1">+MAX(Y7:AA7)</f>
        <v>#NAME?</v>
      </c>
      <c r="HX7" s="116" t="e">
        <f ca="1">+MAX(AB7:AD7)</f>
        <v>#NAME?</v>
      </c>
      <c r="HY7" s="116" t="e">
        <f ca="1">+MAX(AE7:AG7)</f>
        <v>#NAME?</v>
      </c>
      <c r="HZ7" s="116" t="e">
        <f ca="1">+MAX(AH7:AJ7)</f>
        <v>#NAME?</v>
      </c>
      <c r="IA7" s="116" t="e">
        <f ca="1">+MAX(AK7:AM7)</f>
        <v>#NAME?</v>
      </c>
      <c r="IB7" s="116" t="e">
        <f ca="1">+MAX(AN7:AP7)</f>
        <v>#NAME?</v>
      </c>
      <c r="IC7" s="116" t="e">
        <f ca="1">+MAX(AQ7:AS7)</f>
        <v>#NAME?</v>
      </c>
      <c r="ID7" s="116" t="e">
        <f ca="1">+MAX(AT7:AV7)</f>
        <v>#NAME?</v>
      </c>
      <c r="IE7" s="116" t="e">
        <f ca="1">+MAX(AW7:AY7)</f>
        <v>#NAME?</v>
      </c>
      <c r="IF7" s="116" t="e">
        <f ca="1">+MAX(AZ7:BB7)</f>
        <v>#NAME?</v>
      </c>
      <c r="IG7" s="116" t="e">
        <f ca="1">+MAX(BC7:BE7)</f>
        <v>#NAME?</v>
      </c>
      <c r="IH7" s="116" t="e">
        <f ca="1">+MAX(BF7:BH7)</f>
        <v>#NAME?</v>
      </c>
      <c r="II7" s="116" t="e">
        <f ca="1">+MAX(BI7:BK7)</f>
        <v>#NAME?</v>
      </c>
      <c r="IJ7" s="116" t="e">
        <f ca="1">+MAX(BL7:BN7)</f>
        <v>#NAME?</v>
      </c>
      <c r="IK7" s="116" t="e">
        <f ca="1">+MAX(BO7:BQ7)</f>
        <v>#NAME?</v>
      </c>
      <c r="IL7" s="116" t="e">
        <f ca="1">+MAX(BR7:BT7)</f>
        <v>#NAME?</v>
      </c>
      <c r="IM7" s="116" t="e">
        <f ca="1">+MAX(BU7:BW7)</f>
        <v>#NAME?</v>
      </c>
      <c r="IN7" s="116" t="e">
        <f ca="1">+MAX(BX7:BZ7)</f>
        <v>#NAME?</v>
      </c>
      <c r="IO7" s="116" t="e">
        <f ca="1">+MAX(CA7:CC7)</f>
        <v>#NAME?</v>
      </c>
      <c r="IP7" s="116" t="e">
        <f ca="1">+MAX(CD7:CF7)</f>
        <v>#NAME?</v>
      </c>
      <c r="IQ7" s="116" t="e">
        <f ca="1">+MAX(CG7:CI7)</f>
        <v>#NAME?</v>
      </c>
      <c r="IR7" s="116" t="e">
        <f ca="1">+MAX(CJ7:CL7)</f>
        <v>#NAME?</v>
      </c>
      <c r="IS7" s="116" t="e">
        <f ca="1">+MAX(CM7:CO7)</f>
        <v>#NAME?</v>
      </c>
      <c r="IT7" s="116" t="e">
        <f ca="1">+MAX(CP7:CR7)</f>
        <v>#NAME?</v>
      </c>
      <c r="IU7" s="116" t="e">
        <f ca="1">+MAX(CS7:CU7)</f>
        <v>#NAME?</v>
      </c>
      <c r="IV7" s="116" t="e">
        <f ca="1">+MAX(CV7:CX7)</f>
        <v>#NAME?</v>
      </c>
      <c r="IW7" s="116" t="e">
        <f ca="1">+MAX(CY7:DA7)</f>
        <v>#NAME?</v>
      </c>
      <c r="IX7" s="116" t="e">
        <f ca="1">+MAX(DB7:DD7)</f>
        <v>#NAME?</v>
      </c>
      <c r="IY7" s="116" t="e">
        <f ca="1">+MAX(DE7:DG7)</f>
        <v>#NAME?</v>
      </c>
      <c r="IZ7" s="116" t="e">
        <f ca="1">+MAX(DH7:DJ7)</f>
        <v>#NAME?</v>
      </c>
      <c r="JA7" s="116" t="e">
        <f ca="1">+MAX(DK7:DM7)</f>
        <v>#NAME?</v>
      </c>
      <c r="JB7" s="116" t="e">
        <f ca="1">+MAX(DN7:DP7)</f>
        <v>#NAME?</v>
      </c>
      <c r="JC7" s="116" t="e">
        <f ca="1">+MAX(DQ7:DS7)</f>
        <v>#NAME?</v>
      </c>
      <c r="JD7" s="116" t="e">
        <f ca="1">+MAX(DT7:DV7)</f>
        <v>#NAME?</v>
      </c>
      <c r="JE7" s="116" t="e">
        <f ca="1">+MAX(DW7:DY7)</f>
        <v>#NAME?</v>
      </c>
      <c r="JF7" s="116" t="e">
        <f ca="1">+MAX(DZ7:EB7)</f>
        <v>#NAME?</v>
      </c>
      <c r="JG7" s="116" t="e">
        <f ca="1">+MAX(EC7:EE7)</f>
        <v>#NAME?</v>
      </c>
      <c r="JH7" s="116" t="e">
        <f ca="1">+MAX(EF7:EH7)</f>
        <v>#NAME?</v>
      </c>
      <c r="JI7" s="116" t="e">
        <f ca="1">+MAX(EI7:EK7)</f>
        <v>#NAME?</v>
      </c>
      <c r="JJ7" s="116" t="e">
        <f ca="1">+MAX(EL7:EN7)</f>
        <v>#NAME?</v>
      </c>
      <c r="JK7" s="116" t="e">
        <f ca="1">MAX(EO7:EQ7)</f>
        <v>#NAME?</v>
      </c>
      <c r="JL7" s="116" t="e">
        <f ca="1">MAX(ER7:ET7)</f>
        <v>#NAME?</v>
      </c>
      <c r="JM7" s="116" t="e">
        <f ca="1">MAX(EU7:EW7)</f>
        <v>#NAME?</v>
      </c>
      <c r="JN7" s="116" t="e">
        <f ca="1">MAX(EX7:EZ7)</f>
        <v>#NAME?</v>
      </c>
      <c r="JO7" s="116" t="e">
        <f ca="1">MAX(FA7:FC7)</f>
        <v>#NAME?</v>
      </c>
      <c r="JP7" s="116" t="e">
        <f ca="1">MAX(FD7:FF7)</f>
        <v>#NAME?</v>
      </c>
      <c r="JQ7" s="116" t="e">
        <f ca="1">MAX(FG7:FI7)</f>
        <v>#NAME?</v>
      </c>
      <c r="JR7" s="116" t="e">
        <f ca="1">MAX(FJ7:FL7)</f>
        <v>#NAME?</v>
      </c>
      <c r="JS7" s="116" t="e">
        <f ca="1">MAX(FM7:FO7)</f>
        <v>#NAME?</v>
      </c>
      <c r="JT7" s="116" t="e">
        <f ca="1">MAX(FP7:FR7)</f>
        <v>#NAME?</v>
      </c>
      <c r="JU7" s="116" t="e">
        <f ca="1">MAX(FS7:FU7)</f>
        <v>#NAME?</v>
      </c>
      <c r="JV7" s="116" t="e">
        <f ca="1">MAX(FV7:FX7)</f>
        <v>#NAME?</v>
      </c>
      <c r="JW7" s="116" t="e">
        <f ca="1">MAX(FY7:GA7)</f>
        <v>#NAME?</v>
      </c>
      <c r="JX7" s="116" t="e">
        <f ca="1">MAX(GB7:GD7)</f>
        <v>#NAME?</v>
      </c>
      <c r="JY7" s="116" t="e">
        <f ca="1">MAX(GE7:GG7)</f>
        <v>#NAME?</v>
      </c>
      <c r="JZ7" s="116" t="e">
        <f ca="1">MAX(GH7:GJ7)</f>
        <v>#NAME?</v>
      </c>
      <c r="KA7" s="116" t="e">
        <f ca="1">MAX(GK7:GM7)</f>
        <v>#NAME?</v>
      </c>
      <c r="KB7" s="116" t="e">
        <f ca="1">MAX(GN7:GP7)</f>
        <v>#NAME?</v>
      </c>
      <c r="KC7" s="116" t="e">
        <f ca="1">MAX(GQ7:GS7)</f>
        <v>#NAME?</v>
      </c>
      <c r="KD7" s="116" t="e">
        <f ca="1">MAX(GT7:GV7)</f>
        <v>#NAME?</v>
      </c>
      <c r="KE7" s="116" t="e">
        <f ca="1">MAX(GW7:GY7)</f>
        <v>#NAME?</v>
      </c>
      <c r="KF7" s="116" t="e">
        <f ca="1">MAX(GZ7:HB7)</f>
        <v>#NAME?</v>
      </c>
      <c r="KG7" s="116" t="e">
        <f ca="1">MAX(HC7:HE7)</f>
        <v>#NAME?</v>
      </c>
      <c r="KH7" s="116" t="e">
        <f ca="1">MAX(HF7:HH7)</f>
        <v>#NAME?</v>
      </c>
    </row>
    <row r="8" spans="1:294" s="116" customFormat="1" x14ac:dyDescent="0.25">
      <c r="A8" s="116" t="s">
        <v>39</v>
      </c>
      <c r="B8" s="116" t="s">
        <v>419</v>
      </c>
      <c r="C8" s="116" t="e" cm="1">
        <f t="array" aca="1" ref="C8" ca="1">_xll.EQNXTDZ($A$1,$B8,C$1)</f>
        <v>#NAME?</v>
      </c>
      <c r="D8" s="116" t="e" cm="1">
        <f t="array" aca="1" ref="D8" ca="1">_xll.EQNXTDZ($A$1,$B8,D$1)</f>
        <v>#NAME?</v>
      </c>
      <c r="E8" s="116" t="e" cm="1">
        <f t="array" aca="1" ref="E8" ca="1">_xll.EQNXTDZ($A$1,$B8,E$1)</f>
        <v>#NAME?</v>
      </c>
      <c r="F8" s="116" t="e" cm="1">
        <f t="array" aca="1" ref="F8" ca="1">_xll.EQNXTDZ($A$1,$B8,F$1)</f>
        <v>#NAME?</v>
      </c>
      <c r="G8" s="116" t="e" cm="1">
        <f t="array" aca="1" ref="G8" ca="1">_xll.EQNXTDZ($A$1,$B8,G$1)</f>
        <v>#NAME?</v>
      </c>
      <c r="H8" s="116" t="e" cm="1">
        <f t="array" aca="1" ref="H8" ca="1">_xll.EQNXTDZ($A$1,$B8,H$1)</f>
        <v>#NAME?</v>
      </c>
      <c r="I8" s="116" t="e" cm="1">
        <f t="array" aca="1" ref="I8" ca="1">_xll.EQNXTDZ($A$1,$B8,I$1)</f>
        <v>#NAME?</v>
      </c>
      <c r="J8" s="116" t="e" cm="1">
        <f t="array" aca="1" ref="J8" ca="1">_xll.EQNXTDZ($A$1,$B8,J$1)</f>
        <v>#NAME?</v>
      </c>
      <c r="K8" s="116" t="e" cm="1">
        <f t="array" aca="1" ref="K8" ca="1">_xll.EQNXTDZ($A$1,$B8,K$1)</f>
        <v>#NAME?</v>
      </c>
      <c r="L8" s="116" t="e" cm="1">
        <f t="array" aca="1" ref="L8" ca="1">_xll.EQNXTDZ($A$1,$B8,L$1)</f>
        <v>#NAME?</v>
      </c>
      <c r="M8" s="116" t="e" cm="1">
        <f t="array" aca="1" ref="M8" ca="1">_xll.EQNXTDZ($A$1,$B8,M$1)</f>
        <v>#NAME?</v>
      </c>
      <c r="N8" s="116" t="e" cm="1">
        <f t="array" aca="1" ref="N8" ca="1">_xll.EQNXTDZ($A$1,$B8,N$1)</f>
        <v>#NAME?</v>
      </c>
      <c r="O8" s="116" t="e" cm="1">
        <f t="array" aca="1" ref="O8" ca="1">_xll.EQNXTDZ($A$1,$B8,O$1)</f>
        <v>#NAME?</v>
      </c>
      <c r="P8" s="116" t="e" cm="1">
        <f t="array" aca="1" ref="P8" ca="1">_xll.EQNXTDZ($A$1,$B8,P$1)</f>
        <v>#NAME?</v>
      </c>
      <c r="Q8" s="116" t="e" cm="1">
        <f t="array" aca="1" ref="Q8" ca="1">_xll.EQNXTDZ($A$1,$B8,Q$1)</f>
        <v>#NAME?</v>
      </c>
      <c r="R8" s="116" t="e" cm="1">
        <f t="array" aca="1" ref="R8" ca="1">_xll.EQNXTDZ($A$1,$B8,R$1)</f>
        <v>#NAME?</v>
      </c>
      <c r="S8" s="116" t="e" cm="1">
        <f t="array" aca="1" ref="S8" ca="1">_xll.EQNXTDZ($A$1,$B8,S$1)</f>
        <v>#NAME?</v>
      </c>
      <c r="T8" s="116" t="e" cm="1">
        <f t="array" aca="1" ref="T8" ca="1">_xll.EQNXTDZ($A$1,$B8,T$1)</f>
        <v>#NAME?</v>
      </c>
      <c r="U8" s="116" t="e" cm="1">
        <f t="array" aca="1" ref="U8" ca="1">_xll.EQNXTDZ($A$1,$B8,U$1)</f>
        <v>#NAME?</v>
      </c>
      <c r="V8" s="116" t="e" cm="1">
        <f t="array" aca="1" ref="V8" ca="1">_xll.EQNXTDZ($A$1,$B8,V$1)</f>
        <v>#NAME?</v>
      </c>
      <c r="W8" s="116" t="e" cm="1">
        <f t="array" aca="1" ref="W8" ca="1">_xll.EQNXTDZ($A$1,$B8,W$1)</f>
        <v>#NAME?</v>
      </c>
      <c r="X8" s="116" t="e" cm="1">
        <f t="array" aca="1" ref="X8" ca="1">_xll.EQNXTDZ($A$1,$B8,X$1)</f>
        <v>#NAME?</v>
      </c>
      <c r="Y8" s="116" t="e" cm="1">
        <f t="array" aca="1" ref="Y8" ca="1">_xll.EQNXTDZ($A$1,$B8,Y$1)</f>
        <v>#NAME?</v>
      </c>
      <c r="Z8" s="116" t="e" cm="1">
        <f t="array" aca="1" ref="Z8" ca="1">_xll.EQNXTDZ($A$1,$B8,Z$1)</f>
        <v>#NAME?</v>
      </c>
      <c r="AA8" s="116" t="e" cm="1">
        <f t="array" aca="1" ref="AA8" ca="1">_xll.EQNXTDZ($A$1,$B8,AA$1)</f>
        <v>#NAME?</v>
      </c>
      <c r="AB8" s="116" t="e" cm="1">
        <f t="array" aca="1" ref="AB8" ca="1">_xll.EQNXTDZ($A$1,$B8,AB$1)</f>
        <v>#NAME?</v>
      </c>
      <c r="AC8" s="116" t="e" cm="1">
        <f t="array" aca="1" ref="AC8" ca="1">_xll.EQNXTDZ($A$1,$B8,AC$1)</f>
        <v>#NAME?</v>
      </c>
      <c r="AD8" s="116" t="e" cm="1">
        <f t="array" aca="1" ref="AD8" ca="1">_xll.EQNXTDZ($A$1,$B8,AD$1)</f>
        <v>#NAME?</v>
      </c>
      <c r="AE8" s="116" t="e" cm="1">
        <f t="array" aca="1" ref="AE8" ca="1">_xll.EQNXTDZ($A$1,$B8,AE$1)</f>
        <v>#NAME?</v>
      </c>
      <c r="AF8" s="116" t="e" cm="1">
        <f t="array" aca="1" ref="AF8" ca="1">_xll.EQNXTDZ($A$1,$B8,AF$1)</f>
        <v>#NAME?</v>
      </c>
      <c r="AG8" s="116" t="e" cm="1">
        <f t="array" aca="1" ref="AG8" ca="1">_xll.EQNXTDZ($A$1,$B8,AG$1)</f>
        <v>#NAME?</v>
      </c>
      <c r="AH8" s="116" t="e" cm="1">
        <f t="array" aca="1" ref="AH8" ca="1">_xll.EQNXTDZ($A$1,$B8,AH$1)</f>
        <v>#NAME?</v>
      </c>
      <c r="AI8" s="116" t="e" cm="1">
        <f t="array" aca="1" ref="AI8" ca="1">_xll.EQNXTDZ($A$1,$B8,AI$1)</f>
        <v>#NAME?</v>
      </c>
      <c r="AJ8" s="116" t="e" cm="1">
        <f t="array" aca="1" ref="AJ8" ca="1">_xll.EQNXTDZ($A$1,$B8,AJ$1)</f>
        <v>#NAME?</v>
      </c>
      <c r="AK8" s="116" t="e" cm="1">
        <f t="array" aca="1" ref="AK8" ca="1">_xll.EQNXTDZ($A$1,$B8,AK$1)</f>
        <v>#NAME?</v>
      </c>
      <c r="AL8" s="116" t="e" cm="1">
        <f t="array" aca="1" ref="AL8" ca="1">_xll.EQNXTDZ($A$1,$B8,AL$1)</f>
        <v>#NAME?</v>
      </c>
      <c r="AM8" s="116" t="e" cm="1">
        <f t="array" aca="1" ref="AM8" ca="1">_xll.EQNXTDZ($A$1,$B8,AM$1)</f>
        <v>#NAME?</v>
      </c>
      <c r="AN8" s="116" t="e" cm="1">
        <f t="array" aca="1" ref="AN8" ca="1">_xll.EQNXTDZ($A$1,$B8,AN$1)</f>
        <v>#NAME?</v>
      </c>
      <c r="AO8" s="116" t="e" cm="1">
        <f t="array" aca="1" ref="AO8" ca="1">_xll.EQNXTDZ($A$1,$B8,AO$1)</f>
        <v>#NAME?</v>
      </c>
      <c r="AP8" s="116" t="e" cm="1">
        <f t="array" aca="1" ref="AP8" ca="1">_xll.EQNXTDZ($A$1,$B8,AP$1)</f>
        <v>#NAME?</v>
      </c>
      <c r="AQ8" s="116" t="e" cm="1">
        <f t="array" aca="1" ref="AQ8" ca="1">_xll.EQNXTDZ($A$1,$B8,AQ$1)</f>
        <v>#NAME?</v>
      </c>
      <c r="AR8" s="116" t="e" cm="1">
        <f t="array" aca="1" ref="AR8" ca="1">_xll.EQNXTDZ($A$1,$B8,AR$1)</f>
        <v>#NAME?</v>
      </c>
      <c r="AS8" s="116" t="e" cm="1">
        <f t="array" aca="1" ref="AS8" ca="1">_xll.EQNXTDZ($A$1,$B8,AS$1)</f>
        <v>#NAME?</v>
      </c>
      <c r="AT8" s="116" t="e" cm="1">
        <f t="array" aca="1" ref="AT8" ca="1">_xll.EQNXTDZ($A$1,$B8,AT$1)</f>
        <v>#NAME?</v>
      </c>
      <c r="AU8" s="116" t="e" cm="1">
        <f t="array" aca="1" ref="AU8" ca="1">_xll.EQNXTDZ($A$1,$B8,AU$1)</f>
        <v>#NAME?</v>
      </c>
      <c r="AV8" s="116" t="e" cm="1">
        <f t="array" aca="1" ref="AV8" ca="1">_xll.EQNXTDZ($A$1,$B8,AV$1)</f>
        <v>#NAME?</v>
      </c>
      <c r="AW8" s="116" t="e" cm="1">
        <f t="array" aca="1" ref="AW8" ca="1">_xll.EQNXTDZ($A$1,$B8,AW$1)</f>
        <v>#NAME?</v>
      </c>
      <c r="AX8" s="116" t="e" cm="1">
        <f t="array" aca="1" ref="AX8" ca="1">_xll.EQNXTDZ($A$1,$B8,AX$1)</f>
        <v>#NAME?</v>
      </c>
      <c r="AY8" s="116" t="e" cm="1">
        <f t="array" aca="1" ref="AY8" ca="1">_xll.EQNXTDZ($A$1,$B8,AY$1)</f>
        <v>#NAME?</v>
      </c>
      <c r="AZ8" s="116" t="e" cm="1">
        <f t="array" aca="1" ref="AZ8" ca="1">_xll.EQNXTDZ($A$1,$B8,AZ$1)</f>
        <v>#NAME?</v>
      </c>
      <c r="BA8" s="116" t="e" cm="1">
        <f t="array" aca="1" ref="BA8" ca="1">_xll.EQNXTDZ($A$1,$B8,BA$1)</f>
        <v>#NAME?</v>
      </c>
      <c r="BB8" s="116" t="e" cm="1">
        <f t="array" aca="1" ref="BB8" ca="1">_xll.EQNXTDZ($A$1,$B8,BB$1)</f>
        <v>#NAME?</v>
      </c>
      <c r="BC8" s="116" t="e" cm="1">
        <f t="array" aca="1" ref="BC8" ca="1">_xll.EQNXTDZ($A$1,$B8,BC$1)</f>
        <v>#NAME?</v>
      </c>
      <c r="BD8" s="116" t="e" cm="1">
        <f t="array" aca="1" ref="BD8" ca="1">_xll.EQNXTDZ($A$1,$B8,BD$1)</f>
        <v>#NAME?</v>
      </c>
      <c r="BE8" s="116" t="e" cm="1">
        <f t="array" aca="1" ref="BE8" ca="1">_xll.EQNXTDZ($A$1,$B8,BE$1)</f>
        <v>#NAME?</v>
      </c>
      <c r="BF8" s="116" t="e" cm="1">
        <f t="array" aca="1" ref="BF8" ca="1">_xll.EQNXTDZ($A$1,$B8,BF$1)</f>
        <v>#NAME?</v>
      </c>
      <c r="BG8" s="116" t="e" cm="1">
        <f t="array" aca="1" ref="BG8" ca="1">_xll.EQNXTDZ($A$1,$B8,BG$1)</f>
        <v>#NAME?</v>
      </c>
      <c r="BH8" s="116" t="e" cm="1">
        <f t="array" aca="1" ref="BH8" ca="1">_xll.EQNXTDZ($A$1,$B8,BH$1)</f>
        <v>#NAME?</v>
      </c>
      <c r="BI8" s="116" t="e" cm="1">
        <f t="array" aca="1" ref="BI8" ca="1">_xll.EQNXTDZ($A$1,$B8,BI$1)</f>
        <v>#NAME?</v>
      </c>
      <c r="BJ8" s="116" t="e" cm="1">
        <f t="array" aca="1" ref="BJ8" ca="1">_xll.EQNXTDZ($A$1,$B8,BJ$1)</f>
        <v>#NAME?</v>
      </c>
      <c r="BK8" s="116" t="e" cm="1">
        <f t="array" aca="1" ref="BK8" ca="1">_xll.EQNXTDZ($A$1,$B8,BK$1)</f>
        <v>#NAME?</v>
      </c>
      <c r="BL8" s="116" t="e" cm="1">
        <f t="array" aca="1" ref="BL8" ca="1">_xll.EQNXTDZ($A$1,$B8,BL$1)</f>
        <v>#NAME?</v>
      </c>
      <c r="BM8" s="116" t="e" cm="1">
        <f t="array" aca="1" ref="BM8" ca="1">_xll.EQNXTDZ($A$1,$B8,BM$1)</f>
        <v>#NAME?</v>
      </c>
      <c r="BN8" s="116" t="e" cm="1">
        <f t="array" aca="1" ref="BN8" ca="1">_xll.EQNXTDZ($A$1,$B8,BN$1)</f>
        <v>#NAME?</v>
      </c>
      <c r="BO8" s="116" t="e" cm="1">
        <f t="array" aca="1" ref="BO8" ca="1">_xll.EQNXTDZ($A$1,$B8,BO$1)</f>
        <v>#NAME?</v>
      </c>
      <c r="BP8" s="116" t="e" cm="1">
        <f t="array" aca="1" ref="BP8" ca="1">_xll.EQNXTDZ($A$1,$B8,BP$1)</f>
        <v>#NAME?</v>
      </c>
      <c r="BQ8" s="116" t="e" cm="1">
        <f t="array" aca="1" ref="BQ8" ca="1">_xll.EQNXTDZ($A$1,$B8,BQ$1)</f>
        <v>#NAME?</v>
      </c>
      <c r="BR8" s="116" t="e" cm="1">
        <f t="array" aca="1" ref="BR8" ca="1">_xll.EQNXTDZ($A$1,$B8,BR$1)</f>
        <v>#NAME?</v>
      </c>
      <c r="BS8" s="116" t="e" cm="1">
        <f t="array" aca="1" ref="BS8" ca="1">_xll.EQNXTDZ($A$1,$B8,BS$1)</f>
        <v>#NAME?</v>
      </c>
      <c r="BT8" s="116" t="e" cm="1">
        <f t="array" aca="1" ref="BT8" ca="1">_xll.EQNXTDZ($A$1,$B8,BT$1)</f>
        <v>#NAME?</v>
      </c>
      <c r="BU8" s="116" t="e" cm="1">
        <f t="array" aca="1" ref="BU8" ca="1">_xll.EQNXTDZ($A$1,$B8,BU$1)</f>
        <v>#NAME?</v>
      </c>
      <c r="BV8" s="116" t="e" cm="1">
        <f t="array" aca="1" ref="BV8" ca="1">_xll.EQNXTDZ($A$1,$B8,BV$1)</f>
        <v>#NAME?</v>
      </c>
      <c r="BW8" s="116" t="e" cm="1">
        <f t="array" aca="1" ref="BW8" ca="1">_xll.EQNXTDZ($A$1,$B8,BW$1)</f>
        <v>#NAME?</v>
      </c>
      <c r="BX8" s="116" t="e" cm="1">
        <f t="array" aca="1" ref="BX8" ca="1">_xll.EQNXTDZ($A$1,$B8,BX$1)</f>
        <v>#NAME?</v>
      </c>
      <c r="BY8" s="116" t="e" cm="1">
        <f t="array" aca="1" ref="BY8" ca="1">_xll.EQNXTDZ($A$1,$B8,BY$1)</f>
        <v>#NAME?</v>
      </c>
      <c r="BZ8" s="116" t="e" cm="1">
        <f t="array" aca="1" ref="BZ8" ca="1">_xll.EQNXTDZ($A$1,$B8,BZ$1)</f>
        <v>#NAME?</v>
      </c>
      <c r="CA8" s="116" t="e" cm="1">
        <f t="array" aca="1" ref="CA8" ca="1">_xll.EQNXTDZ($A$1,$B8,CA$1)</f>
        <v>#NAME?</v>
      </c>
      <c r="CB8" s="116" t="e" cm="1">
        <f t="array" aca="1" ref="CB8" ca="1">_xll.EQNXTDZ($A$1,$B8,CB$1)</f>
        <v>#NAME?</v>
      </c>
      <c r="CC8" s="116" t="e" cm="1">
        <f t="array" aca="1" ref="CC8" ca="1">_xll.EQNXTDZ($A$1,$B8,CC$1)</f>
        <v>#NAME?</v>
      </c>
      <c r="CD8" s="116" t="e" cm="1">
        <f t="array" aca="1" ref="CD8" ca="1">_xll.EQNXTDZ($A$1,$B8,CD$1)</f>
        <v>#NAME?</v>
      </c>
      <c r="CE8" s="116" t="e" cm="1">
        <f t="array" aca="1" ref="CE8" ca="1">_xll.EQNXTDZ($A$1,$B8,CE$1)</f>
        <v>#NAME?</v>
      </c>
      <c r="CF8" s="116" t="e" cm="1">
        <f t="array" aca="1" ref="CF8" ca="1">_xll.EQNXTDZ($A$1,$B8,CF$1)</f>
        <v>#NAME?</v>
      </c>
      <c r="CG8" s="116" t="e" cm="1">
        <f t="array" aca="1" ref="CG8" ca="1">_xll.EQNXTDZ($A$1,$B8,CG$1)</f>
        <v>#NAME?</v>
      </c>
      <c r="CH8" s="116" t="e" cm="1">
        <f t="array" aca="1" ref="CH8" ca="1">_xll.EQNXTDZ($A$1,$B8,CH$1)</f>
        <v>#NAME?</v>
      </c>
      <c r="CI8" s="116" t="e" cm="1">
        <f t="array" aca="1" ref="CI8" ca="1">_xll.EQNXTDZ($A$1,$B8,CI$1)</f>
        <v>#NAME?</v>
      </c>
      <c r="CJ8" s="116" t="e" cm="1">
        <f t="array" aca="1" ref="CJ8" ca="1">_xll.EQNXTDZ($A$1,$B8,CJ$1)</f>
        <v>#NAME?</v>
      </c>
      <c r="CK8" s="116" t="e" cm="1">
        <f t="array" aca="1" ref="CK8" ca="1">_xll.EQNXTDZ($A$1,$B8,CK$1)</f>
        <v>#NAME?</v>
      </c>
      <c r="CL8" s="116" t="e" cm="1">
        <f t="array" aca="1" ref="CL8" ca="1">_xll.EQNXTDZ($A$1,$B8,CL$1)</f>
        <v>#NAME?</v>
      </c>
      <c r="CM8" s="116" t="e" cm="1">
        <f t="array" aca="1" ref="CM8" ca="1">_xll.EQNXTDZ($A$1,$B8,CM$1)</f>
        <v>#NAME?</v>
      </c>
      <c r="CN8" s="116" t="e" cm="1">
        <f t="array" aca="1" ref="CN8" ca="1">_xll.EQNXTDZ($A$1,$B8,CN$1)</f>
        <v>#NAME?</v>
      </c>
      <c r="CO8" s="116" t="e" cm="1">
        <f t="array" aca="1" ref="CO8" ca="1">_xll.EQNXTDZ($A$1,$B8,CO$1)</f>
        <v>#NAME?</v>
      </c>
      <c r="CP8" s="116" t="e" cm="1">
        <f t="array" aca="1" ref="CP8" ca="1">_xll.EQNXTDZ($A$1,$B8,CP$1)</f>
        <v>#NAME?</v>
      </c>
      <c r="CQ8" s="116" t="e" cm="1">
        <f t="array" aca="1" ref="CQ8" ca="1">_xll.EQNXTDZ($A$1,$B8,CQ$1)</f>
        <v>#NAME?</v>
      </c>
      <c r="CR8" s="116" t="e" cm="1">
        <f t="array" aca="1" ref="CR8" ca="1">_xll.EQNXTDZ($A$1,$B8,CR$1)</f>
        <v>#NAME?</v>
      </c>
      <c r="CS8" s="116" t="e" cm="1">
        <f t="array" aca="1" ref="CS8" ca="1">_xll.EQNXTDZ($A$1,$B8,CS$1)</f>
        <v>#NAME?</v>
      </c>
      <c r="CT8" s="116" t="e" cm="1">
        <f t="array" aca="1" ref="CT8" ca="1">_xll.EQNXTDZ($A$1,$B8,CT$1)</f>
        <v>#NAME?</v>
      </c>
      <c r="CU8" s="116" t="e" cm="1">
        <f t="array" aca="1" ref="CU8" ca="1">_xll.EQNXTDZ($A$1,$B8,CU$1)</f>
        <v>#NAME?</v>
      </c>
      <c r="CV8" s="116" t="e" cm="1">
        <f t="array" aca="1" ref="CV8" ca="1">_xll.EQNXTDZ($A$1,$B8,CV$1)</f>
        <v>#NAME?</v>
      </c>
      <c r="CW8" s="116" t="e" cm="1">
        <f t="array" aca="1" ref="CW8" ca="1">_xll.EQNXTDZ($A$1,$B8,CW$1)</f>
        <v>#NAME?</v>
      </c>
      <c r="CX8" s="116" t="e" cm="1">
        <f t="array" aca="1" ref="CX8" ca="1">_xll.EQNXTDZ($A$1,$B8,CX$1)</f>
        <v>#NAME?</v>
      </c>
      <c r="CY8" s="116" t="e" cm="1">
        <f t="array" aca="1" ref="CY8" ca="1">_xll.EQNXTDZ($A$1,$B8,CY$1)</f>
        <v>#NAME?</v>
      </c>
      <c r="CZ8" s="116" t="e" cm="1">
        <f t="array" aca="1" ref="CZ8" ca="1">_xll.EQNXTDZ($A$1,$B8,CZ$1)</f>
        <v>#NAME?</v>
      </c>
      <c r="DA8" s="116" t="e" cm="1">
        <f t="array" aca="1" ref="DA8" ca="1">_xll.EQNXTDZ($A$1,$B8,DA$1)</f>
        <v>#NAME?</v>
      </c>
      <c r="DB8" s="116" t="e" cm="1">
        <f t="array" aca="1" ref="DB8" ca="1">_xll.EQNXTDZ($A$1,$B8,DB$1)</f>
        <v>#NAME?</v>
      </c>
      <c r="DC8" s="116" t="e" cm="1">
        <f t="array" aca="1" ref="DC8" ca="1">_xll.EQNXTDZ($A$1,$B8,DC$1)</f>
        <v>#NAME?</v>
      </c>
      <c r="DD8" s="116" t="e" cm="1">
        <f t="array" aca="1" ref="DD8" ca="1">_xll.EQNXTDZ($A$1,$B8,DD$1)</f>
        <v>#NAME?</v>
      </c>
      <c r="DE8" s="116" t="e" cm="1">
        <f t="array" aca="1" ref="DE8" ca="1">_xll.EQNXTDZ($A$1,$B8,DE$1)</f>
        <v>#NAME?</v>
      </c>
      <c r="DF8" s="116" t="e" cm="1">
        <f t="array" aca="1" ref="DF8" ca="1">_xll.EQNXTDZ($A$1,$B8,DF$1)</f>
        <v>#NAME?</v>
      </c>
      <c r="DG8" s="116" t="e" cm="1">
        <f t="array" aca="1" ref="DG8" ca="1">_xll.EQNXTDZ($A$1,$B8,DG$1)</f>
        <v>#NAME?</v>
      </c>
      <c r="DH8" s="116" t="e" cm="1">
        <f t="array" aca="1" ref="DH8" ca="1">_xll.EQNXTDZ($A$1,$B8,DH$1)</f>
        <v>#NAME?</v>
      </c>
      <c r="DI8" s="116" t="e" cm="1">
        <f t="array" aca="1" ref="DI8" ca="1">_xll.EQNXTDZ($A$1,$B8,DI$1)</f>
        <v>#NAME?</v>
      </c>
      <c r="DJ8" s="116" t="e" cm="1">
        <f t="array" aca="1" ref="DJ8" ca="1">_xll.EQNXTDZ($A$1,$B8,DJ$1)</f>
        <v>#NAME?</v>
      </c>
      <c r="DK8" s="116" t="e" cm="1">
        <f t="array" aca="1" ref="DK8" ca="1">_xll.EQNXTDZ($A$1,$B8,DK$1)</f>
        <v>#NAME?</v>
      </c>
      <c r="DL8" s="116" t="e" cm="1">
        <f t="array" aca="1" ref="DL8" ca="1">_xll.EQNXTDZ($A$1,$B8,DL$1)</f>
        <v>#NAME?</v>
      </c>
      <c r="DM8" s="116" t="e" cm="1">
        <f t="array" aca="1" ref="DM8" ca="1">_xll.EQNXTDZ($A$1,$B8,DM$1)</f>
        <v>#NAME?</v>
      </c>
      <c r="DN8" s="116" t="e" cm="1">
        <f t="array" aca="1" ref="DN8" ca="1">_xll.EQNXTDZ($A$1,$B8,DN$1)</f>
        <v>#NAME?</v>
      </c>
      <c r="DO8" s="116" t="e" cm="1">
        <f t="array" aca="1" ref="DO8" ca="1">_xll.EQNXTDZ($A$1,$B8,DO$1)</f>
        <v>#NAME?</v>
      </c>
      <c r="DP8" s="116" t="e" cm="1">
        <f t="array" aca="1" ref="DP8" ca="1">_xll.EQNXTDZ($A$1,$B8,DP$1)</f>
        <v>#NAME?</v>
      </c>
      <c r="DQ8" s="116" t="e" cm="1">
        <f t="array" aca="1" ref="DQ8" ca="1">_xll.EQNXTDZ($A$1,$B8,DQ$1)</f>
        <v>#NAME?</v>
      </c>
      <c r="DR8" s="116" t="e" cm="1">
        <f t="array" aca="1" ref="DR8" ca="1">_xll.EQNXTDZ($A$1,$B8,DR$1)</f>
        <v>#NAME?</v>
      </c>
      <c r="DS8" s="116" t="e" cm="1">
        <f t="array" aca="1" ref="DS8" ca="1">_xll.EQNXTDZ($A$1,$B8,DS$1)</f>
        <v>#NAME?</v>
      </c>
      <c r="DT8" s="116" t="e" cm="1">
        <f t="array" aca="1" ref="DT8" ca="1">_xll.EQNXTDZ($A$1,$B8,DT$1)</f>
        <v>#NAME?</v>
      </c>
      <c r="DU8" s="116" t="e" cm="1">
        <f t="array" aca="1" ref="DU8" ca="1">_xll.EQNXTDZ($A$1,$B8,DU$1)</f>
        <v>#NAME?</v>
      </c>
      <c r="DV8" s="116" t="e" cm="1">
        <f t="array" aca="1" ref="DV8" ca="1">_xll.EQNXTDZ($A$1,$B8,DV$1)</f>
        <v>#NAME?</v>
      </c>
      <c r="DW8" s="116" t="e" cm="1">
        <f t="array" aca="1" ref="DW8" ca="1">_xll.EQNXTDZ($A$1,$B8,DW$1)</f>
        <v>#NAME?</v>
      </c>
      <c r="DX8" s="116" t="e" cm="1">
        <f t="array" aca="1" ref="DX8" ca="1">_xll.EQNXTDZ($A$1,$B8,DX$1)</f>
        <v>#NAME?</v>
      </c>
      <c r="DY8" s="116" t="e" cm="1">
        <f t="array" aca="1" ref="DY8" ca="1">_xll.EQNXTDZ($A$1,$B8,DY$1)</f>
        <v>#NAME?</v>
      </c>
      <c r="DZ8" s="116" t="e" cm="1">
        <f t="array" aca="1" ref="DZ8" ca="1">_xll.EQNXTDZ($A$1,$B8,DZ$1)</f>
        <v>#NAME?</v>
      </c>
      <c r="EA8" s="116" t="e" cm="1">
        <f t="array" aca="1" ref="EA8" ca="1">_xll.EQNXTDZ($A$1,$B8,EA$1)</f>
        <v>#NAME?</v>
      </c>
      <c r="EB8" s="116" t="e" cm="1">
        <f t="array" aca="1" ref="EB8" ca="1">_xll.EQNXTDZ($A$1,$B8,EB$1)</f>
        <v>#NAME?</v>
      </c>
      <c r="EC8" s="116" t="e" cm="1">
        <f t="array" aca="1" ref="EC8" ca="1">_xll.EQNXTDZ($A$1,$B8,EC$1)</f>
        <v>#NAME?</v>
      </c>
      <c r="ED8" s="116" t="e" cm="1">
        <f t="array" aca="1" ref="ED8" ca="1">_xll.EQNXTDZ($A$1,$B8,ED$1)</f>
        <v>#NAME?</v>
      </c>
      <c r="EE8" s="116" t="e" cm="1">
        <f t="array" aca="1" ref="EE8" ca="1">_xll.EQNXTDZ($A$1,$B8,EE$1)</f>
        <v>#NAME?</v>
      </c>
      <c r="EF8" s="116" t="e" cm="1">
        <f t="array" aca="1" ref="EF8" ca="1">_xll.EQNXTDZ($A$1,$B8,EF$1)</f>
        <v>#NAME?</v>
      </c>
      <c r="EG8" s="116" t="e" cm="1">
        <f t="array" aca="1" ref="EG8" ca="1">_xll.EQNXTDZ($A$1,$B8,EG$1)</f>
        <v>#NAME?</v>
      </c>
      <c r="EH8" s="116" t="e" cm="1">
        <f t="array" aca="1" ref="EH8" ca="1">_xll.EQNXTDZ($A$1,$B8,EH$1)</f>
        <v>#NAME?</v>
      </c>
      <c r="EI8" s="116" t="e" cm="1">
        <f t="array" aca="1" ref="EI8" ca="1">_xll.EQNXTDZ($A$1,$B8,EI$1)</f>
        <v>#NAME?</v>
      </c>
      <c r="EJ8" s="116" t="e" cm="1">
        <f t="array" aca="1" ref="EJ8" ca="1">_xll.EQNXTDZ($A$1,$B8,EJ$1)</f>
        <v>#NAME?</v>
      </c>
      <c r="EK8" s="116" t="e" cm="1">
        <f t="array" aca="1" ref="EK8" ca="1">_xll.EQNXTDZ($A$1,$B8,EK$1)</f>
        <v>#NAME?</v>
      </c>
      <c r="EL8" s="116" t="e" cm="1">
        <f t="array" aca="1" ref="EL8" ca="1">_xll.EQNXTDZ($A$1,$B8,EL$1)</f>
        <v>#NAME?</v>
      </c>
      <c r="EM8" s="116" t="e" cm="1">
        <f t="array" aca="1" ref="EM8" ca="1">_xll.EQNXTDZ($A$1,$B8,EM$1)</f>
        <v>#NAME?</v>
      </c>
      <c r="EN8" s="116" t="e" cm="1">
        <f t="array" aca="1" ref="EN8" ca="1">_xll.EQNXTDZ($A$1,$B8,EN$1)</f>
        <v>#NAME?</v>
      </c>
      <c r="EO8" s="116" t="e" cm="1">
        <f t="array" aca="1" ref="EO8" ca="1">_xll.EQNXTDZ($A$1,$B8,EO$1)</f>
        <v>#NAME?</v>
      </c>
      <c r="EP8" s="116" t="e" cm="1">
        <f t="array" aca="1" ref="EP8" ca="1">_xll.EQNXTDZ($A$1,$B8,EP$1)</f>
        <v>#NAME?</v>
      </c>
      <c r="EQ8" s="116" t="e" cm="1">
        <f t="array" aca="1" ref="EQ8" ca="1">_xll.EQNXTDZ($A$1,$B8,EQ$1)</f>
        <v>#NAME?</v>
      </c>
      <c r="ER8" s="116" t="e" cm="1">
        <f t="array" aca="1" ref="ER8" ca="1">_xll.EQNXTDZ($A$1,$B8,ER$1)</f>
        <v>#NAME?</v>
      </c>
      <c r="ES8" s="116" t="e" cm="1">
        <f t="array" aca="1" ref="ES8" ca="1">_xll.EQNXTDZ($A$1,$B8,ES$1)</f>
        <v>#NAME?</v>
      </c>
      <c r="ET8" s="116" t="e" cm="1">
        <f t="array" aca="1" ref="ET8" ca="1">_xll.EQNXTDZ($A$1,$B8,ET$1)</f>
        <v>#NAME?</v>
      </c>
      <c r="EU8" s="116" t="e" cm="1">
        <f t="array" aca="1" ref="EU8" ca="1">_xll.EQNXTDZ($A$1,$B8,EU$1)</f>
        <v>#NAME?</v>
      </c>
      <c r="EV8" s="116" t="e" cm="1">
        <f t="array" aca="1" ref="EV8" ca="1">_xll.EQNXTDZ($A$1,$B8,EV$1)</f>
        <v>#NAME?</v>
      </c>
      <c r="EW8" s="116" t="e" cm="1">
        <f t="array" aca="1" ref="EW8" ca="1">_xll.EQNXTDZ($A$1,$B8,EW$1)</f>
        <v>#NAME?</v>
      </c>
      <c r="EX8" s="116" t="e" cm="1">
        <f t="array" aca="1" ref="EX8" ca="1">_xll.EQNXTDZ($A$1,$B8,EX$1)</f>
        <v>#NAME?</v>
      </c>
      <c r="EY8" s="116" t="e" cm="1">
        <f t="array" aca="1" ref="EY8" ca="1">_xll.EQNXTDZ($A$1,$B8,EY$1)</f>
        <v>#NAME?</v>
      </c>
      <c r="EZ8" s="116" t="e" cm="1">
        <f t="array" aca="1" ref="EZ8" ca="1">_xll.EQNXTDZ($A$1,$B8,EZ$1)</f>
        <v>#NAME?</v>
      </c>
      <c r="FA8" s="116" t="e" cm="1">
        <f t="array" aca="1" ref="FA8" ca="1">_xll.EQNXTDZ($A$1,$B8,FA$1)</f>
        <v>#NAME?</v>
      </c>
      <c r="FB8" s="116" t="e" cm="1">
        <f t="array" aca="1" ref="FB8" ca="1">_xll.EQNXTDZ($A$1,$B8,FB$1)</f>
        <v>#NAME?</v>
      </c>
      <c r="FC8" s="116" t="e" cm="1">
        <f t="array" aca="1" ref="FC8" ca="1">_xll.EQNXTDZ($A$1,$B8,FC$1)</f>
        <v>#NAME?</v>
      </c>
      <c r="FD8" s="116" t="e" cm="1">
        <f t="array" aca="1" ref="FD8" ca="1">_xll.EQNXTDZ($A$1,$B8,FD$1)</f>
        <v>#NAME?</v>
      </c>
      <c r="FE8" s="116" t="e" cm="1">
        <f t="array" aca="1" ref="FE8" ca="1">_xll.EQNXTDZ($A$1,$B8,FE$1)</f>
        <v>#NAME?</v>
      </c>
      <c r="FF8" s="116" t="e" cm="1">
        <f t="array" aca="1" ref="FF8" ca="1">_xll.EQNXTDZ($A$1,$B8,FF$1)</f>
        <v>#NAME?</v>
      </c>
      <c r="FG8" s="116" t="e" cm="1">
        <f t="array" aca="1" ref="FG8" ca="1">_xll.EQNXTDZ($A$1,$B8,FG$1)</f>
        <v>#NAME?</v>
      </c>
      <c r="FH8" s="116" t="e" cm="1">
        <f t="array" aca="1" ref="FH8" ca="1">_xll.EQNXTDZ($A$1,$B8,FH$1)</f>
        <v>#NAME?</v>
      </c>
      <c r="FI8" s="116" t="e" cm="1">
        <f t="array" aca="1" ref="FI8" ca="1">_xll.EQNXTDZ($A$1,$B8,FI$1)</f>
        <v>#NAME?</v>
      </c>
      <c r="FJ8" s="116" t="e" cm="1">
        <f t="array" aca="1" ref="FJ8" ca="1">_xll.EQNXTDZ($A$1,$B8,FJ$1)</f>
        <v>#NAME?</v>
      </c>
      <c r="FK8" s="116" t="e" cm="1">
        <f t="array" aca="1" ref="FK8" ca="1">_xll.EQNXTDZ($A$1,$B8,FK$1)</f>
        <v>#NAME?</v>
      </c>
      <c r="FL8" s="116" t="e" cm="1">
        <f t="array" aca="1" ref="FL8" ca="1">_xll.EQNXTDZ($A$1,$B8,FL$1)</f>
        <v>#NAME?</v>
      </c>
      <c r="FM8" s="116" t="e" cm="1">
        <f t="array" aca="1" ref="FM8" ca="1">_xll.EQNXTDZ($A$1,$B8,FM$1)</f>
        <v>#NAME?</v>
      </c>
      <c r="FN8" s="116" t="e" cm="1">
        <f t="array" aca="1" ref="FN8" ca="1">_xll.EQNXTDZ($A$1,$B8,FN$1)</f>
        <v>#NAME?</v>
      </c>
      <c r="FO8" s="116" t="e" cm="1">
        <f t="array" aca="1" ref="FO8" ca="1">_xll.EQNXTDZ($A$1,$B8,FO$1)</f>
        <v>#NAME?</v>
      </c>
      <c r="FP8" s="116" t="e" cm="1">
        <f t="array" aca="1" ref="FP8" ca="1">_xll.EQNXTDZ($A$1,$B8,FP$1)</f>
        <v>#NAME?</v>
      </c>
      <c r="FQ8" s="116" t="e" cm="1">
        <f t="array" aca="1" ref="FQ8" ca="1">_xll.EQNXTDZ($A$1,$B8,FQ$1)</f>
        <v>#NAME?</v>
      </c>
      <c r="FR8" s="116" t="e" cm="1">
        <f t="array" aca="1" ref="FR8" ca="1">_xll.EQNXTDZ($A$1,$B8,FR$1)</f>
        <v>#NAME?</v>
      </c>
      <c r="FS8" s="116" t="e" cm="1">
        <f t="array" aca="1" ref="FS8" ca="1">_xll.EQNXTDZ($A$1,$B8,FS$1)</f>
        <v>#NAME?</v>
      </c>
      <c r="FT8" s="116" t="e" cm="1">
        <f t="array" aca="1" ref="FT8" ca="1">_xll.EQNXTDZ($A$1,$B8,FT$1)</f>
        <v>#NAME?</v>
      </c>
      <c r="FU8" s="116" t="e" cm="1">
        <f t="array" aca="1" ref="FU8" ca="1">_xll.EQNXTDZ($A$1,$B8,FU$1)</f>
        <v>#NAME?</v>
      </c>
      <c r="FV8" s="116" t="e" cm="1">
        <f t="array" aca="1" ref="FV8" ca="1">_xll.EQNXTDZ($A$1,$B8,FV$1)</f>
        <v>#NAME?</v>
      </c>
      <c r="FW8" s="116" t="e" cm="1">
        <f t="array" aca="1" ref="FW8" ca="1">_xll.EQNXTDZ($A$1,$B8,FW$1)</f>
        <v>#NAME?</v>
      </c>
      <c r="FX8" s="116" t="e" cm="1">
        <f t="array" aca="1" ref="FX8" ca="1">_xll.EQNXTDZ($A$1,$B8,FX$1)</f>
        <v>#NAME?</v>
      </c>
      <c r="FY8" s="116" t="e" cm="1">
        <f t="array" aca="1" ref="FY8" ca="1">_xll.EQNXTDZ($A$1,$B8,FY$1)</f>
        <v>#NAME?</v>
      </c>
      <c r="FZ8" s="116" t="e" cm="1">
        <f t="array" aca="1" ref="FZ8" ca="1">_xll.EQNXTDZ($A$1,$B8,FZ$1)</f>
        <v>#NAME?</v>
      </c>
      <c r="GA8" s="116" t="e" cm="1">
        <f t="array" aca="1" ref="GA8" ca="1">_xll.EQNXTDZ($A$1,$B8,GA$1)</f>
        <v>#NAME?</v>
      </c>
      <c r="GB8" s="116" t="e" cm="1">
        <f t="array" aca="1" ref="GB8" ca="1">_xll.EQNXTDZ($A$1,$B8,GB$1)</f>
        <v>#NAME?</v>
      </c>
      <c r="GC8" s="116" t="e" cm="1">
        <f t="array" aca="1" ref="GC8" ca="1">_xll.EQNXTDZ($A$1,$B8,GC$1)</f>
        <v>#NAME?</v>
      </c>
      <c r="GD8" s="116" t="e" cm="1">
        <f t="array" aca="1" ref="GD8" ca="1">_xll.EQNXTDZ($A$1,$B8,GD$1)</f>
        <v>#NAME?</v>
      </c>
      <c r="GE8" s="116" t="e" cm="1">
        <f t="array" aca="1" ref="GE8" ca="1">_xll.EQNXTDZ($A$1,$B8,GE$1)</f>
        <v>#NAME?</v>
      </c>
      <c r="GF8" s="116" t="e" cm="1">
        <f t="array" aca="1" ref="GF8" ca="1">_xll.EQNXTDZ($A$1,$B8,GF$1)</f>
        <v>#NAME?</v>
      </c>
      <c r="GG8" s="116" t="e" cm="1">
        <f t="array" aca="1" ref="GG8" ca="1">_xll.EQNXTDZ($A$1,$B8,GG$1)</f>
        <v>#NAME?</v>
      </c>
      <c r="GH8" s="116" t="e" cm="1">
        <f t="array" aca="1" ref="GH8" ca="1">_xll.EQNXTDZ($A$1,$B8,GH$1)</f>
        <v>#NAME?</v>
      </c>
      <c r="GI8" s="116" t="e" cm="1">
        <f t="array" aca="1" ref="GI8" ca="1">_xll.EQNXTDZ($A$1,$B8,GI$1)</f>
        <v>#NAME?</v>
      </c>
      <c r="GJ8" s="116" t="e" cm="1">
        <f t="array" aca="1" ref="GJ8" ca="1">_xll.EQNXTDZ($A$1,$B8,GJ$1)</f>
        <v>#NAME?</v>
      </c>
      <c r="GK8" s="116" t="e" cm="1">
        <f t="array" aca="1" ref="GK8" ca="1">_xll.EQNXTDZ($A$1,$B8,GK$1)</f>
        <v>#NAME?</v>
      </c>
      <c r="GL8" s="116" t="e" cm="1">
        <f t="array" aca="1" ref="GL8" ca="1">_xll.EQNXTDZ($A$1,$B8,GL$1)</f>
        <v>#NAME?</v>
      </c>
      <c r="GM8" s="116" t="e" cm="1">
        <f t="array" aca="1" ref="GM8" ca="1">_xll.EQNXTDZ($A$1,$B8,GM$1)</f>
        <v>#NAME?</v>
      </c>
      <c r="GN8" s="116" t="e" cm="1">
        <f t="array" aca="1" ref="GN8" ca="1">_xll.EQNXTDZ($A$1,$B8,GN$1)</f>
        <v>#NAME?</v>
      </c>
      <c r="GO8" s="116" t="e" cm="1">
        <f t="array" aca="1" ref="GO8" ca="1">_xll.EQNXTDZ($A$1,$B8,GO$1)</f>
        <v>#NAME?</v>
      </c>
      <c r="GP8" s="116" t="e" cm="1">
        <f t="array" aca="1" ref="GP8" ca="1">_xll.EQNXTDZ($A$1,$B8,GP$1)</f>
        <v>#NAME?</v>
      </c>
      <c r="GQ8" s="116" t="e" cm="1">
        <f t="array" aca="1" ref="GQ8" ca="1">_xll.EQNXTDZ($A$1,$B8,GQ$1)</f>
        <v>#NAME?</v>
      </c>
      <c r="GR8" s="116" t="e" cm="1">
        <f t="array" aca="1" ref="GR8" ca="1">_xll.EQNXTDZ($A$1,$B8,GR$1)</f>
        <v>#NAME?</v>
      </c>
      <c r="GS8" s="116" t="e" cm="1">
        <f t="array" aca="1" ref="GS8" ca="1">_xll.EQNXTDZ($A$1,$B8,GS$1)</f>
        <v>#NAME?</v>
      </c>
      <c r="GT8" s="116" t="e" cm="1">
        <f t="array" aca="1" ref="GT8" ca="1">_xll.EQNXTDZ($A$1,$B8,GT$1)</f>
        <v>#NAME?</v>
      </c>
      <c r="GU8" s="116" t="e" cm="1">
        <f t="array" aca="1" ref="GU8" ca="1">_xll.EQNXTDZ($A$1,$B8,GU$1)</f>
        <v>#NAME?</v>
      </c>
      <c r="GV8" s="116" t="e" cm="1">
        <f t="array" aca="1" ref="GV8" ca="1">_xll.EQNXTDZ($A$1,$B8,GV$1)</f>
        <v>#NAME?</v>
      </c>
      <c r="GW8" s="116" t="e" cm="1">
        <f t="array" aca="1" ref="GW8" ca="1">_xll.EQNXTDZ($A$1,$B8,GW$1)</f>
        <v>#NAME?</v>
      </c>
      <c r="GX8" s="116" t="e" cm="1">
        <f t="array" aca="1" ref="GX8" ca="1">_xll.EQNXTDZ($A$1,$B8,GX$1)</f>
        <v>#NAME?</v>
      </c>
      <c r="GY8" s="116" t="e" cm="1">
        <f t="array" aca="1" ref="GY8" ca="1">_xll.EQNXTDZ($A$1,$B8,GY$1)</f>
        <v>#NAME?</v>
      </c>
      <c r="GZ8" s="116" t="e" cm="1">
        <f t="array" aca="1" ref="GZ8" ca="1">_xll.EQNXTDZ($A$1,$B8,GZ$1)</f>
        <v>#NAME?</v>
      </c>
      <c r="HA8" s="116" t="e" cm="1">
        <f t="array" aca="1" ref="HA8" ca="1">_xll.EQNXTDZ($A$1,$B8,HA$1)</f>
        <v>#NAME?</v>
      </c>
      <c r="HB8" s="116" t="e" cm="1">
        <f t="array" aca="1" ref="HB8" ca="1">_xll.EQNXTDZ($A$1,$B8,HB$1)</f>
        <v>#NAME?</v>
      </c>
      <c r="HC8" s="116" t="e" cm="1">
        <f t="array" aca="1" ref="HC8" ca="1">_xll.EQNXTDZ($A$1,$B8,HC$1)</f>
        <v>#NAME?</v>
      </c>
      <c r="HD8" s="116" t="e" cm="1">
        <f t="array" aca="1" ref="HD8" ca="1">_xll.EQNXTDZ($A$1,$B8,HD$1)</f>
        <v>#NAME?</v>
      </c>
      <c r="HE8" s="116" t="e" cm="1">
        <f t="array" aca="1" ref="HE8" ca="1">_xll.EQNXTDZ($A$1,$B8,HE$1)</f>
        <v>#NAME?</v>
      </c>
      <c r="HF8" s="116" t="e" cm="1">
        <f t="array" aca="1" ref="HF8" ca="1">_xll.EQNXTDZ($A$1,$B8,HF$1)</f>
        <v>#NAME?</v>
      </c>
      <c r="HG8" s="116" t="e" cm="1">
        <f t="array" aca="1" ref="HG8" ca="1">_xll.EQNXTDZ($A$1,$B8,HG$1)</f>
        <v>#NAME?</v>
      </c>
      <c r="HH8" s="116" t="e" cm="1">
        <f t="array" aca="1" ref="HH8" ca="1">_xll.EQNXTDZ($A$1,$B8,HH$1)</f>
        <v>#NAME?</v>
      </c>
      <c r="HP8" s="116" t="e">
        <f ca="1">+MIN(D8:F8)</f>
        <v>#NAME?</v>
      </c>
      <c r="HQ8" s="116" t="e">
        <f ca="1">+MIN(G8:I8)</f>
        <v>#NAME?</v>
      </c>
      <c r="HR8" s="116" t="e">
        <f ca="1">+MIN(J8:L8)</f>
        <v>#NAME?</v>
      </c>
      <c r="HS8" s="116" t="e">
        <f ca="1">+MIN(M8:O8)</f>
        <v>#NAME?</v>
      </c>
      <c r="HT8" s="116" t="e">
        <f ca="1">+MIN(P8:R8)</f>
        <v>#NAME?</v>
      </c>
      <c r="HU8" s="116" t="e">
        <f ca="1">+MIN(S8:U8)</f>
        <v>#NAME?</v>
      </c>
      <c r="HV8" s="116" t="e">
        <f ca="1">+MIN(V8:X8)</f>
        <v>#NAME?</v>
      </c>
      <c r="HW8" s="116" t="e">
        <f ca="1">+MIN(Y8:AA8)</f>
        <v>#NAME?</v>
      </c>
      <c r="HX8" s="116" t="e">
        <f ca="1">+MIN(AB8:AD8)</f>
        <v>#NAME?</v>
      </c>
      <c r="HY8" s="116" t="e">
        <f ca="1">+MIN(AE8:AG8)</f>
        <v>#NAME?</v>
      </c>
      <c r="HZ8" s="116" t="e">
        <f ca="1">+MIN(AH8:AJ8)</f>
        <v>#NAME?</v>
      </c>
      <c r="IA8" s="116" t="e">
        <f ca="1">+MIN(AK8:AM8)</f>
        <v>#NAME?</v>
      </c>
      <c r="IB8" s="116" t="e">
        <f ca="1">+MIN(AN8:AP8)</f>
        <v>#NAME?</v>
      </c>
      <c r="IC8" s="116" t="e">
        <f ca="1">+MIN(AQ8:AS8)</f>
        <v>#NAME?</v>
      </c>
      <c r="ID8" s="116" t="e">
        <f ca="1">+MIN(AT8:AV8)</f>
        <v>#NAME?</v>
      </c>
      <c r="IE8" s="116" t="e">
        <f ca="1">+MIN(AW8:AY8)</f>
        <v>#NAME?</v>
      </c>
      <c r="IF8" s="116" t="e">
        <f ca="1">+MIN(AZ8:BB8)</f>
        <v>#NAME?</v>
      </c>
      <c r="IG8" s="116" t="e">
        <f ca="1">+MIN(BC8:BE8)</f>
        <v>#NAME?</v>
      </c>
      <c r="IH8" s="116" t="e">
        <f ca="1">+MIN(BF8:BH8)</f>
        <v>#NAME?</v>
      </c>
      <c r="II8" s="116" t="e">
        <f ca="1">+MIN(BI8:BK8)</f>
        <v>#NAME?</v>
      </c>
      <c r="IJ8" s="116" t="e">
        <f ca="1">+MIN(BL8:BN8)</f>
        <v>#NAME?</v>
      </c>
      <c r="IK8" s="116" t="e">
        <f ca="1">+MIN(BO8:BQ8)</f>
        <v>#NAME?</v>
      </c>
      <c r="IL8" s="116" t="e">
        <f ca="1">+MIN(BR8:BT8)</f>
        <v>#NAME?</v>
      </c>
      <c r="IM8" s="116" t="e">
        <f ca="1">+MIN(BU8:BW8)</f>
        <v>#NAME?</v>
      </c>
      <c r="IN8" s="116" t="e">
        <f ca="1">+MIN(BX8:BZ8)</f>
        <v>#NAME?</v>
      </c>
      <c r="IO8" s="116" t="e">
        <f ca="1">+MIN(CA8:CC8)</f>
        <v>#NAME?</v>
      </c>
      <c r="IP8" s="116" t="e">
        <f ca="1">+MIN(CD8:CF8)</f>
        <v>#NAME?</v>
      </c>
      <c r="IQ8" s="116" t="e">
        <f ca="1">+MIN(CG8:CI8)</f>
        <v>#NAME?</v>
      </c>
      <c r="IR8" s="116" t="e">
        <f ca="1">+MIN(CJ8:CL8)</f>
        <v>#NAME?</v>
      </c>
      <c r="IS8" s="116" t="e">
        <f ca="1">+MIN(CM8:CO8)</f>
        <v>#NAME?</v>
      </c>
      <c r="IT8" s="116" t="e">
        <f ca="1">+MIN(CP8:CR8)</f>
        <v>#NAME?</v>
      </c>
      <c r="IU8" s="116" t="e">
        <f ca="1">+MIN(CS8:CU8)</f>
        <v>#NAME?</v>
      </c>
      <c r="IV8" s="116" t="e">
        <f ca="1">+MIN(CV8:CX8)</f>
        <v>#NAME?</v>
      </c>
      <c r="IW8" s="116" t="e">
        <f ca="1">+MIN(CY8:DA8)</f>
        <v>#NAME?</v>
      </c>
      <c r="IX8" s="116" t="e">
        <f ca="1">+MIN(DB8:DD8)</f>
        <v>#NAME?</v>
      </c>
      <c r="IY8" s="116" t="e">
        <f ca="1">+MIN(DE8:DG8)</f>
        <v>#NAME?</v>
      </c>
      <c r="IZ8" s="116" t="e">
        <f ca="1">+MIN(DH8:DJ8)</f>
        <v>#NAME?</v>
      </c>
      <c r="JA8" s="116" t="e">
        <f ca="1">+MIN(DK8:DM8)</f>
        <v>#NAME?</v>
      </c>
      <c r="JB8" s="116" t="e">
        <f ca="1">+MIN(DN8:DP8)</f>
        <v>#NAME?</v>
      </c>
      <c r="JC8" s="116" t="e">
        <f ca="1">+MIN(DQ8:DS8)</f>
        <v>#NAME?</v>
      </c>
      <c r="JD8" s="116" t="e">
        <f ca="1">+MIN(DT8:DV8)</f>
        <v>#NAME?</v>
      </c>
      <c r="JE8" s="116" t="e">
        <f ca="1">+MIN(DW8:DY8)</f>
        <v>#NAME?</v>
      </c>
      <c r="JF8" s="116" t="e">
        <f ca="1">+MIN(DZ8:EB8)</f>
        <v>#NAME?</v>
      </c>
      <c r="JG8" s="116" t="e">
        <f ca="1">+MIN(EC8:EE8)</f>
        <v>#NAME?</v>
      </c>
      <c r="JH8" s="116" t="e">
        <f ca="1">+MIN(EF8:EH8)</f>
        <v>#NAME?</v>
      </c>
      <c r="JI8" s="116" t="e">
        <f ca="1">+MIN(EI8:EK8)</f>
        <v>#NAME?</v>
      </c>
      <c r="JJ8" s="116" t="e">
        <f ca="1">+MIN(EL8:EN8)</f>
        <v>#NAME?</v>
      </c>
      <c r="JK8" s="116" t="e">
        <f ca="1">MIN(EO8:EQ8)</f>
        <v>#NAME?</v>
      </c>
      <c r="JL8" s="116" t="e">
        <f ca="1">MIN(ER8:ET8)</f>
        <v>#NAME?</v>
      </c>
      <c r="JM8" s="116" t="e">
        <f ca="1">MIN(EU8:EW8)</f>
        <v>#NAME?</v>
      </c>
      <c r="JN8" s="116" t="e">
        <f ca="1">MIN(EX8:EZ8)</f>
        <v>#NAME?</v>
      </c>
      <c r="JO8" s="116" t="e">
        <f ca="1">MIN(FA8:FC8)</f>
        <v>#NAME?</v>
      </c>
      <c r="JP8" s="116" t="e">
        <f ca="1">MIN(FD8:FF8)</f>
        <v>#NAME?</v>
      </c>
      <c r="JQ8" s="116" t="e">
        <f ca="1">MIN(FG8:FI8)</f>
        <v>#NAME?</v>
      </c>
      <c r="JR8" s="116" t="e">
        <f ca="1">MIN(FJ8:FL8)</f>
        <v>#NAME?</v>
      </c>
      <c r="JS8" s="116" t="e">
        <f ca="1">MIN(FM8:FO8)</f>
        <v>#NAME?</v>
      </c>
      <c r="JT8" s="116" t="e">
        <f ca="1">MIN(FP8:FR8)</f>
        <v>#NAME?</v>
      </c>
      <c r="JU8" s="116" t="e">
        <f ca="1">MIN(FS8:FU8)</f>
        <v>#NAME?</v>
      </c>
      <c r="JV8" s="116" t="e">
        <f ca="1">MIN(FV8:FX8)</f>
        <v>#NAME?</v>
      </c>
      <c r="JW8" s="116" t="e">
        <f ca="1">MIN(FY8:GA8)</f>
        <v>#NAME?</v>
      </c>
      <c r="JX8" s="116" t="e">
        <f ca="1">MIN(GB8:GD8)</f>
        <v>#NAME?</v>
      </c>
      <c r="JY8" s="116" t="e">
        <f ca="1">MIN(GE8:GG8)</f>
        <v>#NAME?</v>
      </c>
      <c r="JZ8" s="116" t="e">
        <f ca="1">MIN(GH8:GJ8)</f>
        <v>#NAME?</v>
      </c>
      <c r="KA8" s="116" t="e">
        <f ca="1">MIN(GK8:GM8)</f>
        <v>#NAME?</v>
      </c>
      <c r="KB8" s="116" t="e">
        <f ca="1">MIN(GN8:GP8)</f>
        <v>#NAME?</v>
      </c>
      <c r="KC8" s="116" t="e">
        <f ca="1">MIN(GQ8:GS8)</f>
        <v>#NAME?</v>
      </c>
      <c r="KD8" s="116" t="e">
        <f ca="1">MIN(GT8:GV8)</f>
        <v>#NAME?</v>
      </c>
      <c r="KE8" s="116" t="e">
        <f ca="1">MIN(GW8:GY8)</f>
        <v>#NAME?</v>
      </c>
      <c r="KF8" s="116" t="e">
        <f ca="1">MIN(GZ8:HB8)</f>
        <v>#NAME?</v>
      </c>
      <c r="KG8" s="116" t="e">
        <f ca="1">MIN(HC8:HE8)</f>
        <v>#NAME?</v>
      </c>
      <c r="KH8" s="116" t="e">
        <f ca="1">MIN(HF8:HH8)</f>
        <v>#NAME?</v>
      </c>
    </row>
    <row r="9" spans="1:294" s="116" customFormat="1" x14ac:dyDescent="0.25">
      <c r="A9" s="116" t="s">
        <v>37</v>
      </c>
      <c r="B9" s="116" t="s">
        <v>420</v>
      </c>
      <c r="C9" s="116" t="e" cm="1">
        <f t="array" aca="1" ref="C9" ca="1">_xll.EQNXTDZ($A$1,$B9,C$1)</f>
        <v>#NAME?</v>
      </c>
      <c r="D9" s="116" t="e" cm="1">
        <f t="array" aca="1" ref="D9" ca="1">_xll.EQNXTDZ($A$1,$B9,D$1)</f>
        <v>#NAME?</v>
      </c>
      <c r="E9" s="116" t="e" cm="1">
        <f t="array" aca="1" ref="E9" ca="1">_xll.EQNXTDZ($A$1,$B9,E$1)</f>
        <v>#NAME?</v>
      </c>
      <c r="F9" s="116" t="e" cm="1">
        <f t="array" aca="1" ref="F9" ca="1">_xll.EQNXTDZ($A$1,$B9,F$1)</f>
        <v>#NAME?</v>
      </c>
      <c r="G9" s="116" t="e" cm="1">
        <f t="array" aca="1" ref="G9" ca="1">_xll.EQNXTDZ($A$1,$B9,G$1)</f>
        <v>#NAME?</v>
      </c>
      <c r="H9" s="116" t="e" cm="1">
        <f t="array" aca="1" ref="H9" ca="1">_xll.EQNXTDZ($A$1,$B9,H$1)</f>
        <v>#NAME?</v>
      </c>
      <c r="I9" s="116" t="e" cm="1">
        <f t="array" aca="1" ref="I9" ca="1">_xll.EQNXTDZ($A$1,$B9,I$1)</f>
        <v>#NAME?</v>
      </c>
      <c r="J9" s="116" t="e" cm="1">
        <f t="array" aca="1" ref="J9" ca="1">_xll.EQNXTDZ($A$1,$B9,J$1)</f>
        <v>#NAME?</v>
      </c>
      <c r="K9" s="116" t="e" cm="1">
        <f t="array" aca="1" ref="K9" ca="1">_xll.EQNXTDZ($A$1,$B9,K$1)</f>
        <v>#NAME?</v>
      </c>
      <c r="L9" s="116" t="e" cm="1">
        <f t="array" aca="1" ref="L9" ca="1">_xll.EQNXTDZ($A$1,$B9,L$1)</f>
        <v>#NAME?</v>
      </c>
      <c r="M9" s="116" t="e" cm="1">
        <f t="array" aca="1" ref="M9" ca="1">_xll.EQNXTDZ($A$1,$B9,M$1)</f>
        <v>#NAME?</v>
      </c>
      <c r="N9" s="116" t="e" cm="1">
        <f t="array" aca="1" ref="N9" ca="1">_xll.EQNXTDZ($A$1,$B9,N$1)</f>
        <v>#NAME?</v>
      </c>
      <c r="O9" s="116" t="e" cm="1">
        <f t="array" aca="1" ref="O9" ca="1">_xll.EQNXTDZ($A$1,$B9,O$1)</f>
        <v>#NAME?</v>
      </c>
      <c r="P9" s="116" t="e" cm="1">
        <f t="array" aca="1" ref="P9" ca="1">_xll.EQNXTDZ($A$1,$B9,P$1)</f>
        <v>#NAME?</v>
      </c>
      <c r="Q9" s="116" t="e" cm="1">
        <f t="array" aca="1" ref="Q9" ca="1">_xll.EQNXTDZ($A$1,$B9,Q$1)</f>
        <v>#NAME?</v>
      </c>
      <c r="R9" s="116" t="e" cm="1">
        <f t="array" aca="1" ref="R9" ca="1">_xll.EQNXTDZ($A$1,$B9,R$1)</f>
        <v>#NAME?</v>
      </c>
      <c r="S9" s="116" t="e" cm="1">
        <f t="array" aca="1" ref="S9" ca="1">_xll.EQNXTDZ($A$1,$B9,S$1)</f>
        <v>#NAME?</v>
      </c>
      <c r="T9" s="116" t="e" cm="1">
        <f t="array" aca="1" ref="T9" ca="1">_xll.EQNXTDZ($A$1,$B9,T$1)</f>
        <v>#NAME?</v>
      </c>
      <c r="U9" s="116" t="e" cm="1">
        <f t="array" aca="1" ref="U9" ca="1">_xll.EQNXTDZ($A$1,$B9,U$1)</f>
        <v>#NAME?</v>
      </c>
      <c r="V9" s="116" t="e" cm="1">
        <f t="array" aca="1" ref="V9" ca="1">_xll.EQNXTDZ($A$1,$B9,V$1)</f>
        <v>#NAME?</v>
      </c>
      <c r="W9" s="116" t="e" cm="1">
        <f t="array" aca="1" ref="W9" ca="1">_xll.EQNXTDZ($A$1,$B9,W$1)</f>
        <v>#NAME?</v>
      </c>
      <c r="X9" s="116" t="e" cm="1">
        <f t="array" aca="1" ref="X9" ca="1">_xll.EQNXTDZ($A$1,$B9,X$1)</f>
        <v>#NAME?</v>
      </c>
      <c r="Y9" s="116" t="e" cm="1">
        <f t="array" aca="1" ref="Y9" ca="1">_xll.EQNXTDZ($A$1,$B9,Y$1)</f>
        <v>#NAME?</v>
      </c>
      <c r="Z9" s="116" t="e" cm="1">
        <f t="array" aca="1" ref="Z9" ca="1">_xll.EQNXTDZ($A$1,$B9,Z$1)</f>
        <v>#NAME?</v>
      </c>
      <c r="AA9" s="116" t="e" cm="1">
        <f t="array" aca="1" ref="AA9" ca="1">_xll.EQNXTDZ($A$1,$B9,AA$1)</f>
        <v>#NAME?</v>
      </c>
      <c r="AB9" s="116" t="e" cm="1">
        <f t="array" aca="1" ref="AB9" ca="1">_xll.EQNXTDZ($A$1,$B9,AB$1)</f>
        <v>#NAME?</v>
      </c>
      <c r="AC9" s="116" t="e" cm="1">
        <f t="array" aca="1" ref="AC9" ca="1">_xll.EQNXTDZ($A$1,$B9,AC$1)</f>
        <v>#NAME?</v>
      </c>
      <c r="AD9" s="116" t="e" cm="1">
        <f t="array" aca="1" ref="AD9" ca="1">_xll.EQNXTDZ($A$1,$B9,AD$1)</f>
        <v>#NAME?</v>
      </c>
      <c r="AE9" s="116" t="e" cm="1">
        <f t="array" aca="1" ref="AE9" ca="1">_xll.EQNXTDZ($A$1,$B9,AE$1)</f>
        <v>#NAME?</v>
      </c>
      <c r="AF9" s="116" t="e" cm="1">
        <f t="array" aca="1" ref="AF9" ca="1">_xll.EQNXTDZ($A$1,$B9,AF$1)</f>
        <v>#NAME?</v>
      </c>
      <c r="AG9" s="116" t="e" cm="1">
        <f t="array" aca="1" ref="AG9" ca="1">_xll.EQNXTDZ($A$1,$B9,AG$1)</f>
        <v>#NAME?</v>
      </c>
      <c r="AH9" s="116" t="e" cm="1">
        <f t="array" aca="1" ref="AH9" ca="1">_xll.EQNXTDZ($A$1,$B9,AH$1)</f>
        <v>#NAME?</v>
      </c>
      <c r="AI9" s="116" t="e" cm="1">
        <f t="array" aca="1" ref="AI9" ca="1">_xll.EQNXTDZ($A$1,$B9,AI$1)</f>
        <v>#NAME?</v>
      </c>
      <c r="AJ9" s="116" t="e" cm="1">
        <f t="array" aca="1" ref="AJ9" ca="1">_xll.EQNXTDZ($A$1,$B9,AJ$1)</f>
        <v>#NAME?</v>
      </c>
      <c r="AK9" s="116" t="e" cm="1">
        <f t="array" aca="1" ref="AK9" ca="1">_xll.EQNXTDZ($A$1,$B9,AK$1)</f>
        <v>#NAME?</v>
      </c>
      <c r="AL9" s="116" t="e" cm="1">
        <f t="array" aca="1" ref="AL9" ca="1">_xll.EQNXTDZ($A$1,$B9,AL$1)</f>
        <v>#NAME?</v>
      </c>
      <c r="AM9" s="116" t="e" cm="1">
        <f t="array" aca="1" ref="AM9" ca="1">_xll.EQNXTDZ($A$1,$B9,AM$1)</f>
        <v>#NAME?</v>
      </c>
      <c r="AN9" s="116" t="e" cm="1">
        <f t="array" aca="1" ref="AN9" ca="1">_xll.EQNXTDZ($A$1,$B9,AN$1)</f>
        <v>#NAME?</v>
      </c>
      <c r="AO9" s="116" t="e" cm="1">
        <f t="array" aca="1" ref="AO9" ca="1">_xll.EQNXTDZ($A$1,$B9,AO$1)</f>
        <v>#NAME?</v>
      </c>
      <c r="AP9" s="116" t="e" cm="1">
        <f t="array" aca="1" ref="AP9" ca="1">_xll.EQNXTDZ($A$1,$B9,AP$1)</f>
        <v>#NAME?</v>
      </c>
      <c r="AQ9" s="116" t="e" cm="1">
        <f t="array" aca="1" ref="AQ9" ca="1">_xll.EQNXTDZ($A$1,$B9,AQ$1)</f>
        <v>#NAME?</v>
      </c>
      <c r="AR9" s="116" t="e" cm="1">
        <f t="array" aca="1" ref="AR9" ca="1">_xll.EQNXTDZ($A$1,$B9,AR$1)</f>
        <v>#NAME?</v>
      </c>
      <c r="AS9" s="116" t="e" cm="1">
        <f t="array" aca="1" ref="AS9" ca="1">_xll.EQNXTDZ($A$1,$B9,AS$1)</f>
        <v>#NAME?</v>
      </c>
      <c r="AT9" s="116" t="e" cm="1">
        <f t="array" aca="1" ref="AT9" ca="1">_xll.EQNXTDZ($A$1,$B9,AT$1)</f>
        <v>#NAME?</v>
      </c>
      <c r="AU9" s="116" t="e" cm="1">
        <f t="array" aca="1" ref="AU9" ca="1">_xll.EQNXTDZ($A$1,$B9,AU$1)</f>
        <v>#NAME?</v>
      </c>
      <c r="AV9" s="116" t="e" cm="1">
        <f t="array" aca="1" ref="AV9" ca="1">_xll.EQNXTDZ($A$1,$B9,AV$1)</f>
        <v>#NAME?</v>
      </c>
      <c r="AW9" s="116" t="e" cm="1">
        <f t="array" aca="1" ref="AW9" ca="1">_xll.EQNXTDZ($A$1,$B9,AW$1)</f>
        <v>#NAME?</v>
      </c>
      <c r="AX9" s="116" t="e" cm="1">
        <f t="array" aca="1" ref="AX9" ca="1">_xll.EQNXTDZ($A$1,$B9,AX$1)</f>
        <v>#NAME?</v>
      </c>
      <c r="AY9" s="116" t="e" cm="1">
        <f t="array" aca="1" ref="AY9" ca="1">_xll.EQNXTDZ($A$1,$B9,AY$1)</f>
        <v>#NAME?</v>
      </c>
      <c r="AZ9" s="116" t="e" cm="1">
        <f t="array" aca="1" ref="AZ9" ca="1">_xll.EQNXTDZ($A$1,$B9,AZ$1)</f>
        <v>#NAME?</v>
      </c>
      <c r="BA9" s="116" t="e" cm="1">
        <f t="array" aca="1" ref="BA9" ca="1">_xll.EQNXTDZ($A$1,$B9,BA$1)</f>
        <v>#NAME?</v>
      </c>
      <c r="BB9" s="116" t="e" cm="1">
        <f t="array" aca="1" ref="BB9" ca="1">_xll.EQNXTDZ($A$1,$B9,BB$1)</f>
        <v>#NAME?</v>
      </c>
      <c r="BC9" s="116" t="e" cm="1">
        <f t="array" aca="1" ref="BC9" ca="1">_xll.EQNXTDZ($A$1,$B9,BC$1)</f>
        <v>#NAME?</v>
      </c>
      <c r="BD9" s="116" t="e" cm="1">
        <f t="array" aca="1" ref="BD9" ca="1">_xll.EQNXTDZ($A$1,$B9,BD$1)</f>
        <v>#NAME?</v>
      </c>
      <c r="BE9" s="116" t="e" cm="1">
        <f t="array" aca="1" ref="BE9" ca="1">_xll.EQNXTDZ($A$1,$B9,BE$1)</f>
        <v>#NAME?</v>
      </c>
      <c r="BF9" s="116" t="e" cm="1">
        <f t="array" aca="1" ref="BF9" ca="1">_xll.EQNXTDZ($A$1,$B9,BF$1)</f>
        <v>#NAME?</v>
      </c>
      <c r="BG9" s="116" t="e" cm="1">
        <f t="array" aca="1" ref="BG9" ca="1">_xll.EQNXTDZ($A$1,$B9,BG$1)</f>
        <v>#NAME?</v>
      </c>
      <c r="BH9" s="116" t="e" cm="1">
        <f t="array" aca="1" ref="BH9" ca="1">_xll.EQNXTDZ($A$1,$B9,BH$1)</f>
        <v>#NAME?</v>
      </c>
      <c r="BI9" s="116" t="e" cm="1">
        <f t="array" aca="1" ref="BI9" ca="1">_xll.EQNXTDZ($A$1,$B9,BI$1)</f>
        <v>#NAME?</v>
      </c>
      <c r="BJ9" s="116" t="e" cm="1">
        <f t="array" aca="1" ref="BJ9" ca="1">_xll.EQNXTDZ($A$1,$B9,BJ$1)</f>
        <v>#NAME?</v>
      </c>
      <c r="BK9" s="116" t="e" cm="1">
        <f t="array" aca="1" ref="BK9" ca="1">_xll.EQNXTDZ($A$1,$B9,BK$1)</f>
        <v>#NAME?</v>
      </c>
      <c r="BL9" s="116" t="e" cm="1">
        <f t="array" aca="1" ref="BL9" ca="1">_xll.EQNXTDZ($A$1,$B9,BL$1)</f>
        <v>#NAME?</v>
      </c>
      <c r="BM9" s="116" t="e" cm="1">
        <f t="array" aca="1" ref="BM9" ca="1">_xll.EQNXTDZ($A$1,$B9,BM$1)</f>
        <v>#NAME?</v>
      </c>
      <c r="BN9" s="116" t="e" cm="1">
        <f t="array" aca="1" ref="BN9" ca="1">_xll.EQNXTDZ($A$1,$B9,BN$1)</f>
        <v>#NAME?</v>
      </c>
      <c r="BO9" s="116" t="e" cm="1">
        <f t="array" aca="1" ref="BO9" ca="1">_xll.EQNXTDZ($A$1,$B9,BO$1)</f>
        <v>#NAME?</v>
      </c>
      <c r="BP9" s="116" t="e" cm="1">
        <f t="array" aca="1" ref="BP9" ca="1">_xll.EQNXTDZ($A$1,$B9,BP$1)</f>
        <v>#NAME?</v>
      </c>
      <c r="BQ9" s="116" t="e" cm="1">
        <f t="array" aca="1" ref="BQ9" ca="1">_xll.EQNXTDZ($A$1,$B9,BQ$1)</f>
        <v>#NAME?</v>
      </c>
      <c r="BR9" s="116" t="e" cm="1">
        <f t="array" aca="1" ref="BR9" ca="1">_xll.EQNXTDZ($A$1,$B9,BR$1)</f>
        <v>#NAME?</v>
      </c>
      <c r="BS9" s="116" t="e" cm="1">
        <f t="array" aca="1" ref="BS9" ca="1">_xll.EQNXTDZ($A$1,$B9,BS$1)</f>
        <v>#NAME?</v>
      </c>
      <c r="BT9" s="116" t="e" cm="1">
        <f t="array" aca="1" ref="BT9" ca="1">_xll.EQNXTDZ($A$1,$B9,BT$1)</f>
        <v>#NAME?</v>
      </c>
      <c r="BU9" s="116" t="e" cm="1">
        <f t="array" aca="1" ref="BU9" ca="1">_xll.EQNXTDZ($A$1,$B9,BU$1)</f>
        <v>#NAME?</v>
      </c>
      <c r="BV9" s="116" t="e" cm="1">
        <f t="array" aca="1" ref="BV9" ca="1">_xll.EQNXTDZ($A$1,$B9,BV$1)</f>
        <v>#NAME?</v>
      </c>
      <c r="BW9" s="116" t="e" cm="1">
        <f t="array" aca="1" ref="BW9" ca="1">_xll.EQNXTDZ($A$1,$B9,BW$1)</f>
        <v>#NAME?</v>
      </c>
      <c r="BX9" s="116" t="e" cm="1">
        <f t="array" aca="1" ref="BX9" ca="1">_xll.EQNXTDZ($A$1,$B9,BX$1)</f>
        <v>#NAME?</v>
      </c>
      <c r="BY9" s="116" t="e" cm="1">
        <f t="array" aca="1" ref="BY9" ca="1">_xll.EQNXTDZ($A$1,$B9,BY$1)</f>
        <v>#NAME?</v>
      </c>
      <c r="BZ9" s="116" t="e" cm="1">
        <f t="array" aca="1" ref="BZ9" ca="1">_xll.EQNXTDZ($A$1,$B9,BZ$1)</f>
        <v>#NAME?</v>
      </c>
      <c r="CA9" s="116" t="e" cm="1">
        <f t="array" aca="1" ref="CA9" ca="1">_xll.EQNXTDZ($A$1,$B9,CA$1)</f>
        <v>#NAME?</v>
      </c>
      <c r="CB9" s="116" t="e" cm="1">
        <f t="array" aca="1" ref="CB9" ca="1">_xll.EQNXTDZ($A$1,$B9,CB$1)</f>
        <v>#NAME?</v>
      </c>
      <c r="CC9" s="116" t="e" cm="1">
        <f t="array" aca="1" ref="CC9" ca="1">_xll.EQNXTDZ($A$1,$B9,CC$1)</f>
        <v>#NAME?</v>
      </c>
      <c r="CD9" s="116" t="e" cm="1">
        <f t="array" aca="1" ref="CD9" ca="1">_xll.EQNXTDZ($A$1,$B9,CD$1)</f>
        <v>#NAME?</v>
      </c>
      <c r="CE9" s="116" t="e" cm="1">
        <f t="array" aca="1" ref="CE9" ca="1">_xll.EQNXTDZ($A$1,$B9,CE$1)</f>
        <v>#NAME?</v>
      </c>
      <c r="CF9" s="116" t="e" cm="1">
        <f t="array" aca="1" ref="CF9" ca="1">_xll.EQNXTDZ($A$1,$B9,CF$1)</f>
        <v>#NAME?</v>
      </c>
      <c r="CG9" s="116" t="e" cm="1">
        <f t="array" aca="1" ref="CG9" ca="1">_xll.EQNXTDZ($A$1,$B9,CG$1)</f>
        <v>#NAME?</v>
      </c>
      <c r="CH9" s="116" t="e" cm="1">
        <f t="array" aca="1" ref="CH9" ca="1">_xll.EQNXTDZ($A$1,$B9,CH$1)</f>
        <v>#NAME?</v>
      </c>
      <c r="CI9" s="116" t="e" cm="1">
        <f t="array" aca="1" ref="CI9" ca="1">_xll.EQNXTDZ($A$1,$B9,CI$1)</f>
        <v>#NAME?</v>
      </c>
      <c r="CJ9" s="116" t="e" cm="1">
        <f t="array" aca="1" ref="CJ9" ca="1">_xll.EQNXTDZ($A$1,$B9,CJ$1)</f>
        <v>#NAME?</v>
      </c>
      <c r="CK9" s="116" t="e" cm="1">
        <f t="array" aca="1" ref="CK9" ca="1">_xll.EQNXTDZ($A$1,$B9,CK$1)</f>
        <v>#NAME?</v>
      </c>
      <c r="CL9" s="116" t="e" cm="1">
        <f t="array" aca="1" ref="CL9" ca="1">_xll.EQNXTDZ($A$1,$B9,CL$1)</f>
        <v>#NAME?</v>
      </c>
      <c r="CM9" s="116" t="e" cm="1">
        <f t="array" aca="1" ref="CM9" ca="1">_xll.EQNXTDZ($A$1,$B9,CM$1)</f>
        <v>#NAME?</v>
      </c>
      <c r="CN9" s="116" t="e" cm="1">
        <f t="array" aca="1" ref="CN9" ca="1">_xll.EQNXTDZ($A$1,$B9,CN$1)</f>
        <v>#NAME?</v>
      </c>
      <c r="CO9" s="116" t="e" cm="1">
        <f t="array" aca="1" ref="CO9" ca="1">_xll.EQNXTDZ($A$1,$B9,CO$1)</f>
        <v>#NAME?</v>
      </c>
      <c r="CP9" s="116" t="e" cm="1">
        <f t="array" aca="1" ref="CP9" ca="1">_xll.EQNXTDZ($A$1,$B9,CP$1)</f>
        <v>#NAME?</v>
      </c>
      <c r="CQ9" s="116" t="e" cm="1">
        <f t="array" aca="1" ref="CQ9" ca="1">_xll.EQNXTDZ($A$1,$B9,CQ$1)</f>
        <v>#NAME?</v>
      </c>
      <c r="CR9" s="116" t="e" cm="1">
        <f t="array" aca="1" ref="CR9" ca="1">_xll.EQNXTDZ($A$1,$B9,CR$1)</f>
        <v>#NAME?</v>
      </c>
      <c r="CS9" s="116" t="e" cm="1">
        <f t="array" aca="1" ref="CS9" ca="1">_xll.EQNXTDZ($A$1,$B9,CS$1)</f>
        <v>#NAME?</v>
      </c>
      <c r="CT9" s="116" t="e" cm="1">
        <f t="array" aca="1" ref="CT9" ca="1">_xll.EQNXTDZ($A$1,$B9,CT$1)</f>
        <v>#NAME?</v>
      </c>
      <c r="CU9" s="116" t="e" cm="1">
        <f t="array" aca="1" ref="CU9" ca="1">_xll.EQNXTDZ($A$1,$B9,CU$1)</f>
        <v>#NAME?</v>
      </c>
      <c r="CV9" s="116" t="e" cm="1">
        <f t="array" aca="1" ref="CV9" ca="1">_xll.EQNXTDZ($A$1,$B9,CV$1)</f>
        <v>#NAME?</v>
      </c>
      <c r="CW9" s="116" t="e" cm="1">
        <f t="array" aca="1" ref="CW9" ca="1">_xll.EQNXTDZ($A$1,$B9,CW$1)</f>
        <v>#NAME?</v>
      </c>
      <c r="CX9" s="116" t="e" cm="1">
        <f t="array" aca="1" ref="CX9" ca="1">_xll.EQNXTDZ($A$1,$B9,CX$1)</f>
        <v>#NAME?</v>
      </c>
      <c r="CY9" s="116" t="e" cm="1">
        <f t="array" aca="1" ref="CY9" ca="1">_xll.EQNXTDZ($A$1,$B9,CY$1)</f>
        <v>#NAME?</v>
      </c>
      <c r="CZ9" s="116" t="e" cm="1">
        <f t="array" aca="1" ref="CZ9" ca="1">_xll.EQNXTDZ($A$1,$B9,CZ$1)</f>
        <v>#NAME?</v>
      </c>
      <c r="DA9" s="116" t="e" cm="1">
        <f t="array" aca="1" ref="DA9" ca="1">_xll.EQNXTDZ($A$1,$B9,DA$1)</f>
        <v>#NAME?</v>
      </c>
      <c r="DB9" s="116" t="e" cm="1">
        <f t="array" aca="1" ref="DB9" ca="1">_xll.EQNXTDZ($A$1,$B9,DB$1)</f>
        <v>#NAME?</v>
      </c>
      <c r="DC9" s="116" t="e" cm="1">
        <f t="array" aca="1" ref="DC9" ca="1">_xll.EQNXTDZ($A$1,$B9,DC$1)</f>
        <v>#NAME?</v>
      </c>
      <c r="DD9" s="116" t="e" cm="1">
        <f t="array" aca="1" ref="DD9" ca="1">_xll.EQNXTDZ($A$1,$B9,DD$1)</f>
        <v>#NAME?</v>
      </c>
      <c r="DE9" s="116" t="e" cm="1">
        <f t="array" aca="1" ref="DE9" ca="1">_xll.EQNXTDZ($A$1,$B9,DE$1)</f>
        <v>#NAME?</v>
      </c>
      <c r="DF9" s="116" t="e" cm="1">
        <f t="array" aca="1" ref="DF9" ca="1">_xll.EQNXTDZ($A$1,$B9,DF$1)</f>
        <v>#NAME?</v>
      </c>
      <c r="DG9" s="116" t="e" cm="1">
        <f t="array" aca="1" ref="DG9" ca="1">_xll.EQNXTDZ($A$1,$B9,DG$1)</f>
        <v>#NAME?</v>
      </c>
      <c r="DH9" s="116" t="e" cm="1">
        <f t="array" aca="1" ref="DH9" ca="1">_xll.EQNXTDZ($A$1,$B9,DH$1)</f>
        <v>#NAME?</v>
      </c>
      <c r="DI9" s="116" t="e" cm="1">
        <f t="array" aca="1" ref="DI9" ca="1">_xll.EQNXTDZ($A$1,$B9,DI$1)</f>
        <v>#NAME?</v>
      </c>
      <c r="DJ9" s="116" t="e" cm="1">
        <f t="array" aca="1" ref="DJ9" ca="1">_xll.EQNXTDZ($A$1,$B9,DJ$1)</f>
        <v>#NAME?</v>
      </c>
      <c r="DK9" s="116" t="e" cm="1">
        <f t="array" aca="1" ref="DK9" ca="1">_xll.EQNXTDZ($A$1,$B9,DK$1)</f>
        <v>#NAME?</v>
      </c>
      <c r="DL9" s="116" t="e" cm="1">
        <f t="array" aca="1" ref="DL9" ca="1">_xll.EQNXTDZ($A$1,$B9,DL$1)</f>
        <v>#NAME?</v>
      </c>
      <c r="DM9" s="116" t="e" cm="1">
        <f t="array" aca="1" ref="DM9" ca="1">_xll.EQNXTDZ($A$1,$B9,DM$1)</f>
        <v>#NAME?</v>
      </c>
      <c r="DN9" s="116" t="e" cm="1">
        <f t="array" aca="1" ref="DN9" ca="1">_xll.EQNXTDZ($A$1,$B9,DN$1)</f>
        <v>#NAME?</v>
      </c>
      <c r="DO9" s="116" t="e" cm="1">
        <f t="array" aca="1" ref="DO9" ca="1">_xll.EQNXTDZ($A$1,$B9,DO$1)</f>
        <v>#NAME?</v>
      </c>
      <c r="DP9" s="116" t="e" cm="1">
        <f t="array" aca="1" ref="DP9" ca="1">_xll.EQNXTDZ($A$1,$B9,DP$1)</f>
        <v>#NAME?</v>
      </c>
      <c r="DQ9" s="116" t="e" cm="1">
        <f t="array" aca="1" ref="DQ9" ca="1">_xll.EQNXTDZ($A$1,$B9,DQ$1)</f>
        <v>#NAME?</v>
      </c>
      <c r="DR9" s="116" t="e" cm="1">
        <f t="array" aca="1" ref="DR9" ca="1">_xll.EQNXTDZ($A$1,$B9,DR$1)</f>
        <v>#NAME?</v>
      </c>
      <c r="DS9" s="116" t="e" cm="1">
        <f t="array" aca="1" ref="DS9" ca="1">_xll.EQNXTDZ($A$1,$B9,DS$1)</f>
        <v>#NAME?</v>
      </c>
      <c r="DT9" s="116" t="e" cm="1">
        <f t="array" aca="1" ref="DT9" ca="1">_xll.EQNXTDZ($A$1,$B9,DT$1)</f>
        <v>#NAME?</v>
      </c>
      <c r="DU9" s="116" t="e" cm="1">
        <f t="array" aca="1" ref="DU9" ca="1">_xll.EQNXTDZ($A$1,$B9,DU$1)</f>
        <v>#NAME?</v>
      </c>
      <c r="DV9" s="116" t="e" cm="1">
        <f t="array" aca="1" ref="DV9" ca="1">_xll.EQNXTDZ($A$1,$B9,DV$1)</f>
        <v>#NAME?</v>
      </c>
      <c r="DW9" s="116" t="e" cm="1">
        <f t="array" aca="1" ref="DW9" ca="1">_xll.EQNXTDZ($A$1,$B9,DW$1)</f>
        <v>#NAME?</v>
      </c>
      <c r="DX9" s="116" t="e" cm="1">
        <f t="array" aca="1" ref="DX9" ca="1">_xll.EQNXTDZ($A$1,$B9,DX$1)</f>
        <v>#NAME?</v>
      </c>
      <c r="DY9" s="116" t="e" cm="1">
        <f t="array" aca="1" ref="DY9" ca="1">_xll.EQNXTDZ($A$1,$B9,DY$1)</f>
        <v>#NAME?</v>
      </c>
      <c r="DZ9" s="116" t="e" cm="1">
        <f t="array" aca="1" ref="DZ9" ca="1">_xll.EQNXTDZ($A$1,$B9,DZ$1)</f>
        <v>#NAME?</v>
      </c>
      <c r="EA9" s="116" t="e" cm="1">
        <f t="array" aca="1" ref="EA9" ca="1">_xll.EQNXTDZ($A$1,$B9,EA$1)</f>
        <v>#NAME?</v>
      </c>
      <c r="EB9" s="116" t="e" cm="1">
        <f t="array" aca="1" ref="EB9" ca="1">_xll.EQNXTDZ($A$1,$B9,EB$1)</f>
        <v>#NAME?</v>
      </c>
      <c r="EC9" s="116" t="e" cm="1">
        <f t="array" aca="1" ref="EC9" ca="1">_xll.EQNXTDZ($A$1,$B9,EC$1)</f>
        <v>#NAME?</v>
      </c>
      <c r="ED9" s="116" t="e" cm="1">
        <f t="array" aca="1" ref="ED9" ca="1">_xll.EQNXTDZ($A$1,$B9,ED$1)</f>
        <v>#NAME?</v>
      </c>
      <c r="EE9" s="116" t="e" cm="1">
        <f t="array" aca="1" ref="EE9" ca="1">_xll.EQNXTDZ($A$1,$B9,EE$1)</f>
        <v>#NAME?</v>
      </c>
      <c r="EF9" s="116" t="e" cm="1">
        <f t="array" aca="1" ref="EF9" ca="1">_xll.EQNXTDZ($A$1,$B9,EF$1)</f>
        <v>#NAME?</v>
      </c>
      <c r="EG9" s="116" t="e" cm="1">
        <f t="array" aca="1" ref="EG9" ca="1">_xll.EQNXTDZ($A$1,$B9,EG$1)</f>
        <v>#NAME?</v>
      </c>
      <c r="EH9" s="116" t="e" cm="1">
        <f t="array" aca="1" ref="EH9" ca="1">_xll.EQNXTDZ($A$1,$B9,EH$1)</f>
        <v>#NAME?</v>
      </c>
      <c r="EI9" s="116" t="e" cm="1">
        <f t="array" aca="1" ref="EI9" ca="1">_xll.EQNXTDZ($A$1,$B9,EI$1)</f>
        <v>#NAME?</v>
      </c>
      <c r="EJ9" s="116" t="e" cm="1">
        <f t="array" aca="1" ref="EJ9" ca="1">_xll.EQNXTDZ($A$1,$B9,EJ$1)</f>
        <v>#NAME?</v>
      </c>
      <c r="EK9" s="116" t="e" cm="1">
        <f t="array" aca="1" ref="EK9" ca="1">_xll.EQNXTDZ($A$1,$B9,EK$1)</f>
        <v>#NAME?</v>
      </c>
      <c r="EL9" s="116" t="e" cm="1">
        <f t="array" aca="1" ref="EL9" ca="1">_xll.EQNXTDZ($A$1,$B9,EL$1)</f>
        <v>#NAME?</v>
      </c>
      <c r="EM9" s="116" t="e" cm="1">
        <f t="array" aca="1" ref="EM9" ca="1">_xll.EQNXTDZ($A$1,$B9,EM$1)</f>
        <v>#NAME?</v>
      </c>
      <c r="EN9" s="116" t="e" cm="1">
        <f t="array" aca="1" ref="EN9" ca="1">_xll.EQNXTDZ($A$1,$B9,EN$1)</f>
        <v>#NAME?</v>
      </c>
      <c r="EO9" s="116" t="e" cm="1">
        <f t="array" aca="1" ref="EO9" ca="1">_xll.EQNXTDZ($A$1,$B9,EO$1)</f>
        <v>#NAME?</v>
      </c>
      <c r="EP9" s="116" t="e" cm="1">
        <f t="array" aca="1" ref="EP9" ca="1">_xll.EQNXTDZ($A$1,$B9,EP$1)</f>
        <v>#NAME?</v>
      </c>
      <c r="EQ9" s="116" t="e" cm="1">
        <f t="array" aca="1" ref="EQ9" ca="1">_xll.EQNXTDZ($A$1,$B9,EQ$1)</f>
        <v>#NAME?</v>
      </c>
      <c r="ER9" s="116" t="e" cm="1">
        <f t="array" aca="1" ref="ER9" ca="1">_xll.EQNXTDZ($A$1,$B9,ER$1)</f>
        <v>#NAME?</v>
      </c>
      <c r="ES9" s="116" t="e" cm="1">
        <f t="array" aca="1" ref="ES9" ca="1">_xll.EQNXTDZ($A$1,$B9,ES$1)</f>
        <v>#NAME?</v>
      </c>
      <c r="ET9" s="116" t="e" cm="1">
        <f t="array" aca="1" ref="ET9" ca="1">_xll.EQNXTDZ($A$1,$B9,ET$1)</f>
        <v>#NAME?</v>
      </c>
      <c r="EU9" s="116" t="e" cm="1">
        <f t="array" aca="1" ref="EU9" ca="1">_xll.EQNXTDZ($A$1,$B9,EU$1)</f>
        <v>#NAME?</v>
      </c>
      <c r="EV9" s="116" t="e" cm="1">
        <f t="array" aca="1" ref="EV9" ca="1">_xll.EQNXTDZ($A$1,$B9,EV$1)</f>
        <v>#NAME?</v>
      </c>
      <c r="EW9" s="116" t="e" cm="1">
        <f t="array" aca="1" ref="EW9" ca="1">_xll.EQNXTDZ($A$1,$B9,EW$1)</f>
        <v>#NAME?</v>
      </c>
      <c r="EX9" s="116" t="e" cm="1">
        <f t="array" aca="1" ref="EX9" ca="1">_xll.EQNXTDZ($A$1,$B9,EX$1)</f>
        <v>#NAME?</v>
      </c>
      <c r="EY9" s="116" t="e" cm="1">
        <f t="array" aca="1" ref="EY9" ca="1">_xll.EQNXTDZ($A$1,$B9,EY$1)</f>
        <v>#NAME?</v>
      </c>
      <c r="EZ9" s="116" t="e" cm="1">
        <f t="array" aca="1" ref="EZ9" ca="1">_xll.EQNXTDZ($A$1,$B9,EZ$1)</f>
        <v>#NAME?</v>
      </c>
      <c r="FA9" s="116" t="e" cm="1">
        <f t="array" aca="1" ref="FA9" ca="1">_xll.EQNXTDZ($A$1,$B9,FA$1)</f>
        <v>#NAME?</v>
      </c>
      <c r="FB9" s="116" t="e" cm="1">
        <f t="array" aca="1" ref="FB9" ca="1">_xll.EQNXTDZ($A$1,$B9,FB$1)</f>
        <v>#NAME?</v>
      </c>
      <c r="FC9" s="116" t="e" cm="1">
        <f t="array" aca="1" ref="FC9" ca="1">_xll.EQNXTDZ($A$1,$B9,FC$1)</f>
        <v>#NAME?</v>
      </c>
      <c r="FD9" s="116" t="e" cm="1">
        <f t="array" aca="1" ref="FD9" ca="1">_xll.EQNXTDZ($A$1,$B9,FD$1)</f>
        <v>#NAME?</v>
      </c>
      <c r="FE9" s="116" t="e" cm="1">
        <f t="array" aca="1" ref="FE9" ca="1">_xll.EQNXTDZ($A$1,$B9,FE$1)</f>
        <v>#NAME?</v>
      </c>
      <c r="FF9" s="116" t="e" cm="1">
        <f t="array" aca="1" ref="FF9" ca="1">_xll.EQNXTDZ($A$1,$B9,FF$1)</f>
        <v>#NAME?</v>
      </c>
      <c r="FG9" s="116" t="e" cm="1">
        <f t="array" aca="1" ref="FG9" ca="1">_xll.EQNXTDZ($A$1,$B9,FG$1)</f>
        <v>#NAME?</v>
      </c>
      <c r="FH9" s="116" t="e" cm="1">
        <f t="array" aca="1" ref="FH9" ca="1">_xll.EQNXTDZ($A$1,$B9,FH$1)</f>
        <v>#NAME?</v>
      </c>
      <c r="FI9" s="116" t="e" cm="1">
        <f t="array" aca="1" ref="FI9" ca="1">_xll.EQNXTDZ($A$1,$B9,FI$1)</f>
        <v>#NAME?</v>
      </c>
      <c r="FJ9" s="116" t="e" cm="1">
        <f t="array" aca="1" ref="FJ9" ca="1">_xll.EQNXTDZ($A$1,$B9,FJ$1)</f>
        <v>#NAME?</v>
      </c>
      <c r="FK9" s="116" t="e" cm="1">
        <f t="array" aca="1" ref="FK9" ca="1">_xll.EQNXTDZ($A$1,$B9,FK$1)</f>
        <v>#NAME?</v>
      </c>
      <c r="FL9" s="116" t="e" cm="1">
        <f t="array" aca="1" ref="FL9" ca="1">_xll.EQNXTDZ($A$1,$B9,FL$1)</f>
        <v>#NAME?</v>
      </c>
      <c r="FM9" s="116" t="e" cm="1">
        <f t="array" aca="1" ref="FM9" ca="1">_xll.EQNXTDZ($A$1,$B9,FM$1)</f>
        <v>#NAME?</v>
      </c>
      <c r="FN9" s="116" t="e" cm="1">
        <f t="array" aca="1" ref="FN9" ca="1">_xll.EQNXTDZ($A$1,$B9,FN$1)</f>
        <v>#NAME?</v>
      </c>
      <c r="FO9" s="116" t="e" cm="1">
        <f t="array" aca="1" ref="FO9" ca="1">_xll.EQNXTDZ($A$1,$B9,FO$1)</f>
        <v>#NAME?</v>
      </c>
      <c r="FP9" s="116" t="e" cm="1">
        <f t="array" aca="1" ref="FP9" ca="1">_xll.EQNXTDZ($A$1,$B9,FP$1)</f>
        <v>#NAME?</v>
      </c>
      <c r="FQ9" s="116" t="e" cm="1">
        <f t="array" aca="1" ref="FQ9" ca="1">_xll.EQNXTDZ($A$1,$B9,FQ$1)</f>
        <v>#NAME?</v>
      </c>
      <c r="FR9" s="116" t="e" cm="1">
        <f t="array" aca="1" ref="FR9" ca="1">_xll.EQNXTDZ($A$1,$B9,FR$1)</f>
        <v>#NAME?</v>
      </c>
      <c r="FS9" s="116" t="e" cm="1">
        <f t="array" aca="1" ref="FS9" ca="1">_xll.EQNXTDZ($A$1,$B9,FS$1)</f>
        <v>#NAME?</v>
      </c>
      <c r="FT9" s="116" t="e" cm="1">
        <f t="array" aca="1" ref="FT9" ca="1">_xll.EQNXTDZ($A$1,$B9,FT$1)</f>
        <v>#NAME?</v>
      </c>
      <c r="FU9" s="116" t="e" cm="1">
        <f t="array" aca="1" ref="FU9" ca="1">_xll.EQNXTDZ($A$1,$B9,FU$1)</f>
        <v>#NAME?</v>
      </c>
      <c r="FV9" s="116" t="e" cm="1">
        <f t="array" aca="1" ref="FV9" ca="1">_xll.EQNXTDZ($A$1,$B9,FV$1)</f>
        <v>#NAME?</v>
      </c>
      <c r="FW9" s="116" t="e" cm="1">
        <f t="array" aca="1" ref="FW9" ca="1">_xll.EQNXTDZ($A$1,$B9,FW$1)</f>
        <v>#NAME?</v>
      </c>
      <c r="FX9" s="116" t="e" cm="1">
        <f t="array" aca="1" ref="FX9" ca="1">_xll.EQNXTDZ($A$1,$B9,FX$1)</f>
        <v>#NAME?</v>
      </c>
      <c r="FY9" s="116" t="e" cm="1">
        <f t="array" aca="1" ref="FY9" ca="1">_xll.EQNXTDZ($A$1,$B9,FY$1)</f>
        <v>#NAME?</v>
      </c>
      <c r="FZ9" s="116" t="e" cm="1">
        <f t="array" aca="1" ref="FZ9" ca="1">_xll.EQNXTDZ($A$1,$B9,FZ$1)</f>
        <v>#NAME?</v>
      </c>
      <c r="GA9" s="116" t="e" cm="1">
        <f t="array" aca="1" ref="GA9" ca="1">_xll.EQNXTDZ($A$1,$B9,GA$1)</f>
        <v>#NAME?</v>
      </c>
      <c r="GB9" s="116" t="e" cm="1">
        <f t="array" aca="1" ref="GB9" ca="1">_xll.EQNXTDZ($A$1,$B9,GB$1)</f>
        <v>#NAME?</v>
      </c>
      <c r="GC9" s="116" t="e" cm="1">
        <f t="array" aca="1" ref="GC9" ca="1">_xll.EQNXTDZ($A$1,$B9,GC$1)</f>
        <v>#NAME?</v>
      </c>
      <c r="GD9" s="116" t="e" cm="1">
        <f t="array" aca="1" ref="GD9" ca="1">_xll.EQNXTDZ($A$1,$B9,GD$1)</f>
        <v>#NAME?</v>
      </c>
      <c r="GE9" s="116" t="e" cm="1">
        <f t="array" aca="1" ref="GE9" ca="1">_xll.EQNXTDZ($A$1,$B9,GE$1)</f>
        <v>#NAME?</v>
      </c>
      <c r="GF9" s="116" t="e" cm="1">
        <f t="array" aca="1" ref="GF9" ca="1">_xll.EQNXTDZ($A$1,$B9,GF$1)</f>
        <v>#NAME?</v>
      </c>
      <c r="GG9" s="116" t="e" cm="1">
        <f t="array" aca="1" ref="GG9" ca="1">_xll.EQNXTDZ($A$1,$B9,GG$1)</f>
        <v>#NAME?</v>
      </c>
      <c r="GH9" s="116" t="e" cm="1">
        <f t="array" aca="1" ref="GH9" ca="1">_xll.EQNXTDZ($A$1,$B9,GH$1)</f>
        <v>#NAME?</v>
      </c>
      <c r="GI9" s="116" t="e" cm="1">
        <f t="array" aca="1" ref="GI9" ca="1">_xll.EQNXTDZ($A$1,$B9,GI$1)</f>
        <v>#NAME?</v>
      </c>
      <c r="GJ9" s="116" t="e" cm="1">
        <f t="array" aca="1" ref="GJ9" ca="1">_xll.EQNXTDZ($A$1,$B9,GJ$1)</f>
        <v>#NAME?</v>
      </c>
      <c r="GK9" s="116" t="e" cm="1">
        <f t="array" aca="1" ref="GK9" ca="1">_xll.EQNXTDZ($A$1,$B9,GK$1)</f>
        <v>#NAME?</v>
      </c>
      <c r="GL9" s="116" t="e" cm="1">
        <f t="array" aca="1" ref="GL9" ca="1">_xll.EQNXTDZ($A$1,$B9,GL$1)</f>
        <v>#NAME?</v>
      </c>
      <c r="GM9" s="116" t="e" cm="1">
        <f t="array" aca="1" ref="GM9" ca="1">_xll.EQNXTDZ($A$1,$B9,GM$1)</f>
        <v>#NAME?</v>
      </c>
      <c r="GN9" s="116" t="e" cm="1">
        <f t="array" aca="1" ref="GN9" ca="1">_xll.EQNXTDZ($A$1,$B9,GN$1)</f>
        <v>#NAME?</v>
      </c>
      <c r="GO9" s="116" t="e" cm="1">
        <f t="array" aca="1" ref="GO9" ca="1">_xll.EQNXTDZ($A$1,$B9,GO$1)</f>
        <v>#NAME?</v>
      </c>
      <c r="GP9" s="116" t="e" cm="1">
        <f t="array" aca="1" ref="GP9" ca="1">_xll.EQNXTDZ($A$1,$B9,GP$1)</f>
        <v>#NAME?</v>
      </c>
      <c r="GQ9" s="116" t="e" cm="1">
        <f t="array" aca="1" ref="GQ9" ca="1">_xll.EQNXTDZ($A$1,$B9,GQ$1)</f>
        <v>#NAME?</v>
      </c>
      <c r="GR9" s="116" t="e" cm="1">
        <f t="array" aca="1" ref="GR9" ca="1">_xll.EQNXTDZ($A$1,$B9,GR$1)</f>
        <v>#NAME?</v>
      </c>
      <c r="GS9" s="116" t="e" cm="1">
        <f t="array" aca="1" ref="GS9" ca="1">_xll.EQNXTDZ($A$1,$B9,GS$1)</f>
        <v>#NAME?</v>
      </c>
      <c r="GT9" s="116" t="e" cm="1">
        <f t="array" aca="1" ref="GT9" ca="1">_xll.EQNXTDZ($A$1,$B9,GT$1)</f>
        <v>#NAME?</v>
      </c>
      <c r="GU9" s="116" t="e" cm="1">
        <f t="array" aca="1" ref="GU9" ca="1">_xll.EQNXTDZ($A$1,$B9,GU$1)</f>
        <v>#NAME?</v>
      </c>
      <c r="GV9" s="116" t="e" cm="1">
        <f t="array" aca="1" ref="GV9" ca="1">_xll.EQNXTDZ($A$1,$B9,GV$1)</f>
        <v>#NAME?</v>
      </c>
      <c r="GW9" s="116" t="e" cm="1">
        <f t="array" aca="1" ref="GW9" ca="1">_xll.EQNXTDZ($A$1,$B9,GW$1)</f>
        <v>#NAME?</v>
      </c>
      <c r="GX9" s="116" t="e" cm="1">
        <f t="array" aca="1" ref="GX9" ca="1">_xll.EQNXTDZ($A$1,$B9,GX$1)</f>
        <v>#NAME?</v>
      </c>
      <c r="GY9" s="116" t="e" cm="1">
        <f t="array" aca="1" ref="GY9" ca="1">_xll.EQNXTDZ($A$1,$B9,GY$1)</f>
        <v>#NAME?</v>
      </c>
      <c r="GZ9" s="116" t="e" cm="1">
        <f t="array" aca="1" ref="GZ9" ca="1">_xll.EQNXTDZ($A$1,$B9,GZ$1)</f>
        <v>#NAME?</v>
      </c>
      <c r="HA9" s="116" t="e" cm="1">
        <f t="array" aca="1" ref="HA9" ca="1">_xll.EQNXTDZ($A$1,$B9,HA$1)</f>
        <v>#NAME?</v>
      </c>
      <c r="HB9" s="116" t="e" cm="1">
        <f t="array" aca="1" ref="HB9" ca="1">_xll.EQNXTDZ($A$1,$B9,HB$1)</f>
        <v>#NAME?</v>
      </c>
      <c r="HC9" s="116" t="e" cm="1">
        <f t="array" aca="1" ref="HC9" ca="1">_xll.EQNXTDZ($A$1,$B9,HC$1)</f>
        <v>#NAME?</v>
      </c>
      <c r="HD9" s="116" t="e" cm="1">
        <f t="array" aca="1" ref="HD9" ca="1">_xll.EQNXTDZ($A$1,$B9,HD$1)</f>
        <v>#NAME?</v>
      </c>
      <c r="HE9" s="116" t="e" cm="1">
        <f t="array" aca="1" ref="HE9" ca="1">_xll.EQNXTDZ($A$1,$B9,HE$1)</f>
        <v>#NAME?</v>
      </c>
      <c r="HF9" s="116" t="e" cm="1">
        <f t="array" aca="1" ref="HF9" ca="1">_xll.EQNXTDZ($A$1,$B9,HF$1)</f>
        <v>#NAME?</v>
      </c>
      <c r="HG9" s="116" t="e" cm="1">
        <f t="array" aca="1" ref="HG9" ca="1">_xll.EQNXTDZ($A$1,$B9,HG$1)</f>
        <v>#NAME?</v>
      </c>
      <c r="HH9" s="116" t="e" cm="1">
        <f t="array" aca="1" ref="HH9" ca="1">_xll.EQNXTDZ($A$1,$B9,HH$1)</f>
        <v>#NAME?</v>
      </c>
      <c r="HP9" s="116" t="e">
        <f ca="1">+F9</f>
        <v>#NAME?</v>
      </c>
      <c r="HQ9" s="116" t="e">
        <f ca="1">+I9</f>
        <v>#NAME?</v>
      </c>
      <c r="HR9" s="116" t="e">
        <f ca="1">+L9</f>
        <v>#NAME?</v>
      </c>
      <c r="HS9" s="116" t="e">
        <f ca="1">+O9</f>
        <v>#NAME?</v>
      </c>
      <c r="HT9" s="116" t="e">
        <f ca="1">+R9</f>
        <v>#NAME?</v>
      </c>
      <c r="HU9" s="116" t="e">
        <f ca="1">+U9</f>
        <v>#NAME?</v>
      </c>
      <c r="HV9" s="116" t="e">
        <f ca="1">+X9</f>
        <v>#NAME?</v>
      </c>
      <c r="HW9" s="116" t="e">
        <f ca="1">+AA9</f>
        <v>#NAME?</v>
      </c>
      <c r="HX9" s="116" t="e">
        <f ca="1">+AD9</f>
        <v>#NAME?</v>
      </c>
      <c r="HY9" s="116" t="e">
        <f ca="1">+AG9</f>
        <v>#NAME?</v>
      </c>
      <c r="HZ9" s="116" t="e">
        <f ca="1">+AJ9</f>
        <v>#NAME?</v>
      </c>
      <c r="IA9" s="116" t="e">
        <f ca="1">+AM9</f>
        <v>#NAME?</v>
      </c>
      <c r="IB9" s="116" t="e">
        <f ca="1">+AP9</f>
        <v>#NAME?</v>
      </c>
      <c r="IC9" s="116" t="e">
        <f ca="1">+AS9</f>
        <v>#NAME?</v>
      </c>
      <c r="ID9" s="116" t="e">
        <f ca="1">+AV9</f>
        <v>#NAME?</v>
      </c>
      <c r="IE9" s="116" t="e">
        <f ca="1">+AY9</f>
        <v>#NAME?</v>
      </c>
      <c r="IF9" s="116" t="e">
        <f ca="1">+BB9</f>
        <v>#NAME?</v>
      </c>
      <c r="IG9" s="116" t="e">
        <f ca="1">+BE9</f>
        <v>#NAME?</v>
      </c>
      <c r="IH9" s="116" t="e">
        <f ca="1">+BH9</f>
        <v>#NAME?</v>
      </c>
      <c r="II9" s="116" t="e">
        <f ca="1">+BK9</f>
        <v>#NAME?</v>
      </c>
      <c r="IJ9" s="116" t="e">
        <f ca="1">+BN9</f>
        <v>#NAME?</v>
      </c>
      <c r="IK9" s="116" t="e">
        <f ca="1">+BQ9</f>
        <v>#NAME?</v>
      </c>
      <c r="IL9" s="116" t="e">
        <f ca="1">+BT9</f>
        <v>#NAME?</v>
      </c>
      <c r="IM9" s="116" t="e">
        <f ca="1">+BW9</f>
        <v>#NAME?</v>
      </c>
      <c r="IN9" s="116" t="e">
        <f ca="1">+BZ9</f>
        <v>#NAME?</v>
      </c>
      <c r="IO9" s="116" t="e">
        <f ca="1">+CC9</f>
        <v>#NAME?</v>
      </c>
      <c r="IP9" s="116" t="e">
        <f ca="1">+CF9</f>
        <v>#NAME?</v>
      </c>
      <c r="IQ9" s="116" t="e">
        <f ca="1">+CI9</f>
        <v>#NAME?</v>
      </c>
      <c r="IR9" s="116" t="e">
        <f ca="1">+CL9</f>
        <v>#NAME?</v>
      </c>
      <c r="IS9" s="116" t="e">
        <f ca="1">+CO9</f>
        <v>#NAME?</v>
      </c>
      <c r="IT9" s="116" t="e">
        <f ca="1">+CR9</f>
        <v>#NAME?</v>
      </c>
      <c r="IU9" s="116" t="e">
        <f ca="1">+CU9</f>
        <v>#NAME?</v>
      </c>
      <c r="IV9" s="116" t="e">
        <f ca="1">+CX9</f>
        <v>#NAME?</v>
      </c>
      <c r="IW9" s="116" t="e">
        <f ca="1">+DA9</f>
        <v>#NAME?</v>
      </c>
      <c r="IX9" s="116" t="e">
        <f ca="1">+DD9</f>
        <v>#NAME?</v>
      </c>
      <c r="IY9" s="116" t="e">
        <f ca="1">+DG9</f>
        <v>#NAME?</v>
      </c>
      <c r="IZ9" s="116" t="e">
        <f ca="1">+DJ9</f>
        <v>#NAME?</v>
      </c>
      <c r="JA9" s="116" t="e">
        <f ca="1">+DM9</f>
        <v>#NAME?</v>
      </c>
      <c r="JB9" s="116" t="e">
        <f ca="1">+DP9</f>
        <v>#NAME?</v>
      </c>
      <c r="JC9" s="116" t="e">
        <f ca="1">+DS9</f>
        <v>#NAME?</v>
      </c>
      <c r="JD9" s="116" t="e">
        <f ca="1">+DV9</f>
        <v>#NAME?</v>
      </c>
      <c r="JE9" s="116" t="e">
        <f ca="1">+DY9</f>
        <v>#NAME?</v>
      </c>
      <c r="JF9" s="116" t="e">
        <f ca="1">+EB9</f>
        <v>#NAME?</v>
      </c>
      <c r="JG9" s="116" t="e">
        <f ca="1">+EE9</f>
        <v>#NAME?</v>
      </c>
      <c r="JH9" s="116" t="e">
        <f ca="1">+EH9</f>
        <v>#NAME?</v>
      </c>
      <c r="JI9" s="116" t="e">
        <f ca="1">+EK9</f>
        <v>#NAME?</v>
      </c>
      <c r="JJ9" s="116" t="e">
        <f ca="1">+EN9</f>
        <v>#NAME?</v>
      </c>
      <c r="JK9" s="116" t="e">
        <f ca="1">EQ9</f>
        <v>#NAME?</v>
      </c>
      <c r="JL9" s="116" t="e">
        <f ca="1">ET9</f>
        <v>#NAME?</v>
      </c>
      <c r="JM9" s="116" t="e">
        <f ca="1">EW9</f>
        <v>#NAME?</v>
      </c>
      <c r="JN9" s="116" t="e">
        <f ca="1">EZ9</f>
        <v>#NAME?</v>
      </c>
      <c r="JO9" s="116" t="e">
        <f ca="1">FC9</f>
        <v>#NAME?</v>
      </c>
      <c r="JP9" s="116" t="e">
        <f ca="1">FF9</f>
        <v>#NAME?</v>
      </c>
      <c r="JQ9" s="116" t="e">
        <f ca="1">FI9</f>
        <v>#NAME?</v>
      </c>
      <c r="JR9" s="116" t="e">
        <f ca="1">FL9</f>
        <v>#NAME?</v>
      </c>
      <c r="JS9" s="116" t="e">
        <f ca="1">FO9</f>
        <v>#NAME?</v>
      </c>
      <c r="JT9" s="116" t="e">
        <f ca="1">FR9</f>
        <v>#NAME?</v>
      </c>
      <c r="JU9" s="116" t="e">
        <f ca="1">FU9</f>
        <v>#NAME?</v>
      </c>
      <c r="JV9" s="116" t="e">
        <f ca="1">FX9</f>
        <v>#NAME?</v>
      </c>
      <c r="JW9" s="116" t="e">
        <f ca="1">GA9</f>
        <v>#NAME?</v>
      </c>
      <c r="JX9" s="116" t="e">
        <f ca="1">GD9</f>
        <v>#NAME?</v>
      </c>
      <c r="JY9" s="116" t="e">
        <f ca="1">GG9</f>
        <v>#NAME?</v>
      </c>
      <c r="JZ9" s="116" t="e">
        <f ca="1">GJ9</f>
        <v>#NAME?</v>
      </c>
      <c r="KA9" s="116" t="e">
        <f ca="1">GM9</f>
        <v>#NAME?</v>
      </c>
      <c r="KB9" s="116" t="e">
        <f ca="1">GP9</f>
        <v>#NAME?</v>
      </c>
      <c r="KC9" s="116" t="e">
        <f ca="1">GS9</f>
        <v>#NAME?</v>
      </c>
      <c r="KD9" s="116" t="e">
        <f ca="1">GV9</f>
        <v>#NAME?</v>
      </c>
      <c r="KE9" s="116" t="e">
        <f ca="1">GY9</f>
        <v>#NAME?</v>
      </c>
      <c r="KF9" s="116" t="e">
        <f ca="1">HB9</f>
        <v>#NAME?</v>
      </c>
      <c r="KG9" s="116" t="e">
        <f ca="1">HE9</f>
        <v>#NAME?</v>
      </c>
      <c r="KH9" s="116" t="e">
        <f ca="1">HH9</f>
        <v>#NAME?</v>
      </c>
    </row>
    <row r="11" spans="1:294" x14ac:dyDescent="0.25">
      <c r="A11" t="s">
        <v>110</v>
      </c>
      <c r="B11" t="s">
        <v>111</v>
      </c>
      <c r="C11" t="e" cm="1">
        <f t="array" aca="1" ref="C11" ca="1">_xll.EQNXTDZ($A$1,$B11,C$1)</f>
        <v>#NAME?</v>
      </c>
      <c r="D11" t="e" cm="1">
        <f t="array" aca="1" ref="D11" ca="1">_xll.EQNXTDZ($A$1,$B11,D$1)</f>
        <v>#NAME?</v>
      </c>
      <c r="E11" t="e" cm="1">
        <f t="array" aca="1" ref="E11" ca="1">_xll.EQNXTDZ($A$1,$B11,E$1)</f>
        <v>#NAME?</v>
      </c>
      <c r="F11" t="e" cm="1">
        <f t="array" aca="1" ref="F11" ca="1">_xll.EQNXTDZ($A$1,$B11,F$1)</f>
        <v>#NAME?</v>
      </c>
      <c r="G11" t="e" cm="1">
        <f t="array" aca="1" ref="G11" ca="1">_xll.EQNXTDZ($A$1,$B11,G$1)</f>
        <v>#NAME?</v>
      </c>
      <c r="H11" t="e" cm="1">
        <f t="array" aca="1" ref="H11" ca="1">_xll.EQNXTDZ($A$1,$B11,H$1)</f>
        <v>#NAME?</v>
      </c>
      <c r="I11" t="e" cm="1">
        <f t="array" aca="1" ref="I11" ca="1">_xll.EQNXTDZ($A$1,$B11,I$1)</f>
        <v>#NAME?</v>
      </c>
      <c r="J11" t="e" cm="1">
        <f t="array" aca="1" ref="J11" ca="1">_xll.EQNXTDZ($A$1,$B11,J$1)</f>
        <v>#NAME?</v>
      </c>
      <c r="K11" t="e" cm="1">
        <f t="array" aca="1" ref="K11" ca="1">_xll.EQNXTDZ($A$1,$B11,K$1)</f>
        <v>#NAME?</v>
      </c>
      <c r="L11" t="e" cm="1">
        <f t="array" aca="1" ref="L11" ca="1">_xll.EQNXTDZ($A$1,$B11,L$1)</f>
        <v>#NAME?</v>
      </c>
      <c r="M11" t="e" cm="1">
        <f t="array" aca="1" ref="M11" ca="1">_xll.EQNXTDZ($A$1,$B11,M$1)</f>
        <v>#NAME?</v>
      </c>
      <c r="N11" t="e" cm="1">
        <f t="array" aca="1" ref="N11" ca="1">_xll.EQNXTDZ($A$1,$B11,N$1)</f>
        <v>#NAME?</v>
      </c>
      <c r="O11" t="e" cm="1">
        <f t="array" aca="1" ref="O11" ca="1">_xll.EQNXTDZ($A$1,$B11,O$1)</f>
        <v>#NAME?</v>
      </c>
      <c r="P11" t="e" cm="1">
        <f t="array" aca="1" ref="P11" ca="1">_xll.EQNXTDZ($A$1,$B11,P$1)</f>
        <v>#NAME?</v>
      </c>
      <c r="Q11" t="e" cm="1">
        <f t="array" aca="1" ref="Q11" ca="1">_xll.EQNXTDZ($A$1,$B11,Q$1)</f>
        <v>#NAME?</v>
      </c>
      <c r="R11" t="e" cm="1">
        <f t="array" aca="1" ref="R11" ca="1">_xll.EQNXTDZ($A$1,$B11,R$1)</f>
        <v>#NAME?</v>
      </c>
      <c r="S11" t="e" cm="1">
        <f t="array" aca="1" ref="S11" ca="1">_xll.EQNXTDZ($A$1,$B11,S$1)</f>
        <v>#NAME?</v>
      </c>
      <c r="T11" t="e" cm="1">
        <f t="array" aca="1" ref="T11" ca="1">_xll.EQNXTDZ($A$1,$B11,T$1)</f>
        <v>#NAME?</v>
      </c>
      <c r="U11" t="e" cm="1">
        <f t="array" aca="1" ref="U11" ca="1">_xll.EQNXTDZ($A$1,$B11,U$1)</f>
        <v>#NAME?</v>
      </c>
      <c r="V11" t="e" cm="1">
        <f t="array" aca="1" ref="V11" ca="1">_xll.EQNXTDZ($A$1,$B11,V$1)</f>
        <v>#NAME?</v>
      </c>
      <c r="W11" t="e" cm="1">
        <f t="array" aca="1" ref="W11" ca="1">_xll.EQNXTDZ($A$1,$B11,W$1)</f>
        <v>#NAME?</v>
      </c>
      <c r="X11" t="e" cm="1">
        <f t="array" aca="1" ref="X11" ca="1">_xll.EQNXTDZ($A$1,$B11,X$1)</f>
        <v>#NAME?</v>
      </c>
      <c r="Y11" t="e" cm="1">
        <f t="array" aca="1" ref="Y11" ca="1">_xll.EQNXTDZ($A$1,$B11,Y$1)</f>
        <v>#NAME?</v>
      </c>
      <c r="Z11" t="e" cm="1">
        <f t="array" aca="1" ref="Z11" ca="1">_xll.EQNXTDZ($A$1,$B11,Z$1)</f>
        <v>#NAME?</v>
      </c>
      <c r="AA11" t="e" cm="1">
        <f t="array" aca="1" ref="AA11" ca="1">_xll.EQNXTDZ($A$1,$B11,AA$1)</f>
        <v>#NAME?</v>
      </c>
      <c r="AB11" t="e" cm="1">
        <f t="array" aca="1" ref="AB11" ca="1">_xll.EQNXTDZ($A$1,$B11,AB$1)</f>
        <v>#NAME?</v>
      </c>
      <c r="AC11" t="e" cm="1">
        <f t="array" aca="1" ref="AC11" ca="1">_xll.EQNXTDZ($A$1,$B11,AC$1)</f>
        <v>#NAME?</v>
      </c>
      <c r="AD11" t="e" cm="1">
        <f t="array" aca="1" ref="AD11" ca="1">_xll.EQNXTDZ($A$1,$B11,AD$1)</f>
        <v>#NAME?</v>
      </c>
      <c r="AE11" t="e" cm="1">
        <f t="array" aca="1" ref="AE11" ca="1">_xll.EQNXTDZ($A$1,$B11,AE$1)</f>
        <v>#NAME?</v>
      </c>
      <c r="AF11" t="e" cm="1">
        <f t="array" aca="1" ref="AF11" ca="1">_xll.EQNXTDZ($A$1,$B11,AF$1)</f>
        <v>#NAME?</v>
      </c>
      <c r="AG11" t="e" cm="1">
        <f t="array" aca="1" ref="AG11" ca="1">_xll.EQNXTDZ($A$1,$B11,AG$1)</f>
        <v>#NAME?</v>
      </c>
      <c r="AH11" t="e" cm="1">
        <f t="array" aca="1" ref="AH11" ca="1">_xll.EQNXTDZ($A$1,$B11,AH$1)</f>
        <v>#NAME?</v>
      </c>
      <c r="AI11" t="e" cm="1">
        <f t="array" aca="1" ref="AI11" ca="1">_xll.EQNXTDZ($A$1,$B11,AI$1)</f>
        <v>#NAME?</v>
      </c>
      <c r="AJ11" t="e" cm="1">
        <f t="array" aca="1" ref="AJ11" ca="1">_xll.EQNXTDZ($A$1,$B11,AJ$1)</f>
        <v>#NAME?</v>
      </c>
      <c r="AK11" t="e" cm="1">
        <f t="array" aca="1" ref="AK11" ca="1">_xll.EQNXTDZ($A$1,$B11,AK$1)</f>
        <v>#NAME?</v>
      </c>
      <c r="AL11" t="e" cm="1">
        <f t="array" aca="1" ref="AL11" ca="1">_xll.EQNXTDZ($A$1,$B11,AL$1)</f>
        <v>#NAME?</v>
      </c>
      <c r="AM11" t="e" cm="1">
        <f t="array" aca="1" ref="AM11" ca="1">_xll.EQNXTDZ($A$1,$B11,AM$1)</f>
        <v>#NAME?</v>
      </c>
      <c r="AN11" t="e" cm="1">
        <f t="array" aca="1" ref="AN11" ca="1">_xll.EQNXTDZ($A$1,$B11,AN$1)</f>
        <v>#NAME?</v>
      </c>
      <c r="AO11" t="e" cm="1">
        <f t="array" aca="1" ref="AO11" ca="1">_xll.EQNXTDZ($A$1,$B11,AO$1)</f>
        <v>#NAME?</v>
      </c>
      <c r="AP11" t="e" cm="1">
        <f t="array" aca="1" ref="AP11" ca="1">_xll.EQNXTDZ($A$1,$B11,AP$1)</f>
        <v>#NAME?</v>
      </c>
      <c r="AQ11" t="e" cm="1">
        <f t="array" aca="1" ref="AQ11" ca="1">_xll.EQNXTDZ($A$1,$B11,AQ$1)</f>
        <v>#NAME?</v>
      </c>
      <c r="AR11" t="e" cm="1">
        <f t="array" aca="1" ref="AR11" ca="1">_xll.EQNXTDZ($A$1,$B11,AR$1)</f>
        <v>#NAME?</v>
      </c>
      <c r="AS11" t="e" cm="1">
        <f t="array" aca="1" ref="AS11" ca="1">_xll.EQNXTDZ($A$1,$B11,AS$1)</f>
        <v>#NAME?</v>
      </c>
      <c r="AT11" t="e" cm="1">
        <f t="array" aca="1" ref="AT11" ca="1">_xll.EQNXTDZ($A$1,$B11,AT$1)</f>
        <v>#NAME?</v>
      </c>
      <c r="AU11" t="e" cm="1">
        <f t="array" aca="1" ref="AU11" ca="1">_xll.EQNXTDZ($A$1,$B11,AU$1)</f>
        <v>#NAME?</v>
      </c>
      <c r="AV11" t="e" cm="1">
        <f t="array" aca="1" ref="AV11" ca="1">_xll.EQNXTDZ($A$1,$B11,AV$1)</f>
        <v>#NAME?</v>
      </c>
      <c r="AW11" t="e" cm="1">
        <f t="array" aca="1" ref="AW11" ca="1">_xll.EQNXTDZ($A$1,$B11,AW$1)</f>
        <v>#NAME?</v>
      </c>
      <c r="AX11" t="e" cm="1">
        <f t="array" aca="1" ref="AX11" ca="1">_xll.EQNXTDZ($A$1,$B11,AX$1)</f>
        <v>#NAME?</v>
      </c>
      <c r="AY11" t="e" cm="1">
        <f t="array" aca="1" ref="AY11" ca="1">_xll.EQNXTDZ($A$1,$B11,AY$1)</f>
        <v>#NAME?</v>
      </c>
      <c r="AZ11" t="e" cm="1">
        <f t="array" aca="1" ref="AZ11" ca="1">_xll.EQNXTDZ($A$1,$B11,AZ$1)</f>
        <v>#NAME?</v>
      </c>
      <c r="BA11" t="e" cm="1">
        <f t="array" aca="1" ref="BA11" ca="1">_xll.EQNXTDZ($A$1,$B11,BA$1)</f>
        <v>#NAME?</v>
      </c>
      <c r="BB11" t="e" cm="1">
        <f t="array" aca="1" ref="BB11" ca="1">_xll.EQNXTDZ($A$1,$B11,BB$1)</f>
        <v>#NAME?</v>
      </c>
      <c r="BC11" t="e" cm="1">
        <f t="array" aca="1" ref="BC11" ca="1">_xll.EQNXTDZ($A$1,$B11,BC$1)</f>
        <v>#NAME?</v>
      </c>
      <c r="BD11" t="e" cm="1">
        <f t="array" aca="1" ref="BD11" ca="1">_xll.EQNXTDZ($A$1,$B11,BD$1)</f>
        <v>#NAME?</v>
      </c>
      <c r="BE11" t="e" cm="1">
        <f t="array" aca="1" ref="BE11" ca="1">_xll.EQNXTDZ($A$1,$B11,BE$1)</f>
        <v>#NAME?</v>
      </c>
      <c r="BF11" t="e" cm="1">
        <f t="array" aca="1" ref="BF11" ca="1">_xll.EQNXTDZ($A$1,$B11,BF$1)</f>
        <v>#NAME?</v>
      </c>
      <c r="BG11" t="e" cm="1">
        <f t="array" aca="1" ref="BG11" ca="1">_xll.EQNXTDZ($A$1,$B11,BG$1)</f>
        <v>#NAME?</v>
      </c>
      <c r="BH11" t="e" cm="1">
        <f t="array" aca="1" ref="BH11" ca="1">_xll.EQNXTDZ($A$1,$B11,BH$1)</f>
        <v>#NAME?</v>
      </c>
      <c r="BI11" t="e" cm="1">
        <f t="array" aca="1" ref="BI11" ca="1">_xll.EQNXTDZ($A$1,$B11,BI$1)</f>
        <v>#NAME?</v>
      </c>
      <c r="BJ11" t="e" cm="1">
        <f t="array" aca="1" ref="BJ11" ca="1">_xll.EQNXTDZ($A$1,$B11,BJ$1)</f>
        <v>#NAME?</v>
      </c>
      <c r="BK11" t="e" cm="1">
        <f t="array" aca="1" ref="BK11" ca="1">_xll.EQNXTDZ($A$1,$B11,BK$1)</f>
        <v>#NAME?</v>
      </c>
      <c r="BL11" t="e" cm="1">
        <f t="array" aca="1" ref="BL11" ca="1">_xll.EQNXTDZ($A$1,$B11,BL$1)</f>
        <v>#NAME?</v>
      </c>
      <c r="BM11" t="e" cm="1">
        <f t="array" aca="1" ref="BM11" ca="1">_xll.EQNXTDZ($A$1,$B11,BM$1)</f>
        <v>#NAME?</v>
      </c>
      <c r="BN11" t="e" cm="1">
        <f t="array" aca="1" ref="BN11" ca="1">_xll.EQNXTDZ($A$1,$B11,BN$1)</f>
        <v>#NAME?</v>
      </c>
      <c r="BO11" t="e" cm="1">
        <f t="array" aca="1" ref="BO11" ca="1">_xll.EQNXTDZ($A$1,$B11,BO$1)</f>
        <v>#NAME?</v>
      </c>
      <c r="BP11" t="e" cm="1">
        <f t="array" aca="1" ref="BP11" ca="1">_xll.EQNXTDZ($A$1,$B11,BP$1)</f>
        <v>#NAME?</v>
      </c>
      <c r="BQ11" t="e" cm="1">
        <f t="array" aca="1" ref="BQ11" ca="1">_xll.EQNXTDZ($A$1,$B11,BQ$1)</f>
        <v>#NAME?</v>
      </c>
      <c r="BR11" t="e" cm="1">
        <f t="array" aca="1" ref="BR11" ca="1">_xll.EQNXTDZ($A$1,$B11,BR$1)</f>
        <v>#NAME?</v>
      </c>
      <c r="BS11" t="e" cm="1">
        <f t="array" aca="1" ref="BS11" ca="1">_xll.EQNXTDZ($A$1,$B11,BS$1)</f>
        <v>#NAME?</v>
      </c>
      <c r="BT11" t="e" cm="1">
        <f t="array" aca="1" ref="BT11" ca="1">_xll.EQNXTDZ($A$1,$B11,BT$1)</f>
        <v>#NAME?</v>
      </c>
      <c r="BU11" t="e" cm="1">
        <f t="array" aca="1" ref="BU11" ca="1">_xll.EQNXTDZ($A$1,$B11,BU$1)</f>
        <v>#NAME?</v>
      </c>
      <c r="BV11" t="e" cm="1">
        <f t="array" aca="1" ref="BV11" ca="1">_xll.EQNXTDZ($A$1,$B11,BV$1)</f>
        <v>#NAME?</v>
      </c>
      <c r="BW11" t="e" cm="1">
        <f t="array" aca="1" ref="BW11" ca="1">_xll.EQNXTDZ($A$1,$B11,BW$1)</f>
        <v>#NAME?</v>
      </c>
      <c r="BX11" t="e" cm="1">
        <f t="array" aca="1" ref="BX11" ca="1">_xll.EQNXTDZ($A$1,$B11,BX$1)</f>
        <v>#NAME?</v>
      </c>
      <c r="BY11" t="e" cm="1">
        <f t="array" aca="1" ref="BY11" ca="1">_xll.EQNXTDZ($A$1,$B11,BY$1)</f>
        <v>#NAME?</v>
      </c>
      <c r="BZ11" t="e" cm="1">
        <f t="array" aca="1" ref="BZ11" ca="1">_xll.EQNXTDZ($A$1,$B11,BZ$1)</f>
        <v>#NAME?</v>
      </c>
      <c r="CA11" t="e" cm="1">
        <f t="array" aca="1" ref="CA11" ca="1">_xll.EQNXTDZ($A$1,$B11,CA$1)</f>
        <v>#NAME?</v>
      </c>
      <c r="CB11" t="e" cm="1">
        <f t="array" aca="1" ref="CB11" ca="1">_xll.EQNXTDZ($A$1,$B11,CB$1)</f>
        <v>#NAME?</v>
      </c>
      <c r="CC11" t="e" cm="1">
        <f t="array" aca="1" ref="CC11" ca="1">_xll.EQNXTDZ($A$1,$B11,CC$1)</f>
        <v>#NAME?</v>
      </c>
      <c r="CD11" t="e" cm="1">
        <f t="array" aca="1" ref="CD11" ca="1">_xll.EQNXTDZ($A$1,$B11,CD$1)</f>
        <v>#NAME?</v>
      </c>
      <c r="CE11" t="e" cm="1">
        <f t="array" aca="1" ref="CE11" ca="1">_xll.EQNXTDZ($A$1,$B11,CE$1)</f>
        <v>#NAME?</v>
      </c>
      <c r="CF11" t="e" cm="1">
        <f t="array" aca="1" ref="CF11" ca="1">_xll.EQNXTDZ($A$1,$B11,CF$1)</f>
        <v>#NAME?</v>
      </c>
      <c r="CG11" t="e" cm="1">
        <f t="array" aca="1" ref="CG11" ca="1">_xll.EQNXTDZ($A$1,$B11,CG$1)</f>
        <v>#NAME?</v>
      </c>
      <c r="CH11" t="e" cm="1">
        <f t="array" aca="1" ref="CH11" ca="1">_xll.EQNXTDZ($A$1,$B11,CH$1)</f>
        <v>#NAME?</v>
      </c>
      <c r="CI11" t="e" cm="1">
        <f t="array" aca="1" ref="CI11" ca="1">_xll.EQNXTDZ($A$1,$B11,CI$1)</f>
        <v>#NAME?</v>
      </c>
      <c r="CJ11" t="e" cm="1">
        <f t="array" aca="1" ref="CJ11" ca="1">_xll.EQNXTDZ($A$1,$B11,CJ$1)</f>
        <v>#NAME?</v>
      </c>
      <c r="CK11" t="e" cm="1">
        <f t="array" aca="1" ref="CK11" ca="1">_xll.EQNXTDZ($A$1,$B11,CK$1)</f>
        <v>#NAME?</v>
      </c>
      <c r="CL11" t="e" cm="1">
        <f t="array" aca="1" ref="CL11" ca="1">_xll.EQNXTDZ($A$1,$B11,CL$1)</f>
        <v>#NAME?</v>
      </c>
      <c r="CM11" t="e" cm="1">
        <f t="array" aca="1" ref="CM11" ca="1">_xll.EQNXTDZ($A$1,$B11,CM$1)</f>
        <v>#NAME?</v>
      </c>
      <c r="CN11" t="e" cm="1">
        <f t="array" aca="1" ref="CN11" ca="1">_xll.EQNXTDZ($A$1,$B11,CN$1)</f>
        <v>#NAME?</v>
      </c>
      <c r="CO11" t="e" cm="1">
        <f t="array" aca="1" ref="CO11" ca="1">_xll.EQNXTDZ($A$1,$B11,CO$1)</f>
        <v>#NAME?</v>
      </c>
      <c r="CP11" t="e" cm="1">
        <f t="array" aca="1" ref="CP11" ca="1">_xll.EQNXTDZ($A$1,$B11,CP$1)</f>
        <v>#NAME?</v>
      </c>
      <c r="CQ11" t="e" cm="1">
        <f t="array" aca="1" ref="CQ11" ca="1">_xll.EQNXTDZ($A$1,$B11,CQ$1)</f>
        <v>#NAME?</v>
      </c>
      <c r="CR11" t="e" cm="1">
        <f t="array" aca="1" ref="CR11" ca="1">_xll.EQNXTDZ($A$1,$B11,CR$1)</f>
        <v>#NAME?</v>
      </c>
      <c r="CS11" t="e" cm="1">
        <f t="array" aca="1" ref="CS11" ca="1">_xll.EQNXTDZ($A$1,$B11,CS$1)</f>
        <v>#NAME?</v>
      </c>
      <c r="CT11" t="e" cm="1">
        <f t="array" aca="1" ref="CT11" ca="1">_xll.EQNXTDZ($A$1,$B11,CT$1)</f>
        <v>#NAME?</v>
      </c>
      <c r="CU11" t="e" cm="1">
        <f t="array" aca="1" ref="CU11" ca="1">_xll.EQNXTDZ($A$1,$B11,CU$1)</f>
        <v>#NAME?</v>
      </c>
      <c r="CV11" t="e" cm="1">
        <f t="array" aca="1" ref="CV11" ca="1">_xll.EQNXTDZ($A$1,$B11,CV$1)</f>
        <v>#NAME?</v>
      </c>
      <c r="CW11" t="e" cm="1">
        <f t="array" aca="1" ref="CW11" ca="1">_xll.EQNXTDZ($A$1,$B11,CW$1)</f>
        <v>#NAME?</v>
      </c>
      <c r="CX11" t="e" cm="1">
        <f t="array" aca="1" ref="CX11" ca="1">_xll.EQNXTDZ($A$1,$B11,CX$1)</f>
        <v>#NAME?</v>
      </c>
      <c r="CY11" t="e" cm="1">
        <f t="array" aca="1" ref="CY11" ca="1">_xll.EQNXTDZ($A$1,$B11,CY$1)</f>
        <v>#NAME?</v>
      </c>
      <c r="CZ11" t="e" cm="1">
        <f t="array" aca="1" ref="CZ11" ca="1">_xll.EQNXTDZ($A$1,$B11,CZ$1)</f>
        <v>#NAME?</v>
      </c>
      <c r="DA11" t="e" cm="1">
        <f t="array" aca="1" ref="DA11" ca="1">_xll.EQNXTDZ($A$1,$B11,DA$1)</f>
        <v>#NAME?</v>
      </c>
      <c r="DB11" t="e" cm="1">
        <f t="array" aca="1" ref="DB11" ca="1">_xll.EQNXTDZ($A$1,$B11,DB$1)</f>
        <v>#NAME?</v>
      </c>
      <c r="DC11" t="e" cm="1">
        <f t="array" aca="1" ref="DC11" ca="1">_xll.EQNXTDZ($A$1,$B11,DC$1)</f>
        <v>#NAME?</v>
      </c>
      <c r="DD11" t="e" cm="1">
        <f t="array" aca="1" ref="DD11" ca="1">_xll.EQNXTDZ($A$1,$B11,DD$1)</f>
        <v>#NAME?</v>
      </c>
      <c r="DE11" t="e" cm="1">
        <f t="array" aca="1" ref="DE11" ca="1">_xll.EQNXTDZ($A$1,$B11,DE$1)</f>
        <v>#NAME?</v>
      </c>
      <c r="DF11" t="e" cm="1">
        <f t="array" aca="1" ref="DF11" ca="1">_xll.EQNXTDZ($A$1,$B11,DF$1)</f>
        <v>#NAME?</v>
      </c>
      <c r="DG11" t="e" cm="1">
        <f t="array" aca="1" ref="DG11" ca="1">_xll.EQNXTDZ($A$1,$B11,DG$1)</f>
        <v>#NAME?</v>
      </c>
      <c r="DH11" t="e" cm="1">
        <f t="array" aca="1" ref="DH11" ca="1">_xll.EQNXTDZ($A$1,$B11,DH$1)</f>
        <v>#NAME?</v>
      </c>
      <c r="DI11" t="e" cm="1">
        <f t="array" aca="1" ref="DI11" ca="1">_xll.EQNXTDZ($A$1,$B11,DI$1)</f>
        <v>#NAME?</v>
      </c>
      <c r="DJ11" t="e" cm="1">
        <f t="array" aca="1" ref="DJ11" ca="1">_xll.EQNXTDZ($A$1,$B11,DJ$1)</f>
        <v>#NAME?</v>
      </c>
      <c r="DK11" t="e" cm="1">
        <f t="array" aca="1" ref="DK11" ca="1">_xll.EQNXTDZ($A$1,$B11,DK$1)</f>
        <v>#NAME?</v>
      </c>
      <c r="DL11" t="e" cm="1">
        <f t="array" aca="1" ref="DL11" ca="1">_xll.EQNXTDZ($A$1,$B11,DL$1)</f>
        <v>#NAME?</v>
      </c>
      <c r="DM11" t="e" cm="1">
        <f t="array" aca="1" ref="DM11" ca="1">_xll.EQNXTDZ($A$1,$B11,DM$1)</f>
        <v>#NAME?</v>
      </c>
      <c r="DN11" t="e" cm="1">
        <f t="array" aca="1" ref="DN11" ca="1">_xll.EQNXTDZ($A$1,$B11,DN$1)</f>
        <v>#NAME?</v>
      </c>
      <c r="DO11" t="e" cm="1">
        <f t="array" aca="1" ref="DO11" ca="1">_xll.EQNXTDZ($A$1,$B11,DO$1)</f>
        <v>#NAME?</v>
      </c>
      <c r="DP11" t="e" cm="1">
        <f t="array" aca="1" ref="DP11" ca="1">_xll.EQNXTDZ($A$1,$B11,DP$1)</f>
        <v>#NAME?</v>
      </c>
      <c r="DQ11" t="e" cm="1">
        <f t="array" aca="1" ref="DQ11" ca="1">_xll.EQNXTDZ($A$1,$B11,DQ$1)</f>
        <v>#NAME?</v>
      </c>
      <c r="DR11" t="e" cm="1">
        <f t="array" aca="1" ref="DR11" ca="1">_xll.EQNXTDZ($A$1,$B11,DR$1)</f>
        <v>#NAME?</v>
      </c>
      <c r="DS11" t="e" cm="1">
        <f t="array" aca="1" ref="DS11" ca="1">_xll.EQNXTDZ($A$1,$B11,DS$1)</f>
        <v>#NAME?</v>
      </c>
      <c r="DT11" t="e" cm="1">
        <f t="array" aca="1" ref="DT11" ca="1">_xll.EQNXTDZ($A$1,$B11,DT$1)</f>
        <v>#NAME?</v>
      </c>
      <c r="DU11" t="e" cm="1">
        <f t="array" aca="1" ref="DU11" ca="1">_xll.EQNXTDZ($A$1,$B11,DU$1)</f>
        <v>#NAME?</v>
      </c>
      <c r="DV11" t="e" cm="1">
        <f t="array" aca="1" ref="DV11" ca="1">_xll.EQNXTDZ($A$1,$B11,DV$1)</f>
        <v>#NAME?</v>
      </c>
      <c r="DW11" t="e" cm="1">
        <f t="array" aca="1" ref="DW11" ca="1">_xll.EQNXTDZ($A$1,$B11,DW$1)</f>
        <v>#NAME?</v>
      </c>
      <c r="DX11" t="e" cm="1">
        <f t="array" aca="1" ref="DX11" ca="1">_xll.EQNXTDZ($A$1,$B11,DX$1)</f>
        <v>#NAME?</v>
      </c>
      <c r="DY11" t="e" cm="1">
        <f t="array" aca="1" ref="DY11" ca="1">_xll.EQNXTDZ($A$1,$B11,DY$1)</f>
        <v>#NAME?</v>
      </c>
      <c r="DZ11" t="e" cm="1">
        <f t="array" aca="1" ref="DZ11" ca="1">_xll.EQNXTDZ($A$1,$B11,DZ$1)</f>
        <v>#NAME?</v>
      </c>
      <c r="EA11" t="e" cm="1">
        <f t="array" aca="1" ref="EA11" ca="1">_xll.EQNXTDZ($A$1,$B11,EA$1)</f>
        <v>#NAME?</v>
      </c>
      <c r="EB11" t="e" cm="1">
        <f t="array" aca="1" ref="EB11" ca="1">_xll.EQNXTDZ($A$1,$B11,EB$1)</f>
        <v>#NAME?</v>
      </c>
      <c r="EC11" t="e" cm="1">
        <f t="array" aca="1" ref="EC11" ca="1">_xll.EQNXTDZ($A$1,$B11,EC$1)</f>
        <v>#NAME?</v>
      </c>
      <c r="ED11" t="e" cm="1">
        <f t="array" aca="1" ref="ED11" ca="1">_xll.EQNXTDZ($A$1,$B11,ED$1)</f>
        <v>#NAME?</v>
      </c>
      <c r="EE11" t="e" cm="1">
        <f t="array" aca="1" ref="EE11" ca="1">_xll.EQNXTDZ($A$1,$B11,EE$1)</f>
        <v>#NAME?</v>
      </c>
      <c r="EF11" t="e" cm="1">
        <f t="array" aca="1" ref="EF11" ca="1">_xll.EQNXTDZ($A$1,$B11,EF$1)</f>
        <v>#NAME?</v>
      </c>
      <c r="EG11" t="e" cm="1">
        <f t="array" aca="1" ref="EG11" ca="1">_xll.EQNXTDZ($A$1,$B11,EG$1)</f>
        <v>#NAME?</v>
      </c>
      <c r="EH11" t="e" cm="1">
        <f t="array" aca="1" ref="EH11" ca="1">_xll.EQNXTDZ($A$1,$B11,EH$1)</f>
        <v>#NAME?</v>
      </c>
      <c r="EI11" t="e" cm="1">
        <f t="array" aca="1" ref="EI11" ca="1">_xll.EQNXTDZ($A$1,$B11,EI$1)</f>
        <v>#NAME?</v>
      </c>
      <c r="EJ11" t="e" cm="1">
        <f t="array" aca="1" ref="EJ11" ca="1">_xll.EQNXTDZ($A$1,$B11,EJ$1)</f>
        <v>#NAME?</v>
      </c>
      <c r="EK11" t="e" cm="1">
        <f t="array" aca="1" ref="EK11" ca="1">_xll.EQNXTDZ($A$1,$B11,EK$1)</f>
        <v>#NAME?</v>
      </c>
      <c r="EL11" t="e" cm="1">
        <f t="array" aca="1" ref="EL11" ca="1">_xll.EQNXTDZ($A$1,$B11,EL$1)</f>
        <v>#NAME?</v>
      </c>
      <c r="EM11" t="e" cm="1">
        <f t="array" aca="1" ref="EM11" ca="1">_xll.EQNXTDZ($A$1,$B11,EM$1)</f>
        <v>#NAME?</v>
      </c>
      <c r="EN11" t="e" cm="1">
        <f t="array" aca="1" ref="EN11" ca="1">_xll.EQNXTDZ($A$1,$B11,EN$1)</f>
        <v>#NAME?</v>
      </c>
      <c r="EO11" t="e" cm="1">
        <f t="array" aca="1" ref="EO11" ca="1">_xll.EQNXTDZ($A$1,$B11,EO$1)</f>
        <v>#NAME?</v>
      </c>
      <c r="EP11" t="e" cm="1">
        <f t="array" aca="1" ref="EP11" ca="1">_xll.EQNXTDZ($A$1,$B11,EP$1)</f>
        <v>#NAME?</v>
      </c>
      <c r="EQ11" t="e" cm="1">
        <f t="array" aca="1" ref="EQ11" ca="1">_xll.EQNXTDZ($A$1,$B11,EQ$1)</f>
        <v>#NAME?</v>
      </c>
      <c r="ER11" t="e" cm="1">
        <f t="array" aca="1" ref="ER11" ca="1">_xll.EQNXTDZ($A$1,$B11,ER$1)</f>
        <v>#NAME?</v>
      </c>
      <c r="ES11" t="e" cm="1">
        <f t="array" aca="1" ref="ES11" ca="1">_xll.EQNXTDZ($A$1,$B11,ES$1)</f>
        <v>#NAME?</v>
      </c>
      <c r="ET11" t="e" cm="1">
        <f t="array" aca="1" ref="ET11" ca="1">_xll.EQNXTDZ($A$1,$B11,ET$1)</f>
        <v>#NAME?</v>
      </c>
      <c r="EU11" t="e" cm="1">
        <f t="array" aca="1" ref="EU11" ca="1">_xll.EQNXTDZ($A$1,$B11,EU$1)</f>
        <v>#NAME?</v>
      </c>
      <c r="EV11" t="e" cm="1">
        <f t="array" aca="1" ref="EV11" ca="1">_xll.EQNXTDZ($A$1,$B11,EV$1)</f>
        <v>#NAME?</v>
      </c>
      <c r="EW11" t="e" cm="1">
        <f t="array" aca="1" ref="EW11" ca="1">_xll.EQNXTDZ($A$1,$B11,EW$1)</f>
        <v>#NAME?</v>
      </c>
      <c r="EX11" t="e" cm="1">
        <f t="array" aca="1" ref="EX11" ca="1">_xll.EQNXTDZ($A$1,$B11,EX$1)</f>
        <v>#NAME?</v>
      </c>
      <c r="EY11" t="e" cm="1">
        <f t="array" aca="1" ref="EY11" ca="1">_xll.EQNXTDZ($A$1,$B11,EY$1)</f>
        <v>#NAME?</v>
      </c>
      <c r="EZ11" t="e" cm="1">
        <f t="array" aca="1" ref="EZ11" ca="1">_xll.EQNXTDZ($A$1,$B11,EZ$1)</f>
        <v>#NAME?</v>
      </c>
      <c r="FA11" t="e" cm="1">
        <f t="array" aca="1" ref="FA11" ca="1">_xll.EQNXTDZ($A$1,$B11,FA$1)</f>
        <v>#NAME?</v>
      </c>
      <c r="FB11" t="e" cm="1">
        <f t="array" aca="1" ref="FB11" ca="1">_xll.EQNXTDZ($A$1,$B11,FB$1)</f>
        <v>#NAME?</v>
      </c>
      <c r="FC11" t="e" cm="1">
        <f t="array" aca="1" ref="FC11" ca="1">_xll.EQNXTDZ($A$1,$B11,FC$1)</f>
        <v>#NAME?</v>
      </c>
      <c r="FD11" t="e" cm="1">
        <f t="array" aca="1" ref="FD11" ca="1">_xll.EQNXTDZ($A$1,$B11,FD$1)</f>
        <v>#NAME?</v>
      </c>
      <c r="FE11" t="e" cm="1">
        <f t="array" aca="1" ref="FE11" ca="1">_xll.EQNXTDZ($A$1,$B11,FE$1)</f>
        <v>#NAME?</v>
      </c>
      <c r="FF11" t="e" cm="1">
        <f t="array" aca="1" ref="FF11" ca="1">_xll.EQNXTDZ($A$1,$B11,FF$1)</f>
        <v>#NAME?</v>
      </c>
      <c r="FG11" t="e" cm="1">
        <f t="array" aca="1" ref="FG11" ca="1">_xll.EQNXTDZ($A$1,$B11,FG$1)</f>
        <v>#NAME?</v>
      </c>
      <c r="FH11" t="e" cm="1">
        <f t="array" aca="1" ref="FH11" ca="1">_xll.EQNXTDZ($A$1,$B11,FH$1)</f>
        <v>#NAME?</v>
      </c>
      <c r="FI11" t="e" cm="1">
        <f t="array" aca="1" ref="FI11" ca="1">_xll.EQNXTDZ($A$1,$B11,FI$1)</f>
        <v>#NAME?</v>
      </c>
      <c r="FJ11" t="e" cm="1">
        <f t="array" aca="1" ref="FJ11" ca="1">_xll.EQNXTDZ($A$1,$B11,FJ$1)</f>
        <v>#NAME?</v>
      </c>
      <c r="FK11" t="e" cm="1">
        <f t="array" aca="1" ref="FK11" ca="1">_xll.EQNXTDZ($A$1,$B11,FK$1)</f>
        <v>#NAME?</v>
      </c>
      <c r="FL11" t="e" cm="1">
        <f t="array" aca="1" ref="FL11" ca="1">_xll.EQNXTDZ($A$1,$B11,FL$1)</f>
        <v>#NAME?</v>
      </c>
      <c r="FM11" t="e" cm="1">
        <f t="array" aca="1" ref="FM11" ca="1">_xll.EQNXTDZ($A$1,$B11,FM$1)</f>
        <v>#NAME?</v>
      </c>
      <c r="FN11" t="e" cm="1">
        <f t="array" aca="1" ref="FN11" ca="1">_xll.EQNXTDZ($A$1,$B11,FN$1)</f>
        <v>#NAME?</v>
      </c>
      <c r="FO11" t="e" cm="1">
        <f t="array" aca="1" ref="FO11" ca="1">_xll.EQNXTDZ($A$1,$B11,FO$1)</f>
        <v>#NAME?</v>
      </c>
      <c r="FP11" t="e" cm="1">
        <f t="array" aca="1" ref="FP11" ca="1">_xll.EQNXTDZ($A$1,$B11,FP$1)</f>
        <v>#NAME?</v>
      </c>
      <c r="FQ11" t="e" cm="1">
        <f t="array" aca="1" ref="FQ11" ca="1">_xll.EQNXTDZ($A$1,$B11,FQ$1)</f>
        <v>#NAME?</v>
      </c>
      <c r="FR11" t="e" cm="1">
        <f t="array" aca="1" ref="FR11" ca="1">_xll.EQNXTDZ($A$1,$B11,FR$1)</f>
        <v>#NAME?</v>
      </c>
      <c r="FS11" t="e" cm="1">
        <f t="array" aca="1" ref="FS11" ca="1">_xll.EQNXTDZ($A$1,$B11,FS$1)</f>
        <v>#NAME?</v>
      </c>
      <c r="FT11" t="e" cm="1">
        <f t="array" aca="1" ref="FT11" ca="1">_xll.EQNXTDZ($A$1,$B11,FT$1)</f>
        <v>#NAME?</v>
      </c>
      <c r="FU11" t="e" cm="1">
        <f t="array" aca="1" ref="FU11" ca="1">_xll.EQNXTDZ($A$1,$B11,FU$1)</f>
        <v>#NAME?</v>
      </c>
      <c r="FV11" t="e" cm="1">
        <f t="array" aca="1" ref="FV11" ca="1">_xll.EQNXTDZ($A$1,$B11,FV$1)</f>
        <v>#NAME?</v>
      </c>
      <c r="FW11" t="e" cm="1">
        <f t="array" aca="1" ref="FW11" ca="1">_xll.EQNXTDZ($A$1,$B11,FW$1)</f>
        <v>#NAME?</v>
      </c>
      <c r="FX11" t="e" cm="1">
        <f t="array" aca="1" ref="FX11" ca="1">_xll.EQNXTDZ($A$1,$B11,FX$1)</f>
        <v>#NAME?</v>
      </c>
      <c r="FY11" t="e" cm="1">
        <f t="array" aca="1" ref="FY11" ca="1">_xll.EQNXTDZ($A$1,$B11,FY$1)</f>
        <v>#NAME?</v>
      </c>
      <c r="FZ11" t="e" cm="1">
        <f t="array" aca="1" ref="FZ11" ca="1">_xll.EQNXTDZ($A$1,$B11,FZ$1)</f>
        <v>#NAME?</v>
      </c>
      <c r="GA11" t="e" cm="1">
        <f t="array" aca="1" ref="GA11" ca="1">_xll.EQNXTDZ($A$1,$B11,GA$1)</f>
        <v>#NAME?</v>
      </c>
      <c r="GB11" t="e" cm="1">
        <f t="array" aca="1" ref="GB11" ca="1">_xll.EQNXTDZ($A$1,$B11,GB$1)</f>
        <v>#NAME?</v>
      </c>
      <c r="GC11" t="e" cm="1">
        <f t="array" aca="1" ref="GC11" ca="1">_xll.EQNXTDZ($A$1,$B11,GC$1)</f>
        <v>#NAME?</v>
      </c>
      <c r="GD11" t="e" cm="1">
        <f t="array" aca="1" ref="GD11" ca="1">_xll.EQNXTDZ($A$1,$B11,GD$1)</f>
        <v>#NAME?</v>
      </c>
      <c r="GE11" t="e" cm="1">
        <f t="array" aca="1" ref="GE11" ca="1">_xll.EQNXTDZ($A$1,$B11,GE$1)</f>
        <v>#NAME?</v>
      </c>
      <c r="GF11" t="e" cm="1">
        <f t="array" aca="1" ref="GF11" ca="1">_xll.EQNXTDZ($A$1,$B11,GF$1)</f>
        <v>#NAME?</v>
      </c>
      <c r="GG11" t="e" cm="1">
        <f t="array" aca="1" ref="GG11" ca="1">_xll.EQNXTDZ($A$1,$B11,GG$1)</f>
        <v>#NAME?</v>
      </c>
      <c r="GH11" t="e" cm="1">
        <f t="array" aca="1" ref="GH11" ca="1">_xll.EQNXTDZ($A$1,$B11,GH$1)</f>
        <v>#NAME?</v>
      </c>
      <c r="GI11" t="e" cm="1">
        <f t="array" aca="1" ref="GI11" ca="1">_xll.EQNXTDZ($A$1,$B11,GI$1)</f>
        <v>#NAME?</v>
      </c>
      <c r="GJ11" t="e" cm="1">
        <f t="array" aca="1" ref="GJ11" ca="1">_xll.EQNXTDZ($A$1,$B11,GJ$1)</f>
        <v>#NAME?</v>
      </c>
      <c r="GK11" t="e" cm="1">
        <f t="array" aca="1" ref="GK11" ca="1">_xll.EQNXTDZ($A$1,$B11,GK$1)</f>
        <v>#NAME?</v>
      </c>
      <c r="GL11" t="e" cm="1">
        <f t="array" aca="1" ref="GL11" ca="1">_xll.EQNXTDZ($A$1,$B11,GL$1)</f>
        <v>#NAME?</v>
      </c>
      <c r="GM11" t="e" cm="1">
        <f t="array" aca="1" ref="GM11" ca="1">_xll.EQNXTDZ($A$1,$B11,GM$1)</f>
        <v>#NAME?</v>
      </c>
      <c r="GN11" t="e" cm="1">
        <f t="array" aca="1" ref="GN11" ca="1">_xll.EQNXTDZ($A$1,$B11,GN$1)</f>
        <v>#NAME?</v>
      </c>
      <c r="GO11" t="e" cm="1">
        <f t="array" aca="1" ref="GO11" ca="1">_xll.EQNXTDZ($A$1,$B11,GO$1)</f>
        <v>#NAME?</v>
      </c>
      <c r="GP11" t="e" cm="1">
        <f t="array" aca="1" ref="GP11" ca="1">_xll.EQNXTDZ($A$1,$B11,GP$1)</f>
        <v>#NAME?</v>
      </c>
      <c r="GQ11" t="e" cm="1">
        <f t="array" aca="1" ref="GQ11" ca="1">_xll.EQNXTDZ($A$1,$B11,GQ$1)</f>
        <v>#NAME?</v>
      </c>
      <c r="GR11" t="e" cm="1">
        <f t="array" aca="1" ref="GR11" ca="1">_xll.EQNXTDZ($A$1,$B11,GR$1)</f>
        <v>#NAME?</v>
      </c>
      <c r="GS11" t="e" cm="1">
        <f t="array" aca="1" ref="GS11" ca="1">_xll.EQNXTDZ($A$1,$B11,GS$1)</f>
        <v>#NAME?</v>
      </c>
      <c r="GT11" t="e" cm="1">
        <f t="array" aca="1" ref="GT11" ca="1">_xll.EQNXTDZ($A$1,$B11,GT$1)</f>
        <v>#NAME?</v>
      </c>
      <c r="GU11" t="e" cm="1">
        <f t="array" aca="1" ref="GU11" ca="1">_xll.EQNXTDZ($A$1,$B11,GU$1)</f>
        <v>#NAME?</v>
      </c>
      <c r="GV11" t="e" cm="1">
        <f t="array" aca="1" ref="GV11" ca="1">_xll.EQNXTDZ($A$1,$B11,GV$1)</f>
        <v>#NAME?</v>
      </c>
      <c r="GW11" t="e" cm="1">
        <f t="array" aca="1" ref="GW11" ca="1">_xll.EQNXTDZ($A$1,$B11,GW$1)</f>
        <v>#NAME?</v>
      </c>
      <c r="GX11" t="e" cm="1">
        <f t="array" aca="1" ref="GX11" ca="1">_xll.EQNXTDZ($A$1,$B11,GX$1)</f>
        <v>#NAME?</v>
      </c>
      <c r="GY11" t="e" cm="1">
        <f t="array" aca="1" ref="GY11" ca="1">_xll.EQNXTDZ($A$1,$B11,GY$1)</f>
        <v>#NAME?</v>
      </c>
      <c r="GZ11" t="e" cm="1">
        <f t="array" aca="1" ref="GZ11" ca="1">_xll.EQNXTDZ($A$1,$B11,GZ$1)</f>
        <v>#NAME?</v>
      </c>
      <c r="HA11" t="e" cm="1">
        <f t="array" aca="1" ref="HA11" ca="1">_xll.EQNXTDZ($A$1,$B11,HA$1)</f>
        <v>#NAME?</v>
      </c>
      <c r="HB11" t="e" cm="1">
        <f t="array" aca="1" ref="HB11" ca="1">_xll.EQNXTDZ($A$1,$B11,HB$1)</f>
        <v>#NAME?</v>
      </c>
      <c r="HC11" t="e" cm="1">
        <f t="array" aca="1" ref="HC11" ca="1">_xll.EQNXTDZ($A$1,$B11,HC$1)</f>
        <v>#NAME?</v>
      </c>
      <c r="HD11" t="e" cm="1">
        <f t="array" aca="1" ref="HD11" ca="1">_xll.EQNXTDZ($A$1,$B11,HD$1)</f>
        <v>#NAME?</v>
      </c>
      <c r="HE11" t="e" cm="1">
        <f t="array" aca="1" ref="HE11" ca="1">_xll.EQNXTDZ($A$1,$B11,HE$1)</f>
        <v>#NAME?</v>
      </c>
      <c r="HF11" t="e" cm="1">
        <f t="array" aca="1" ref="HF11" ca="1">_xll.EQNXTDZ($A$1,$B11,HF$1)</f>
        <v>#NAME?</v>
      </c>
      <c r="HG11" t="e" cm="1">
        <f t="array" aca="1" ref="HG11" ca="1">_xll.EQNXTDZ($A$1,$B11,HG$1)</f>
        <v>#NAME?</v>
      </c>
      <c r="HH11" t="e" cm="1">
        <f t="array" aca="1" ref="HH11" ca="1">_xll.EQNXTDZ($A$1,$B11,HH$1)</f>
        <v>#NAME?</v>
      </c>
    </row>
    <row r="12" spans="1:294" x14ac:dyDescent="0.25">
      <c r="A12" t="s">
        <v>337</v>
      </c>
      <c r="B12" t="s">
        <v>338</v>
      </c>
      <c r="C12" t="e" cm="1">
        <f t="array" aca="1" ref="C12" ca="1">_xll.EQNXTDZ($A$1,$B12,C$1)</f>
        <v>#NAME?</v>
      </c>
      <c r="D12" t="e" cm="1">
        <f t="array" aca="1" ref="D12" ca="1">_xll.EQNXTDZ($A$1,$B12,D$1)</f>
        <v>#NAME?</v>
      </c>
      <c r="E12" t="e" cm="1">
        <f t="array" aca="1" ref="E12" ca="1">_xll.EQNXTDZ($A$1,$B12,E$1)</f>
        <v>#NAME?</v>
      </c>
      <c r="F12" t="e" cm="1">
        <f t="array" aca="1" ref="F12" ca="1">_xll.EQNXTDZ($A$1,$B12,F$1)</f>
        <v>#NAME?</v>
      </c>
      <c r="G12" t="e" cm="1">
        <f t="array" aca="1" ref="G12" ca="1">_xll.EQNXTDZ($A$1,$B12,G$1)</f>
        <v>#NAME?</v>
      </c>
      <c r="H12" t="e" cm="1">
        <f t="array" aca="1" ref="H12" ca="1">_xll.EQNXTDZ($A$1,$B12,H$1)</f>
        <v>#NAME?</v>
      </c>
      <c r="I12" t="e" cm="1">
        <f t="array" aca="1" ref="I12" ca="1">_xll.EQNXTDZ($A$1,$B12,I$1)</f>
        <v>#NAME?</v>
      </c>
      <c r="J12" t="e" cm="1">
        <f t="array" aca="1" ref="J12" ca="1">_xll.EQNXTDZ($A$1,$B12,J$1)</f>
        <v>#NAME?</v>
      </c>
      <c r="K12" t="e" cm="1">
        <f t="array" aca="1" ref="K12" ca="1">_xll.EQNXTDZ($A$1,$B12,K$1)</f>
        <v>#NAME?</v>
      </c>
      <c r="L12" t="e" cm="1">
        <f t="array" aca="1" ref="L12" ca="1">_xll.EQNXTDZ($A$1,$B12,L$1)</f>
        <v>#NAME?</v>
      </c>
      <c r="M12" t="e" cm="1">
        <f t="array" aca="1" ref="M12" ca="1">_xll.EQNXTDZ($A$1,$B12,M$1)</f>
        <v>#NAME?</v>
      </c>
      <c r="N12" t="e" cm="1">
        <f t="array" aca="1" ref="N12" ca="1">_xll.EQNXTDZ($A$1,$B12,N$1)</f>
        <v>#NAME?</v>
      </c>
      <c r="O12" t="e" cm="1">
        <f t="array" aca="1" ref="O12" ca="1">_xll.EQNXTDZ($A$1,$B12,O$1)</f>
        <v>#NAME?</v>
      </c>
      <c r="P12" t="e" cm="1">
        <f t="array" aca="1" ref="P12" ca="1">_xll.EQNXTDZ($A$1,$B12,P$1)</f>
        <v>#NAME?</v>
      </c>
      <c r="Q12" t="e" cm="1">
        <f t="array" aca="1" ref="Q12" ca="1">_xll.EQNXTDZ($A$1,$B12,Q$1)</f>
        <v>#NAME?</v>
      </c>
      <c r="R12" t="e" cm="1">
        <f t="array" aca="1" ref="R12" ca="1">_xll.EQNXTDZ($A$1,$B12,R$1)</f>
        <v>#NAME?</v>
      </c>
      <c r="S12" t="e" cm="1">
        <f t="array" aca="1" ref="S12" ca="1">_xll.EQNXTDZ($A$1,$B12,S$1)</f>
        <v>#NAME?</v>
      </c>
      <c r="T12" t="e" cm="1">
        <f t="array" aca="1" ref="T12" ca="1">_xll.EQNXTDZ($A$1,$B12,T$1)</f>
        <v>#NAME?</v>
      </c>
      <c r="U12" t="e" cm="1">
        <f t="array" aca="1" ref="U12" ca="1">_xll.EQNXTDZ($A$1,$B12,U$1)</f>
        <v>#NAME?</v>
      </c>
      <c r="V12" t="e" cm="1">
        <f t="array" aca="1" ref="V12" ca="1">_xll.EQNXTDZ($A$1,$B12,V$1)</f>
        <v>#NAME?</v>
      </c>
      <c r="W12" t="e" cm="1">
        <f t="array" aca="1" ref="W12" ca="1">_xll.EQNXTDZ($A$1,$B12,W$1)</f>
        <v>#NAME?</v>
      </c>
      <c r="X12" t="e" cm="1">
        <f t="array" aca="1" ref="X12" ca="1">_xll.EQNXTDZ($A$1,$B12,X$1)</f>
        <v>#NAME?</v>
      </c>
      <c r="Y12" t="e" cm="1">
        <f t="array" aca="1" ref="Y12" ca="1">_xll.EQNXTDZ($A$1,$B12,Y$1)</f>
        <v>#NAME?</v>
      </c>
      <c r="Z12" t="e" cm="1">
        <f t="array" aca="1" ref="Z12" ca="1">_xll.EQNXTDZ($A$1,$B12,Z$1)</f>
        <v>#NAME?</v>
      </c>
      <c r="AA12" t="e" cm="1">
        <f t="array" aca="1" ref="AA12" ca="1">_xll.EQNXTDZ($A$1,$B12,AA$1)</f>
        <v>#NAME?</v>
      </c>
      <c r="AB12" t="e" cm="1">
        <f t="array" aca="1" ref="AB12" ca="1">_xll.EQNXTDZ($A$1,$B12,AB$1)</f>
        <v>#NAME?</v>
      </c>
      <c r="AC12" t="e" cm="1">
        <f t="array" aca="1" ref="AC12" ca="1">_xll.EQNXTDZ($A$1,$B12,AC$1)</f>
        <v>#NAME?</v>
      </c>
      <c r="AD12" t="e" cm="1">
        <f t="array" aca="1" ref="AD12" ca="1">_xll.EQNXTDZ($A$1,$B12,AD$1)</f>
        <v>#NAME?</v>
      </c>
      <c r="AE12" t="e" cm="1">
        <f t="array" aca="1" ref="AE12" ca="1">_xll.EQNXTDZ($A$1,$B12,AE$1)</f>
        <v>#NAME?</v>
      </c>
      <c r="AF12" t="e" cm="1">
        <f t="array" aca="1" ref="AF12" ca="1">_xll.EQNXTDZ($A$1,$B12,AF$1)</f>
        <v>#NAME?</v>
      </c>
      <c r="AG12" t="e" cm="1">
        <f t="array" aca="1" ref="AG12" ca="1">_xll.EQNXTDZ($A$1,$B12,AG$1)</f>
        <v>#NAME?</v>
      </c>
      <c r="AH12" t="e" cm="1">
        <f t="array" aca="1" ref="AH12" ca="1">_xll.EQNXTDZ($A$1,$B12,AH$1)</f>
        <v>#NAME?</v>
      </c>
      <c r="AI12" t="e" cm="1">
        <f t="array" aca="1" ref="AI12" ca="1">_xll.EQNXTDZ($A$1,$B12,AI$1)</f>
        <v>#NAME?</v>
      </c>
      <c r="AJ12" t="e" cm="1">
        <f t="array" aca="1" ref="AJ12" ca="1">_xll.EQNXTDZ($A$1,$B12,AJ$1)</f>
        <v>#NAME?</v>
      </c>
      <c r="AK12" t="e" cm="1">
        <f t="array" aca="1" ref="AK12" ca="1">_xll.EQNXTDZ($A$1,$B12,AK$1)</f>
        <v>#NAME?</v>
      </c>
      <c r="AL12" t="e" cm="1">
        <f t="array" aca="1" ref="AL12" ca="1">_xll.EQNXTDZ($A$1,$B12,AL$1)</f>
        <v>#NAME?</v>
      </c>
      <c r="AM12" t="e" cm="1">
        <f t="array" aca="1" ref="AM12" ca="1">_xll.EQNXTDZ($A$1,$B12,AM$1)</f>
        <v>#NAME?</v>
      </c>
      <c r="AN12" t="e" cm="1">
        <f t="array" aca="1" ref="AN12" ca="1">_xll.EQNXTDZ($A$1,$B12,AN$1)</f>
        <v>#NAME?</v>
      </c>
      <c r="AO12" t="e" cm="1">
        <f t="array" aca="1" ref="AO12" ca="1">_xll.EQNXTDZ($A$1,$B12,AO$1)</f>
        <v>#NAME?</v>
      </c>
      <c r="AP12" t="e" cm="1">
        <f t="array" aca="1" ref="AP12" ca="1">_xll.EQNXTDZ($A$1,$B12,AP$1)</f>
        <v>#NAME?</v>
      </c>
      <c r="AQ12" t="e" cm="1">
        <f t="array" aca="1" ref="AQ12" ca="1">_xll.EQNXTDZ($A$1,$B12,AQ$1)</f>
        <v>#NAME?</v>
      </c>
      <c r="AR12" t="e" cm="1">
        <f t="array" aca="1" ref="AR12" ca="1">_xll.EQNXTDZ($A$1,$B12,AR$1)</f>
        <v>#NAME?</v>
      </c>
      <c r="AS12" t="e" cm="1">
        <f t="array" aca="1" ref="AS12" ca="1">_xll.EQNXTDZ($A$1,$B12,AS$1)</f>
        <v>#NAME?</v>
      </c>
      <c r="AT12" t="e" cm="1">
        <f t="array" aca="1" ref="AT12" ca="1">_xll.EQNXTDZ($A$1,$B12,AT$1)</f>
        <v>#NAME?</v>
      </c>
      <c r="AU12" t="e" cm="1">
        <f t="array" aca="1" ref="AU12" ca="1">_xll.EQNXTDZ($A$1,$B12,AU$1)</f>
        <v>#NAME?</v>
      </c>
      <c r="AV12" t="e" cm="1">
        <f t="array" aca="1" ref="AV12" ca="1">_xll.EQNXTDZ($A$1,$B12,AV$1)</f>
        <v>#NAME?</v>
      </c>
      <c r="AW12" t="e" cm="1">
        <f t="array" aca="1" ref="AW12" ca="1">_xll.EQNXTDZ($A$1,$B12,AW$1)</f>
        <v>#NAME?</v>
      </c>
      <c r="AX12" t="e" cm="1">
        <f t="array" aca="1" ref="AX12" ca="1">_xll.EQNXTDZ($A$1,$B12,AX$1)</f>
        <v>#NAME?</v>
      </c>
      <c r="AY12" t="e" cm="1">
        <f t="array" aca="1" ref="AY12" ca="1">_xll.EQNXTDZ($A$1,$B12,AY$1)</f>
        <v>#NAME?</v>
      </c>
      <c r="AZ12" t="e" cm="1">
        <f t="array" aca="1" ref="AZ12" ca="1">_xll.EQNXTDZ($A$1,$B12,AZ$1)</f>
        <v>#NAME?</v>
      </c>
      <c r="BA12" t="e" cm="1">
        <f t="array" aca="1" ref="BA12" ca="1">_xll.EQNXTDZ($A$1,$B12,BA$1)</f>
        <v>#NAME?</v>
      </c>
      <c r="BB12" t="e" cm="1">
        <f t="array" aca="1" ref="BB12" ca="1">_xll.EQNXTDZ($A$1,$B12,BB$1)</f>
        <v>#NAME?</v>
      </c>
      <c r="BC12" t="e" cm="1">
        <f t="array" aca="1" ref="BC12" ca="1">_xll.EQNXTDZ($A$1,$B12,BC$1)</f>
        <v>#NAME?</v>
      </c>
      <c r="BD12" t="e" cm="1">
        <f t="array" aca="1" ref="BD12" ca="1">_xll.EQNXTDZ($A$1,$B12,BD$1)</f>
        <v>#NAME?</v>
      </c>
      <c r="BE12" t="e" cm="1">
        <f t="array" aca="1" ref="BE12" ca="1">_xll.EQNXTDZ($A$1,$B12,BE$1)</f>
        <v>#NAME?</v>
      </c>
      <c r="BF12" t="e" cm="1">
        <f t="array" aca="1" ref="BF12" ca="1">_xll.EQNXTDZ($A$1,$B12,BF$1)</f>
        <v>#NAME?</v>
      </c>
      <c r="BG12" t="e" cm="1">
        <f t="array" aca="1" ref="BG12" ca="1">_xll.EQNXTDZ($A$1,$B12,BG$1)</f>
        <v>#NAME?</v>
      </c>
      <c r="BH12" t="e" cm="1">
        <f t="array" aca="1" ref="BH12" ca="1">_xll.EQNXTDZ($A$1,$B12,BH$1)</f>
        <v>#NAME?</v>
      </c>
      <c r="BI12" t="e" cm="1">
        <f t="array" aca="1" ref="BI12" ca="1">_xll.EQNXTDZ($A$1,$B12,BI$1)</f>
        <v>#NAME?</v>
      </c>
      <c r="BJ12" t="e" cm="1">
        <f t="array" aca="1" ref="BJ12" ca="1">_xll.EQNXTDZ($A$1,$B12,BJ$1)</f>
        <v>#NAME?</v>
      </c>
      <c r="BK12" t="e" cm="1">
        <f t="array" aca="1" ref="BK12" ca="1">_xll.EQNXTDZ($A$1,$B12,BK$1)</f>
        <v>#NAME?</v>
      </c>
      <c r="BL12" t="e" cm="1">
        <f t="array" aca="1" ref="BL12" ca="1">_xll.EQNXTDZ($A$1,$B12,BL$1)</f>
        <v>#NAME?</v>
      </c>
      <c r="BM12" t="e" cm="1">
        <f t="array" aca="1" ref="BM12" ca="1">_xll.EQNXTDZ($A$1,$B12,BM$1)</f>
        <v>#NAME?</v>
      </c>
      <c r="BN12" t="e" cm="1">
        <f t="array" aca="1" ref="BN12" ca="1">_xll.EQNXTDZ($A$1,$B12,BN$1)</f>
        <v>#NAME?</v>
      </c>
      <c r="BO12" t="e" cm="1">
        <f t="array" aca="1" ref="BO12" ca="1">_xll.EQNXTDZ($A$1,$B12,BO$1)</f>
        <v>#NAME?</v>
      </c>
      <c r="BP12" t="e" cm="1">
        <f t="array" aca="1" ref="BP12" ca="1">_xll.EQNXTDZ($A$1,$B12,BP$1)</f>
        <v>#NAME?</v>
      </c>
      <c r="BQ12" t="e" cm="1">
        <f t="array" aca="1" ref="BQ12" ca="1">_xll.EQNXTDZ($A$1,$B12,BQ$1)</f>
        <v>#NAME?</v>
      </c>
      <c r="BR12" t="e" cm="1">
        <f t="array" aca="1" ref="BR12" ca="1">_xll.EQNXTDZ($A$1,$B12,BR$1)</f>
        <v>#NAME?</v>
      </c>
      <c r="BS12" t="e" cm="1">
        <f t="array" aca="1" ref="BS12" ca="1">_xll.EQNXTDZ($A$1,$B12,BS$1)</f>
        <v>#NAME?</v>
      </c>
      <c r="BT12" t="e" cm="1">
        <f t="array" aca="1" ref="BT12" ca="1">_xll.EQNXTDZ($A$1,$B12,BT$1)</f>
        <v>#NAME?</v>
      </c>
      <c r="BU12" t="e" cm="1">
        <f t="array" aca="1" ref="BU12" ca="1">_xll.EQNXTDZ($A$1,$B12,BU$1)</f>
        <v>#NAME?</v>
      </c>
      <c r="BV12" t="e" cm="1">
        <f t="array" aca="1" ref="BV12" ca="1">_xll.EQNXTDZ($A$1,$B12,BV$1)</f>
        <v>#NAME?</v>
      </c>
      <c r="BW12" t="e" cm="1">
        <f t="array" aca="1" ref="BW12" ca="1">_xll.EQNXTDZ($A$1,$B12,BW$1)</f>
        <v>#NAME?</v>
      </c>
      <c r="BX12" t="e" cm="1">
        <f t="array" aca="1" ref="BX12" ca="1">_xll.EQNXTDZ($A$1,$B12,BX$1)</f>
        <v>#NAME?</v>
      </c>
      <c r="BY12" t="e" cm="1">
        <f t="array" aca="1" ref="BY12" ca="1">_xll.EQNXTDZ($A$1,$B12,BY$1)</f>
        <v>#NAME?</v>
      </c>
      <c r="BZ12" t="e" cm="1">
        <f t="array" aca="1" ref="BZ12" ca="1">_xll.EQNXTDZ($A$1,$B12,BZ$1)</f>
        <v>#NAME?</v>
      </c>
      <c r="CA12" t="e" cm="1">
        <f t="array" aca="1" ref="CA12" ca="1">_xll.EQNXTDZ($A$1,$B12,CA$1)</f>
        <v>#NAME?</v>
      </c>
      <c r="CB12" t="e" cm="1">
        <f t="array" aca="1" ref="CB12" ca="1">_xll.EQNXTDZ($A$1,$B12,CB$1)</f>
        <v>#NAME?</v>
      </c>
      <c r="CC12" t="e" cm="1">
        <f t="array" aca="1" ref="CC12" ca="1">_xll.EQNXTDZ($A$1,$B12,CC$1)</f>
        <v>#NAME?</v>
      </c>
      <c r="CD12" t="e" cm="1">
        <f t="array" aca="1" ref="CD12" ca="1">_xll.EQNXTDZ($A$1,$B12,CD$1)</f>
        <v>#NAME?</v>
      </c>
      <c r="CE12" t="e" cm="1">
        <f t="array" aca="1" ref="CE12" ca="1">_xll.EQNXTDZ($A$1,$B12,CE$1)</f>
        <v>#NAME?</v>
      </c>
      <c r="CF12" t="e" cm="1">
        <f t="array" aca="1" ref="CF12" ca="1">_xll.EQNXTDZ($A$1,$B12,CF$1)</f>
        <v>#NAME?</v>
      </c>
      <c r="CG12" t="e" cm="1">
        <f t="array" aca="1" ref="CG12" ca="1">_xll.EQNXTDZ($A$1,$B12,CG$1)</f>
        <v>#NAME?</v>
      </c>
      <c r="CH12" t="e" cm="1">
        <f t="array" aca="1" ref="CH12" ca="1">_xll.EQNXTDZ($A$1,$B12,CH$1)</f>
        <v>#NAME?</v>
      </c>
      <c r="CI12" t="e" cm="1">
        <f t="array" aca="1" ref="CI12" ca="1">_xll.EQNXTDZ($A$1,$B12,CI$1)</f>
        <v>#NAME?</v>
      </c>
      <c r="CJ12" t="e" cm="1">
        <f t="array" aca="1" ref="CJ12" ca="1">_xll.EQNXTDZ($A$1,$B12,CJ$1)</f>
        <v>#NAME?</v>
      </c>
      <c r="CK12" t="e" cm="1">
        <f t="array" aca="1" ref="CK12" ca="1">_xll.EQNXTDZ($A$1,$B12,CK$1)</f>
        <v>#NAME?</v>
      </c>
      <c r="CL12" t="e" cm="1">
        <f t="array" aca="1" ref="CL12" ca="1">_xll.EQNXTDZ($A$1,$B12,CL$1)</f>
        <v>#NAME?</v>
      </c>
      <c r="CM12" t="e" cm="1">
        <f t="array" aca="1" ref="CM12" ca="1">_xll.EQNXTDZ($A$1,$B12,CM$1)</f>
        <v>#NAME?</v>
      </c>
      <c r="CN12" t="e" cm="1">
        <f t="array" aca="1" ref="CN12" ca="1">_xll.EQNXTDZ($A$1,$B12,CN$1)</f>
        <v>#NAME?</v>
      </c>
      <c r="CO12" t="e" cm="1">
        <f t="array" aca="1" ref="CO12" ca="1">_xll.EQNXTDZ($A$1,$B12,CO$1)</f>
        <v>#NAME?</v>
      </c>
      <c r="CP12" t="e" cm="1">
        <f t="array" aca="1" ref="CP12" ca="1">_xll.EQNXTDZ($A$1,$B12,CP$1)</f>
        <v>#NAME?</v>
      </c>
      <c r="CQ12" t="e" cm="1">
        <f t="array" aca="1" ref="CQ12" ca="1">_xll.EQNXTDZ($A$1,$B12,CQ$1)</f>
        <v>#NAME?</v>
      </c>
      <c r="CR12" t="e" cm="1">
        <f t="array" aca="1" ref="CR12" ca="1">_xll.EQNXTDZ($A$1,$B12,CR$1)</f>
        <v>#NAME?</v>
      </c>
      <c r="CS12" t="e" cm="1">
        <f t="array" aca="1" ref="CS12" ca="1">_xll.EQNXTDZ($A$1,$B12,CS$1)</f>
        <v>#NAME?</v>
      </c>
      <c r="CT12" t="e" cm="1">
        <f t="array" aca="1" ref="CT12" ca="1">_xll.EQNXTDZ($A$1,$B12,CT$1)</f>
        <v>#NAME?</v>
      </c>
      <c r="CU12" t="e" cm="1">
        <f t="array" aca="1" ref="CU12" ca="1">_xll.EQNXTDZ($A$1,$B12,CU$1)</f>
        <v>#NAME?</v>
      </c>
      <c r="CV12" t="e" cm="1">
        <f t="array" aca="1" ref="CV12" ca="1">_xll.EQNXTDZ($A$1,$B12,CV$1)</f>
        <v>#NAME?</v>
      </c>
      <c r="CW12" t="e" cm="1">
        <f t="array" aca="1" ref="CW12" ca="1">_xll.EQNXTDZ($A$1,$B12,CW$1)</f>
        <v>#NAME?</v>
      </c>
      <c r="CX12" t="e" cm="1">
        <f t="array" aca="1" ref="CX12" ca="1">_xll.EQNXTDZ($A$1,$B12,CX$1)</f>
        <v>#NAME?</v>
      </c>
      <c r="CY12" t="e" cm="1">
        <f t="array" aca="1" ref="CY12" ca="1">_xll.EQNXTDZ($A$1,$B12,CY$1)</f>
        <v>#NAME?</v>
      </c>
      <c r="CZ12" t="e" cm="1">
        <f t="array" aca="1" ref="CZ12" ca="1">_xll.EQNXTDZ($A$1,$B12,CZ$1)</f>
        <v>#NAME?</v>
      </c>
      <c r="DA12" t="e" cm="1">
        <f t="array" aca="1" ref="DA12" ca="1">_xll.EQNXTDZ($A$1,$B12,DA$1)</f>
        <v>#NAME?</v>
      </c>
      <c r="DB12" t="e" cm="1">
        <f t="array" aca="1" ref="DB12" ca="1">_xll.EQNXTDZ($A$1,$B12,DB$1)</f>
        <v>#NAME?</v>
      </c>
      <c r="DC12" t="e" cm="1">
        <f t="array" aca="1" ref="DC12" ca="1">_xll.EQNXTDZ($A$1,$B12,DC$1)</f>
        <v>#NAME?</v>
      </c>
      <c r="DD12" t="e" cm="1">
        <f t="array" aca="1" ref="DD12" ca="1">_xll.EQNXTDZ($A$1,$B12,DD$1)</f>
        <v>#NAME?</v>
      </c>
      <c r="DE12" t="e" cm="1">
        <f t="array" aca="1" ref="DE12" ca="1">_xll.EQNXTDZ($A$1,$B12,DE$1)</f>
        <v>#NAME?</v>
      </c>
      <c r="DF12" t="e" cm="1">
        <f t="array" aca="1" ref="DF12" ca="1">_xll.EQNXTDZ($A$1,$B12,DF$1)</f>
        <v>#NAME?</v>
      </c>
      <c r="DG12" t="e" cm="1">
        <f t="array" aca="1" ref="DG12" ca="1">_xll.EQNXTDZ($A$1,$B12,DG$1)</f>
        <v>#NAME?</v>
      </c>
      <c r="DH12" t="e" cm="1">
        <f t="array" aca="1" ref="DH12" ca="1">_xll.EQNXTDZ($A$1,$B12,DH$1)</f>
        <v>#NAME?</v>
      </c>
      <c r="DI12" t="e" cm="1">
        <f t="array" aca="1" ref="DI12" ca="1">_xll.EQNXTDZ($A$1,$B12,DI$1)</f>
        <v>#NAME?</v>
      </c>
      <c r="DJ12" t="e" cm="1">
        <f t="array" aca="1" ref="DJ12" ca="1">_xll.EQNXTDZ($A$1,$B12,DJ$1)</f>
        <v>#NAME?</v>
      </c>
      <c r="DK12" t="e" cm="1">
        <f t="array" aca="1" ref="DK12" ca="1">_xll.EQNXTDZ($A$1,$B12,DK$1)</f>
        <v>#NAME?</v>
      </c>
      <c r="DL12" t="e" cm="1">
        <f t="array" aca="1" ref="DL12" ca="1">_xll.EQNXTDZ($A$1,$B12,DL$1)</f>
        <v>#NAME?</v>
      </c>
      <c r="DM12" t="e" cm="1">
        <f t="array" aca="1" ref="DM12" ca="1">_xll.EQNXTDZ($A$1,$B12,DM$1)</f>
        <v>#NAME?</v>
      </c>
      <c r="DN12" t="e" cm="1">
        <f t="array" aca="1" ref="DN12" ca="1">_xll.EQNXTDZ($A$1,$B12,DN$1)</f>
        <v>#NAME?</v>
      </c>
      <c r="DO12" t="e" cm="1">
        <f t="array" aca="1" ref="DO12" ca="1">_xll.EQNXTDZ($A$1,$B12,DO$1)</f>
        <v>#NAME?</v>
      </c>
      <c r="DP12" t="e" cm="1">
        <f t="array" aca="1" ref="DP12" ca="1">_xll.EQNXTDZ($A$1,$B12,DP$1)</f>
        <v>#NAME?</v>
      </c>
      <c r="DQ12" t="e" cm="1">
        <f t="array" aca="1" ref="DQ12" ca="1">_xll.EQNXTDZ($A$1,$B12,DQ$1)</f>
        <v>#NAME?</v>
      </c>
      <c r="DR12" t="e" cm="1">
        <f t="array" aca="1" ref="DR12" ca="1">_xll.EQNXTDZ($A$1,$B12,DR$1)</f>
        <v>#NAME?</v>
      </c>
      <c r="DS12" t="e" cm="1">
        <f t="array" aca="1" ref="DS12" ca="1">_xll.EQNXTDZ($A$1,$B12,DS$1)</f>
        <v>#NAME?</v>
      </c>
      <c r="DT12" t="e" cm="1">
        <f t="array" aca="1" ref="DT12" ca="1">_xll.EQNXTDZ($A$1,$B12,DT$1)</f>
        <v>#NAME?</v>
      </c>
      <c r="DU12" t="e" cm="1">
        <f t="array" aca="1" ref="DU12" ca="1">_xll.EQNXTDZ($A$1,$B12,DU$1)</f>
        <v>#NAME?</v>
      </c>
      <c r="DV12" t="e" cm="1">
        <f t="array" aca="1" ref="DV12" ca="1">_xll.EQNXTDZ($A$1,$B12,DV$1)</f>
        <v>#NAME?</v>
      </c>
      <c r="DW12" t="e" cm="1">
        <f t="array" aca="1" ref="DW12" ca="1">_xll.EQNXTDZ($A$1,$B12,DW$1)</f>
        <v>#NAME?</v>
      </c>
      <c r="DX12" t="e" cm="1">
        <f t="array" aca="1" ref="DX12" ca="1">_xll.EQNXTDZ($A$1,$B12,DX$1)</f>
        <v>#NAME?</v>
      </c>
      <c r="DY12" t="e" cm="1">
        <f t="array" aca="1" ref="DY12" ca="1">_xll.EQNXTDZ($A$1,$B12,DY$1)</f>
        <v>#NAME?</v>
      </c>
      <c r="DZ12" t="e" cm="1">
        <f t="array" aca="1" ref="DZ12" ca="1">_xll.EQNXTDZ($A$1,$B12,DZ$1)</f>
        <v>#NAME?</v>
      </c>
      <c r="EA12" t="e" cm="1">
        <f t="array" aca="1" ref="EA12" ca="1">_xll.EQNXTDZ($A$1,$B12,EA$1)</f>
        <v>#NAME?</v>
      </c>
      <c r="EB12" t="e" cm="1">
        <f t="array" aca="1" ref="EB12" ca="1">_xll.EQNXTDZ($A$1,$B12,EB$1)</f>
        <v>#NAME?</v>
      </c>
      <c r="EC12" t="e" cm="1">
        <f t="array" aca="1" ref="EC12" ca="1">_xll.EQNXTDZ($A$1,$B12,EC$1)</f>
        <v>#NAME?</v>
      </c>
      <c r="ED12" t="e" cm="1">
        <f t="array" aca="1" ref="ED12" ca="1">_xll.EQNXTDZ($A$1,$B12,ED$1)</f>
        <v>#NAME?</v>
      </c>
      <c r="EE12" t="e" cm="1">
        <f t="array" aca="1" ref="EE12" ca="1">_xll.EQNXTDZ($A$1,$B12,EE$1)</f>
        <v>#NAME?</v>
      </c>
      <c r="EF12" t="e" cm="1">
        <f t="array" aca="1" ref="EF12" ca="1">_xll.EQNXTDZ($A$1,$B12,EF$1)</f>
        <v>#NAME?</v>
      </c>
      <c r="EG12" t="e" cm="1">
        <f t="array" aca="1" ref="EG12" ca="1">_xll.EQNXTDZ($A$1,$B12,EG$1)</f>
        <v>#NAME?</v>
      </c>
      <c r="EH12" t="e" cm="1">
        <f t="array" aca="1" ref="EH12" ca="1">_xll.EQNXTDZ($A$1,$B12,EH$1)</f>
        <v>#NAME?</v>
      </c>
      <c r="EI12" t="e" cm="1">
        <f t="array" aca="1" ref="EI12" ca="1">_xll.EQNXTDZ($A$1,$B12,EI$1)</f>
        <v>#NAME?</v>
      </c>
      <c r="EJ12" t="e" cm="1">
        <f t="array" aca="1" ref="EJ12" ca="1">_xll.EQNXTDZ($A$1,$B12,EJ$1)</f>
        <v>#NAME?</v>
      </c>
      <c r="EK12" t="e" cm="1">
        <f t="array" aca="1" ref="EK12" ca="1">_xll.EQNXTDZ($A$1,$B12,EK$1)</f>
        <v>#NAME?</v>
      </c>
      <c r="EL12" t="e" cm="1">
        <f t="array" aca="1" ref="EL12" ca="1">_xll.EQNXTDZ($A$1,$B12,EL$1)</f>
        <v>#NAME?</v>
      </c>
      <c r="EM12" t="e" cm="1">
        <f t="array" aca="1" ref="EM12" ca="1">_xll.EQNXTDZ($A$1,$B12,EM$1)</f>
        <v>#NAME?</v>
      </c>
      <c r="EN12" t="e" cm="1">
        <f t="array" aca="1" ref="EN12" ca="1">_xll.EQNXTDZ($A$1,$B12,EN$1)</f>
        <v>#NAME?</v>
      </c>
      <c r="EO12" t="e" cm="1">
        <f t="array" aca="1" ref="EO12" ca="1">_xll.EQNXTDZ($A$1,$B12,EO$1)</f>
        <v>#NAME?</v>
      </c>
      <c r="EP12" t="e" cm="1">
        <f t="array" aca="1" ref="EP12" ca="1">_xll.EQNXTDZ($A$1,$B12,EP$1)</f>
        <v>#NAME?</v>
      </c>
      <c r="EQ12" t="e" cm="1">
        <f t="array" aca="1" ref="EQ12" ca="1">_xll.EQNXTDZ($A$1,$B12,EQ$1)</f>
        <v>#NAME?</v>
      </c>
      <c r="ER12" t="e" cm="1">
        <f t="array" aca="1" ref="ER12" ca="1">_xll.EQNXTDZ($A$1,$B12,ER$1)</f>
        <v>#NAME?</v>
      </c>
      <c r="ES12" t="e" cm="1">
        <f t="array" aca="1" ref="ES12" ca="1">_xll.EQNXTDZ($A$1,$B12,ES$1)</f>
        <v>#NAME?</v>
      </c>
      <c r="ET12" t="e" cm="1">
        <f t="array" aca="1" ref="ET12" ca="1">_xll.EQNXTDZ($A$1,$B12,ET$1)</f>
        <v>#NAME?</v>
      </c>
      <c r="EU12" t="e" cm="1">
        <f t="array" aca="1" ref="EU12" ca="1">_xll.EQNXTDZ($A$1,$B12,EU$1)</f>
        <v>#NAME?</v>
      </c>
      <c r="EV12" t="e" cm="1">
        <f t="array" aca="1" ref="EV12" ca="1">_xll.EQNXTDZ($A$1,$B12,EV$1)</f>
        <v>#NAME?</v>
      </c>
      <c r="EW12" t="e" cm="1">
        <f t="array" aca="1" ref="EW12" ca="1">_xll.EQNXTDZ($A$1,$B12,EW$1)</f>
        <v>#NAME?</v>
      </c>
      <c r="EX12" t="e" cm="1">
        <f t="array" aca="1" ref="EX12" ca="1">_xll.EQNXTDZ($A$1,$B12,EX$1)</f>
        <v>#NAME?</v>
      </c>
      <c r="EY12" t="e" cm="1">
        <f t="array" aca="1" ref="EY12" ca="1">_xll.EQNXTDZ($A$1,$B12,EY$1)</f>
        <v>#NAME?</v>
      </c>
      <c r="EZ12" t="e" cm="1">
        <f t="array" aca="1" ref="EZ12" ca="1">_xll.EQNXTDZ($A$1,$B12,EZ$1)</f>
        <v>#NAME?</v>
      </c>
      <c r="FA12" t="e" cm="1">
        <f t="array" aca="1" ref="FA12" ca="1">_xll.EQNXTDZ($A$1,$B12,FA$1)</f>
        <v>#NAME?</v>
      </c>
      <c r="FB12" t="e" cm="1">
        <f t="array" aca="1" ref="FB12" ca="1">_xll.EQNXTDZ($A$1,$B12,FB$1)</f>
        <v>#NAME?</v>
      </c>
      <c r="FC12" t="e" cm="1">
        <f t="array" aca="1" ref="FC12" ca="1">_xll.EQNXTDZ($A$1,$B12,FC$1)</f>
        <v>#NAME?</v>
      </c>
      <c r="FD12" t="e" cm="1">
        <f t="array" aca="1" ref="FD12" ca="1">_xll.EQNXTDZ($A$1,$B12,FD$1)</f>
        <v>#NAME?</v>
      </c>
      <c r="FE12" t="e" cm="1">
        <f t="array" aca="1" ref="FE12" ca="1">_xll.EQNXTDZ($A$1,$B12,FE$1)</f>
        <v>#NAME?</v>
      </c>
      <c r="FF12" t="e" cm="1">
        <f t="array" aca="1" ref="FF12" ca="1">_xll.EQNXTDZ($A$1,$B12,FF$1)</f>
        <v>#NAME?</v>
      </c>
      <c r="FG12" t="e" cm="1">
        <f t="array" aca="1" ref="FG12" ca="1">_xll.EQNXTDZ($A$1,$B12,FG$1)</f>
        <v>#NAME?</v>
      </c>
      <c r="FH12" t="e" cm="1">
        <f t="array" aca="1" ref="FH12" ca="1">_xll.EQNXTDZ($A$1,$B12,FH$1)</f>
        <v>#NAME?</v>
      </c>
      <c r="FI12" t="e" cm="1">
        <f t="array" aca="1" ref="FI12" ca="1">_xll.EQNXTDZ($A$1,$B12,FI$1)</f>
        <v>#NAME?</v>
      </c>
      <c r="FJ12" t="e" cm="1">
        <f t="array" aca="1" ref="FJ12" ca="1">_xll.EQNXTDZ($A$1,$B12,FJ$1)</f>
        <v>#NAME?</v>
      </c>
      <c r="FK12" t="e" cm="1">
        <f t="array" aca="1" ref="FK12" ca="1">_xll.EQNXTDZ($A$1,$B12,FK$1)</f>
        <v>#NAME?</v>
      </c>
      <c r="FL12" t="e" cm="1">
        <f t="array" aca="1" ref="FL12" ca="1">_xll.EQNXTDZ($A$1,$B12,FL$1)</f>
        <v>#NAME?</v>
      </c>
      <c r="FM12" t="e" cm="1">
        <f t="array" aca="1" ref="FM12" ca="1">_xll.EQNXTDZ($A$1,$B12,FM$1)</f>
        <v>#NAME?</v>
      </c>
      <c r="FN12" t="e" cm="1">
        <f t="array" aca="1" ref="FN12" ca="1">_xll.EQNXTDZ($A$1,$B12,FN$1)</f>
        <v>#NAME?</v>
      </c>
      <c r="FO12" t="e" cm="1">
        <f t="array" aca="1" ref="FO12" ca="1">_xll.EQNXTDZ($A$1,$B12,FO$1)</f>
        <v>#NAME?</v>
      </c>
      <c r="FP12" t="e" cm="1">
        <f t="array" aca="1" ref="FP12" ca="1">_xll.EQNXTDZ($A$1,$B12,FP$1)</f>
        <v>#NAME?</v>
      </c>
      <c r="FQ12" t="e" cm="1">
        <f t="array" aca="1" ref="FQ12" ca="1">_xll.EQNXTDZ($A$1,$B12,FQ$1)</f>
        <v>#NAME?</v>
      </c>
      <c r="FR12" t="e" cm="1">
        <f t="array" aca="1" ref="FR12" ca="1">_xll.EQNXTDZ($A$1,$B12,FR$1)</f>
        <v>#NAME?</v>
      </c>
      <c r="FS12" t="e" cm="1">
        <f t="array" aca="1" ref="FS12" ca="1">_xll.EQNXTDZ($A$1,$B12,FS$1)</f>
        <v>#NAME?</v>
      </c>
      <c r="FT12" t="e" cm="1">
        <f t="array" aca="1" ref="FT12" ca="1">_xll.EQNXTDZ($A$1,$B12,FT$1)</f>
        <v>#NAME?</v>
      </c>
      <c r="FU12" t="e" cm="1">
        <f t="array" aca="1" ref="FU12" ca="1">_xll.EQNXTDZ($A$1,$B12,FU$1)</f>
        <v>#NAME?</v>
      </c>
      <c r="FV12" t="e" cm="1">
        <f t="array" aca="1" ref="FV12" ca="1">_xll.EQNXTDZ($A$1,$B12,FV$1)</f>
        <v>#NAME?</v>
      </c>
      <c r="FW12" t="e" cm="1">
        <f t="array" aca="1" ref="FW12" ca="1">_xll.EQNXTDZ($A$1,$B12,FW$1)</f>
        <v>#NAME?</v>
      </c>
      <c r="FX12" t="e" cm="1">
        <f t="array" aca="1" ref="FX12" ca="1">_xll.EQNXTDZ($A$1,$B12,FX$1)</f>
        <v>#NAME?</v>
      </c>
      <c r="FY12" t="e" cm="1">
        <f t="array" aca="1" ref="FY12" ca="1">_xll.EQNXTDZ($A$1,$B12,FY$1)</f>
        <v>#NAME?</v>
      </c>
      <c r="FZ12" t="e" cm="1">
        <f t="array" aca="1" ref="FZ12" ca="1">_xll.EQNXTDZ($A$1,$B12,FZ$1)</f>
        <v>#NAME?</v>
      </c>
      <c r="GA12" t="e" cm="1">
        <f t="array" aca="1" ref="GA12" ca="1">_xll.EQNXTDZ($A$1,$B12,GA$1)</f>
        <v>#NAME?</v>
      </c>
      <c r="GB12" t="e" cm="1">
        <f t="array" aca="1" ref="GB12" ca="1">_xll.EQNXTDZ($A$1,$B12,GB$1)</f>
        <v>#NAME?</v>
      </c>
      <c r="GC12" t="e" cm="1">
        <f t="array" aca="1" ref="GC12" ca="1">_xll.EQNXTDZ($A$1,$B12,GC$1)</f>
        <v>#NAME?</v>
      </c>
      <c r="GD12" t="e" cm="1">
        <f t="array" aca="1" ref="GD12" ca="1">_xll.EQNXTDZ($A$1,$B12,GD$1)</f>
        <v>#NAME?</v>
      </c>
      <c r="GE12" t="e" cm="1">
        <f t="array" aca="1" ref="GE12" ca="1">_xll.EQNXTDZ($A$1,$B12,GE$1)</f>
        <v>#NAME?</v>
      </c>
      <c r="GF12" t="e" cm="1">
        <f t="array" aca="1" ref="GF12" ca="1">_xll.EQNXTDZ($A$1,$B12,GF$1)</f>
        <v>#NAME?</v>
      </c>
      <c r="GG12" t="e" cm="1">
        <f t="array" aca="1" ref="GG12" ca="1">_xll.EQNXTDZ($A$1,$B12,GG$1)</f>
        <v>#NAME?</v>
      </c>
      <c r="GH12" t="e" cm="1">
        <f t="array" aca="1" ref="GH12" ca="1">_xll.EQNXTDZ($A$1,$B12,GH$1)</f>
        <v>#NAME?</v>
      </c>
      <c r="GI12" t="e" cm="1">
        <f t="array" aca="1" ref="GI12" ca="1">_xll.EQNXTDZ($A$1,$B12,GI$1)</f>
        <v>#NAME?</v>
      </c>
      <c r="GJ12" t="e" cm="1">
        <f t="array" aca="1" ref="GJ12" ca="1">_xll.EQNXTDZ($A$1,$B12,GJ$1)</f>
        <v>#NAME?</v>
      </c>
      <c r="GK12" t="e" cm="1">
        <f t="array" aca="1" ref="GK12" ca="1">_xll.EQNXTDZ($A$1,$B12,GK$1)</f>
        <v>#NAME?</v>
      </c>
      <c r="GL12" t="e" cm="1">
        <f t="array" aca="1" ref="GL12" ca="1">_xll.EQNXTDZ($A$1,$B12,GL$1)</f>
        <v>#NAME?</v>
      </c>
      <c r="GM12" t="e" cm="1">
        <f t="array" aca="1" ref="GM12" ca="1">_xll.EQNXTDZ($A$1,$B12,GM$1)</f>
        <v>#NAME?</v>
      </c>
      <c r="GN12" t="e" cm="1">
        <f t="array" aca="1" ref="GN12" ca="1">_xll.EQNXTDZ($A$1,$B12,GN$1)</f>
        <v>#NAME?</v>
      </c>
      <c r="GO12" t="e" cm="1">
        <f t="array" aca="1" ref="GO12" ca="1">_xll.EQNXTDZ($A$1,$B12,GO$1)</f>
        <v>#NAME?</v>
      </c>
      <c r="GP12" t="e" cm="1">
        <f t="array" aca="1" ref="GP12" ca="1">_xll.EQNXTDZ($A$1,$B12,GP$1)</f>
        <v>#NAME?</v>
      </c>
      <c r="GQ12" t="e" cm="1">
        <f t="array" aca="1" ref="GQ12" ca="1">_xll.EQNXTDZ($A$1,$B12,GQ$1)</f>
        <v>#NAME?</v>
      </c>
      <c r="GR12" t="e" cm="1">
        <f t="array" aca="1" ref="GR12" ca="1">_xll.EQNXTDZ($A$1,$B12,GR$1)</f>
        <v>#NAME?</v>
      </c>
      <c r="GS12" t="e" cm="1">
        <f t="array" aca="1" ref="GS12" ca="1">_xll.EQNXTDZ($A$1,$B12,GS$1)</f>
        <v>#NAME?</v>
      </c>
      <c r="GT12" t="e" cm="1">
        <f t="array" aca="1" ref="GT12" ca="1">_xll.EQNXTDZ($A$1,$B12,GT$1)</f>
        <v>#NAME?</v>
      </c>
      <c r="GU12" t="e" cm="1">
        <f t="array" aca="1" ref="GU12" ca="1">_xll.EQNXTDZ($A$1,$B12,GU$1)</f>
        <v>#NAME?</v>
      </c>
      <c r="GV12" t="e" cm="1">
        <f t="array" aca="1" ref="GV12" ca="1">_xll.EQNXTDZ($A$1,$B12,GV$1)</f>
        <v>#NAME?</v>
      </c>
      <c r="GW12" t="e" cm="1">
        <f t="array" aca="1" ref="GW12" ca="1">_xll.EQNXTDZ($A$1,$B12,GW$1)</f>
        <v>#NAME?</v>
      </c>
      <c r="GX12" t="e" cm="1">
        <f t="array" aca="1" ref="GX12" ca="1">_xll.EQNXTDZ($A$1,$B12,GX$1)</f>
        <v>#NAME?</v>
      </c>
      <c r="GY12" t="e" cm="1">
        <f t="array" aca="1" ref="GY12" ca="1">_xll.EQNXTDZ($A$1,$B12,GY$1)</f>
        <v>#NAME?</v>
      </c>
      <c r="GZ12" t="e" cm="1">
        <f t="array" aca="1" ref="GZ12" ca="1">_xll.EQNXTDZ($A$1,$B12,GZ$1)</f>
        <v>#NAME?</v>
      </c>
      <c r="HA12" t="e" cm="1">
        <f t="array" aca="1" ref="HA12" ca="1">_xll.EQNXTDZ($A$1,$B12,HA$1)</f>
        <v>#NAME?</v>
      </c>
      <c r="HB12" t="e" cm="1">
        <f t="array" aca="1" ref="HB12" ca="1">_xll.EQNXTDZ($A$1,$B12,HB$1)</f>
        <v>#NAME?</v>
      </c>
      <c r="HC12" t="e" cm="1">
        <f t="array" aca="1" ref="HC12" ca="1">_xll.EQNXTDZ($A$1,$B12,HC$1)</f>
        <v>#NAME?</v>
      </c>
      <c r="HD12" t="e" cm="1">
        <f t="array" aca="1" ref="HD12" ca="1">_xll.EQNXTDZ($A$1,$B12,HD$1)</f>
        <v>#NAME?</v>
      </c>
      <c r="HE12" t="e" cm="1">
        <f t="array" aca="1" ref="HE12" ca="1">_xll.EQNXTDZ($A$1,$B12,HE$1)</f>
        <v>#NAME?</v>
      </c>
      <c r="HF12" t="e" cm="1">
        <f t="array" aca="1" ref="HF12" ca="1">_xll.EQNXTDZ($A$1,$B12,HF$1)</f>
        <v>#NAME?</v>
      </c>
      <c r="HG12" t="e" cm="1">
        <f t="array" aca="1" ref="HG12" ca="1">_xll.EQNXTDZ($A$1,$B12,HG$1)</f>
        <v>#NAME?</v>
      </c>
      <c r="HH12" t="e" cm="1">
        <f t="array" aca="1" ref="HH12" ca="1">_xll.EQNXTDZ($A$1,$B12,HH$1)</f>
        <v>#NAME?</v>
      </c>
    </row>
    <row r="13" spans="1:294" x14ac:dyDescent="0.25">
      <c r="A13" t="s">
        <v>415</v>
      </c>
      <c r="B13" t="s">
        <v>421</v>
      </c>
      <c r="C13" t="e" cm="1">
        <f t="array" aca="1" ref="C13" ca="1">_xll.EQNXTDZ($A$1,$B13,C$1)</f>
        <v>#NAME?</v>
      </c>
      <c r="D13" t="e" cm="1">
        <f t="array" aca="1" ref="D13" ca="1">_xll.EQNXTDZ($A$1,$B13,D$1)</f>
        <v>#NAME?</v>
      </c>
      <c r="E13" t="e" cm="1">
        <f t="array" aca="1" ref="E13" ca="1">_xll.EQNXTDZ($A$1,$B13,E$1)</f>
        <v>#NAME?</v>
      </c>
      <c r="F13" t="e" cm="1">
        <f t="array" aca="1" ref="F13" ca="1">_xll.EQNXTDZ($A$1,$B13,F$1)</f>
        <v>#NAME?</v>
      </c>
      <c r="G13" t="e" cm="1">
        <f t="array" aca="1" ref="G13" ca="1">_xll.EQNXTDZ($A$1,$B13,G$1)</f>
        <v>#NAME?</v>
      </c>
      <c r="H13" t="e" cm="1">
        <f t="array" aca="1" ref="H13" ca="1">_xll.EQNXTDZ($A$1,$B13,H$1)</f>
        <v>#NAME?</v>
      </c>
      <c r="I13" t="e" cm="1">
        <f t="array" aca="1" ref="I13" ca="1">_xll.EQNXTDZ($A$1,$B13,I$1)</f>
        <v>#NAME?</v>
      </c>
      <c r="J13" t="e" cm="1">
        <f t="array" aca="1" ref="J13" ca="1">_xll.EQNXTDZ($A$1,$B13,J$1)</f>
        <v>#NAME?</v>
      </c>
      <c r="K13" t="e" cm="1">
        <f t="array" aca="1" ref="K13" ca="1">_xll.EQNXTDZ($A$1,$B13,K$1)</f>
        <v>#NAME?</v>
      </c>
      <c r="L13" t="e" cm="1">
        <f t="array" aca="1" ref="L13" ca="1">_xll.EQNXTDZ($A$1,$B13,L$1)</f>
        <v>#NAME?</v>
      </c>
      <c r="M13" t="e" cm="1">
        <f t="array" aca="1" ref="M13" ca="1">_xll.EQNXTDZ($A$1,$B13,M$1)</f>
        <v>#NAME?</v>
      </c>
      <c r="N13" t="e" cm="1">
        <f t="array" aca="1" ref="N13" ca="1">_xll.EQNXTDZ($A$1,$B13,N$1)</f>
        <v>#NAME?</v>
      </c>
      <c r="O13" t="e" cm="1">
        <f t="array" aca="1" ref="O13" ca="1">_xll.EQNXTDZ($A$1,$B13,O$1)</f>
        <v>#NAME?</v>
      </c>
      <c r="P13" t="e" cm="1">
        <f t="array" aca="1" ref="P13" ca="1">_xll.EQNXTDZ($A$1,$B13,P$1)</f>
        <v>#NAME?</v>
      </c>
      <c r="Q13" t="e" cm="1">
        <f t="array" aca="1" ref="Q13" ca="1">_xll.EQNXTDZ($A$1,$B13,Q$1)</f>
        <v>#NAME?</v>
      </c>
      <c r="R13" t="e" cm="1">
        <f t="array" aca="1" ref="R13" ca="1">_xll.EQNXTDZ($A$1,$B13,R$1)</f>
        <v>#NAME?</v>
      </c>
      <c r="S13" t="e" cm="1">
        <f t="array" aca="1" ref="S13" ca="1">_xll.EQNXTDZ($A$1,$B13,S$1)</f>
        <v>#NAME?</v>
      </c>
      <c r="T13" t="e" cm="1">
        <f t="array" aca="1" ref="T13" ca="1">_xll.EQNXTDZ($A$1,$B13,T$1)</f>
        <v>#NAME?</v>
      </c>
      <c r="U13" t="e" cm="1">
        <f t="array" aca="1" ref="U13" ca="1">_xll.EQNXTDZ($A$1,$B13,U$1)</f>
        <v>#NAME?</v>
      </c>
      <c r="V13" t="e" cm="1">
        <f t="array" aca="1" ref="V13" ca="1">_xll.EQNXTDZ($A$1,$B13,V$1)</f>
        <v>#NAME?</v>
      </c>
      <c r="W13" t="e" cm="1">
        <f t="array" aca="1" ref="W13" ca="1">_xll.EQNXTDZ($A$1,$B13,W$1)</f>
        <v>#NAME?</v>
      </c>
      <c r="X13" t="e" cm="1">
        <f t="array" aca="1" ref="X13" ca="1">_xll.EQNXTDZ($A$1,$B13,X$1)</f>
        <v>#NAME?</v>
      </c>
      <c r="Y13" t="e" cm="1">
        <f t="array" aca="1" ref="Y13" ca="1">_xll.EQNXTDZ($A$1,$B13,Y$1)</f>
        <v>#NAME?</v>
      </c>
      <c r="Z13" t="e" cm="1">
        <f t="array" aca="1" ref="Z13" ca="1">_xll.EQNXTDZ($A$1,$B13,Z$1)</f>
        <v>#NAME?</v>
      </c>
      <c r="AA13" t="e" cm="1">
        <f t="array" aca="1" ref="AA13" ca="1">_xll.EQNXTDZ($A$1,$B13,AA$1)</f>
        <v>#NAME?</v>
      </c>
      <c r="AB13" t="e" cm="1">
        <f t="array" aca="1" ref="AB13" ca="1">_xll.EQNXTDZ($A$1,$B13,AB$1)</f>
        <v>#NAME?</v>
      </c>
      <c r="AC13" t="e" cm="1">
        <f t="array" aca="1" ref="AC13" ca="1">_xll.EQNXTDZ($A$1,$B13,AC$1)</f>
        <v>#NAME?</v>
      </c>
      <c r="AD13" t="e" cm="1">
        <f t="array" aca="1" ref="AD13" ca="1">_xll.EQNXTDZ($A$1,$B13,AD$1)</f>
        <v>#NAME?</v>
      </c>
      <c r="AE13" t="e" cm="1">
        <f t="array" aca="1" ref="AE13" ca="1">_xll.EQNXTDZ($A$1,$B13,AE$1)</f>
        <v>#NAME?</v>
      </c>
      <c r="AF13" t="e" cm="1">
        <f t="array" aca="1" ref="AF13" ca="1">_xll.EQNXTDZ($A$1,$B13,AF$1)</f>
        <v>#NAME?</v>
      </c>
      <c r="AG13" t="e" cm="1">
        <f t="array" aca="1" ref="AG13" ca="1">_xll.EQNXTDZ($A$1,$B13,AG$1)</f>
        <v>#NAME?</v>
      </c>
      <c r="AH13" t="e" cm="1">
        <f t="array" aca="1" ref="AH13" ca="1">_xll.EQNXTDZ($A$1,$B13,AH$1)</f>
        <v>#NAME?</v>
      </c>
      <c r="AI13" t="e" cm="1">
        <f t="array" aca="1" ref="AI13" ca="1">_xll.EQNXTDZ($A$1,$B13,AI$1)</f>
        <v>#NAME?</v>
      </c>
      <c r="AJ13" t="e" cm="1">
        <f t="array" aca="1" ref="AJ13" ca="1">_xll.EQNXTDZ($A$1,$B13,AJ$1)</f>
        <v>#NAME?</v>
      </c>
      <c r="AK13" t="e" cm="1">
        <f t="array" aca="1" ref="AK13" ca="1">_xll.EQNXTDZ($A$1,$B13,AK$1)</f>
        <v>#NAME?</v>
      </c>
      <c r="AL13" t="e" cm="1">
        <f t="array" aca="1" ref="AL13" ca="1">_xll.EQNXTDZ($A$1,$B13,AL$1)</f>
        <v>#NAME?</v>
      </c>
      <c r="AM13" t="e" cm="1">
        <f t="array" aca="1" ref="AM13" ca="1">_xll.EQNXTDZ($A$1,$B13,AM$1)</f>
        <v>#NAME?</v>
      </c>
      <c r="AN13" t="e" cm="1">
        <f t="array" aca="1" ref="AN13" ca="1">_xll.EQNXTDZ($A$1,$B13,AN$1)</f>
        <v>#NAME?</v>
      </c>
      <c r="AO13" t="e" cm="1">
        <f t="array" aca="1" ref="AO13" ca="1">_xll.EQNXTDZ($A$1,$B13,AO$1)</f>
        <v>#NAME?</v>
      </c>
      <c r="AP13" t="e" cm="1">
        <f t="array" aca="1" ref="AP13" ca="1">_xll.EQNXTDZ($A$1,$B13,AP$1)</f>
        <v>#NAME?</v>
      </c>
      <c r="AQ13" t="e" cm="1">
        <f t="array" aca="1" ref="AQ13" ca="1">_xll.EQNXTDZ($A$1,$B13,AQ$1)</f>
        <v>#NAME?</v>
      </c>
      <c r="AR13" t="e" cm="1">
        <f t="array" aca="1" ref="AR13" ca="1">_xll.EQNXTDZ($A$1,$B13,AR$1)</f>
        <v>#NAME?</v>
      </c>
      <c r="AS13" t="e" cm="1">
        <f t="array" aca="1" ref="AS13" ca="1">_xll.EQNXTDZ($A$1,$B13,AS$1)</f>
        <v>#NAME?</v>
      </c>
      <c r="AT13" t="e" cm="1">
        <f t="array" aca="1" ref="AT13" ca="1">_xll.EQNXTDZ($A$1,$B13,AT$1)</f>
        <v>#NAME?</v>
      </c>
      <c r="AU13" t="e" cm="1">
        <f t="array" aca="1" ref="AU13" ca="1">_xll.EQNXTDZ($A$1,$B13,AU$1)</f>
        <v>#NAME?</v>
      </c>
      <c r="AV13" t="e" cm="1">
        <f t="array" aca="1" ref="AV13" ca="1">_xll.EQNXTDZ($A$1,$B13,AV$1)</f>
        <v>#NAME?</v>
      </c>
      <c r="AW13" t="e" cm="1">
        <f t="array" aca="1" ref="AW13" ca="1">_xll.EQNXTDZ($A$1,$B13,AW$1)</f>
        <v>#NAME?</v>
      </c>
      <c r="AX13" t="e" cm="1">
        <f t="array" aca="1" ref="AX13" ca="1">_xll.EQNXTDZ($A$1,$B13,AX$1)</f>
        <v>#NAME?</v>
      </c>
      <c r="AY13" t="e" cm="1">
        <f t="array" aca="1" ref="AY13" ca="1">_xll.EQNXTDZ($A$1,$B13,AY$1)</f>
        <v>#NAME?</v>
      </c>
      <c r="AZ13" t="e" cm="1">
        <f t="array" aca="1" ref="AZ13" ca="1">_xll.EQNXTDZ($A$1,$B13,AZ$1)</f>
        <v>#NAME?</v>
      </c>
      <c r="BA13" t="e" cm="1">
        <f t="array" aca="1" ref="BA13" ca="1">_xll.EQNXTDZ($A$1,$B13,BA$1)</f>
        <v>#NAME?</v>
      </c>
      <c r="BB13" t="e" cm="1">
        <f t="array" aca="1" ref="BB13" ca="1">_xll.EQNXTDZ($A$1,$B13,BB$1)</f>
        <v>#NAME?</v>
      </c>
      <c r="BC13" t="e" cm="1">
        <f t="array" aca="1" ref="BC13" ca="1">_xll.EQNXTDZ($A$1,$B13,BC$1)</f>
        <v>#NAME?</v>
      </c>
      <c r="BD13" t="e" cm="1">
        <f t="array" aca="1" ref="BD13" ca="1">_xll.EQNXTDZ($A$1,$B13,BD$1)</f>
        <v>#NAME?</v>
      </c>
      <c r="BE13" t="e" cm="1">
        <f t="array" aca="1" ref="BE13" ca="1">_xll.EQNXTDZ($A$1,$B13,BE$1)</f>
        <v>#NAME?</v>
      </c>
      <c r="BF13" t="e" cm="1">
        <f t="array" aca="1" ref="BF13" ca="1">_xll.EQNXTDZ($A$1,$B13,BF$1)</f>
        <v>#NAME?</v>
      </c>
      <c r="BG13" t="e" cm="1">
        <f t="array" aca="1" ref="BG13" ca="1">_xll.EQNXTDZ($A$1,$B13,BG$1)</f>
        <v>#NAME?</v>
      </c>
      <c r="BH13" t="e" cm="1">
        <f t="array" aca="1" ref="BH13" ca="1">_xll.EQNXTDZ($A$1,$B13,BH$1)</f>
        <v>#NAME?</v>
      </c>
      <c r="BI13" t="e" cm="1">
        <f t="array" aca="1" ref="BI13" ca="1">_xll.EQNXTDZ($A$1,$B13,BI$1)</f>
        <v>#NAME?</v>
      </c>
      <c r="BJ13" t="e" cm="1">
        <f t="array" aca="1" ref="BJ13" ca="1">_xll.EQNXTDZ($A$1,$B13,BJ$1)</f>
        <v>#NAME?</v>
      </c>
      <c r="BK13" t="e" cm="1">
        <f t="array" aca="1" ref="BK13" ca="1">_xll.EQNXTDZ($A$1,$B13,BK$1)</f>
        <v>#NAME?</v>
      </c>
      <c r="BL13" t="e" cm="1">
        <f t="array" aca="1" ref="BL13" ca="1">_xll.EQNXTDZ($A$1,$B13,BL$1)</f>
        <v>#NAME?</v>
      </c>
      <c r="BM13" t="e" cm="1">
        <f t="array" aca="1" ref="BM13" ca="1">_xll.EQNXTDZ($A$1,$B13,BM$1)</f>
        <v>#NAME?</v>
      </c>
      <c r="BN13" t="e" cm="1">
        <f t="array" aca="1" ref="BN13" ca="1">_xll.EQNXTDZ($A$1,$B13,BN$1)</f>
        <v>#NAME?</v>
      </c>
      <c r="BO13" t="e" cm="1">
        <f t="array" aca="1" ref="BO13" ca="1">_xll.EQNXTDZ($A$1,$B13,BO$1)</f>
        <v>#NAME?</v>
      </c>
      <c r="BP13" t="e" cm="1">
        <f t="array" aca="1" ref="BP13" ca="1">_xll.EQNXTDZ($A$1,$B13,BP$1)</f>
        <v>#NAME?</v>
      </c>
      <c r="BQ13" t="e" cm="1">
        <f t="array" aca="1" ref="BQ13" ca="1">_xll.EQNXTDZ($A$1,$B13,BQ$1)</f>
        <v>#NAME?</v>
      </c>
      <c r="BR13" t="e" cm="1">
        <f t="array" aca="1" ref="BR13" ca="1">_xll.EQNXTDZ($A$1,$B13,BR$1)</f>
        <v>#NAME?</v>
      </c>
      <c r="BS13" t="e" cm="1">
        <f t="array" aca="1" ref="BS13" ca="1">_xll.EQNXTDZ($A$1,$B13,BS$1)</f>
        <v>#NAME?</v>
      </c>
      <c r="BT13" t="e" cm="1">
        <f t="array" aca="1" ref="BT13" ca="1">_xll.EQNXTDZ($A$1,$B13,BT$1)</f>
        <v>#NAME?</v>
      </c>
      <c r="BU13" t="e" cm="1">
        <f t="array" aca="1" ref="BU13" ca="1">_xll.EQNXTDZ($A$1,$B13,BU$1)</f>
        <v>#NAME?</v>
      </c>
      <c r="BV13" t="e" cm="1">
        <f t="array" aca="1" ref="BV13" ca="1">_xll.EQNXTDZ($A$1,$B13,BV$1)</f>
        <v>#NAME?</v>
      </c>
      <c r="BW13" t="e" cm="1">
        <f t="array" aca="1" ref="BW13" ca="1">_xll.EQNXTDZ($A$1,$B13,BW$1)</f>
        <v>#NAME?</v>
      </c>
      <c r="BX13" t="e" cm="1">
        <f t="array" aca="1" ref="BX13" ca="1">_xll.EQNXTDZ($A$1,$B13,BX$1)</f>
        <v>#NAME?</v>
      </c>
      <c r="BY13" t="e" cm="1">
        <f t="array" aca="1" ref="BY13" ca="1">_xll.EQNXTDZ($A$1,$B13,BY$1)</f>
        <v>#NAME?</v>
      </c>
      <c r="BZ13" t="e" cm="1">
        <f t="array" aca="1" ref="BZ13" ca="1">_xll.EQNXTDZ($A$1,$B13,BZ$1)</f>
        <v>#NAME?</v>
      </c>
      <c r="CA13" t="e" cm="1">
        <f t="array" aca="1" ref="CA13" ca="1">_xll.EQNXTDZ($A$1,$B13,CA$1)</f>
        <v>#NAME?</v>
      </c>
      <c r="CB13" t="e" cm="1">
        <f t="array" aca="1" ref="CB13" ca="1">_xll.EQNXTDZ($A$1,$B13,CB$1)</f>
        <v>#NAME?</v>
      </c>
      <c r="CC13" t="e" cm="1">
        <f t="array" aca="1" ref="CC13" ca="1">_xll.EQNXTDZ($A$1,$B13,CC$1)</f>
        <v>#NAME?</v>
      </c>
      <c r="CD13" t="e" cm="1">
        <f t="array" aca="1" ref="CD13" ca="1">_xll.EQNXTDZ($A$1,$B13,CD$1)</f>
        <v>#NAME?</v>
      </c>
      <c r="CE13" t="e" cm="1">
        <f t="array" aca="1" ref="CE13" ca="1">_xll.EQNXTDZ($A$1,$B13,CE$1)</f>
        <v>#NAME?</v>
      </c>
      <c r="CF13" t="e" cm="1">
        <f t="array" aca="1" ref="CF13" ca="1">_xll.EQNXTDZ($A$1,$B13,CF$1)</f>
        <v>#NAME?</v>
      </c>
      <c r="CG13" t="e" cm="1">
        <f t="array" aca="1" ref="CG13" ca="1">_xll.EQNXTDZ($A$1,$B13,CG$1)</f>
        <v>#NAME?</v>
      </c>
      <c r="CH13" t="e" cm="1">
        <f t="array" aca="1" ref="CH13" ca="1">_xll.EQNXTDZ($A$1,$B13,CH$1)</f>
        <v>#NAME?</v>
      </c>
      <c r="CI13" t="e" cm="1">
        <f t="array" aca="1" ref="CI13" ca="1">_xll.EQNXTDZ($A$1,$B13,CI$1)</f>
        <v>#NAME?</v>
      </c>
      <c r="CJ13" t="e" cm="1">
        <f t="array" aca="1" ref="CJ13" ca="1">_xll.EQNXTDZ($A$1,$B13,CJ$1)</f>
        <v>#NAME?</v>
      </c>
      <c r="CK13" t="e" cm="1">
        <f t="array" aca="1" ref="CK13" ca="1">_xll.EQNXTDZ($A$1,$B13,CK$1)</f>
        <v>#NAME?</v>
      </c>
      <c r="CL13" t="e" cm="1">
        <f t="array" aca="1" ref="CL13" ca="1">_xll.EQNXTDZ($A$1,$B13,CL$1)</f>
        <v>#NAME?</v>
      </c>
      <c r="CM13" t="e" cm="1">
        <f t="array" aca="1" ref="CM13" ca="1">_xll.EQNXTDZ($A$1,$B13,CM$1)</f>
        <v>#NAME?</v>
      </c>
      <c r="CN13" t="e" cm="1">
        <f t="array" aca="1" ref="CN13" ca="1">_xll.EQNXTDZ($A$1,$B13,CN$1)</f>
        <v>#NAME?</v>
      </c>
      <c r="CO13" t="e" cm="1">
        <f t="array" aca="1" ref="CO13" ca="1">_xll.EQNXTDZ($A$1,$B13,CO$1)</f>
        <v>#NAME?</v>
      </c>
      <c r="CP13" t="e" cm="1">
        <f t="array" aca="1" ref="CP13" ca="1">_xll.EQNXTDZ($A$1,$B13,CP$1)</f>
        <v>#NAME?</v>
      </c>
      <c r="CQ13" t="e" cm="1">
        <f t="array" aca="1" ref="CQ13" ca="1">_xll.EQNXTDZ($A$1,$B13,CQ$1)</f>
        <v>#NAME?</v>
      </c>
      <c r="CR13" t="e" cm="1">
        <f t="array" aca="1" ref="CR13" ca="1">_xll.EQNXTDZ($A$1,$B13,CR$1)</f>
        <v>#NAME?</v>
      </c>
      <c r="CS13" t="e" cm="1">
        <f t="array" aca="1" ref="CS13" ca="1">_xll.EQNXTDZ($A$1,$B13,CS$1)</f>
        <v>#NAME?</v>
      </c>
      <c r="CT13" t="e" cm="1">
        <f t="array" aca="1" ref="CT13" ca="1">_xll.EQNXTDZ($A$1,$B13,CT$1)</f>
        <v>#NAME?</v>
      </c>
      <c r="CU13" t="e" cm="1">
        <f t="array" aca="1" ref="CU13" ca="1">_xll.EQNXTDZ($A$1,$B13,CU$1)</f>
        <v>#NAME?</v>
      </c>
      <c r="CV13" t="e" cm="1">
        <f t="array" aca="1" ref="CV13" ca="1">_xll.EQNXTDZ($A$1,$B13,CV$1)</f>
        <v>#NAME?</v>
      </c>
      <c r="CW13" t="e" cm="1">
        <f t="array" aca="1" ref="CW13" ca="1">_xll.EQNXTDZ($A$1,$B13,CW$1)</f>
        <v>#NAME?</v>
      </c>
      <c r="CX13" t="e" cm="1">
        <f t="array" aca="1" ref="CX13" ca="1">_xll.EQNXTDZ($A$1,$B13,CX$1)</f>
        <v>#NAME?</v>
      </c>
      <c r="CY13" t="e" cm="1">
        <f t="array" aca="1" ref="CY13" ca="1">_xll.EQNXTDZ($A$1,$B13,CY$1)</f>
        <v>#NAME?</v>
      </c>
      <c r="CZ13" t="e" cm="1">
        <f t="array" aca="1" ref="CZ13" ca="1">_xll.EQNXTDZ($A$1,$B13,CZ$1)</f>
        <v>#NAME?</v>
      </c>
      <c r="DA13" t="e" cm="1">
        <f t="array" aca="1" ref="DA13" ca="1">_xll.EQNXTDZ($A$1,$B13,DA$1)</f>
        <v>#NAME?</v>
      </c>
      <c r="DB13" t="e" cm="1">
        <f t="array" aca="1" ref="DB13" ca="1">_xll.EQNXTDZ($A$1,$B13,DB$1)</f>
        <v>#NAME?</v>
      </c>
      <c r="DC13" t="e" cm="1">
        <f t="array" aca="1" ref="DC13" ca="1">_xll.EQNXTDZ($A$1,$B13,DC$1)</f>
        <v>#NAME?</v>
      </c>
      <c r="DD13" t="e" cm="1">
        <f t="array" aca="1" ref="DD13" ca="1">_xll.EQNXTDZ($A$1,$B13,DD$1)</f>
        <v>#NAME?</v>
      </c>
      <c r="DE13" t="e" cm="1">
        <f t="array" aca="1" ref="DE13" ca="1">_xll.EQNXTDZ($A$1,$B13,DE$1)</f>
        <v>#NAME?</v>
      </c>
      <c r="DF13" t="e" cm="1">
        <f t="array" aca="1" ref="DF13" ca="1">_xll.EQNXTDZ($A$1,$B13,DF$1)</f>
        <v>#NAME?</v>
      </c>
      <c r="DG13" t="e" cm="1">
        <f t="array" aca="1" ref="DG13" ca="1">_xll.EQNXTDZ($A$1,$B13,DG$1)</f>
        <v>#NAME?</v>
      </c>
      <c r="DH13" t="e" cm="1">
        <f t="array" aca="1" ref="DH13" ca="1">_xll.EQNXTDZ($A$1,$B13,DH$1)</f>
        <v>#NAME?</v>
      </c>
      <c r="DI13" t="e" cm="1">
        <f t="array" aca="1" ref="DI13" ca="1">_xll.EQNXTDZ($A$1,$B13,DI$1)</f>
        <v>#NAME?</v>
      </c>
      <c r="DJ13" t="e" cm="1">
        <f t="array" aca="1" ref="DJ13" ca="1">_xll.EQNXTDZ($A$1,$B13,DJ$1)</f>
        <v>#NAME?</v>
      </c>
      <c r="DK13" t="e" cm="1">
        <f t="array" aca="1" ref="DK13" ca="1">_xll.EQNXTDZ($A$1,$B13,DK$1)</f>
        <v>#NAME?</v>
      </c>
      <c r="DL13" t="e" cm="1">
        <f t="array" aca="1" ref="DL13" ca="1">_xll.EQNXTDZ($A$1,$B13,DL$1)</f>
        <v>#NAME?</v>
      </c>
      <c r="DM13" t="e" cm="1">
        <f t="array" aca="1" ref="DM13" ca="1">_xll.EQNXTDZ($A$1,$B13,DM$1)</f>
        <v>#NAME?</v>
      </c>
      <c r="DN13" t="e" cm="1">
        <f t="array" aca="1" ref="DN13" ca="1">_xll.EQNXTDZ($A$1,$B13,DN$1)</f>
        <v>#NAME?</v>
      </c>
      <c r="DO13" t="e" cm="1">
        <f t="array" aca="1" ref="DO13" ca="1">_xll.EQNXTDZ($A$1,$B13,DO$1)</f>
        <v>#NAME?</v>
      </c>
      <c r="DP13" t="e" cm="1">
        <f t="array" aca="1" ref="DP13" ca="1">_xll.EQNXTDZ($A$1,$B13,DP$1)</f>
        <v>#NAME?</v>
      </c>
      <c r="DQ13" t="e" cm="1">
        <f t="array" aca="1" ref="DQ13" ca="1">_xll.EQNXTDZ($A$1,$B13,DQ$1)</f>
        <v>#NAME?</v>
      </c>
      <c r="DR13" t="e" cm="1">
        <f t="array" aca="1" ref="DR13" ca="1">_xll.EQNXTDZ($A$1,$B13,DR$1)</f>
        <v>#NAME?</v>
      </c>
      <c r="DS13" t="e" cm="1">
        <f t="array" aca="1" ref="DS13" ca="1">_xll.EQNXTDZ($A$1,$B13,DS$1)</f>
        <v>#NAME?</v>
      </c>
      <c r="DT13" t="e" cm="1">
        <f t="array" aca="1" ref="DT13" ca="1">_xll.EQNXTDZ($A$1,$B13,DT$1)</f>
        <v>#NAME?</v>
      </c>
      <c r="DU13" t="e" cm="1">
        <f t="array" aca="1" ref="DU13" ca="1">_xll.EQNXTDZ($A$1,$B13,DU$1)</f>
        <v>#NAME?</v>
      </c>
      <c r="DV13" t="e" cm="1">
        <f t="array" aca="1" ref="DV13" ca="1">_xll.EQNXTDZ($A$1,$B13,DV$1)</f>
        <v>#NAME?</v>
      </c>
      <c r="DW13" t="e" cm="1">
        <f t="array" aca="1" ref="DW13" ca="1">_xll.EQNXTDZ($A$1,$B13,DW$1)</f>
        <v>#NAME?</v>
      </c>
      <c r="DX13" t="e" cm="1">
        <f t="array" aca="1" ref="DX13" ca="1">_xll.EQNXTDZ($A$1,$B13,DX$1)</f>
        <v>#NAME?</v>
      </c>
      <c r="DY13" t="e" cm="1">
        <f t="array" aca="1" ref="DY13" ca="1">_xll.EQNXTDZ($A$1,$B13,DY$1)</f>
        <v>#NAME?</v>
      </c>
      <c r="DZ13" t="e" cm="1">
        <f t="array" aca="1" ref="DZ13" ca="1">_xll.EQNXTDZ($A$1,$B13,DZ$1)</f>
        <v>#NAME?</v>
      </c>
      <c r="EA13" t="e" cm="1">
        <f t="array" aca="1" ref="EA13" ca="1">_xll.EQNXTDZ($A$1,$B13,EA$1)</f>
        <v>#NAME?</v>
      </c>
      <c r="EB13" t="e" cm="1">
        <f t="array" aca="1" ref="EB13" ca="1">_xll.EQNXTDZ($A$1,$B13,EB$1)</f>
        <v>#NAME?</v>
      </c>
      <c r="EC13" t="e" cm="1">
        <f t="array" aca="1" ref="EC13" ca="1">_xll.EQNXTDZ($A$1,$B13,EC$1)</f>
        <v>#NAME?</v>
      </c>
      <c r="ED13" t="e" cm="1">
        <f t="array" aca="1" ref="ED13" ca="1">_xll.EQNXTDZ($A$1,$B13,ED$1)</f>
        <v>#NAME?</v>
      </c>
      <c r="EE13" t="e" cm="1">
        <f t="array" aca="1" ref="EE13" ca="1">_xll.EQNXTDZ($A$1,$B13,EE$1)</f>
        <v>#NAME?</v>
      </c>
      <c r="EF13" t="e" cm="1">
        <f t="array" aca="1" ref="EF13" ca="1">_xll.EQNXTDZ($A$1,$B13,EF$1)</f>
        <v>#NAME?</v>
      </c>
      <c r="EG13" t="e" cm="1">
        <f t="array" aca="1" ref="EG13" ca="1">_xll.EQNXTDZ($A$1,$B13,EG$1)</f>
        <v>#NAME?</v>
      </c>
      <c r="EH13" t="e" cm="1">
        <f t="array" aca="1" ref="EH13" ca="1">_xll.EQNXTDZ($A$1,$B13,EH$1)</f>
        <v>#NAME?</v>
      </c>
      <c r="EI13" t="e" cm="1">
        <f t="array" aca="1" ref="EI13" ca="1">_xll.EQNXTDZ($A$1,$B13,EI$1)</f>
        <v>#NAME?</v>
      </c>
      <c r="EJ13" t="e" cm="1">
        <f t="array" aca="1" ref="EJ13" ca="1">_xll.EQNXTDZ($A$1,$B13,EJ$1)</f>
        <v>#NAME?</v>
      </c>
      <c r="EK13" t="e" cm="1">
        <f t="array" aca="1" ref="EK13" ca="1">_xll.EQNXTDZ($A$1,$B13,EK$1)</f>
        <v>#NAME?</v>
      </c>
      <c r="EL13" t="e" cm="1">
        <f t="array" aca="1" ref="EL13" ca="1">_xll.EQNXTDZ($A$1,$B13,EL$1)</f>
        <v>#NAME?</v>
      </c>
      <c r="EM13" t="e" cm="1">
        <f t="array" aca="1" ref="EM13" ca="1">_xll.EQNXTDZ($A$1,$B13,EM$1)</f>
        <v>#NAME?</v>
      </c>
      <c r="EN13" t="e" cm="1">
        <f t="array" aca="1" ref="EN13" ca="1">_xll.EQNXTDZ($A$1,$B13,EN$1)</f>
        <v>#NAME?</v>
      </c>
      <c r="EO13" t="e" cm="1">
        <f t="array" aca="1" ref="EO13" ca="1">_xll.EQNXTDZ($A$1,$B13,EO$1)</f>
        <v>#NAME?</v>
      </c>
      <c r="EP13" t="e" cm="1">
        <f t="array" aca="1" ref="EP13" ca="1">_xll.EQNXTDZ($A$1,$B13,EP$1)</f>
        <v>#NAME?</v>
      </c>
      <c r="EQ13" t="e" cm="1">
        <f t="array" aca="1" ref="EQ13" ca="1">_xll.EQNXTDZ($A$1,$B13,EQ$1)</f>
        <v>#NAME?</v>
      </c>
      <c r="ER13" t="e" cm="1">
        <f t="array" aca="1" ref="ER13" ca="1">_xll.EQNXTDZ($A$1,$B13,ER$1)</f>
        <v>#NAME?</v>
      </c>
      <c r="ES13" t="e" cm="1">
        <f t="array" aca="1" ref="ES13" ca="1">_xll.EQNXTDZ($A$1,$B13,ES$1)</f>
        <v>#NAME?</v>
      </c>
      <c r="ET13" t="e" cm="1">
        <f t="array" aca="1" ref="ET13" ca="1">_xll.EQNXTDZ($A$1,$B13,ET$1)</f>
        <v>#NAME?</v>
      </c>
      <c r="EU13" t="e" cm="1">
        <f t="array" aca="1" ref="EU13" ca="1">_xll.EQNXTDZ($A$1,$B13,EU$1)</f>
        <v>#NAME?</v>
      </c>
      <c r="EV13" t="e" cm="1">
        <f t="array" aca="1" ref="EV13" ca="1">_xll.EQNXTDZ($A$1,$B13,EV$1)</f>
        <v>#NAME?</v>
      </c>
      <c r="EW13" t="e" cm="1">
        <f t="array" aca="1" ref="EW13" ca="1">_xll.EQNXTDZ($A$1,$B13,EW$1)</f>
        <v>#NAME?</v>
      </c>
      <c r="EX13" t="e" cm="1">
        <f t="array" aca="1" ref="EX13" ca="1">_xll.EQNXTDZ($A$1,$B13,EX$1)</f>
        <v>#NAME?</v>
      </c>
      <c r="EY13" t="e" cm="1">
        <f t="array" aca="1" ref="EY13" ca="1">_xll.EQNXTDZ($A$1,$B13,EY$1)</f>
        <v>#NAME?</v>
      </c>
      <c r="EZ13" t="e" cm="1">
        <f t="array" aca="1" ref="EZ13" ca="1">_xll.EQNXTDZ($A$1,$B13,EZ$1)</f>
        <v>#NAME?</v>
      </c>
      <c r="FA13" t="e" cm="1">
        <f t="array" aca="1" ref="FA13" ca="1">_xll.EQNXTDZ($A$1,$B13,FA$1)</f>
        <v>#NAME?</v>
      </c>
      <c r="FB13" t="e" cm="1">
        <f t="array" aca="1" ref="FB13" ca="1">_xll.EQNXTDZ($A$1,$B13,FB$1)</f>
        <v>#NAME?</v>
      </c>
      <c r="FC13" t="e" cm="1">
        <f t="array" aca="1" ref="FC13" ca="1">_xll.EQNXTDZ($A$1,$B13,FC$1)</f>
        <v>#NAME?</v>
      </c>
      <c r="FD13" t="e" cm="1">
        <f t="array" aca="1" ref="FD13" ca="1">_xll.EQNXTDZ($A$1,$B13,FD$1)</f>
        <v>#NAME?</v>
      </c>
      <c r="FE13" t="e" cm="1">
        <f t="array" aca="1" ref="FE13" ca="1">_xll.EQNXTDZ($A$1,$B13,FE$1)</f>
        <v>#NAME?</v>
      </c>
      <c r="FF13" t="e" cm="1">
        <f t="array" aca="1" ref="FF13" ca="1">_xll.EQNXTDZ($A$1,$B13,FF$1)</f>
        <v>#NAME?</v>
      </c>
      <c r="FG13" t="e" cm="1">
        <f t="array" aca="1" ref="FG13" ca="1">_xll.EQNXTDZ($A$1,$B13,FG$1)</f>
        <v>#NAME?</v>
      </c>
      <c r="FH13" t="e" cm="1">
        <f t="array" aca="1" ref="FH13" ca="1">_xll.EQNXTDZ($A$1,$B13,FH$1)</f>
        <v>#NAME?</v>
      </c>
      <c r="FI13" t="e" cm="1">
        <f t="array" aca="1" ref="FI13" ca="1">_xll.EQNXTDZ($A$1,$B13,FI$1)</f>
        <v>#NAME?</v>
      </c>
      <c r="FJ13" t="e" cm="1">
        <f t="array" aca="1" ref="FJ13" ca="1">_xll.EQNXTDZ($A$1,$B13,FJ$1)</f>
        <v>#NAME?</v>
      </c>
      <c r="FK13" t="e" cm="1">
        <f t="array" aca="1" ref="FK13" ca="1">_xll.EQNXTDZ($A$1,$B13,FK$1)</f>
        <v>#NAME?</v>
      </c>
      <c r="FL13" t="e" cm="1">
        <f t="array" aca="1" ref="FL13" ca="1">_xll.EQNXTDZ($A$1,$B13,FL$1)</f>
        <v>#NAME?</v>
      </c>
      <c r="FM13" t="e" cm="1">
        <f t="array" aca="1" ref="FM13" ca="1">_xll.EQNXTDZ($A$1,$B13,FM$1)</f>
        <v>#NAME?</v>
      </c>
      <c r="FN13" t="e" cm="1">
        <f t="array" aca="1" ref="FN13" ca="1">_xll.EQNXTDZ($A$1,$B13,FN$1)</f>
        <v>#NAME?</v>
      </c>
      <c r="FO13" t="e" cm="1">
        <f t="array" aca="1" ref="FO13" ca="1">_xll.EQNXTDZ($A$1,$B13,FO$1)</f>
        <v>#NAME?</v>
      </c>
      <c r="FP13" t="e" cm="1">
        <f t="array" aca="1" ref="FP13" ca="1">_xll.EQNXTDZ($A$1,$B13,FP$1)</f>
        <v>#NAME?</v>
      </c>
      <c r="FQ13" t="e" cm="1">
        <f t="array" aca="1" ref="FQ13" ca="1">_xll.EQNXTDZ($A$1,$B13,FQ$1)</f>
        <v>#NAME?</v>
      </c>
      <c r="FR13" t="e" cm="1">
        <f t="array" aca="1" ref="FR13" ca="1">_xll.EQNXTDZ($A$1,$B13,FR$1)</f>
        <v>#NAME?</v>
      </c>
      <c r="FS13" t="e" cm="1">
        <f t="array" aca="1" ref="FS13" ca="1">_xll.EQNXTDZ($A$1,$B13,FS$1)</f>
        <v>#NAME?</v>
      </c>
      <c r="FT13" t="e" cm="1">
        <f t="array" aca="1" ref="FT13" ca="1">_xll.EQNXTDZ($A$1,$B13,FT$1)</f>
        <v>#NAME?</v>
      </c>
      <c r="FU13" t="e" cm="1">
        <f t="array" aca="1" ref="FU13" ca="1">_xll.EQNXTDZ($A$1,$B13,FU$1)</f>
        <v>#NAME?</v>
      </c>
      <c r="FV13" t="e" cm="1">
        <f t="array" aca="1" ref="FV13" ca="1">_xll.EQNXTDZ($A$1,$B13,FV$1)</f>
        <v>#NAME?</v>
      </c>
      <c r="FW13" t="e" cm="1">
        <f t="array" aca="1" ref="FW13" ca="1">_xll.EQNXTDZ($A$1,$B13,FW$1)</f>
        <v>#NAME?</v>
      </c>
      <c r="FX13" t="e" cm="1">
        <f t="array" aca="1" ref="FX13" ca="1">_xll.EQNXTDZ($A$1,$B13,FX$1)</f>
        <v>#NAME?</v>
      </c>
      <c r="FY13" t="e" cm="1">
        <f t="array" aca="1" ref="FY13" ca="1">_xll.EQNXTDZ($A$1,$B13,FY$1)</f>
        <v>#NAME?</v>
      </c>
      <c r="FZ13" t="e" cm="1">
        <f t="array" aca="1" ref="FZ13" ca="1">_xll.EQNXTDZ($A$1,$B13,FZ$1)</f>
        <v>#NAME?</v>
      </c>
      <c r="GA13" t="e" cm="1">
        <f t="array" aca="1" ref="GA13" ca="1">_xll.EQNXTDZ($A$1,$B13,GA$1)</f>
        <v>#NAME?</v>
      </c>
      <c r="GB13" t="e" cm="1">
        <f t="array" aca="1" ref="GB13" ca="1">_xll.EQNXTDZ($A$1,$B13,GB$1)</f>
        <v>#NAME?</v>
      </c>
      <c r="GC13" t="e" cm="1">
        <f t="array" aca="1" ref="GC13" ca="1">_xll.EQNXTDZ($A$1,$B13,GC$1)</f>
        <v>#NAME?</v>
      </c>
      <c r="GD13" t="e" cm="1">
        <f t="array" aca="1" ref="GD13" ca="1">_xll.EQNXTDZ($A$1,$B13,GD$1)</f>
        <v>#NAME?</v>
      </c>
      <c r="GE13" t="e" cm="1">
        <f t="array" aca="1" ref="GE13" ca="1">_xll.EQNXTDZ($A$1,$B13,GE$1)</f>
        <v>#NAME?</v>
      </c>
      <c r="GF13" t="e" cm="1">
        <f t="array" aca="1" ref="GF13" ca="1">_xll.EQNXTDZ($A$1,$B13,GF$1)</f>
        <v>#NAME?</v>
      </c>
      <c r="GG13" t="e" cm="1">
        <f t="array" aca="1" ref="GG13" ca="1">_xll.EQNXTDZ($A$1,$B13,GG$1)</f>
        <v>#NAME?</v>
      </c>
      <c r="GH13" t="e" cm="1">
        <f t="array" aca="1" ref="GH13" ca="1">_xll.EQNXTDZ($A$1,$B13,GH$1)</f>
        <v>#NAME?</v>
      </c>
      <c r="GI13" t="e" cm="1">
        <f t="array" aca="1" ref="GI13" ca="1">_xll.EQNXTDZ($A$1,$B13,GI$1)</f>
        <v>#NAME?</v>
      </c>
      <c r="GJ13" t="e" cm="1">
        <f t="array" aca="1" ref="GJ13" ca="1">_xll.EQNXTDZ($A$1,$B13,GJ$1)</f>
        <v>#NAME?</v>
      </c>
      <c r="GK13" t="e" cm="1">
        <f t="array" aca="1" ref="GK13" ca="1">_xll.EQNXTDZ($A$1,$B13,GK$1)</f>
        <v>#NAME?</v>
      </c>
      <c r="GL13" t="e" cm="1">
        <f t="array" aca="1" ref="GL13" ca="1">_xll.EQNXTDZ($A$1,$B13,GL$1)</f>
        <v>#NAME?</v>
      </c>
      <c r="GM13" t="e" cm="1">
        <f t="array" aca="1" ref="GM13" ca="1">_xll.EQNXTDZ($A$1,$B13,GM$1)</f>
        <v>#NAME?</v>
      </c>
      <c r="GN13" t="e" cm="1">
        <f t="array" aca="1" ref="GN13" ca="1">_xll.EQNXTDZ($A$1,$B13,GN$1)</f>
        <v>#NAME?</v>
      </c>
      <c r="GO13" t="e" cm="1">
        <f t="array" aca="1" ref="GO13" ca="1">_xll.EQNXTDZ($A$1,$B13,GO$1)</f>
        <v>#NAME?</v>
      </c>
      <c r="GP13" t="e" cm="1">
        <f t="array" aca="1" ref="GP13" ca="1">_xll.EQNXTDZ($A$1,$B13,GP$1)</f>
        <v>#NAME?</v>
      </c>
      <c r="GQ13" t="e" cm="1">
        <f t="array" aca="1" ref="GQ13" ca="1">_xll.EQNXTDZ($A$1,$B13,GQ$1)</f>
        <v>#NAME?</v>
      </c>
      <c r="GR13" t="e" cm="1">
        <f t="array" aca="1" ref="GR13" ca="1">_xll.EQNXTDZ($A$1,$B13,GR$1)</f>
        <v>#NAME?</v>
      </c>
      <c r="GS13" t="e" cm="1">
        <f t="array" aca="1" ref="GS13" ca="1">_xll.EQNXTDZ($A$1,$B13,GS$1)</f>
        <v>#NAME?</v>
      </c>
      <c r="GT13" t="e" cm="1">
        <f t="array" aca="1" ref="GT13" ca="1">_xll.EQNXTDZ($A$1,$B13,GT$1)</f>
        <v>#NAME?</v>
      </c>
      <c r="GU13" t="e" cm="1">
        <f t="array" aca="1" ref="GU13" ca="1">_xll.EQNXTDZ($A$1,$B13,GU$1)</f>
        <v>#NAME?</v>
      </c>
      <c r="GV13" t="e" cm="1">
        <f t="array" aca="1" ref="GV13" ca="1">_xll.EQNXTDZ($A$1,$B13,GV$1)</f>
        <v>#NAME?</v>
      </c>
      <c r="GW13" t="e" cm="1">
        <f t="array" aca="1" ref="GW13" ca="1">_xll.EQNXTDZ($A$1,$B13,GW$1)</f>
        <v>#NAME?</v>
      </c>
      <c r="GX13" t="e" cm="1">
        <f t="array" aca="1" ref="GX13" ca="1">_xll.EQNXTDZ($A$1,$B13,GX$1)</f>
        <v>#NAME?</v>
      </c>
      <c r="GY13" t="e" cm="1">
        <f t="array" aca="1" ref="GY13" ca="1">_xll.EQNXTDZ($A$1,$B13,GY$1)</f>
        <v>#NAME?</v>
      </c>
      <c r="GZ13" t="e" cm="1">
        <f t="array" aca="1" ref="GZ13" ca="1">_xll.EQNXTDZ($A$1,$B13,GZ$1)</f>
        <v>#NAME?</v>
      </c>
      <c r="HA13" t="e" cm="1">
        <f t="array" aca="1" ref="HA13" ca="1">_xll.EQNXTDZ($A$1,$B13,HA$1)</f>
        <v>#NAME?</v>
      </c>
      <c r="HB13" t="e" cm="1">
        <f t="array" aca="1" ref="HB13" ca="1">_xll.EQNXTDZ($A$1,$B13,HB$1)</f>
        <v>#NAME?</v>
      </c>
      <c r="HC13" t="e" cm="1">
        <f t="array" aca="1" ref="HC13" ca="1">_xll.EQNXTDZ($A$1,$B13,HC$1)</f>
        <v>#NAME?</v>
      </c>
      <c r="HD13" t="e" cm="1">
        <f t="array" aca="1" ref="HD13" ca="1">_xll.EQNXTDZ($A$1,$B13,HD$1)</f>
        <v>#NAME?</v>
      </c>
      <c r="HE13" t="e" cm="1">
        <f t="array" aca="1" ref="HE13" ca="1">_xll.EQNXTDZ($A$1,$B13,HE$1)</f>
        <v>#NAME?</v>
      </c>
      <c r="HF13" t="e" cm="1">
        <f t="array" aca="1" ref="HF13" ca="1">_xll.EQNXTDZ($A$1,$B13,HF$1)</f>
        <v>#NAME?</v>
      </c>
      <c r="HG13" t="e" cm="1">
        <f t="array" aca="1" ref="HG13" ca="1">_xll.EQNXTDZ($A$1,$B13,HG$1)</f>
        <v>#NAME?</v>
      </c>
      <c r="HH13" t="e" cm="1">
        <f t="array" aca="1" ref="HH13" ca="1">_xll.EQNXTDZ($A$1,$B13,HH$1)</f>
        <v>#NAME?</v>
      </c>
    </row>
    <row r="14" spans="1:294" s="116" customFormat="1" x14ac:dyDescent="0.25">
      <c r="A14" s="116" t="s">
        <v>38</v>
      </c>
      <c r="B14" s="116" t="s">
        <v>422</v>
      </c>
      <c r="C14" s="116" t="e" cm="1">
        <f t="array" aca="1" ref="C14" ca="1">_xll.EQNXTDZ($A$1,$B14,C$1)</f>
        <v>#NAME?</v>
      </c>
      <c r="D14" s="116" t="e" cm="1">
        <f t="array" aca="1" ref="D14" ca="1">_xll.EQNXTDZ($A$1,$B14,D$1)</f>
        <v>#NAME?</v>
      </c>
      <c r="E14" s="116" t="e" cm="1">
        <f t="array" aca="1" ref="E14" ca="1">_xll.EQNXTDZ($A$1,$B14,E$1)</f>
        <v>#NAME?</v>
      </c>
      <c r="F14" s="116" t="e" cm="1">
        <f t="array" aca="1" ref="F14" ca="1">_xll.EQNXTDZ($A$1,$B14,F$1)</f>
        <v>#NAME?</v>
      </c>
      <c r="G14" s="116" t="e" cm="1">
        <f t="array" aca="1" ref="G14" ca="1">_xll.EQNXTDZ($A$1,$B14,G$1)</f>
        <v>#NAME?</v>
      </c>
      <c r="H14" s="116" t="e" cm="1">
        <f t="array" aca="1" ref="H14" ca="1">_xll.EQNXTDZ($A$1,$B14,H$1)</f>
        <v>#NAME?</v>
      </c>
      <c r="I14" s="116" t="e" cm="1">
        <f t="array" aca="1" ref="I14" ca="1">_xll.EQNXTDZ($A$1,$B14,I$1)</f>
        <v>#NAME?</v>
      </c>
      <c r="J14" s="116" t="e" cm="1">
        <f t="array" aca="1" ref="J14" ca="1">_xll.EQNXTDZ($A$1,$B14,J$1)</f>
        <v>#NAME?</v>
      </c>
      <c r="K14" s="116" t="e" cm="1">
        <f t="array" aca="1" ref="K14" ca="1">_xll.EQNXTDZ($A$1,$B14,K$1)</f>
        <v>#NAME?</v>
      </c>
      <c r="L14" s="116" t="e" cm="1">
        <f t="array" aca="1" ref="L14" ca="1">_xll.EQNXTDZ($A$1,$B14,L$1)</f>
        <v>#NAME?</v>
      </c>
      <c r="M14" s="116" t="e" cm="1">
        <f t="array" aca="1" ref="M14" ca="1">_xll.EQNXTDZ($A$1,$B14,M$1)</f>
        <v>#NAME?</v>
      </c>
      <c r="N14" s="116" t="e" cm="1">
        <f t="array" aca="1" ref="N14" ca="1">_xll.EQNXTDZ($A$1,$B14,N$1)</f>
        <v>#NAME?</v>
      </c>
      <c r="O14" s="116" t="e" cm="1">
        <f t="array" aca="1" ref="O14" ca="1">_xll.EQNXTDZ($A$1,$B14,O$1)</f>
        <v>#NAME?</v>
      </c>
      <c r="P14" s="116" t="e" cm="1">
        <f t="array" aca="1" ref="P14" ca="1">_xll.EQNXTDZ($A$1,$B14,P$1)</f>
        <v>#NAME?</v>
      </c>
      <c r="Q14" s="116" t="e" cm="1">
        <f t="array" aca="1" ref="Q14" ca="1">_xll.EQNXTDZ($A$1,$B14,Q$1)</f>
        <v>#NAME?</v>
      </c>
      <c r="R14" s="116" t="e" cm="1">
        <f t="array" aca="1" ref="R14" ca="1">_xll.EQNXTDZ($A$1,$B14,R$1)</f>
        <v>#NAME?</v>
      </c>
      <c r="S14" s="116" t="e" cm="1">
        <f t="array" aca="1" ref="S14" ca="1">_xll.EQNXTDZ($A$1,$B14,S$1)</f>
        <v>#NAME?</v>
      </c>
      <c r="T14" s="116" t="e" cm="1">
        <f t="array" aca="1" ref="T14" ca="1">_xll.EQNXTDZ($A$1,$B14,T$1)</f>
        <v>#NAME?</v>
      </c>
      <c r="U14" s="116" t="e" cm="1">
        <f t="array" aca="1" ref="U14" ca="1">_xll.EQNXTDZ($A$1,$B14,U$1)</f>
        <v>#NAME?</v>
      </c>
      <c r="V14" s="116" t="e" cm="1">
        <f t="array" aca="1" ref="V14" ca="1">_xll.EQNXTDZ($A$1,$B14,V$1)</f>
        <v>#NAME?</v>
      </c>
      <c r="W14" s="116" t="e" cm="1">
        <f t="array" aca="1" ref="W14" ca="1">_xll.EQNXTDZ($A$1,$B14,W$1)</f>
        <v>#NAME?</v>
      </c>
      <c r="X14" s="116" t="e" cm="1">
        <f t="array" aca="1" ref="X14" ca="1">_xll.EQNXTDZ($A$1,$B14,X$1)</f>
        <v>#NAME?</v>
      </c>
      <c r="Y14" s="116" t="e" cm="1">
        <f t="array" aca="1" ref="Y14" ca="1">_xll.EQNXTDZ($A$1,$B14,Y$1)</f>
        <v>#NAME?</v>
      </c>
      <c r="Z14" s="116" t="e" cm="1">
        <f t="array" aca="1" ref="Z14" ca="1">_xll.EQNXTDZ($A$1,$B14,Z$1)</f>
        <v>#NAME?</v>
      </c>
      <c r="AA14" s="116" t="e" cm="1">
        <f t="array" aca="1" ref="AA14" ca="1">_xll.EQNXTDZ($A$1,$B14,AA$1)</f>
        <v>#NAME?</v>
      </c>
      <c r="AB14" s="116" t="e" cm="1">
        <f t="array" aca="1" ref="AB14" ca="1">_xll.EQNXTDZ($A$1,$B14,AB$1)</f>
        <v>#NAME?</v>
      </c>
      <c r="AC14" s="116" t="e" cm="1">
        <f t="array" aca="1" ref="AC14" ca="1">_xll.EQNXTDZ($A$1,$B14,AC$1)</f>
        <v>#NAME?</v>
      </c>
      <c r="AD14" s="116" t="e" cm="1">
        <f t="array" aca="1" ref="AD14" ca="1">_xll.EQNXTDZ($A$1,$B14,AD$1)</f>
        <v>#NAME?</v>
      </c>
      <c r="AE14" s="116" t="e" cm="1">
        <f t="array" aca="1" ref="AE14" ca="1">_xll.EQNXTDZ($A$1,$B14,AE$1)</f>
        <v>#NAME?</v>
      </c>
      <c r="AF14" s="116" t="e" cm="1">
        <f t="array" aca="1" ref="AF14" ca="1">_xll.EQNXTDZ($A$1,$B14,AF$1)</f>
        <v>#NAME?</v>
      </c>
      <c r="AG14" s="116" t="e" cm="1">
        <f t="array" aca="1" ref="AG14" ca="1">_xll.EQNXTDZ($A$1,$B14,AG$1)</f>
        <v>#NAME?</v>
      </c>
      <c r="AH14" s="116" t="e" cm="1">
        <f t="array" aca="1" ref="AH14" ca="1">_xll.EQNXTDZ($A$1,$B14,AH$1)</f>
        <v>#NAME?</v>
      </c>
      <c r="AI14" s="116" t="e" cm="1">
        <f t="array" aca="1" ref="AI14" ca="1">_xll.EQNXTDZ($A$1,$B14,AI$1)</f>
        <v>#NAME?</v>
      </c>
      <c r="AJ14" s="116" t="e" cm="1">
        <f t="array" aca="1" ref="AJ14" ca="1">_xll.EQNXTDZ($A$1,$B14,AJ$1)</f>
        <v>#NAME?</v>
      </c>
      <c r="AK14" s="116" t="e" cm="1">
        <f t="array" aca="1" ref="AK14" ca="1">_xll.EQNXTDZ($A$1,$B14,AK$1)</f>
        <v>#NAME?</v>
      </c>
      <c r="AL14" s="116" t="e" cm="1">
        <f t="array" aca="1" ref="AL14" ca="1">_xll.EQNXTDZ($A$1,$B14,AL$1)</f>
        <v>#NAME?</v>
      </c>
      <c r="AM14" s="116" t="e" cm="1">
        <f t="array" aca="1" ref="AM14" ca="1">_xll.EQNXTDZ($A$1,$B14,AM$1)</f>
        <v>#NAME?</v>
      </c>
      <c r="AN14" s="116" t="e" cm="1">
        <f t="array" aca="1" ref="AN14" ca="1">_xll.EQNXTDZ($A$1,$B14,AN$1)</f>
        <v>#NAME?</v>
      </c>
      <c r="AO14" s="116" t="e" cm="1">
        <f t="array" aca="1" ref="AO14" ca="1">_xll.EQNXTDZ($A$1,$B14,AO$1)</f>
        <v>#NAME?</v>
      </c>
      <c r="AP14" s="116" t="e" cm="1">
        <f t="array" aca="1" ref="AP14" ca="1">_xll.EQNXTDZ($A$1,$B14,AP$1)</f>
        <v>#NAME?</v>
      </c>
      <c r="AQ14" s="116" t="e" cm="1">
        <f t="array" aca="1" ref="AQ14" ca="1">_xll.EQNXTDZ($A$1,$B14,AQ$1)</f>
        <v>#NAME?</v>
      </c>
      <c r="AR14" s="116" t="e" cm="1">
        <f t="array" aca="1" ref="AR14" ca="1">_xll.EQNXTDZ($A$1,$B14,AR$1)</f>
        <v>#NAME?</v>
      </c>
      <c r="AS14" s="116" t="e" cm="1">
        <f t="array" aca="1" ref="AS14" ca="1">_xll.EQNXTDZ($A$1,$B14,AS$1)</f>
        <v>#NAME?</v>
      </c>
      <c r="AT14" s="116" t="e" cm="1">
        <f t="array" aca="1" ref="AT14" ca="1">_xll.EQNXTDZ($A$1,$B14,AT$1)</f>
        <v>#NAME?</v>
      </c>
      <c r="AU14" s="116" t="e" cm="1">
        <f t="array" aca="1" ref="AU14" ca="1">_xll.EQNXTDZ($A$1,$B14,AU$1)</f>
        <v>#NAME?</v>
      </c>
      <c r="AV14" s="116" t="e" cm="1">
        <f t="array" aca="1" ref="AV14" ca="1">_xll.EQNXTDZ($A$1,$B14,AV$1)</f>
        <v>#NAME?</v>
      </c>
      <c r="AW14" s="116" t="e" cm="1">
        <f t="array" aca="1" ref="AW14" ca="1">_xll.EQNXTDZ($A$1,$B14,AW$1)</f>
        <v>#NAME?</v>
      </c>
      <c r="AX14" s="116" t="e" cm="1">
        <f t="array" aca="1" ref="AX14" ca="1">_xll.EQNXTDZ($A$1,$B14,AX$1)</f>
        <v>#NAME?</v>
      </c>
      <c r="AY14" s="116" t="e" cm="1">
        <f t="array" aca="1" ref="AY14" ca="1">_xll.EQNXTDZ($A$1,$B14,AY$1)</f>
        <v>#NAME?</v>
      </c>
      <c r="AZ14" s="116" t="e" cm="1">
        <f t="array" aca="1" ref="AZ14" ca="1">_xll.EQNXTDZ($A$1,$B14,AZ$1)</f>
        <v>#NAME?</v>
      </c>
      <c r="BA14" s="116" t="e" cm="1">
        <f t="array" aca="1" ref="BA14" ca="1">_xll.EQNXTDZ($A$1,$B14,BA$1)</f>
        <v>#NAME?</v>
      </c>
      <c r="BB14" s="116" t="e" cm="1">
        <f t="array" aca="1" ref="BB14" ca="1">_xll.EQNXTDZ($A$1,$B14,BB$1)</f>
        <v>#NAME?</v>
      </c>
      <c r="BC14" s="116" t="e" cm="1">
        <f t="array" aca="1" ref="BC14" ca="1">_xll.EQNXTDZ($A$1,$B14,BC$1)</f>
        <v>#NAME?</v>
      </c>
      <c r="BD14" s="116" t="e" cm="1">
        <f t="array" aca="1" ref="BD14" ca="1">_xll.EQNXTDZ($A$1,$B14,BD$1)</f>
        <v>#NAME?</v>
      </c>
      <c r="BE14" s="116" t="e" cm="1">
        <f t="array" aca="1" ref="BE14" ca="1">_xll.EQNXTDZ($A$1,$B14,BE$1)</f>
        <v>#NAME?</v>
      </c>
      <c r="BF14" s="116" t="e" cm="1">
        <f t="array" aca="1" ref="BF14" ca="1">_xll.EQNXTDZ($A$1,$B14,BF$1)</f>
        <v>#NAME?</v>
      </c>
      <c r="BG14" s="116" t="e" cm="1">
        <f t="array" aca="1" ref="BG14" ca="1">_xll.EQNXTDZ($A$1,$B14,BG$1)</f>
        <v>#NAME?</v>
      </c>
      <c r="BH14" s="116" t="e" cm="1">
        <f t="array" aca="1" ref="BH14" ca="1">_xll.EQNXTDZ($A$1,$B14,BH$1)</f>
        <v>#NAME?</v>
      </c>
      <c r="BI14" s="116" t="e" cm="1">
        <f t="array" aca="1" ref="BI14" ca="1">_xll.EQNXTDZ($A$1,$B14,BI$1)</f>
        <v>#NAME?</v>
      </c>
      <c r="BJ14" s="116" t="e" cm="1">
        <f t="array" aca="1" ref="BJ14" ca="1">_xll.EQNXTDZ($A$1,$B14,BJ$1)</f>
        <v>#NAME?</v>
      </c>
      <c r="BK14" s="116" t="e" cm="1">
        <f t="array" aca="1" ref="BK14" ca="1">_xll.EQNXTDZ($A$1,$B14,BK$1)</f>
        <v>#NAME?</v>
      </c>
      <c r="BL14" s="116" t="e" cm="1">
        <f t="array" aca="1" ref="BL14" ca="1">_xll.EQNXTDZ($A$1,$B14,BL$1)</f>
        <v>#NAME?</v>
      </c>
      <c r="BM14" s="116" t="e" cm="1">
        <f t="array" aca="1" ref="BM14" ca="1">_xll.EQNXTDZ($A$1,$B14,BM$1)</f>
        <v>#NAME?</v>
      </c>
      <c r="BN14" s="116" t="e" cm="1">
        <f t="array" aca="1" ref="BN14" ca="1">_xll.EQNXTDZ($A$1,$B14,BN$1)</f>
        <v>#NAME?</v>
      </c>
      <c r="BO14" s="116" t="e" cm="1">
        <f t="array" aca="1" ref="BO14" ca="1">_xll.EQNXTDZ($A$1,$B14,BO$1)</f>
        <v>#NAME?</v>
      </c>
      <c r="BP14" s="116" t="e" cm="1">
        <f t="array" aca="1" ref="BP14" ca="1">_xll.EQNXTDZ($A$1,$B14,BP$1)</f>
        <v>#NAME?</v>
      </c>
      <c r="BQ14" s="116" t="e" cm="1">
        <f t="array" aca="1" ref="BQ14" ca="1">_xll.EQNXTDZ($A$1,$B14,BQ$1)</f>
        <v>#NAME?</v>
      </c>
      <c r="BR14" s="116" t="e" cm="1">
        <f t="array" aca="1" ref="BR14" ca="1">_xll.EQNXTDZ($A$1,$B14,BR$1)</f>
        <v>#NAME?</v>
      </c>
      <c r="BS14" s="116" t="e" cm="1">
        <f t="array" aca="1" ref="BS14" ca="1">_xll.EQNXTDZ($A$1,$B14,BS$1)</f>
        <v>#NAME?</v>
      </c>
      <c r="BT14" s="116" t="e" cm="1">
        <f t="array" aca="1" ref="BT14" ca="1">_xll.EQNXTDZ($A$1,$B14,BT$1)</f>
        <v>#NAME?</v>
      </c>
      <c r="BU14" s="116" t="e" cm="1">
        <f t="array" aca="1" ref="BU14" ca="1">_xll.EQNXTDZ($A$1,$B14,BU$1)</f>
        <v>#NAME?</v>
      </c>
      <c r="BV14" s="116" t="e" cm="1">
        <f t="array" aca="1" ref="BV14" ca="1">_xll.EQNXTDZ($A$1,$B14,BV$1)</f>
        <v>#NAME?</v>
      </c>
      <c r="BW14" s="116" t="e" cm="1">
        <f t="array" aca="1" ref="BW14" ca="1">_xll.EQNXTDZ($A$1,$B14,BW$1)</f>
        <v>#NAME?</v>
      </c>
      <c r="BX14" s="116" t="e" cm="1">
        <f t="array" aca="1" ref="BX14" ca="1">_xll.EQNXTDZ($A$1,$B14,BX$1)</f>
        <v>#NAME?</v>
      </c>
      <c r="BY14" s="116" t="e" cm="1">
        <f t="array" aca="1" ref="BY14" ca="1">_xll.EQNXTDZ($A$1,$B14,BY$1)</f>
        <v>#NAME?</v>
      </c>
      <c r="BZ14" s="116" t="e" cm="1">
        <f t="array" aca="1" ref="BZ14" ca="1">_xll.EQNXTDZ($A$1,$B14,BZ$1)</f>
        <v>#NAME?</v>
      </c>
      <c r="CA14" s="116" t="e" cm="1">
        <f t="array" aca="1" ref="CA14" ca="1">_xll.EQNXTDZ($A$1,$B14,CA$1)</f>
        <v>#NAME?</v>
      </c>
      <c r="CB14" s="116" t="e" cm="1">
        <f t="array" aca="1" ref="CB14" ca="1">_xll.EQNXTDZ($A$1,$B14,CB$1)</f>
        <v>#NAME?</v>
      </c>
      <c r="CC14" s="116" t="e" cm="1">
        <f t="array" aca="1" ref="CC14" ca="1">_xll.EQNXTDZ($A$1,$B14,CC$1)</f>
        <v>#NAME?</v>
      </c>
      <c r="CD14" s="116" t="e" cm="1">
        <f t="array" aca="1" ref="CD14" ca="1">_xll.EQNXTDZ($A$1,$B14,CD$1)</f>
        <v>#NAME?</v>
      </c>
      <c r="CE14" s="116" t="e" cm="1">
        <f t="array" aca="1" ref="CE14" ca="1">_xll.EQNXTDZ($A$1,$B14,CE$1)</f>
        <v>#NAME?</v>
      </c>
      <c r="CF14" s="116" t="e" cm="1">
        <f t="array" aca="1" ref="CF14" ca="1">_xll.EQNXTDZ($A$1,$B14,CF$1)</f>
        <v>#NAME?</v>
      </c>
      <c r="CG14" s="116" t="e" cm="1">
        <f t="array" aca="1" ref="CG14" ca="1">_xll.EQNXTDZ($A$1,$B14,CG$1)</f>
        <v>#NAME?</v>
      </c>
      <c r="CH14" s="116" t="e" cm="1">
        <f t="array" aca="1" ref="CH14" ca="1">_xll.EQNXTDZ($A$1,$B14,CH$1)</f>
        <v>#NAME?</v>
      </c>
      <c r="CI14" s="116" t="e" cm="1">
        <f t="array" aca="1" ref="CI14" ca="1">_xll.EQNXTDZ($A$1,$B14,CI$1)</f>
        <v>#NAME?</v>
      </c>
      <c r="CJ14" s="116" t="e" cm="1">
        <f t="array" aca="1" ref="CJ14" ca="1">_xll.EQNXTDZ($A$1,$B14,CJ$1)</f>
        <v>#NAME?</v>
      </c>
      <c r="CK14" s="116" t="e" cm="1">
        <f t="array" aca="1" ref="CK14" ca="1">_xll.EQNXTDZ($A$1,$B14,CK$1)</f>
        <v>#NAME?</v>
      </c>
      <c r="CL14" s="116" t="e" cm="1">
        <f t="array" aca="1" ref="CL14" ca="1">_xll.EQNXTDZ($A$1,$B14,CL$1)</f>
        <v>#NAME?</v>
      </c>
      <c r="CM14" s="116" t="e" cm="1">
        <f t="array" aca="1" ref="CM14" ca="1">_xll.EQNXTDZ($A$1,$B14,CM$1)</f>
        <v>#NAME?</v>
      </c>
      <c r="CN14" s="116" t="e" cm="1">
        <f t="array" aca="1" ref="CN14" ca="1">_xll.EQNXTDZ($A$1,$B14,CN$1)</f>
        <v>#NAME?</v>
      </c>
      <c r="CO14" s="116" t="e" cm="1">
        <f t="array" aca="1" ref="CO14" ca="1">_xll.EQNXTDZ($A$1,$B14,CO$1)</f>
        <v>#NAME?</v>
      </c>
      <c r="CP14" s="116" t="e" cm="1">
        <f t="array" aca="1" ref="CP14" ca="1">_xll.EQNXTDZ($A$1,$B14,CP$1)</f>
        <v>#NAME?</v>
      </c>
      <c r="CQ14" s="116" t="e" cm="1">
        <f t="array" aca="1" ref="CQ14" ca="1">_xll.EQNXTDZ($A$1,$B14,CQ$1)</f>
        <v>#NAME?</v>
      </c>
      <c r="CR14" s="116" t="e" cm="1">
        <f t="array" aca="1" ref="CR14" ca="1">_xll.EQNXTDZ($A$1,$B14,CR$1)</f>
        <v>#NAME?</v>
      </c>
      <c r="CS14" s="116" t="e" cm="1">
        <f t="array" aca="1" ref="CS14" ca="1">_xll.EQNXTDZ($A$1,$B14,CS$1)</f>
        <v>#NAME?</v>
      </c>
      <c r="CT14" s="116" t="e" cm="1">
        <f t="array" aca="1" ref="CT14" ca="1">_xll.EQNXTDZ($A$1,$B14,CT$1)</f>
        <v>#NAME?</v>
      </c>
      <c r="CU14" s="116" t="e" cm="1">
        <f t="array" aca="1" ref="CU14" ca="1">_xll.EQNXTDZ($A$1,$B14,CU$1)</f>
        <v>#NAME?</v>
      </c>
      <c r="CV14" s="116" t="e" cm="1">
        <f t="array" aca="1" ref="CV14" ca="1">_xll.EQNXTDZ($A$1,$B14,CV$1)</f>
        <v>#NAME?</v>
      </c>
      <c r="CW14" s="116" t="e" cm="1">
        <f t="array" aca="1" ref="CW14" ca="1">_xll.EQNXTDZ($A$1,$B14,CW$1)</f>
        <v>#NAME?</v>
      </c>
      <c r="CX14" s="116" t="e" cm="1">
        <f t="array" aca="1" ref="CX14" ca="1">_xll.EQNXTDZ($A$1,$B14,CX$1)</f>
        <v>#NAME?</v>
      </c>
      <c r="CY14" s="116" t="e" cm="1">
        <f t="array" aca="1" ref="CY14" ca="1">_xll.EQNXTDZ($A$1,$B14,CY$1)</f>
        <v>#NAME?</v>
      </c>
      <c r="CZ14" s="116" t="e" cm="1">
        <f t="array" aca="1" ref="CZ14" ca="1">_xll.EQNXTDZ($A$1,$B14,CZ$1)</f>
        <v>#NAME?</v>
      </c>
      <c r="DA14" s="116" t="e" cm="1">
        <f t="array" aca="1" ref="DA14" ca="1">_xll.EQNXTDZ($A$1,$B14,DA$1)</f>
        <v>#NAME?</v>
      </c>
      <c r="DB14" s="116" t="e" cm="1">
        <f t="array" aca="1" ref="DB14" ca="1">_xll.EQNXTDZ($A$1,$B14,DB$1)</f>
        <v>#NAME?</v>
      </c>
      <c r="DC14" s="116" t="e" cm="1">
        <f t="array" aca="1" ref="DC14" ca="1">_xll.EQNXTDZ($A$1,$B14,DC$1)</f>
        <v>#NAME?</v>
      </c>
      <c r="DD14" s="116" t="e" cm="1">
        <f t="array" aca="1" ref="DD14" ca="1">_xll.EQNXTDZ($A$1,$B14,DD$1)</f>
        <v>#NAME?</v>
      </c>
      <c r="DE14" s="116" t="e" cm="1">
        <f t="array" aca="1" ref="DE14" ca="1">_xll.EQNXTDZ($A$1,$B14,DE$1)</f>
        <v>#NAME?</v>
      </c>
      <c r="DF14" s="116" t="e" cm="1">
        <f t="array" aca="1" ref="DF14" ca="1">_xll.EQNXTDZ($A$1,$B14,DF$1)</f>
        <v>#NAME?</v>
      </c>
      <c r="DG14" s="116" t="e" cm="1">
        <f t="array" aca="1" ref="DG14" ca="1">_xll.EQNXTDZ($A$1,$B14,DG$1)</f>
        <v>#NAME?</v>
      </c>
      <c r="DH14" s="116" t="e" cm="1">
        <f t="array" aca="1" ref="DH14" ca="1">_xll.EQNXTDZ($A$1,$B14,DH$1)</f>
        <v>#NAME?</v>
      </c>
      <c r="DI14" s="116" t="e" cm="1">
        <f t="array" aca="1" ref="DI14" ca="1">_xll.EQNXTDZ($A$1,$B14,DI$1)</f>
        <v>#NAME?</v>
      </c>
      <c r="DJ14" s="116" t="e" cm="1">
        <f t="array" aca="1" ref="DJ14" ca="1">_xll.EQNXTDZ($A$1,$B14,DJ$1)</f>
        <v>#NAME?</v>
      </c>
      <c r="DK14" s="116" t="e" cm="1">
        <f t="array" aca="1" ref="DK14" ca="1">_xll.EQNXTDZ($A$1,$B14,DK$1)</f>
        <v>#NAME?</v>
      </c>
      <c r="DL14" s="116" t="e" cm="1">
        <f t="array" aca="1" ref="DL14" ca="1">_xll.EQNXTDZ($A$1,$B14,DL$1)</f>
        <v>#NAME?</v>
      </c>
      <c r="DM14" s="116" t="e" cm="1">
        <f t="array" aca="1" ref="DM14" ca="1">_xll.EQNXTDZ($A$1,$B14,DM$1)</f>
        <v>#NAME?</v>
      </c>
      <c r="DN14" s="116" t="e" cm="1">
        <f t="array" aca="1" ref="DN14" ca="1">_xll.EQNXTDZ($A$1,$B14,DN$1)</f>
        <v>#NAME?</v>
      </c>
      <c r="DO14" s="116" t="e" cm="1">
        <f t="array" aca="1" ref="DO14" ca="1">_xll.EQNXTDZ($A$1,$B14,DO$1)</f>
        <v>#NAME?</v>
      </c>
      <c r="DP14" s="116" t="e" cm="1">
        <f t="array" aca="1" ref="DP14" ca="1">_xll.EQNXTDZ($A$1,$B14,DP$1)</f>
        <v>#NAME?</v>
      </c>
      <c r="DQ14" s="116" t="e" cm="1">
        <f t="array" aca="1" ref="DQ14" ca="1">_xll.EQNXTDZ($A$1,$B14,DQ$1)</f>
        <v>#NAME?</v>
      </c>
      <c r="DR14" s="116" t="e" cm="1">
        <f t="array" aca="1" ref="DR14" ca="1">_xll.EQNXTDZ($A$1,$B14,DR$1)</f>
        <v>#NAME?</v>
      </c>
      <c r="DS14" s="116" t="e" cm="1">
        <f t="array" aca="1" ref="DS14" ca="1">_xll.EQNXTDZ($A$1,$B14,DS$1)</f>
        <v>#NAME?</v>
      </c>
      <c r="DT14" s="116" t="e" cm="1">
        <f t="array" aca="1" ref="DT14" ca="1">_xll.EQNXTDZ($A$1,$B14,DT$1)</f>
        <v>#NAME?</v>
      </c>
      <c r="DU14" s="116" t="e" cm="1">
        <f t="array" aca="1" ref="DU14" ca="1">_xll.EQNXTDZ($A$1,$B14,DU$1)</f>
        <v>#NAME?</v>
      </c>
      <c r="DV14" s="116" t="e" cm="1">
        <f t="array" aca="1" ref="DV14" ca="1">_xll.EQNXTDZ($A$1,$B14,DV$1)</f>
        <v>#NAME?</v>
      </c>
      <c r="DW14" s="116" t="e" cm="1">
        <f t="array" aca="1" ref="DW14" ca="1">_xll.EQNXTDZ($A$1,$B14,DW$1)</f>
        <v>#NAME?</v>
      </c>
      <c r="DX14" s="116" t="e" cm="1">
        <f t="array" aca="1" ref="DX14" ca="1">_xll.EQNXTDZ($A$1,$B14,DX$1)</f>
        <v>#NAME?</v>
      </c>
      <c r="DY14" s="116" t="e" cm="1">
        <f t="array" aca="1" ref="DY14" ca="1">_xll.EQNXTDZ($A$1,$B14,DY$1)</f>
        <v>#NAME?</v>
      </c>
      <c r="DZ14" s="116" t="e" cm="1">
        <f t="array" aca="1" ref="DZ14" ca="1">_xll.EQNXTDZ($A$1,$B14,DZ$1)</f>
        <v>#NAME?</v>
      </c>
      <c r="EA14" s="116" t="e" cm="1">
        <f t="array" aca="1" ref="EA14" ca="1">_xll.EQNXTDZ($A$1,$B14,EA$1)</f>
        <v>#NAME?</v>
      </c>
      <c r="EB14" s="116" t="e" cm="1">
        <f t="array" aca="1" ref="EB14" ca="1">_xll.EQNXTDZ($A$1,$B14,EB$1)</f>
        <v>#NAME?</v>
      </c>
      <c r="EC14" s="116" t="e" cm="1">
        <f t="array" aca="1" ref="EC14" ca="1">_xll.EQNXTDZ($A$1,$B14,EC$1)</f>
        <v>#NAME?</v>
      </c>
      <c r="ED14" s="116" t="e" cm="1">
        <f t="array" aca="1" ref="ED14" ca="1">_xll.EQNXTDZ($A$1,$B14,ED$1)</f>
        <v>#NAME?</v>
      </c>
      <c r="EE14" s="116" t="e" cm="1">
        <f t="array" aca="1" ref="EE14" ca="1">_xll.EQNXTDZ($A$1,$B14,EE$1)</f>
        <v>#NAME?</v>
      </c>
      <c r="EF14" s="116" t="e" cm="1">
        <f t="array" aca="1" ref="EF14" ca="1">_xll.EQNXTDZ($A$1,$B14,EF$1)</f>
        <v>#NAME?</v>
      </c>
      <c r="EG14" s="116" t="e" cm="1">
        <f t="array" aca="1" ref="EG14" ca="1">_xll.EQNXTDZ($A$1,$B14,EG$1)</f>
        <v>#NAME?</v>
      </c>
      <c r="EH14" s="116" t="e" cm="1">
        <f t="array" aca="1" ref="EH14" ca="1">_xll.EQNXTDZ($A$1,$B14,EH$1)</f>
        <v>#NAME?</v>
      </c>
      <c r="EI14" s="116" t="e" cm="1">
        <f t="array" aca="1" ref="EI14" ca="1">_xll.EQNXTDZ($A$1,$B14,EI$1)</f>
        <v>#NAME?</v>
      </c>
      <c r="EJ14" s="116" t="e" cm="1">
        <f t="array" aca="1" ref="EJ14" ca="1">_xll.EQNXTDZ($A$1,$B14,EJ$1)</f>
        <v>#NAME?</v>
      </c>
      <c r="EK14" s="116" t="e" cm="1">
        <f t="array" aca="1" ref="EK14" ca="1">_xll.EQNXTDZ($A$1,$B14,EK$1)</f>
        <v>#NAME?</v>
      </c>
      <c r="EL14" s="116" t="e" cm="1">
        <f t="array" aca="1" ref="EL14" ca="1">_xll.EQNXTDZ($A$1,$B14,EL$1)</f>
        <v>#NAME?</v>
      </c>
      <c r="EM14" s="116" t="e" cm="1">
        <f t="array" aca="1" ref="EM14" ca="1">_xll.EQNXTDZ($A$1,$B14,EM$1)</f>
        <v>#NAME?</v>
      </c>
      <c r="EN14" s="116" t="e" cm="1">
        <f t="array" aca="1" ref="EN14" ca="1">_xll.EQNXTDZ($A$1,$B14,EN$1)</f>
        <v>#NAME?</v>
      </c>
      <c r="EO14" s="116" t="e" cm="1">
        <f t="array" aca="1" ref="EO14" ca="1">_xll.EQNXTDZ($A$1,$B14,EO$1)</f>
        <v>#NAME?</v>
      </c>
      <c r="EP14" s="116" t="e" cm="1">
        <f t="array" aca="1" ref="EP14" ca="1">_xll.EQNXTDZ($A$1,$B14,EP$1)</f>
        <v>#NAME?</v>
      </c>
      <c r="EQ14" s="116" t="e" cm="1">
        <f t="array" aca="1" ref="EQ14" ca="1">_xll.EQNXTDZ($A$1,$B14,EQ$1)</f>
        <v>#NAME?</v>
      </c>
      <c r="ER14" s="116" t="e" cm="1">
        <f t="array" aca="1" ref="ER14" ca="1">_xll.EQNXTDZ($A$1,$B14,ER$1)</f>
        <v>#NAME?</v>
      </c>
      <c r="ES14" s="116" t="e" cm="1">
        <f t="array" aca="1" ref="ES14" ca="1">_xll.EQNXTDZ($A$1,$B14,ES$1)</f>
        <v>#NAME?</v>
      </c>
      <c r="ET14" s="116" t="e" cm="1">
        <f t="array" aca="1" ref="ET14" ca="1">_xll.EQNXTDZ($A$1,$B14,ET$1)</f>
        <v>#NAME?</v>
      </c>
      <c r="EU14" s="116" t="e" cm="1">
        <f t="array" aca="1" ref="EU14" ca="1">_xll.EQNXTDZ($A$1,$B14,EU$1)</f>
        <v>#NAME?</v>
      </c>
      <c r="EV14" s="116" t="e" cm="1">
        <f t="array" aca="1" ref="EV14" ca="1">_xll.EQNXTDZ($A$1,$B14,EV$1)</f>
        <v>#NAME?</v>
      </c>
      <c r="EW14" s="116" t="e" cm="1">
        <f t="array" aca="1" ref="EW14" ca="1">_xll.EQNXTDZ($A$1,$B14,EW$1)</f>
        <v>#NAME?</v>
      </c>
      <c r="EX14" s="116" t="e" cm="1">
        <f t="array" aca="1" ref="EX14" ca="1">_xll.EQNXTDZ($A$1,$B14,EX$1)</f>
        <v>#NAME?</v>
      </c>
      <c r="EY14" s="116" t="e" cm="1">
        <f t="array" aca="1" ref="EY14" ca="1">_xll.EQNXTDZ($A$1,$B14,EY$1)</f>
        <v>#NAME?</v>
      </c>
      <c r="EZ14" s="116" t="e" cm="1">
        <f t="array" aca="1" ref="EZ14" ca="1">_xll.EQNXTDZ($A$1,$B14,EZ$1)</f>
        <v>#NAME?</v>
      </c>
      <c r="FA14" s="116" t="e" cm="1">
        <f t="array" aca="1" ref="FA14" ca="1">_xll.EQNXTDZ($A$1,$B14,FA$1)</f>
        <v>#NAME?</v>
      </c>
      <c r="FB14" s="116" t="e" cm="1">
        <f t="array" aca="1" ref="FB14" ca="1">_xll.EQNXTDZ($A$1,$B14,FB$1)</f>
        <v>#NAME?</v>
      </c>
      <c r="FC14" s="116" t="e" cm="1">
        <f t="array" aca="1" ref="FC14" ca="1">_xll.EQNXTDZ($A$1,$B14,FC$1)</f>
        <v>#NAME?</v>
      </c>
      <c r="FD14" s="116" t="e" cm="1">
        <f t="array" aca="1" ref="FD14" ca="1">_xll.EQNXTDZ($A$1,$B14,FD$1)</f>
        <v>#NAME?</v>
      </c>
      <c r="FE14" s="116" t="e" cm="1">
        <f t="array" aca="1" ref="FE14" ca="1">_xll.EQNXTDZ($A$1,$B14,FE$1)</f>
        <v>#NAME?</v>
      </c>
      <c r="FF14" s="116" t="e" cm="1">
        <f t="array" aca="1" ref="FF14" ca="1">_xll.EQNXTDZ($A$1,$B14,FF$1)</f>
        <v>#NAME?</v>
      </c>
      <c r="FG14" s="116" t="e" cm="1">
        <f t="array" aca="1" ref="FG14" ca="1">_xll.EQNXTDZ($A$1,$B14,FG$1)</f>
        <v>#NAME?</v>
      </c>
      <c r="FH14" s="116" t="e" cm="1">
        <f t="array" aca="1" ref="FH14" ca="1">_xll.EQNXTDZ($A$1,$B14,FH$1)</f>
        <v>#NAME?</v>
      </c>
      <c r="FI14" s="116" t="e" cm="1">
        <f t="array" aca="1" ref="FI14" ca="1">_xll.EQNXTDZ($A$1,$B14,FI$1)</f>
        <v>#NAME?</v>
      </c>
      <c r="FJ14" s="116" t="e" cm="1">
        <f t="array" aca="1" ref="FJ14" ca="1">_xll.EQNXTDZ($A$1,$B14,FJ$1)</f>
        <v>#NAME?</v>
      </c>
      <c r="FK14" s="116" t="e" cm="1">
        <f t="array" aca="1" ref="FK14" ca="1">_xll.EQNXTDZ($A$1,$B14,FK$1)</f>
        <v>#NAME?</v>
      </c>
      <c r="FL14" s="116" t="e" cm="1">
        <f t="array" aca="1" ref="FL14" ca="1">_xll.EQNXTDZ($A$1,$B14,FL$1)</f>
        <v>#NAME?</v>
      </c>
      <c r="FM14" s="116" t="e" cm="1">
        <f t="array" aca="1" ref="FM14" ca="1">_xll.EQNXTDZ($A$1,$B14,FM$1)</f>
        <v>#NAME?</v>
      </c>
      <c r="FN14" s="116" t="e" cm="1">
        <f t="array" aca="1" ref="FN14" ca="1">_xll.EQNXTDZ($A$1,$B14,FN$1)</f>
        <v>#NAME?</v>
      </c>
      <c r="FO14" s="116" t="e" cm="1">
        <f t="array" aca="1" ref="FO14" ca="1">_xll.EQNXTDZ($A$1,$B14,FO$1)</f>
        <v>#NAME?</v>
      </c>
      <c r="FP14" s="116" t="e" cm="1">
        <f t="array" aca="1" ref="FP14" ca="1">_xll.EQNXTDZ($A$1,$B14,FP$1)</f>
        <v>#NAME?</v>
      </c>
      <c r="FQ14" s="116" t="e" cm="1">
        <f t="array" aca="1" ref="FQ14" ca="1">_xll.EQNXTDZ($A$1,$B14,FQ$1)</f>
        <v>#NAME?</v>
      </c>
      <c r="FR14" s="116" t="e" cm="1">
        <f t="array" aca="1" ref="FR14" ca="1">_xll.EQNXTDZ($A$1,$B14,FR$1)</f>
        <v>#NAME?</v>
      </c>
      <c r="FS14" s="116" t="e" cm="1">
        <f t="array" aca="1" ref="FS14" ca="1">_xll.EQNXTDZ($A$1,$B14,FS$1)</f>
        <v>#NAME?</v>
      </c>
      <c r="FT14" s="116" t="e" cm="1">
        <f t="array" aca="1" ref="FT14" ca="1">_xll.EQNXTDZ($A$1,$B14,FT$1)</f>
        <v>#NAME?</v>
      </c>
      <c r="FU14" s="116" t="e" cm="1">
        <f t="array" aca="1" ref="FU14" ca="1">_xll.EQNXTDZ($A$1,$B14,FU$1)</f>
        <v>#NAME?</v>
      </c>
      <c r="FV14" s="116" t="e" cm="1">
        <f t="array" aca="1" ref="FV14" ca="1">_xll.EQNXTDZ($A$1,$B14,FV$1)</f>
        <v>#NAME?</v>
      </c>
      <c r="FW14" s="116" t="e" cm="1">
        <f t="array" aca="1" ref="FW14" ca="1">_xll.EQNXTDZ($A$1,$B14,FW$1)</f>
        <v>#NAME?</v>
      </c>
      <c r="FX14" s="116" t="e" cm="1">
        <f t="array" aca="1" ref="FX14" ca="1">_xll.EQNXTDZ($A$1,$B14,FX$1)</f>
        <v>#NAME?</v>
      </c>
      <c r="FY14" s="116" t="e" cm="1">
        <f t="array" aca="1" ref="FY14" ca="1">_xll.EQNXTDZ($A$1,$B14,FY$1)</f>
        <v>#NAME?</v>
      </c>
      <c r="FZ14" s="116" t="e" cm="1">
        <f t="array" aca="1" ref="FZ14" ca="1">_xll.EQNXTDZ($A$1,$B14,FZ$1)</f>
        <v>#NAME?</v>
      </c>
      <c r="GA14" s="116" t="e" cm="1">
        <f t="array" aca="1" ref="GA14" ca="1">_xll.EQNXTDZ($A$1,$B14,GA$1)</f>
        <v>#NAME?</v>
      </c>
      <c r="GB14" s="116" t="e" cm="1">
        <f t="array" aca="1" ref="GB14" ca="1">_xll.EQNXTDZ($A$1,$B14,GB$1)</f>
        <v>#NAME?</v>
      </c>
      <c r="GC14" s="116" t="e" cm="1">
        <f t="array" aca="1" ref="GC14" ca="1">_xll.EQNXTDZ($A$1,$B14,GC$1)</f>
        <v>#NAME?</v>
      </c>
      <c r="GD14" s="116" t="e" cm="1">
        <f t="array" aca="1" ref="GD14" ca="1">_xll.EQNXTDZ($A$1,$B14,GD$1)</f>
        <v>#NAME?</v>
      </c>
      <c r="GE14" s="116" t="e" cm="1">
        <f t="array" aca="1" ref="GE14" ca="1">_xll.EQNXTDZ($A$1,$B14,GE$1)</f>
        <v>#NAME?</v>
      </c>
      <c r="GF14" s="116" t="e" cm="1">
        <f t="array" aca="1" ref="GF14" ca="1">_xll.EQNXTDZ($A$1,$B14,GF$1)</f>
        <v>#NAME?</v>
      </c>
      <c r="GG14" s="116" t="e" cm="1">
        <f t="array" aca="1" ref="GG14" ca="1">_xll.EQNXTDZ($A$1,$B14,GG$1)</f>
        <v>#NAME?</v>
      </c>
      <c r="GH14" s="116" t="e" cm="1">
        <f t="array" aca="1" ref="GH14" ca="1">_xll.EQNXTDZ($A$1,$B14,GH$1)</f>
        <v>#NAME?</v>
      </c>
      <c r="GI14" s="116" t="e" cm="1">
        <f t="array" aca="1" ref="GI14" ca="1">_xll.EQNXTDZ($A$1,$B14,GI$1)</f>
        <v>#NAME?</v>
      </c>
      <c r="GJ14" s="116" t="e" cm="1">
        <f t="array" aca="1" ref="GJ14" ca="1">_xll.EQNXTDZ($A$1,$B14,GJ$1)</f>
        <v>#NAME?</v>
      </c>
      <c r="GK14" s="116" t="e" cm="1">
        <f t="array" aca="1" ref="GK14" ca="1">_xll.EQNXTDZ($A$1,$B14,GK$1)</f>
        <v>#NAME?</v>
      </c>
      <c r="GL14" s="116" t="e" cm="1">
        <f t="array" aca="1" ref="GL14" ca="1">_xll.EQNXTDZ($A$1,$B14,GL$1)</f>
        <v>#NAME?</v>
      </c>
      <c r="GM14" s="116" t="e" cm="1">
        <f t="array" aca="1" ref="GM14" ca="1">_xll.EQNXTDZ($A$1,$B14,GM$1)</f>
        <v>#NAME?</v>
      </c>
      <c r="GN14" s="116" t="e" cm="1">
        <f t="array" aca="1" ref="GN14" ca="1">_xll.EQNXTDZ($A$1,$B14,GN$1)</f>
        <v>#NAME?</v>
      </c>
      <c r="GO14" s="116" t="e" cm="1">
        <f t="array" aca="1" ref="GO14" ca="1">_xll.EQNXTDZ($A$1,$B14,GO$1)</f>
        <v>#NAME?</v>
      </c>
      <c r="GP14" s="116" t="e" cm="1">
        <f t="array" aca="1" ref="GP14" ca="1">_xll.EQNXTDZ($A$1,$B14,GP$1)</f>
        <v>#NAME?</v>
      </c>
      <c r="GQ14" s="116" t="e" cm="1">
        <f t="array" aca="1" ref="GQ14" ca="1">_xll.EQNXTDZ($A$1,$B14,GQ$1)</f>
        <v>#NAME?</v>
      </c>
      <c r="GR14" s="116" t="e" cm="1">
        <f t="array" aca="1" ref="GR14" ca="1">_xll.EQNXTDZ($A$1,$B14,GR$1)</f>
        <v>#NAME?</v>
      </c>
      <c r="GS14" s="116" t="e" cm="1">
        <f t="array" aca="1" ref="GS14" ca="1">_xll.EQNXTDZ($A$1,$B14,GS$1)</f>
        <v>#NAME?</v>
      </c>
      <c r="GT14" s="116" t="e" cm="1">
        <f t="array" aca="1" ref="GT14" ca="1">_xll.EQNXTDZ($A$1,$B14,GT$1)</f>
        <v>#NAME?</v>
      </c>
      <c r="GU14" s="116" t="e" cm="1">
        <f t="array" aca="1" ref="GU14" ca="1">_xll.EQNXTDZ($A$1,$B14,GU$1)</f>
        <v>#NAME?</v>
      </c>
      <c r="GV14" s="116" t="e" cm="1">
        <f t="array" aca="1" ref="GV14" ca="1">_xll.EQNXTDZ($A$1,$B14,GV$1)</f>
        <v>#NAME?</v>
      </c>
      <c r="GW14" s="116" t="e" cm="1">
        <f t="array" aca="1" ref="GW14" ca="1">_xll.EQNXTDZ($A$1,$B14,GW$1)</f>
        <v>#NAME?</v>
      </c>
      <c r="GX14" s="116" t="e" cm="1">
        <f t="array" aca="1" ref="GX14" ca="1">_xll.EQNXTDZ($A$1,$B14,GX$1)</f>
        <v>#NAME?</v>
      </c>
      <c r="GY14" s="116" t="e" cm="1">
        <f t="array" aca="1" ref="GY14" ca="1">_xll.EQNXTDZ($A$1,$B14,GY$1)</f>
        <v>#NAME?</v>
      </c>
      <c r="GZ14" s="116" t="e" cm="1">
        <f t="array" aca="1" ref="GZ14" ca="1">_xll.EQNXTDZ($A$1,$B14,GZ$1)</f>
        <v>#NAME?</v>
      </c>
      <c r="HA14" s="116" t="e" cm="1">
        <f t="array" aca="1" ref="HA14" ca="1">_xll.EQNXTDZ($A$1,$B14,HA$1)</f>
        <v>#NAME?</v>
      </c>
      <c r="HB14" s="116" t="e" cm="1">
        <f t="array" aca="1" ref="HB14" ca="1">_xll.EQNXTDZ($A$1,$B14,HB$1)</f>
        <v>#NAME?</v>
      </c>
      <c r="HC14" s="116" t="e" cm="1">
        <f t="array" aca="1" ref="HC14" ca="1">_xll.EQNXTDZ($A$1,$B14,HC$1)</f>
        <v>#NAME?</v>
      </c>
      <c r="HD14" s="116" t="e" cm="1">
        <f t="array" aca="1" ref="HD14" ca="1">_xll.EQNXTDZ($A$1,$B14,HD$1)</f>
        <v>#NAME?</v>
      </c>
      <c r="HE14" s="116" t="e" cm="1">
        <f t="array" aca="1" ref="HE14" ca="1">_xll.EQNXTDZ($A$1,$B14,HE$1)</f>
        <v>#NAME?</v>
      </c>
      <c r="HF14" s="116" t="e" cm="1">
        <f t="array" aca="1" ref="HF14" ca="1">_xll.EQNXTDZ($A$1,$B14,HF$1)</f>
        <v>#NAME?</v>
      </c>
      <c r="HG14" s="116" t="e" cm="1">
        <f t="array" aca="1" ref="HG14" ca="1">_xll.EQNXTDZ($A$1,$B14,HG$1)</f>
        <v>#NAME?</v>
      </c>
      <c r="HH14" s="116" t="e" cm="1">
        <f t="array" aca="1" ref="HH14" ca="1">_xll.EQNXTDZ($A$1,$B14,HH$1)</f>
        <v>#NAME?</v>
      </c>
      <c r="HP14" s="116" t="e">
        <f ca="1">+MAX(D14:F14)</f>
        <v>#NAME?</v>
      </c>
      <c r="HQ14" s="116" t="e">
        <f ca="1">+MAX(G14:I14)</f>
        <v>#NAME?</v>
      </c>
      <c r="HR14" s="116" t="e">
        <f ca="1">+MAX(J14:L14)</f>
        <v>#NAME?</v>
      </c>
      <c r="HS14" s="116" t="e">
        <f ca="1">+MAX(M14:O14)</f>
        <v>#NAME?</v>
      </c>
      <c r="HT14" s="116" t="e">
        <f ca="1">+MAX(P14:R14)</f>
        <v>#NAME?</v>
      </c>
      <c r="HU14" s="116" t="e">
        <f ca="1">+MAX(S14:U14)</f>
        <v>#NAME?</v>
      </c>
      <c r="HV14" s="116" t="e">
        <f ca="1">+MAX(V14:X14)</f>
        <v>#NAME?</v>
      </c>
      <c r="HW14" s="116" t="e">
        <f ca="1">+MAX(Y14:AA14)</f>
        <v>#NAME?</v>
      </c>
      <c r="HX14" s="116" t="e">
        <f ca="1">+MAX(AB14:AD14)</f>
        <v>#NAME?</v>
      </c>
      <c r="HY14" s="116" t="e">
        <f ca="1">+MAX(AE14:AG14)</f>
        <v>#NAME?</v>
      </c>
      <c r="HZ14" s="116" t="e">
        <f ca="1">+MAX(AH14:AJ14)</f>
        <v>#NAME?</v>
      </c>
      <c r="IA14" s="116" t="e">
        <f ca="1">+MAX(AK14:AM14)</f>
        <v>#NAME?</v>
      </c>
      <c r="IB14" s="116" t="e">
        <f ca="1">+MAX(AN14:AP14)</f>
        <v>#NAME?</v>
      </c>
      <c r="IC14" s="116" t="e">
        <f ca="1">+MAX(AQ14:AS14)</f>
        <v>#NAME?</v>
      </c>
      <c r="ID14" s="116" t="e">
        <f ca="1">+MAX(AT14:AV14)</f>
        <v>#NAME?</v>
      </c>
      <c r="IE14" s="116" t="e">
        <f ca="1">+MAX(AW14:AY14)</f>
        <v>#NAME?</v>
      </c>
      <c r="IF14" s="116" t="e">
        <f ca="1">+MAX(AZ14:BB14)</f>
        <v>#NAME?</v>
      </c>
      <c r="IG14" s="116" t="e">
        <f ca="1">+MAX(BC14:BE14)</f>
        <v>#NAME?</v>
      </c>
      <c r="IH14" s="116" t="e">
        <f ca="1">+MAX(BF14:BH14)</f>
        <v>#NAME?</v>
      </c>
      <c r="II14" s="116" t="e">
        <f ca="1">+MAX(BI14:BK14)</f>
        <v>#NAME?</v>
      </c>
      <c r="IJ14" s="116" t="e">
        <f ca="1">+MAX(BL14:BN14)</f>
        <v>#NAME?</v>
      </c>
      <c r="IK14" s="116" t="e">
        <f ca="1">+MAX(BO14:BQ14)</f>
        <v>#NAME?</v>
      </c>
      <c r="IL14" s="116" t="e">
        <f ca="1">+MAX(BR14:BT14)</f>
        <v>#NAME?</v>
      </c>
      <c r="IM14" s="116" t="e">
        <f ca="1">+MAX(BU14:BW14)</f>
        <v>#NAME?</v>
      </c>
      <c r="IN14" s="116" t="e">
        <f ca="1">+MAX(BX14:BZ14)</f>
        <v>#NAME?</v>
      </c>
      <c r="IO14" s="116" t="e">
        <f ca="1">+MAX(CA14:CC14)</f>
        <v>#NAME?</v>
      </c>
      <c r="IP14" s="116" t="e">
        <f ca="1">+MAX(CD14:CF14)</f>
        <v>#NAME?</v>
      </c>
      <c r="IQ14" s="116" t="e">
        <f ca="1">+MAX(CG14:CI14)</f>
        <v>#NAME?</v>
      </c>
      <c r="IR14" s="116" t="e">
        <f ca="1">+MAX(CJ14:CL14)</f>
        <v>#NAME?</v>
      </c>
      <c r="IS14" s="116" t="e">
        <f ca="1">+MAX(CM14:CO14)</f>
        <v>#NAME?</v>
      </c>
      <c r="IT14" s="116" t="e">
        <f ca="1">+MAX(CP14:CR14)</f>
        <v>#NAME?</v>
      </c>
      <c r="IU14" s="116" t="e">
        <f ca="1">+MAX(CS14:CU14)</f>
        <v>#NAME?</v>
      </c>
      <c r="IV14" s="116" t="e">
        <f ca="1">+MAX(CV14:CX14)</f>
        <v>#NAME?</v>
      </c>
      <c r="IW14" s="116" t="e">
        <f ca="1">+MAX(CY14:DA14)</f>
        <v>#NAME?</v>
      </c>
      <c r="IX14" s="116" t="e">
        <f ca="1">+MAX(DB14:DD14)</f>
        <v>#NAME?</v>
      </c>
      <c r="IY14" s="116" t="e">
        <f ca="1">+MAX(DE14:DG14)</f>
        <v>#NAME?</v>
      </c>
      <c r="IZ14" s="116" t="e">
        <f ca="1">+MAX(DH14:DJ14)</f>
        <v>#NAME?</v>
      </c>
      <c r="JA14" s="116" t="e">
        <f ca="1">+MAX(DK14:DM14)</f>
        <v>#NAME?</v>
      </c>
      <c r="JB14" s="116" t="e">
        <f ca="1">+MAX(DN14:DP14)</f>
        <v>#NAME?</v>
      </c>
      <c r="JC14" s="116" t="e">
        <f ca="1">+MAX(DQ14:DS14)</f>
        <v>#NAME?</v>
      </c>
      <c r="JD14" s="116" t="e">
        <f ca="1">+MAX(DT14:DV14)</f>
        <v>#NAME?</v>
      </c>
      <c r="JE14" s="116" t="e">
        <f ca="1">+MAX(DW14:DY14)</f>
        <v>#NAME?</v>
      </c>
      <c r="JF14" s="116" t="e">
        <f ca="1">+MAX(DZ14:EB14)</f>
        <v>#NAME?</v>
      </c>
      <c r="JG14" s="116" t="e">
        <f ca="1">+MAX(EC14:EE14)</f>
        <v>#NAME?</v>
      </c>
      <c r="JH14" s="116" t="e">
        <f ca="1">+MAX(EF14:EH14)</f>
        <v>#NAME?</v>
      </c>
      <c r="JI14" s="116" t="e">
        <f ca="1">+MAX(EI14:EK14)</f>
        <v>#NAME?</v>
      </c>
      <c r="JJ14" s="116" t="e">
        <f ca="1">+MAX(EL14:EN14)</f>
        <v>#NAME?</v>
      </c>
      <c r="JK14" s="116" t="e">
        <f ca="1">MAX(EO14:EQ14)</f>
        <v>#NAME?</v>
      </c>
      <c r="JL14" s="116" t="e">
        <f ca="1">MAX(ER14:ET14)</f>
        <v>#NAME?</v>
      </c>
      <c r="JM14" s="116" t="e">
        <f ca="1">MAX(EU14:EW14)</f>
        <v>#NAME?</v>
      </c>
      <c r="JN14" s="116" t="e">
        <f ca="1">MAX(EX14:EZ14)</f>
        <v>#NAME?</v>
      </c>
      <c r="JO14" s="116" t="e">
        <f ca="1">MAX(FA14:FC14)</f>
        <v>#NAME?</v>
      </c>
      <c r="JP14" s="116" t="e">
        <f ca="1">MAX(FD14:FF14)</f>
        <v>#NAME?</v>
      </c>
      <c r="JQ14" s="116" t="e">
        <f ca="1">MAX(FG14:FI14)</f>
        <v>#NAME?</v>
      </c>
      <c r="JR14" s="116" t="e">
        <f ca="1">MAX(FJ14:FL14)</f>
        <v>#NAME?</v>
      </c>
      <c r="JS14" s="116" t="e">
        <f ca="1">MAX(FM14:FO14)</f>
        <v>#NAME?</v>
      </c>
      <c r="JT14" s="116" t="e">
        <f ca="1">MAX(FP14:FR14)</f>
        <v>#NAME?</v>
      </c>
      <c r="JU14" s="116" t="e">
        <f ca="1">MAX(FS14:FU14)</f>
        <v>#NAME?</v>
      </c>
      <c r="JV14" s="116" t="e">
        <f ca="1">MAX(FV14:FX14)</f>
        <v>#NAME?</v>
      </c>
      <c r="JW14" s="116" t="e">
        <f ca="1">MAX(FY14:GA14)</f>
        <v>#NAME?</v>
      </c>
      <c r="JX14" s="116" t="e">
        <f ca="1">MAX(GB14:GD14)</f>
        <v>#NAME?</v>
      </c>
      <c r="JY14" s="116" t="e">
        <f ca="1">MAX(GE14:GG14)</f>
        <v>#NAME?</v>
      </c>
      <c r="JZ14" s="116" t="e">
        <f ca="1">MAX(GH14:GJ14)</f>
        <v>#NAME?</v>
      </c>
      <c r="KA14" s="116" t="e">
        <f ca="1">MAX(GK14:GM14)</f>
        <v>#NAME?</v>
      </c>
      <c r="KB14" s="116" t="e">
        <f ca="1">MAX(GN14:GP14)</f>
        <v>#NAME?</v>
      </c>
      <c r="KC14" s="116" t="e">
        <f ca="1">MAX(GQ14:GS14)</f>
        <v>#NAME?</v>
      </c>
      <c r="KD14" s="116" t="e">
        <f ca="1">MAX(GT14:GV14)</f>
        <v>#NAME?</v>
      </c>
      <c r="KE14" s="116" t="e">
        <f ca="1">MAX(GW14:GY14)</f>
        <v>#NAME?</v>
      </c>
      <c r="KF14" s="116" t="e">
        <f ca="1">MAX(GZ14:HB14)</f>
        <v>#NAME?</v>
      </c>
      <c r="KG14" s="116" t="e">
        <f ca="1">MAX(HC14:HE14)</f>
        <v>#NAME?</v>
      </c>
      <c r="KH14" s="116" t="e">
        <f ca="1">MAX(HF14:HH14)</f>
        <v>#NAME?</v>
      </c>
    </row>
    <row r="15" spans="1:294" s="116" customFormat="1" x14ac:dyDescent="0.25">
      <c r="A15" s="116" t="s">
        <v>39</v>
      </c>
      <c r="B15" s="116" t="s">
        <v>423</v>
      </c>
      <c r="C15" s="116" t="e" cm="1">
        <f t="array" aca="1" ref="C15" ca="1">_xll.EQNXTDZ($A$1,$B15,C$1)</f>
        <v>#NAME?</v>
      </c>
      <c r="D15" s="116" t="e" cm="1">
        <f t="array" aca="1" ref="D15" ca="1">_xll.EQNXTDZ($A$1,$B15,D$1)</f>
        <v>#NAME?</v>
      </c>
      <c r="E15" s="116" t="e" cm="1">
        <f t="array" aca="1" ref="E15" ca="1">_xll.EQNXTDZ($A$1,$B15,E$1)</f>
        <v>#NAME?</v>
      </c>
      <c r="F15" s="116" t="e" cm="1">
        <f t="array" aca="1" ref="F15" ca="1">_xll.EQNXTDZ($A$1,$B15,F$1)</f>
        <v>#NAME?</v>
      </c>
      <c r="G15" s="116" t="e" cm="1">
        <f t="array" aca="1" ref="G15" ca="1">_xll.EQNXTDZ($A$1,$B15,G$1)</f>
        <v>#NAME?</v>
      </c>
      <c r="H15" s="116" t="e" cm="1">
        <f t="array" aca="1" ref="H15" ca="1">_xll.EQNXTDZ($A$1,$B15,H$1)</f>
        <v>#NAME?</v>
      </c>
      <c r="I15" s="116" t="e" cm="1">
        <f t="array" aca="1" ref="I15" ca="1">_xll.EQNXTDZ($A$1,$B15,I$1)</f>
        <v>#NAME?</v>
      </c>
      <c r="J15" s="116" t="e" cm="1">
        <f t="array" aca="1" ref="J15" ca="1">_xll.EQNXTDZ($A$1,$B15,J$1)</f>
        <v>#NAME?</v>
      </c>
      <c r="K15" s="116" t="e" cm="1">
        <f t="array" aca="1" ref="K15" ca="1">_xll.EQNXTDZ($A$1,$B15,K$1)</f>
        <v>#NAME?</v>
      </c>
      <c r="L15" s="116" t="e" cm="1">
        <f t="array" aca="1" ref="L15" ca="1">_xll.EQNXTDZ($A$1,$B15,L$1)</f>
        <v>#NAME?</v>
      </c>
      <c r="M15" s="116" t="e" cm="1">
        <f t="array" aca="1" ref="M15" ca="1">_xll.EQNXTDZ($A$1,$B15,M$1)</f>
        <v>#NAME?</v>
      </c>
      <c r="N15" s="116" t="e" cm="1">
        <f t="array" aca="1" ref="N15" ca="1">_xll.EQNXTDZ($A$1,$B15,N$1)</f>
        <v>#NAME?</v>
      </c>
      <c r="O15" s="116" t="e" cm="1">
        <f t="array" aca="1" ref="O15" ca="1">_xll.EQNXTDZ($A$1,$B15,O$1)</f>
        <v>#NAME?</v>
      </c>
      <c r="P15" s="116" t="e" cm="1">
        <f t="array" aca="1" ref="P15" ca="1">_xll.EQNXTDZ($A$1,$B15,P$1)</f>
        <v>#NAME?</v>
      </c>
      <c r="Q15" s="116" t="e" cm="1">
        <f t="array" aca="1" ref="Q15" ca="1">_xll.EQNXTDZ($A$1,$B15,Q$1)</f>
        <v>#NAME?</v>
      </c>
      <c r="R15" s="116" t="e" cm="1">
        <f t="array" aca="1" ref="R15" ca="1">_xll.EQNXTDZ($A$1,$B15,R$1)</f>
        <v>#NAME?</v>
      </c>
      <c r="S15" s="116" t="e" cm="1">
        <f t="array" aca="1" ref="S15" ca="1">_xll.EQNXTDZ($A$1,$B15,S$1)</f>
        <v>#NAME?</v>
      </c>
      <c r="T15" s="116" t="e" cm="1">
        <f t="array" aca="1" ref="T15" ca="1">_xll.EQNXTDZ($A$1,$B15,T$1)</f>
        <v>#NAME?</v>
      </c>
      <c r="U15" s="116" t="e" cm="1">
        <f t="array" aca="1" ref="U15" ca="1">_xll.EQNXTDZ($A$1,$B15,U$1)</f>
        <v>#NAME?</v>
      </c>
      <c r="V15" s="116" t="e" cm="1">
        <f t="array" aca="1" ref="V15" ca="1">_xll.EQNXTDZ($A$1,$B15,V$1)</f>
        <v>#NAME?</v>
      </c>
      <c r="W15" s="116" t="e" cm="1">
        <f t="array" aca="1" ref="W15" ca="1">_xll.EQNXTDZ($A$1,$B15,W$1)</f>
        <v>#NAME?</v>
      </c>
      <c r="X15" s="116" t="e" cm="1">
        <f t="array" aca="1" ref="X15" ca="1">_xll.EQNXTDZ($A$1,$B15,X$1)</f>
        <v>#NAME?</v>
      </c>
      <c r="Y15" s="116" t="e" cm="1">
        <f t="array" aca="1" ref="Y15" ca="1">_xll.EQNXTDZ($A$1,$B15,Y$1)</f>
        <v>#NAME?</v>
      </c>
      <c r="Z15" s="116" t="e" cm="1">
        <f t="array" aca="1" ref="Z15" ca="1">_xll.EQNXTDZ($A$1,$B15,Z$1)</f>
        <v>#NAME?</v>
      </c>
      <c r="AA15" s="116" t="e" cm="1">
        <f t="array" aca="1" ref="AA15" ca="1">_xll.EQNXTDZ($A$1,$B15,AA$1)</f>
        <v>#NAME?</v>
      </c>
      <c r="AB15" s="116" t="e" cm="1">
        <f t="array" aca="1" ref="AB15" ca="1">_xll.EQNXTDZ($A$1,$B15,AB$1)</f>
        <v>#NAME?</v>
      </c>
      <c r="AC15" s="116" t="e" cm="1">
        <f t="array" aca="1" ref="AC15" ca="1">_xll.EQNXTDZ($A$1,$B15,AC$1)</f>
        <v>#NAME?</v>
      </c>
      <c r="AD15" s="116" t="e" cm="1">
        <f t="array" aca="1" ref="AD15" ca="1">_xll.EQNXTDZ($A$1,$B15,AD$1)</f>
        <v>#NAME?</v>
      </c>
      <c r="AE15" s="116" t="e" cm="1">
        <f t="array" aca="1" ref="AE15" ca="1">_xll.EQNXTDZ($A$1,$B15,AE$1)</f>
        <v>#NAME?</v>
      </c>
      <c r="AF15" s="116" t="e" cm="1">
        <f t="array" aca="1" ref="AF15" ca="1">_xll.EQNXTDZ($A$1,$B15,AF$1)</f>
        <v>#NAME?</v>
      </c>
      <c r="AG15" s="116" t="e" cm="1">
        <f t="array" aca="1" ref="AG15" ca="1">_xll.EQNXTDZ($A$1,$B15,AG$1)</f>
        <v>#NAME?</v>
      </c>
      <c r="AH15" s="116" t="e" cm="1">
        <f t="array" aca="1" ref="AH15" ca="1">_xll.EQNXTDZ($A$1,$B15,AH$1)</f>
        <v>#NAME?</v>
      </c>
      <c r="AI15" s="116" t="e" cm="1">
        <f t="array" aca="1" ref="AI15" ca="1">_xll.EQNXTDZ($A$1,$B15,AI$1)</f>
        <v>#NAME?</v>
      </c>
      <c r="AJ15" s="116" t="e" cm="1">
        <f t="array" aca="1" ref="AJ15" ca="1">_xll.EQNXTDZ($A$1,$B15,AJ$1)</f>
        <v>#NAME?</v>
      </c>
      <c r="AK15" s="116" t="e" cm="1">
        <f t="array" aca="1" ref="AK15" ca="1">_xll.EQNXTDZ($A$1,$B15,AK$1)</f>
        <v>#NAME?</v>
      </c>
      <c r="AL15" s="116" t="e" cm="1">
        <f t="array" aca="1" ref="AL15" ca="1">_xll.EQNXTDZ($A$1,$B15,AL$1)</f>
        <v>#NAME?</v>
      </c>
      <c r="AM15" s="116" t="e" cm="1">
        <f t="array" aca="1" ref="AM15" ca="1">_xll.EQNXTDZ($A$1,$B15,AM$1)</f>
        <v>#NAME?</v>
      </c>
      <c r="AN15" s="116" t="e" cm="1">
        <f t="array" aca="1" ref="AN15" ca="1">_xll.EQNXTDZ($A$1,$B15,AN$1)</f>
        <v>#NAME?</v>
      </c>
      <c r="AO15" s="116" t="e" cm="1">
        <f t="array" aca="1" ref="AO15" ca="1">_xll.EQNXTDZ($A$1,$B15,AO$1)</f>
        <v>#NAME?</v>
      </c>
      <c r="AP15" s="116" t="e" cm="1">
        <f t="array" aca="1" ref="AP15" ca="1">_xll.EQNXTDZ($A$1,$B15,AP$1)</f>
        <v>#NAME?</v>
      </c>
      <c r="AQ15" s="116" t="e" cm="1">
        <f t="array" aca="1" ref="AQ15" ca="1">_xll.EQNXTDZ($A$1,$B15,AQ$1)</f>
        <v>#NAME?</v>
      </c>
      <c r="AR15" s="116" t="e" cm="1">
        <f t="array" aca="1" ref="AR15" ca="1">_xll.EQNXTDZ($A$1,$B15,AR$1)</f>
        <v>#NAME?</v>
      </c>
      <c r="AS15" s="116" t="e" cm="1">
        <f t="array" aca="1" ref="AS15" ca="1">_xll.EQNXTDZ($A$1,$B15,AS$1)</f>
        <v>#NAME?</v>
      </c>
      <c r="AT15" s="116" t="e" cm="1">
        <f t="array" aca="1" ref="AT15" ca="1">_xll.EQNXTDZ($A$1,$B15,AT$1)</f>
        <v>#NAME?</v>
      </c>
      <c r="AU15" s="116" t="e" cm="1">
        <f t="array" aca="1" ref="AU15" ca="1">_xll.EQNXTDZ($A$1,$B15,AU$1)</f>
        <v>#NAME?</v>
      </c>
      <c r="AV15" s="116" t="e" cm="1">
        <f t="array" aca="1" ref="AV15" ca="1">_xll.EQNXTDZ($A$1,$B15,AV$1)</f>
        <v>#NAME?</v>
      </c>
      <c r="AW15" s="116" t="e" cm="1">
        <f t="array" aca="1" ref="AW15" ca="1">_xll.EQNXTDZ($A$1,$B15,AW$1)</f>
        <v>#NAME?</v>
      </c>
      <c r="AX15" s="116" t="e" cm="1">
        <f t="array" aca="1" ref="AX15" ca="1">_xll.EQNXTDZ($A$1,$B15,AX$1)</f>
        <v>#NAME?</v>
      </c>
      <c r="AY15" s="116" t="e" cm="1">
        <f t="array" aca="1" ref="AY15" ca="1">_xll.EQNXTDZ($A$1,$B15,AY$1)</f>
        <v>#NAME?</v>
      </c>
      <c r="AZ15" s="116" t="e" cm="1">
        <f t="array" aca="1" ref="AZ15" ca="1">_xll.EQNXTDZ($A$1,$B15,AZ$1)</f>
        <v>#NAME?</v>
      </c>
      <c r="BA15" s="116" t="e" cm="1">
        <f t="array" aca="1" ref="BA15" ca="1">_xll.EQNXTDZ($A$1,$B15,BA$1)</f>
        <v>#NAME?</v>
      </c>
      <c r="BB15" s="116" t="e" cm="1">
        <f t="array" aca="1" ref="BB15" ca="1">_xll.EQNXTDZ($A$1,$B15,BB$1)</f>
        <v>#NAME?</v>
      </c>
      <c r="BC15" s="116" t="e" cm="1">
        <f t="array" aca="1" ref="BC15" ca="1">_xll.EQNXTDZ($A$1,$B15,BC$1)</f>
        <v>#NAME?</v>
      </c>
      <c r="BD15" s="116" t="e" cm="1">
        <f t="array" aca="1" ref="BD15" ca="1">_xll.EQNXTDZ($A$1,$B15,BD$1)</f>
        <v>#NAME?</v>
      </c>
      <c r="BE15" s="116" t="e" cm="1">
        <f t="array" aca="1" ref="BE15" ca="1">_xll.EQNXTDZ($A$1,$B15,BE$1)</f>
        <v>#NAME?</v>
      </c>
      <c r="BF15" s="116" t="e" cm="1">
        <f t="array" aca="1" ref="BF15" ca="1">_xll.EQNXTDZ($A$1,$B15,BF$1)</f>
        <v>#NAME?</v>
      </c>
      <c r="BG15" s="116" t="e" cm="1">
        <f t="array" aca="1" ref="BG15" ca="1">_xll.EQNXTDZ($A$1,$B15,BG$1)</f>
        <v>#NAME?</v>
      </c>
      <c r="BH15" s="116" t="e" cm="1">
        <f t="array" aca="1" ref="BH15" ca="1">_xll.EQNXTDZ($A$1,$B15,BH$1)</f>
        <v>#NAME?</v>
      </c>
      <c r="BI15" s="116" t="e" cm="1">
        <f t="array" aca="1" ref="BI15" ca="1">_xll.EQNXTDZ($A$1,$B15,BI$1)</f>
        <v>#NAME?</v>
      </c>
      <c r="BJ15" s="116" t="e" cm="1">
        <f t="array" aca="1" ref="BJ15" ca="1">_xll.EQNXTDZ($A$1,$B15,BJ$1)</f>
        <v>#NAME?</v>
      </c>
      <c r="BK15" s="116" t="e" cm="1">
        <f t="array" aca="1" ref="BK15" ca="1">_xll.EQNXTDZ($A$1,$B15,BK$1)</f>
        <v>#NAME?</v>
      </c>
      <c r="BL15" s="116" t="e" cm="1">
        <f t="array" aca="1" ref="BL15" ca="1">_xll.EQNXTDZ($A$1,$B15,BL$1)</f>
        <v>#NAME?</v>
      </c>
      <c r="BM15" s="116" t="e" cm="1">
        <f t="array" aca="1" ref="BM15" ca="1">_xll.EQNXTDZ($A$1,$B15,BM$1)</f>
        <v>#NAME?</v>
      </c>
      <c r="BN15" s="116" t="e" cm="1">
        <f t="array" aca="1" ref="BN15" ca="1">_xll.EQNXTDZ($A$1,$B15,BN$1)</f>
        <v>#NAME?</v>
      </c>
      <c r="BO15" s="116" t="e" cm="1">
        <f t="array" aca="1" ref="BO15" ca="1">_xll.EQNXTDZ($A$1,$B15,BO$1)</f>
        <v>#NAME?</v>
      </c>
      <c r="BP15" s="116" t="e" cm="1">
        <f t="array" aca="1" ref="BP15" ca="1">_xll.EQNXTDZ($A$1,$B15,BP$1)</f>
        <v>#NAME?</v>
      </c>
      <c r="BQ15" s="116" t="e" cm="1">
        <f t="array" aca="1" ref="BQ15" ca="1">_xll.EQNXTDZ($A$1,$B15,BQ$1)</f>
        <v>#NAME?</v>
      </c>
      <c r="BR15" s="116" t="e" cm="1">
        <f t="array" aca="1" ref="BR15" ca="1">_xll.EQNXTDZ($A$1,$B15,BR$1)</f>
        <v>#NAME?</v>
      </c>
      <c r="BS15" s="116" t="e" cm="1">
        <f t="array" aca="1" ref="BS15" ca="1">_xll.EQNXTDZ($A$1,$B15,BS$1)</f>
        <v>#NAME?</v>
      </c>
      <c r="BT15" s="116" t="e" cm="1">
        <f t="array" aca="1" ref="BT15" ca="1">_xll.EQNXTDZ($A$1,$B15,BT$1)</f>
        <v>#NAME?</v>
      </c>
      <c r="BU15" s="116" t="e" cm="1">
        <f t="array" aca="1" ref="BU15" ca="1">_xll.EQNXTDZ($A$1,$B15,BU$1)</f>
        <v>#NAME?</v>
      </c>
      <c r="BV15" s="116" t="e" cm="1">
        <f t="array" aca="1" ref="BV15" ca="1">_xll.EQNXTDZ($A$1,$B15,BV$1)</f>
        <v>#NAME?</v>
      </c>
      <c r="BW15" s="116" t="e" cm="1">
        <f t="array" aca="1" ref="BW15" ca="1">_xll.EQNXTDZ($A$1,$B15,BW$1)</f>
        <v>#NAME?</v>
      </c>
      <c r="BX15" s="116" t="e" cm="1">
        <f t="array" aca="1" ref="BX15" ca="1">_xll.EQNXTDZ($A$1,$B15,BX$1)</f>
        <v>#NAME?</v>
      </c>
      <c r="BY15" s="116" t="e" cm="1">
        <f t="array" aca="1" ref="BY15" ca="1">_xll.EQNXTDZ($A$1,$B15,BY$1)</f>
        <v>#NAME?</v>
      </c>
      <c r="BZ15" s="116" t="e" cm="1">
        <f t="array" aca="1" ref="BZ15" ca="1">_xll.EQNXTDZ($A$1,$B15,BZ$1)</f>
        <v>#NAME?</v>
      </c>
      <c r="CA15" s="116" t="e" cm="1">
        <f t="array" aca="1" ref="CA15" ca="1">_xll.EQNXTDZ($A$1,$B15,CA$1)</f>
        <v>#NAME?</v>
      </c>
      <c r="CB15" s="116" t="e" cm="1">
        <f t="array" aca="1" ref="CB15" ca="1">_xll.EQNXTDZ($A$1,$B15,CB$1)</f>
        <v>#NAME?</v>
      </c>
      <c r="CC15" s="116" t="e" cm="1">
        <f t="array" aca="1" ref="CC15" ca="1">_xll.EQNXTDZ($A$1,$B15,CC$1)</f>
        <v>#NAME?</v>
      </c>
      <c r="CD15" s="116" t="e" cm="1">
        <f t="array" aca="1" ref="CD15" ca="1">_xll.EQNXTDZ($A$1,$B15,CD$1)</f>
        <v>#NAME?</v>
      </c>
      <c r="CE15" s="116" t="e" cm="1">
        <f t="array" aca="1" ref="CE15" ca="1">_xll.EQNXTDZ($A$1,$B15,CE$1)</f>
        <v>#NAME?</v>
      </c>
      <c r="CF15" s="116" t="e" cm="1">
        <f t="array" aca="1" ref="CF15" ca="1">_xll.EQNXTDZ($A$1,$B15,CF$1)</f>
        <v>#NAME?</v>
      </c>
      <c r="CG15" s="116" t="e" cm="1">
        <f t="array" aca="1" ref="CG15" ca="1">_xll.EQNXTDZ($A$1,$B15,CG$1)</f>
        <v>#NAME?</v>
      </c>
      <c r="CH15" s="116" t="e" cm="1">
        <f t="array" aca="1" ref="CH15" ca="1">_xll.EQNXTDZ($A$1,$B15,CH$1)</f>
        <v>#NAME?</v>
      </c>
      <c r="CI15" s="116" t="e" cm="1">
        <f t="array" aca="1" ref="CI15" ca="1">_xll.EQNXTDZ($A$1,$B15,CI$1)</f>
        <v>#NAME?</v>
      </c>
      <c r="CJ15" s="116" t="e" cm="1">
        <f t="array" aca="1" ref="CJ15" ca="1">_xll.EQNXTDZ($A$1,$B15,CJ$1)</f>
        <v>#NAME?</v>
      </c>
      <c r="CK15" s="116" t="e" cm="1">
        <f t="array" aca="1" ref="CK15" ca="1">_xll.EQNXTDZ($A$1,$B15,CK$1)</f>
        <v>#NAME?</v>
      </c>
      <c r="CL15" s="116" t="e" cm="1">
        <f t="array" aca="1" ref="CL15" ca="1">_xll.EQNXTDZ($A$1,$B15,CL$1)</f>
        <v>#NAME?</v>
      </c>
      <c r="CM15" s="116" t="e" cm="1">
        <f t="array" aca="1" ref="CM15" ca="1">_xll.EQNXTDZ($A$1,$B15,CM$1)</f>
        <v>#NAME?</v>
      </c>
      <c r="CN15" s="116" t="e" cm="1">
        <f t="array" aca="1" ref="CN15" ca="1">_xll.EQNXTDZ($A$1,$B15,CN$1)</f>
        <v>#NAME?</v>
      </c>
      <c r="CO15" s="116" t="e" cm="1">
        <f t="array" aca="1" ref="CO15" ca="1">_xll.EQNXTDZ($A$1,$B15,CO$1)</f>
        <v>#NAME?</v>
      </c>
      <c r="CP15" s="116" t="e" cm="1">
        <f t="array" aca="1" ref="CP15" ca="1">_xll.EQNXTDZ($A$1,$B15,CP$1)</f>
        <v>#NAME?</v>
      </c>
      <c r="CQ15" s="116" t="e" cm="1">
        <f t="array" aca="1" ref="CQ15" ca="1">_xll.EQNXTDZ($A$1,$B15,CQ$1)</f>
        <v>#NAME?</v>
      </c>
      <c r="CR15" s="116" t="e" cm="1">
        <f t="array" aca="1" ref="CR15" ca="1">_xll.EQNXTDZ($A$1,$B15,CR$1)</f>
        <v>#NAME?</v>
      </c>
      <c r="CS15" s="116" t="e" cm="1">
        <f t="array" aca="1" ref="CS15" ca="1">_xll.EQNXTDZ($A$1,$B15,CS$1)</f>
        <v>#NAME?</v>
      </c>
      <c r="CT15" s="116" t="e" cm="1">
        <f t="array" aca="1" ref="CT15" ca="1">_xll.EQNXTDZ($A$1,$B15,CT$1)</f>
        <v>#NAME?</v>
      </c>
      <c r="CU15" s="116" t="e" cm="1">
        <f t="array" aca="1" ref="CU15" ca="1">_xll.EQNXTDZ($A$1,$B15,CU$1)</f>
        <v>#NAME?</v>
      </c>
      <c r="CV15" s="116" t="e" cm="1">
        <f t="array" aca="1" ref="CV15" ca="1">_xll.EQNXTDZ($A$1,$B15,CV$1)</f>
        <v>#NAME?</v>
      </c>
      <c r="CW15" s="116" t="e" cm="1">
        <f t="array" aca="1" ref="CW15" ca="1">_xll.EQNXTDZ($A$1,$B15,CW$1)</f>
        <v>#NAME?</v>
      </c>
      <c r="CX15" s="116" t="e" cm="1">
        <f t="array" aca="1" ref="CX15" ca="1">_xll.EQNXTDZ($A$1,$B15,CX$1)</f>
        <v>#NAME?</v>
      </c>
      <c r="CY15" s="116" t="e" cm="1">
        <f t="array" aca="1" ref="CY15" ca="1">_xll.EQNXTDZ($A$1,$B15,CY$1)</f>
        <v>#NAME?</v>
      </c>
      <c r="CZ15" s="116" t="e" cm="1">
        <f t="array" aca="1" ref="CZ15" ca="1">_xll.EQNXTDZ($A$1,$B15,CZ$1)</f>
        <v>#NAME?</v>
      </c>
      <c r="DA15" s="116" t="e" cm="1">
        <f t="array" aca="1" ref="DA15" ca="1">_xll.EQNXTDZ($A$1,$B15,DA$1)</f>
        <v>#NAME?</v>
      </c>
      <c r="DB15" s="116" t="e" cm="1">
        <f t="array" aca="1" ref="DB15" ca="1">_xll.EQNXTDZ($A$1,$B15,DB$1)</f>
        <v>#NAME?</v>
      </c>
      <c r="DC15" s="116" t="e" cm="1">
        <f t="array" aca="1" ref="DC15" ca="1">_xll.EQNXTDZ($A$1,$B15,DC$1)</f>
        <v>#NAME?</v>
      </c>
      <c r="DD15" s="116" t="e" cm="1">
        <f t="array" aca="1" ref="DD15" ca="1">_xll.EQNXTDZ($A$1,$B15,DD$1)</f>
        <v>#NAME?</v>
      </c>
      <c r="DE15" s="116" t="e" cm="1">
        <f t="array" aca="1" ref="DE15" ca="1">_xll.EQNXTDZ($A$1,$B15,DE$1)</f>
        <v>#NAME?</v>
      </c>
      <c r="DF15" s="116" t="e" cm="1">
        <f t="array" aca="1" ref="DF15" ca="1">_xll.EQNXTDZ($A$1,$B15,DF$1)</f>
        <v>#NAME?</v>
      </c>
      <c r="DG15" s="116" t="e" cm="1">
        <f t="array" aca="1" ref="DG15" ca="1">_xll.EQNXTDZ($A$1,$B15,DG$1)</f>
        <v>#NAME?</v>
      </c>
      <c r="DH15" s="116" t="e" cm="1">
        <f t="array" aca="1" ref="DH15" ca="1">_xll.EQNXTDZ($A$1,$B15,DH$1)</f>
        <v>#NAME?</v>
      </c>
      <c r="DI15" s="116" t="e" cm="1">
        <f t="array" aca="1" ref="DI15" ca="1">_xll.EQNXTDZ($A$1,$B15,DI$1)</f>
        <v>#NAME?</v>
      </c>
      <c r="DJ15" s="116" t="e" cm="1">
        <f t="array" aca="1" ref="DJ15" ca="1">_xll.EQNXTDZ($A$1,$B15,DJ$1)</f>
        <v>#NAME?</v>
      </c>
      <c r="DK15" s="116" t="e" cm="1">
        <f t="array" aca="1" ref="DK15" ca="1">_xll.EQNXTDZ($A$1,$B15,DK$1)</f>
        <v>#NAME?</v>
      </c>
      <c r="DL15" s="116" t="e" cm="1">
        <f t="array" aca="1" ref="DL15" ca="1">_xll.EQNXTDZ($A$1,$B15,DL$1)</f>
        <v>#NAME?</v>
      </c>
      <c r="DM15" s="116" t="e" cm="1">
        <f t="array" aca="1" ref="DM15" ca="1">_xll.EQNXTDZ($A$1,$B15,DM$1)</f>
        <v>#NAME?</v>
      </c>
      <c r="DN15" s="116" t="e" cm="1">
        <f t="array" aca="1" ref="DN15" ca="1">_xll.EQNXTDZ($A$1,$B15,DN$1)</f>
        <v>#NAME?</v>
      </c>
      <c r="DO15" s="116" t="e" cm="1">
        <f t="array" aca="1" ref="DO15" ca="1">_xll.EQNXTDZ($A$1,$B15,DO$1)</f>
        <v>#NAME?</v>
      </c>
      <c r="DP15" s="116" t="e" cm="1">
        <f t="array" aca="1" ref="DP15" ca="1">_xll.EQNXTDZ($A$1,$B15,DP$1)</f>
        <v>#NAME?</v>
      </c>
      <c r="DQ15" s="116" t="e" cm="1">
        <f t="array" aca="1" ref="DQ15" ca="1">_xll.EQNXTDZ($A$1,$B15,DQ$1)</f>
        <v>#NAME?</v>
      </c>
      <c r="DR15" s="116" t="e" cm="1">
        <f t="array" aca="1" ref="DR15" ca="1">_xll.EQNXTDZ($A$1,$B15,DR$1)</f>
        <v>#NAME?</v>
      </c>
      <c r="DS15" s="116" t="e" cm="1">
        <f t="array" aca="1" ref="DS15" ca="1">_xll.EQNXTDZ($A$1,$B15,DS$1)</f>
        <v>#NAME?</v>
      </c>
      <c r="DT15" s="116" t="e" cm="1">
        <f t="array" aca="1" ref="DT15" ca="1">_xll.EQNXTDZ($A$1,$B15,DT$1)</f>
        <v>#NAME?</v>
      </c>
      <c r="DU15" s="116" t="e" cm="1">
        <f t="array" aca="1" ref="DU15" ca="1">_xll.EQNXTDZ($A$1,$B15,DU$1)</f>
        <v>#NAME?</v>
      </c>
      <c r="DV15" s="116" t="e" cm="1">
        <f t="array" aca="1" ref="DV15" ca="1">_xll.EQNXTDZ($A$1,$B15,DV$1)</f>
        <v>#NAME?</v>
      </c>
      <c r="DW15" s="116" t="e" cm="1">
        <f t="array" aca="1" ref="DW15" ca="1">_xll.EQNXTDZ($A$1,$B15,DW$1)</f>
        <v>#NAME?</v>
      </c>
      <c r="DX15" s="116" t="e" cm="1">
        <f t="array" aca="1" ref="DX15" ca="1">_xll.EQNXTDZ($A$1,$B15,DX$1)</f>
        <v>#NAME?</v>
      </c>
      <c r="DY15" s="116" t="e" cm="1">
        <f t="array" aca="1" ref="DY15" ca="1">_xll.EQNXTDZ($A$1,$B15,DY$1)</f>
        <v>#NAME?</v>
      </c>
      <c r="DZ15" s="116" t="e" cm="1">
        <f t="array" aca="1" ref="DZ15" ca="1">_xll.EQNXTDZ($A$1,$B15,DZ$1)</f>
        <v>#NAME?</v>
      </c>
      <c r="EA15" s="116" t="e" cm="1">
        <f t="array" aca="1" ref="EA15" ca="1">_xll.EQNXTDZ($A$1,$B15,EA$1)</f>
        <v>#NAME?</v>
      </c>
      <c r="EB15" s="116" t="e" cm="1">
        <f t="array" aca="1" ref="EB15" ca="1">_xll.EQNXTDZ($A$1,$B15,EB$1)</f>
        <v>#NAME?</v>
      </c>
      <c r="EC15" s="116" t="e" cm="1">
        <f t="array" aca="1" ref="EC15" ca="1">_xll.EQNXTDZ($A$1,$B15,EC$1)</f>
        <v>#NAME?</v>
      </c>
      <c r="ED15" s="116" t="e" cm="1">
        <f t="array" aca="1" ref="ED15" ca="1">_xll.EQNXTDZ($A$1,$B15,ED$1)</f>
        <v>#NAME?</v>
      </c>
      <c r="EE15" s="116" t="e" cm="1">
        <f t="array" aca="1" ref="EE15" ca="1">_xll.EQNXTDZ($A$1,$B15,EE$1)</f>
        <v>#NAME?</v>
      </c>
      <c r="EF15" s="116" t="e" cm="1">
        <f t="array" aca="1" ref="EF15" ca="1">_xll.EQNXTDZ($A$1,$B15,EF$1)</f>
        <v>#NAME?</v>
      </c>
      <c r="EG15" s="116" t="e" cm="1">
        <f t="array" aca="1" ref="EG15" ca="1">_xll.EQNXTDZ($A$1,$B15,EG$1)</f>
        <v>#NAME?</v>
      </c>
      <c r="EH15" s="116" t="e" cm="1">
        <f t="array" aca="1" ref="EH15" ca="1">_xll.EQNXTDZ($A$1,$B15,EH$1)</f>
        <v>#NAME?</v>
      </c>
      <c r="EI15" s="116" t="e" cm="1">
        <f t="array" aca="1" ref="EI15" ca="1">_xll.EQNXTDZ($A$1,$B15,EI$1)</f>
        <v>#NAME?</v>
      </c>
      <c r="EJ15" s="116" t="e" cm="1">
        <f t="array" aca="1" ref="EJ15" ca="1">_xll.EQNXTDZ($A$1,$B15,EJ$1)</f>
        <v>#NAME?</v>
      </c>
      <c r="EK15" s="116" t="e" cm="1">
        <f t="array" aca="1" ref="EK15" ca="1">_xll.EQNXTDZ($A$1,$B15,EK$1)</f>
        <v>#NAME?</v>
      </c>
      <c r="EL15" s="116" t="e" cm="1">
        <f t="array" aca="1" ref="EL15" ca="1">_xll.EQNXTDZ($A$1,$B15,EL$1)</f>
        <v>#NAME?</v>
      </c>
      <c r="EM15" s="116" t="e" cm="1">
        <f t="array" aca="1" ref="EM15" ca="1">_xll.EQNXTDZ($A$1,$B15,EM$1)</f>
        <v>#NAME?</v>
      </c>
      <c r="EN15" s="116" t="e" cm="1">
        <f t="array" aca="1" ref="EN15" ca="1">_xll.EQNXTDZ($A$1,$B15,EN$1)</f>
        <v>#NAME?</v>
      </c>
      <c r="EO15" s="116" t="e" cm="1">
        <f t="array" aca="1" ref="EO15" ca="1">_xll.EQNXTDZ($A$1,$B15,EO$1)</f>
        <v>#NAME?</v>
      </c>
      <c r="EP15" s="116" t="e" cm="1">
        <f t="array" aca="1" ref="EP15" ca="1">_xll.EQNXTDZ($A$1,$B15,EP$1)</f>
        <v>#NAME?</v>
      </c>
      <c r="EQ15" s="116" t="e" cm="1">
        <f t="array" aca="1" ref="EQ15" ca="1">_xll.EQNXTDZ($A$1,$B15,EQ$1)</f>
        <v>#NAME?</v>
      </c>
      <c r="ER15" s="116" t="e" cm="1">
        <f t="array" aca="1" ref="ER15" ca="1">_xll.EQNXTDZ($A$1,$B15,ER$1)</f>
        <v>#NAME?</v>
      </c>
      <c r="ES15" s="116" t="e" cm="1">
        <f t="array" aca="1" ref="ES15" ca="1">_xll.EQNXTDZ($A$1,$B15,ES$1)</f>
        <v>#NAME?</v>
      </c>
      <c r="ET15" s="116" t="e" cm="1">
        <f t="array" aca="1" ref="ET15" ca="1">_xll.EQNXTDZ($A$1,$B15,ET$1)</f>
        <v>#NAME?</v>
      </c>
      <c r="EU15" s="116" t="e" cm="1">
        <f t="array" aca="1" ref="EU15" ca="1">_xll.EQNXTDZ($A$1,$B15,EU$1)</f>
        <v>#NAME?</v>
      </c>
      <c r="EV15" s="116" t="e" cm="1">
        <f t="array" aca="1" ref="EV15" ca="1">_xll.EQNXTDZ($A$1,$B15,EV$1)</f>
        <v>#NAME?</v>
      </c>
      <c r="EW15" s="116" t="e" cm="1">
        <f t="array" aca="1" ref="EW15" ca="1">_xll.EQNXTDZ($A$1,$B15,EW$1)</f>
        <v>#NAME?</v>
      </c>
      <c r="EX15" s="116" t="e" cm="1">
        <f t="array" aca="1" ref="EX15" ca="1">_xll.EQNXTDZ($A$1,$B15,EX$1)</f>
        <v>#NAME?</v>
      </c>
      <c r="EY15" s="116" t="e" cm="1">
        <f t="array" aca="1" ref="EY15" ca="1">_xll.EQNXTDZ($A$1,$B15,EY$1)</f>
        <v>#NAME?</v>
      </c>
      <c r="EZ15" s="116" t="e" cm="1">
        <f t="array" aca="1" ref="EZ15" ca="1">_xll.EQNXTDZ($A$1,$B15,EZ$1)</f>
        <v>#NAME?</v>
      </c>
      <c r="FA15" s="116" t="e" cm="1">
        <f t="array" aca="1" ref="FA15" ca="1">_xll.EQNXTDZ($A$1,$B15,FA$1)</f>
        <v>#NAME?</v>
      </c>
      <c r="FB15" s="116" t="e" cm="1">
        <f t="array" aca="1" ref="FB15" ca="1">_xll.EQNXTDZ($A$1,$B15,FB$1)</f>
        <v>#NAME?</v>
      </c>
      <c r="FC15" s="116" t="e" cm="1">
        <f t="array" aca="1" ref="FC15" ca="1">_xll.EQNXTDZ($A$1,$B15,FC$1)</f>
        <v>#NAME?</v>
      </c>
      <c r="FD15" s="116" t="e" cm="1">
        <f t="array" aca="1" ref="FD15" ca="1">_xll.EQNXTDZ($A$1,$B15,FD$1)</f>
        <v>#NAME?</v>
      </c>
      <c r="FE15" s="116" t="e" cm="1">
        <f t="array" aca="1" ref="FE15" ca="1">_xll.EQNXTDZ($A$1,$B15,FE$1)</f>
        <v>#NAME?</v>
      </c>
      <c r="FF15" s="116" t="e" cm="1">
        <f t="array" aca="1" ref="FF15" ca="1">_xll.EQNXTDZ($A$1,$B15,FF$1)</f>
        <v>#NAME?</v>
      </c>
      <c r="FG15" s="116" t="e" cm="1">
        <f t="array" aca="1" ref="FG15" ca="1">_xll.EQNXTDZ($A$1,$B15,FG$1)</f>
        <v>#NAME?</v>
      </c>
      <c r="FH15" s="116" t="e" cm="1">
        <f t="array" aca="1" ref="FH15" ca="1">_xll.EQNXTDZ($A$1,$B15,FH$1)</f>
        <v>#NAME?</v>
      </c>
      <c r="FI15" s="116" t="e" cm="1">
        <f t="array" aca="1" ref="FI15" ca="1">_xll.EQNXTDZ($A$1,$B15,FI$1)</f>
        <v>#NAME?</v>
      </c>
      <c r="FJ15" s="116" t="e" cm="1">
        <f t="array" aca="1" ref="FJ15" ca="1">_xll.EQNXTDZ($A$1,$B15,FJ$1)</f>
        <v>#NAME?</v>
      </c>
      <c r="FK15" s="116" t="e" cm="1">
        <f t="array" aca="1" ref="FK15" ca="1">_xll.EQNXTDZ($A$1,$B15,FK$1)</f>
        <v>#NAME?</v>
      </c>
      <c r="FL15" s="116" t="e" cm="1">
        <f t="array" aca="1" ref="FL15" ca="1">_xll.EQNXTDZ($A$1,$B15,FL$1)</f>
        <v>#NAME?</v>
      </c>
      <c r="FM15" s="116" t="e" cm="1">
        <f t="array" aca="1" ref="FM15" ca="1">_xll.EQNXTDZ($A$1,$B15,FM$1)</f>
        <v>#NAME?</v>
      </c>
      <c r="FN15" s="116" t="e" cm="1">
        <f t="array" aca="1" ref="FN15" ca="1">_xll.EQNXTDZ($A$1,$B15,FN$1)</f>
        <v>#NAME?</v>
      </c>
      <c r="FO15" s="116" t="e" cm="1">
        <f t="array" aca="1" ref="FO15" ca="1">_xll.EQNXTDZ($A$1,$B15,FO$1)</f>
        <v>#NAME?</v>
      </c>
      <c r="FP15" s="116" t="e" cm="1">
        <f t="array" aca="1" ref="FP15" ca="1">_xll.EQNXTDZ($A$1,$B15,FP$1)</f>
        <v>#NAME?</v>
      </c>
      <c r="FQ15" s="116" t="e" cm="1">
        <f t="array" aca="1" ref="FQ15" ca="1">_xll.EQNXTDZ($A$1,$B15,FQ$1)</f>
        <v>#NAME?</v>
      </c>
      <c r="FR15" s="116" t="e" cm="1">
        <f t="array" aca="1" ref="FR15" ca="1">_xll.EQNXTDZ($A$1,$B15,FR$1)</f>
        <v>#NAME?</v>
      </c>
      <c r="FS15" s="116" t="e" cm="1">
        <f t="array" aca="1" ref="FS15" ca="1">_xll.EQNXTDZ($A$1,$B15,FS$1)</f>
        <v>#NAME?</v>
      </c>
      <c r="FT15" s="116" t="e" cm="1">
        <f t="array" aca="1" ref="FT15" ca="1">_xll.EQNXTDZ($A$1,$B15,FT$1)</f>
        <v>#NAME?</v>
      </c>
      <c r="FU15" s="116" t="e" cm="1">
        <f t="array" aca="1" ref="FU15" ca="1">_xll.EQNXTDZ($A$1,$B15,FU$1)</f>
        <v>#NAME?</v>
      </c>
      <c r="FV15" s="116" t="e" cm="1">
        <f t="array" aca="1" ref="FV15" ca="1">_xll.EQNXTDZ($A$1,$B15,FV$1)</f>
        <v>#NAME?</v>
      </c>
      <c r="FW15" s="116" t="e" cm="1">
        <f t="array" aca="1" ref="FW15" ca="1">_xll.EQNXTDZ($A$1,$B15,FW$1)</f>
        <v>#NAME?</v>
      </c>
      <c r="FX15" s="116" t="e" cm="1">
        <f t="array" aca="1" ref="FX15" ca="1">_xll.EQNXTDZ($A$1,$B15,FX$1)</f>
        <v>#NAME?</v>
      </c>
      <c r="FY15" s="116" t="e" cm="1">
        <f t="array" aca="1" ref="FY15" ca="1">_xll.EQNXTDZ($A$1,$B15,FY$1)</f>
        <v>#NAME?</v>
      </c>
      <c r="FZ15" s="116" t="e" cm="1">
        <f t="array" aca="1" ref="FZ15" ca="1">_xll.EQNXTDZ($A$1,$B15,FZ$1)</f>
        <v>#NAME?</v>
      </c>
      <c r="GA15" s="116" t="e" cm="1">
        <f t="array" aca="1" ref="GA15" ca="1">_xll.EQNXTDZ($A$1,$B15,GA$1)</f>
        <v>#NAME?</v>
      </c>
      <c r="GB15" s="116" t="e" cm="1">
        <f t="array" aca="1" ref="GB15" ca="1">_xll.EQNXTDZ($A$1,$B15,GB$1)</f>
        <v>#NAME?</v>
      </c>
      <c r="GC15" s="116" t="e" cm="1">
        <f t="array" aca="1" ref="GC15" ca="1">_xll.EQNXTDZ($A$1,$B15,GC$1)</f>
        <v>#NAME?</v>
      </c>
      <c r="GD15" s="116" t="e" cm="1">
        <f t="array" aca="1" ref="GD15" ca="1">_xll.EQNXTDZ($A$1,$B15,GD$1)</f>
        <v>#NAME?</v>
      </c>
      <c r="GE15" s="116" t="e" cm="1">
        <f t="array" aca="1" ref="GE15" ca="1">_xll.EQNXTDZ($A$1,$B15,GE$1)</f>
        <v>#NAME?</v>
      </c>
      <c r="GF15" s="116" t="e" cm="1">
        <f t="array" aca="1" ref="GF15" ca="1">_xll.EQNXTDZ($A$1,$B15,GF$1)</f>
        <v>#NAME?</v>
      </c>
      <c r="GG15" s="116" t="e" cm="1">
        <f t="array" aca="1" ref="GG15" ca="1">_xll.EQNXTDZ($A$1,$B15,GG$1)</f>
        <v>#NAME?</v>
      </c>
      <c r="GH15" s="116" t="e" cm="1">
        <f t="array" aca="1" ref="GH15" ca="1">_xll.EQNXTDZ($A$1,$B15,GH$1)</f>
        <v>#NAME?</v>
      </c>
      <c r="GI15" s="116" t="e" cm="1">
        <f t="array" aca="1" ref="GI15" ca="1">_xll.EQNXTDZ($A$1,$B15,GI$1)</f>
        <v>#NAME?</v>
      </c>
      <c r="GJ15" s="116" t="e" cm="1">
        <f t="array" aca="1" ref="GJ15" ca="1">_xll.EQNXTDZ($A$1,$B15,GJ$1)</f>
        <v>#NAME?</v>
      </c>
      <c r="GK15" s="116" t="e" cm="1">
        <f t="array" aca="1" ref="GK15" ca="1">_xll.EQNXTDZ($A$1,$B15,GK$1)</f>
        <v>#NAME?</v>
      </c>
      <c r="GL15" s="116" t="e" cm="1">
        <f t="array" aca="1" ref="GL15" ca="1">_xll.EQNXTDZ($A$1,$B15,GL$1)</f>
        <v>#NAME?</v>
      </c>
      <c r="GM15" s="116" t="e" cm="1">
        <f t="array" aca="1" ref="GM15" ca="1">_xll.EQNXTDZ($A$1,$B15,GM$1)</f>
        <v>#NAME?</v>
      </c>
      <c r="GN15" s="116" t="e" cm="1">
        <f t="array" aca="1" ref="GN15" ca="1">_xll.EQNXTDZ($A$1,$B15,GN$1)</f>
        <v>#NAME?</v>
      </c>
      <c r="GO15" s="116" t="e" cm="1">
        <f t="array" aca="1" ref="GO15" ca="1">_xll.EQNXTDZ($A$1,$B15,GO$1)</f>
        <v>#NAME?</v>
      </c>
      <c r="GP15" s="116" t="e" cm="1">
        <f t="array" aca="1" ref="GP15" ca="1">_xll.EQNXTDZ($A$1,$B15,GP$1)</f>
        <v>#NAME?</v>
      </c>
      <c r="GQ15" s="116" t="e" cm="1">
        <f t="array" aca="1" ref="GQ15" ca="1">_xll.EQNXTDZ($A$1,$B15,GQ$1)</f>
        <v>#NAME?</v>
      </c>
      <c r="GR15" s="116" t="e" cm="1">
        <f t="array" aca="1" ref="GR15" ca="1">_xll.EQNXTDZ($A$1,$B15,GR$1)</f>
        <v>#NAME?</v>
      </c>
      <c r="GS15" s="116" t="e" cm="1">
        <f t="array" aca="1" ref="GS15" ca="1">_xll.EQNXTDZ($A$1,$B15,GS$1)</f>
        <v>#NAME?</v>
      </c>
      <c r="GT15" s="116" t="e" cm="1">
        <f t="array" aca="1" ref="GT15" ca="1">_xll.EQNXTDZ($A$1,$B15,GT$1)</f>
        <v>#NAME?</v>
      </c>
      <c r="GU15" s="116" t="e" cm="1">
        <f t="array" aca="1" ref="GU15" ca="1">_xll.EQNXTDZ($A$1,$B15,GU$1)</f>
        <v>#NAME?</v>
      </c>
      <c r="GV15" s="116" t="e" cm="1">
        <f t="array" aca="1" ref="GV15" ca="1">_xll.EQNXTDZ($A$1,$B15,GV$1)</f>
        <v>#NAME?</v>
      </c>
      <c r="GW15" s="116" t="e" cm="1">
        <f t="array" aca="1" ref="GW15" ca="1">_xll.EQNXTDZ($A$1,$B15,GW$1)</f>
        <v>#NAME?</v>
      </c>
      <c r="GX15" s="116" t="e" cm="1">
        <f t="array" aca="1" ref="GX15" ca="1">_xll.EQNXTDZ($A$1,$B15,GX$1)</f>
        <v>#NAME?</v>
      </c>
      <c r="GY15" s="116" t="e" cm="1">
        <f t="array" aca="1" ref="GY15" ca="1">_xll.EQNXTDZ($A$1,$B15,GY$1)</f>
        <v>#NAME?</v>
      </c>
      <c r="GZ15" s="116" t="e" cm="1">
        <f t="array" aca="1" ref="GZ15" ca="1">_xll.EQNXTDZ($A$1,$B15,GZ$1)</f>
        <v>#NAME?</v>
      </c>
      <c r="HA15" s="116" t="e" cm="1">
        <f t="array" aca="1" ref="HA15" ca="1">_xll.EQNXTDZ($A$1,$B15,HA$1)</f>
        <v>#NAME?</v>
      </c>
      <c r="HB15" s="116" t="e" cm="1">
        <f t="array" aca="1" ref="HB15" ca="1">_xll.EQNXTDZ($A$1,$B15,HB$1)</f>
        <v>#NAME?</v>
      </c>
      <c r="HC15" s="116" t="e" cm="1">
        <f t="array" aca="1" ref="HC15" ca="1">_xll.EQNXTDZ($A$1,$B15,HC$1)</f>
        <v>#NAME?</v>
      </c>
      <c r="HD15" s="116" t="e" cm="1">
        <f t="array" aca="1" ref="HD15" ca="1">_xll.EQNXTDZ($A$1,$B15,HD$1)</f>
        <v>#NAME?</v>
      </c>
      <c r="HE15" s="116" t="e" cm="1">
        <f t="array" aca="1" ref="HE15" ca="1">_xll.EQNXTDZ($A$1,$B15,HE$1)</f>
        <v>#NAME?</v>
      </c>
      <c r="HF15" s="116" t="e" cm="1">
        <f t="array" aca="1" ref="HF15" ca="1">_xll.EQNXTDZ($A$1,$B15,HF$1)</f>
        <v>#NAME?</v>
      </c>
      <c r="HG15" s="116" t="e" cm="1">
        <f t="array" aca="1" ref="HG15" ca="1">_xll.EQNXTDZ($A$1,$B15,HG$1)</f>
        <v>#NAME?</v>
      </c>
      <c r="HH15" s="116" t="e" cm="1">
        <f t="array" aca="1" ref="HH15" ca="1">_xll.EQNXTDZ($A$1,$B15,HH$1)</f>
        <v>#NAME?</v>
      </c>
      <c r="HP15" s="116" t="e">
        <f ca="1">+MIN(D15:F15)</f>
        <v>#NAME?</v>
      </c>
      <c r="HQ15" s="116" t="e">
        <f ca="1">+MIN(G15:I15)</f>
        <v>#NAME?</v>
      </c>
      <c r="HR15" s="116" t="e">
        <f ca="1">+MIN(J15:L15)</f>
        <v>#NAME?</v>
      </c>
      <c r="HS15" s="116" t="e">
        <f ca="1">+MIN(M15:O15)</f>
        <v>#NAME?</v>
      </c>
      <c r="HT15" s="116" t="e">
        <f ca="1">+MIN(P15:R15)</f>
        <v>#NAME?</v>
      </c>
      <c r="HU15" s="116" t="e">
        <f ca="1">+MIN(S15:U15)</f>
        <v>#NAME?</v>
      </c>
      <c r="HV15" s="116" t="e">
        <f ca="1">+MIN(V15:X15)</f>
        <v>#NAME?</v>
      </c>
      <c r="HW15" s="116" t="e">
        <f ca="1">+MIN(Y15:AA15)</f>
        <v>#NAME?</v>
      </c>
      <c r="HX15" s="116" t="e">
        <f ca="1">+MIN(AB15:AD15)</f>
        <v>#NAME?</v>
      </c>
      <c r="HY15" s="116" t="e">
        <f ca="1">+MIN(AE15:AG15)</f>
        <v>#NAME?</v>
      </c>
      <c r="HZ15" s="116" t="e">
        <f ca="1">+MIN(AH15:AJ15)</f>
        <v>#NAME?</v>
      </c>
      <c r="IA15" s="116" t="e">
        <f ca="1">+MIN(AK15:AM15)</f>
        <v>#NAME?</v>
      </c>
      <c r="IB15" s="116" t="e">
        <f ca="1">+MIN(AN15:AP15)</f>
        <v>#NAME?</v>
      </c>
      <c r="IC15" s="116" t="e">
        <f ca="1">+MIN(AQ15:AS15)</f>
        <v>#NAME?</v>
      </c>
      <c r="ID15" s="116" t="e">
        <f ca="1">+MIN(AT15:AV15)</f>
        <v>#NAME?</v>
      </c>
      <c r="IE15" s="116" t="e">
        <f ca="1">+MIN(AW15:AY15)</f>
        <v>#NAME?</v>
      </c>
      <c r="IF15" s="116" t="e">
        <f ca="1">+MIN(AZ15:BB15)</f>
        <v>#NAME?</v>
      </c>
      <c r="IG15" s="116" t="e">
        <f ca="1">+MIN(BC15:BE15)</f>
        <v>#NAME?</v>
      </c>
      <c r="IH15" s="116" t="e">
        <f ca="1">+MIN(BF15:BH15)</f>
        <v>#NAME?</v>
      </c>
      <c r="II15" s="116" t="e">
        <f ca="1">+MIN(BI15:BK15)</f>
        <v>#NAME?</v>
      </c>
      <c r="IJ15" s="116" t="e">
        <f ca="1">+MIN(BL15:BN15)</f>
        <v>#NAME?</v>
      </c>
      <c r="IK15" s="116" t="e">
        <f ca="1">+MIN(BO15:BQ15)</f>
        <v>#NAME?</v>
      </c>
      <c r="IL15" s="116" t="e">
        <f ca="1">+MIN(BR15:BT15)</f>
        <v>#NAME?</v>
      </c>
      <c r="IM15" s="116" t="e">
        <f ca="1">+MIN(BU15:BW15)</f>
        <v>#NAME?</v>
      </c>
      <c r="IN15" s="116" t="e">
        <f ca="1">+MIN(BX15:BZ15)</f>
        <v>#NAME?</v>
      </c>
      <c r="IO15" s="116" t="e">
        <f ca="1">+MIN(CA15:CC15)</f>
        <v>#NAME?</v>
      </c>
      <c r="IP15" s="116" t="e">
        <f ca="1">+MIN(CD15:CF15)</f>
        <v>#NAME?</v>
      </c>
      <c r="IQ15" s="116" t="e">
        <f ca="1">+MIN(CG15:CI15)</f>
        <v>#NAME?</v>
      </c>
      <c r="IR15" s="116" t="e">
        <f ca="1">+MIN(CJ15:CL15)</f>
        <v>#NAME?</v>
      </c>
      <c r="IS15" s="116" t="e">
        <f ca="1">+MIN(CM15:CO15)</f>
        <v>#NAME?</v>
      </c>
      <c r="IT15" s="116" t="e">
        <f ca="1">+MIN(CP15:CR15)</f>
        <v>#NAME?</v>
      </c>
      <c r="IU15" s="116" t="e">
        <f ca="1">+MIN(CS15:CU15)</f>
        <v>#NAME?</v>
      </c>
      <c r="IV15" s="116" t="e">
        <f ca="1">+MIN(CV15:CX15)</f>
        <v>#NAME?</v>
      </c>
      <c r="IW15" s="116" t="e">
        <f ca="1">+MIN(CY15:DA15)</f>
        <v>#NAME?</v>
      </c>
      <c r="IX15" s="116" t="e">
        <f ca="1">+MIN(DB15:DD15)</f>
        <v>#NAME?</v>
      </c>
      <c r="IY15" s="116" t="e">
        <f ca="1">+MIN(DE15:DG15)</f>
        <v>#NAME?</v>
      </c>
      <c r="IZ15" s="116" t="e">
        <f ca="1">+MIN(DH15:DJ15)</f>
        <v>#NAME?</v>
      </c>
      <c r="JA15" s="116" t="e">
        <f ca="1">+MIN(DK15:DM15)</f>
        <v>#NAME?</v>
      </c>
      <c r="JB15" s="116" t="e">
        <f ca="1">+MIN(DN15:DP15)</f>
        <v>#NAME?</v>
      </c>
      <c r="JC15" s="116" t="e">
        <f ca="1">+MIN(DQ15:DS15)</f>
        <v>#NAME?</v>
      </c>
      <c r="JD15" s="116" t="e">
        <f ca="1">+MIN(DT15:DV15)</f>
        <v>#NAME?</v>
      </c>
      <c r="JE15" s="116" t="e">
        <f ca="1">+MIN(DW15:DY15)</f>
        <v>#NAME?</v>
      </c>
      <c r="JF15" s="116" t="e">
        <f ca="1">+MIN(DZ15:EB15)</f>
        <v>#NAME?</v>
      </c>
      <c r="JG15" s="116" t="e">
        <f ca="1">+MIN(EC15:EE15)</f>
        <v>#NAME?</v>
      </c>
      <c r="JH15" s="116" t="e">
        <f ca="1">+MIN(EF15:EH15)</f>
        <v>#NAME?</v>
      </c>
      <c r="JI15" s="116" t="e">
        <f ca="1">+MIN(EI15:EK15)</f>
        <v>#NAME?</v>
      </c>
      <c r="JJ15" s="116" t="e">
        <f ca="1">+MIN(EL15:EN15)</f>
        <v>#NAME?</v>
      </c>
      <c r="JK15" s="116" t="e">
        <f ca="1">MIN(EO15:EQ15)</f>
        <v>#NAME?</v>
      </c>
      <c r="JL15" s="116" t="e">
        <f ca="1">MIN(ER15:ET15)</f>
        <v>#NAME?</v>
      </c>
      <c r="JM15" s="116" t="e">
        <f ca="1">MIN(EU15:EW15)</f>
        <v>#NAME?</v>
      </c>
      <c r="JN15" s="116" t="e">
        <f ca="1">MIN(EX15:EZ15)</f>
        <v>#NAME?</v>
      </c>
      <c r="JO15" s="116" t="e">
        <f ca="1">MIN(FA15:FC15)</f>
        <v>#NAME?</v>
      </c>
      <c r="JP15" s="116" t="e">
        <f ca="1">MIN(FD15:FF15)</f>
        <v>#NAME?</v>
      </c>
      <c r="JQ15" s="116" t="e">
        <f ca="1">MIN(FG15:FI15)</f>
        <v>#NAME?</v>
      </c>
      <c r="JR15" s="116" t="e">
        <f ca="1">MIN(FJ15:FL15)</f>
        <v>#NAME?</v>
      </c>
      <c r="JS15" s="116" t="e">
        <f ca="1">MIN(FM15:FO15)</f>
        <v>#NAME?</v>
      </c>
      <c r="JT15" s="116" t="e">
        <f ca="1">MIN(FP15:FR15)</f>
        <v>#NAME?</v>
      </c>
      <c r="JU15" s="116" t="e">
        <f ca="1">MIN(FS15:FU15)</f>
        <v>#NAME?</v>
      </c>
      <c r="JV15" s="116" t="e">
        <f ca="1">MIN(FV15:FX15)</f>
        <v>#NAME?</v>
      </c>
      <c r="JW15" s="116" t="e">
        <f ca="1">MIN(FY15:GA15)</f>
        <v>#NAME?</v>
      </c>
      <c r="JX15" s="116" t="e">
        <f ca="1">MIN(GB15:GD15)</f>
        <v>#NAME?</v>
      </c>
      <c r="JY15" s="116" t="e">
        <f ca="1">MIN(GE15:GG15)</f>
        <v>#NAME?</v>
      </c>
      <c r="JZ15" s="116" t="e">
        <f ca="1">MIN(GH15:GJ15)</f>
        <v>#NAME?</v>
      </c>
      <c r="KA15" s="116" t="e">
        <f ca="1">MIN(GK15:GM15)</f>
        <v>#NAME?</v>
      </c>
      <c r="KB15" s="116" t="e">
        <f ca="1">MIN(GN15:GP15)</f>
        <v>#NAME?</v>
      </c>
      <c r="KC15" s="116" t="e">
        <f ca="1">MIN(GQ15:GS15)</f>
        <v>#NAME?</v>
      </c>
      <c r="KD15" s="116" t="e">
        <f ca="1">MIN(GT15:GV15)</f>
        <v>#NAME?</v>
      </c>
      <c r="KE15" s="116" t="e">
        <f ca="1">MIN(GW15:GY15)</f>
        <v>#NAME?</v>
      </c>
      <c r="KF15" s="116" t="e">
        <f ca="1">MIN(GZ15:HB15)</f>
        <v>#NAME?</v>
      </c>
      <c r="KG15" s="116" t="e">
        <f ca="1">MIN(HC15:HE15)</f>
        <v>#NAME?</v>
      </c>
      <c r="KH15" s="116" t="e">
        <f ca="1">MIN(HF15:HH15)</f>
        <v>#NAME?</v>
      </c>
    </row>
    <row r="16" spans="1:294" s="116" customFormat="1" x14ac:dyDescent="0.25">
      <c r="A16" s="116" t="s">
        <v>37</v>
      </c>
      <c r="B16" s="116" t="s">
        <v>336</v>
      </c>
      <c r="C16" s="116" t="e" cm="1">
        <f t="array" aca="1" ref="C16" ca="1">_xll.EQNXTDZ($A$1,$B16,C$1)</f>
        <v>#NAME?</v>
      </c>
      <c r="D16" s="116" t="e" cm="1">
        <f t="array" aca="1" ref="D16" ca="1">_xll.EQNXTDZ($A$1,$B16,D$1)</f>
        <v>#NAME?</v>
      </c>
      <c r="E16" s="116" t="e" cm="1">
        <f t="array" aca="1" ref="E16" ca="1">_xll.EQNXTDZ($A$1,$B16,E$1)</f>
        <v>#NAME?</v>
      </c>
      <c r="F16" s="116" t="e" cm="1">
        <f t="array" aca="1" ref="F16" ca="1">_xll.EQNXTDZ($A$1,$B16,F$1)</f>
        <v>#NAME?</v>
      </c>
      <c r="G16" s="116" t="e" cm="1">
        <f t="array" aca="1" ref="G16" ca="1">_xll.EQNXTDZ($A$1,$B16,G$1)</f>
        <v>#NAME?</v>
      </c>
      <c r="H16" s="116" t="e" cm="1">
        <f t="array" aca="1" ref="H16" ca="1">_xll.EQNXTDZ($A$1,$B16,H$1)</f>
        <v>#NAME?</v>
      </c>
      <c r="I16" s="116" t="e" cm="1">
        <f t="array" aca="1" ref="I16" ca="1">_xll.EQNXTDZ($A$1,$B16,I$1)</f>
        <v>#NAME?</v>
      </c>
      <c r="J16" s="116" t="e" cm="1">
        <f t="array" aca="1" ref="J16" ca="1">_xll.EQNXTDZ($A$1,$B16,J$1)</f>
        <v>#NAME?</v>
      </c>
      <c r="K16" s="116" t="e" cm="1">
        <f t="array" aca="1" ref="K16" ca="1">_xll.EQNXTDZ($A$1,$B16,K$1)</f>
        <v>#NAME?</v>
      </c>
      <c r="L16" s="116" t="e" cm="1">
        <f t="array" aca="1" ref="L16" ca="1">_xll.EQNXTDZ($A$1,$B16,L$1)</f>
        <v>#NAME?</v>
      </c>
      <c r="M16" s="116" t="e" cm="1">
        <f t="array" aca="1" ref="M16" ca="1">_xll.EQNXTDZ($A$1,$B16,M$1)</f>
        <v>#NAME?</v>
      </c>
      <c r="N16" s="116" t="e" cm="1">
        <f t="array" aca="1" ref="N16" ca="1">_xll.EQNXTDZ($A$1,$B16,N$1)</f>
        <v>#NAME?</v>
      </c>
      <c r="O16" s="116" t="e" cm="1">
        <f t="array" aca="1" ref="O16" ca="1">_xll.EQNXTDZ($A$1,$B16,O$1)</f>
        <v>#NAME?</v>
      </c>
      <c r="P16" s="116" t="e" cm="1">
        <f t="array" aca="1" ref="P16" ca="1">_xll.EQNXTDZ($A$1,$B16,P$1)</f>
        <v>#NAME?</v>
      </c>
      <c r="Q16" s="116" t="e" cm="1">
        <f t="array" aca="1" ref="Q16" ca="1">_xll.EQNXTDZ($A$1,$B16,Q$1)</f>
        <v>#NAME?</v>
      </c>
      <c r="R16" s="116" t="e" cm="1">
        <f t="array" aca="1" ref="R16" ca="1">_xll.EQNXTDZ($A$1,$B16,R$1)</f>
        <v>#NAME?</v>
      </c>
      <c r="S16" s="116" t="e" cm="1">
        <f t="array" aca="1" ref="S16" ca="1">_xll.EQNXTDZ($A$1,$B16,S$1)</f>
        <v>#NAME?</v>
      </c>
      <c r="T16" s="116" t="e" cm="1">
        <f t="array" aca="1" ref="T16" ca="1">_xll.EQNXTDZ($A$1,$B16,T$1)</f>
        <v>#NAME?</v>
      </c>
      <c r="U16" s="116" t="e" cm="1">
        <f t="array" aca="1" ref="U16" ca="1">_xll.EQNXTDZ($A$1,$B16,U$1)</f>
        <v>#NAME?</v>
      </c>
      <c r="V16" s="116" t="e" cm="1">
        <f t="array" aca="1" ref="V16" ca="1">_xll.EQNXTDZ($A$1,$B16,V$1)</f>
        <v>#NAME?</v>
      </c>
      <c r="W16" s="116" t="e" cm="1">
        <f t="array" aca="1" ref="W16" ca="1">_xll.EQNXTDZ($A$1,$B16,W$1)</f>
        <v>#NAME?</v>
      </c>
      <c r="X16" s="116" t="e" cm="1">
        <f t="array" aca="1" ref="X16" ca="1">_xll.EQNXTDZ($A$1,$B16,X$1)</f>
        <v>#NAME?</v>
      </c>
      <c r="Y16" s="116" t="e" cm="1">
        <f t="array" aca="1" ref="Y16" ca="1">_xll.EQNXTDZ($A$1,$B16,Y$1)</f>
        <v>#NAME?</v>
      </c>
      <c r="Z16" s="116" t="e" cm="1">
        <f t="array" aca="1" ref="Z16" ca="1">_xll.EQNXTDZ($A$1,$B16,Z$1)</f>
        <v>#NAME?</v>
      </c>
      <c r="AA16" s="116" t="e" cm="1">
        <f t="array" aca="1" ref="AA16" ca="1">_xll.EQNXTDZ($A$1,$B16,AA$1)</f>
        <v>#NAME?</v>
      </c>
      <c r="AB16" s="116" t="e" cm="1">
        <f t="array" aca="1" ref="AB16" ca="1">_xll.EQNXTDZ($A$1,$B16,AB$1)</f>
        <v>#NAME?</v>
      </c>
      <c r="AC16" s="116" t="e" cm="1">
        <f t="array" aca="1" ref="AC16" ca="1">_xll.EQNXTDZ($A$1,$B16,AC$1)</f>
        <v>#NAME?</v>
      </c>
      <c r="AD16" s="116" t="e" cm="1">
        <f t="array" aca="1" ref="AD16" ca="1">_xll.EQNXTDZ($A$1,$B16,AD$1)</f>
        <v>#NAME?</v>
      </c>
      <c r="AE16" s="116" t="e" cm="1">
        <f t="array" aca="1" ref="AE16" ca="1">_xll.EQNXTDZ($A$1,$B16,AE$1)</f>
        <v>#NAME?</v>
      </c>
      <c r="AF16" s="116" t="e" cm="1">
        <f t="array" aca="1" ref="AF16" ca="1">_xll.EQNXTDZ($A$1,$B16,AF$1)</f>
        <v>#NAME?</v>
      </c>
      <c r="AG16" s="116" t="e" cm="1">
        <f t="array" aca="1" ref="AG16" ca="1">_xll.EQNXTDZ($A$1,$B16,AG$1)</f>
        <v>#NAME?</v>
      </c>
      <c r="AH16" s="116" t="e" cm="1">
        <f t="array" aca="1" ref="AH16" ca="1">_xll.EQNXTDZ($A$1,$B16,AH$1)</f>
        <v>#NAME?</v>
      </c>
      <c r="AI16" s="116" t="e" cm="1">
        <f t="array" aca="1" ref="AI16" ca="1">_xll.EQNXTDZ($A$1,$B16,AI$1)</f>
        <v>#NAME?</v>
      </c>
      <c r="AJ16" s="116" t="e" cm="1">
        <f t="array" aca="1" ref="AJ16" ca="1">_xll.EQNXTDZ($A$1,$B16,AJ$1)</f>
        <v>#NAME?</v>
      </c>
      <c r="AK16" s="116" t="e" cm="1">
        <f t="array" aca="1" ref="AK16" ca="1">_xll.EQNXTDZ($A$1,$B16,AK$1)</f>
        <v>#NAME?</v>
      </c>
      <c r="AL16" s="116" t="e" cm="1">
        <f t="array" aca="1" ref="AL16" ca="1">_xll.EQNXTDZ($A$1,$B16,AL$1)</f>
        <v>#NAME?</v>
      </c>
      <c r="AM16" s="116" t="e" cm="1">
        <f t="array" aca="1" ref="AM16" ca="1">_xll.EQNXTDZ($A$1,$B16,AM$1)</f>
        <v>#NAME?</v>
      </c>
      <c r="AN16" s="116" t="e" cm="1">
        <f t="array" aca="1" ref="AN16" ca="1">_xll.EQNXTDZ($A$1,$B16,AN$1)</f>
        <v>#NAME?</v>
      </c>
      <c r="AO16" s="116" t="e" cm="1">
        <f t="array" aca="1" ref="AO16" ca="1">_xll.EQNXTDZ($A$1,$B16,AO$1)</f>
        <v>#NAME?</v>
      </c>
      <c r="AP16" s="116" t="e" cm="1">
        <f t="array" aca="1" ref="AP16" ca="1">_xll.EQNXTDZ($A$1,$B16,AP$1)</f>
        <v>#NAME?</v>
      </c>
      <c r="AQ16" s="116" t="e" cm="1">
        <f t="array" aca="1" ref="AQ16" ca="1">_xll.EQNXTDZ($A$1,$B16,AQ$1)</f>
        <v>#NAME?</v>
      </c>
      <c r="AR16" s="116" t="e" cm="1">
        <f t="array" aca="1" ref="AR16" ca="1">_xll.EQNXTDZ($A$1,$B16,AR$1)</f>
        <v>#NAME?</v>
      </c>
      <c r="AS16" s="116" t="e" cm="1">
        <f t="array" aca="1" ref="AS16" ca="1">_xll.EQNXTDZ($A$1,$B16,AS$1)</f>
        <v>#NAME?</v>
      </c>
      <c r="AT16" s="116" t="e" cm="1">
        <f t="array" aca="1" ref="AT16" ca="1">_xll.EQNXTDZ($A$1,$B16,AT$1)</f>
        <v>#NAME?</v>
      </c>
      <c r="AU16" s="116" t="e" cm="1">
        <f t="array" aca="1" ref="AU16" ca="1">_xll.EQNXTDZ($A$1,$B16,AU$1)</f>
        <v>#NAME?</v>
      </c>
      <c r="AV16" s="116" t="e" cm="1">
        <f t="array" aca="1" ref="AV16" ca="1">_xll.EQNXTDZ($A$1,$B16,AV$1)</f>
        <v>#NAME?</v>
      </c>
      <c r="AW16" s="116" t="e" cm="1">
        <f t="array" aca="1" ref="AW16" ca="1">_xll.EQNXTDZ($A$1,$B16,AW$1)</f>
        <v>#NAME?</v>
      </c>
      <c r="AX16" s="116" t="e" cm="1">
        <f t="array" aca="1" ref="AX16" ca="1">_xll.EQNXTDZ($A$1,$B16,AX$1)</f>
        <v>#NAME?</v>
      </c>
      <c r="AY16" s="116" t="e" cm="1">
        <f t="array" aca="1" ref="AY16" ca="1">_xll.EQNXTDZ($A$1,$B16,AY$1)</f>
        <v>#NAME?</v>
      </c>
      <c r="AZ16" s="116" t="e" cm="1">
        <f t="array" aca="1" ref="AZ16" ca="1">_xll.EQNXTDZ($A$1,$B16,AZ$1)</f>
        <v>#NAME?</v>
      </c>
      <c r="BA16" s="116" t="e" cm="1">
        <f t="array" aca="1" ref="BA16" ca="1">_xll.EQNXTDZ($A$1,$B16,BA$1)</f>
        <v>#NAME?</v>
      </c>
      <c r="BB16" s="116" t="e" cm="1">
        <f t="array" aca="1" ref="BB16" ca="1">_xll.EQNXTDZ($A$1,$B16,BB$1)</f>
        <v>#NAME?</v>
      </c>
      <c r="BC16" s="116" t="e" cm="1">
        <f t="array" aca="1" ref="BC16" ca="1">_xll.EQNXTDZ($A$1,$B16,BC$1)</f>
        <v>#NAME?</v>
      </c>
      <c r="BD16" s="116" t="e" cm="1">
        <f t="array" aca="1" ref="BD16" ca="1">_xll.EQNXTDZ($A$1,$B16,BD$1)</f>
        <v>#NAME?</v>
      </c>
      <c r="BE16" s="116" t="e" cm="1">
        <f t="array" aca="1" ref="BE16" ca="1">_xll.EQNXTDZ($A$1,$B16,BE$1)</f>
        <v>#NAME?</v>
      </c>
      <c r="BF16" s="116" t="e" cm="1">
        <f t="array" aca="1" ref="BF16" ca="1">_xll.EQNXTDZ($A$1,$B16,BF$1)</f>
        <v>#NAME?</v>
      </c>
      <c r="BG16" s="116" t="e" cm="1">
        <f t="array" aca="1" ref="BG16" ca="1">_xll.EQNXTDZ($A$1,$B16,BG$1)</f>
        <v>#NAME?</v>
      </c>
      <c r="BH16" s="116" t="e" cm="1">
        <f t="array" aca="1" ref="BH16" ca="1">_xll.EQNXTDZ($A$1,$B16,BH$1)</f>
        <v>#NAME?</v>
      </c>
      <c r="BI16" s="116" t="e" cm="1">
        <f t="array" aca="1" ref="BI16" ca="1">_xll.EQNXTDZ($A$1,$B16,BI$1)</f>
        <v>#NAME?</v>
      </c>
      <c r="BJ16" s="116" t="e" cm="1">
        <f t="array" aca="1" ref="BJ16" ca="1">_xll.EQNXTDZ($A$1,$B16,BJ$1)</f>
        <v>#NAME?</v>
      </c>
      <c r="BK16" s="116" t="e" cm="1">
        <f t="array" aca="1" ref="BK16" ca="1">_xll.EQNXTDZ($A$1,$B16,BK$1)</f>
        <v>#NAME?</v>
      </c>
      <c r="BL16" s="116" t="e" cm="1">
        <f t="array" aca="1" ref="BL16" ca="1">_xll.EQNXTDZ($A$1,$B16,BL$1)</f>
        <v>#NAME?</v>
      </c>
      <c r="BM16" s="116" t="e" cm="1">
        <f t="array" aca="1" ref="BM16" ca="1">_xll.EQNXTDZ($A$1,$B16,BM$1)</f>
        <v>#NAME?</v>
      </c>
      <c r="BN16" s="116" t="e" cm="1">
        <f t="array" aca="1" ref="BN16" ca="1">_xll.EQNXTDZ($A$1,$B16,BN$1)</f>
        <v>#NAME?</v>
      </c>
      <c r="BO16" s="116" t="e" cm="1">
        <f t="array" aca="1" ref="BO16" ca="1">_xll.EQNXTDZ($A$1,$B16,BO$1)</f>
        <v>#NAME?</v>
      </c>
      <c r="BP16" s="116" t="e" cm="1">
        <f t="array" aca="1" ref="BP16" ca="1">_xll.EQNXTDZ($A$1,$B16,BP$1)</f>
        <v>#NAME?</v>
      </c>
      <c r="BQ16" s="116" t="e" cm="1">
        <f t="array" aca="1" ref="BQ16" ca="1">_xll.EQNXTDZ($A$1,$B16,BQ$1)</f>
        <v>#NAME?</v>
      </c>
      <c r="BR16" s="116" t="e" cm="1">
        <f t="array" aca="1" ref="BR16" ca="1">_xll.EQNXTDZ($A$1,$B16,BR$1)</f>
        <v>#NAME?</v>
      </c>
      <c r="BS16" s="116" t="e" cm="1">
        <f t="array" aca="1" ref="BS16" ca="1">_xll.EQNXTDZ($A$1,$B16,BS$1)</f>
        <v>#NAME?</v>
      </c>
      <c r="BT16" s="116" t="e" cm="1">
        <f t="array" aca="1" ref="BT16" ca="1">_xll.EQNXTDZ($A$1,$B16,BT$1)</f>
        <v>#NAME?</v>
      </c>
      <c r="BU16" s="116" t="e" cm="1">
        <f t="array" aca="1" ref="BU16" ca="1">_xll.EQNXTDZ($A$1,$B16,BU$1)</f>
        <v>#NAME?</v>
      </c>
      <c r="BV16" s="116" t="e" cm="1">
        <f t="array" aca="1" ref="BV16" ca="1">_xll.EQNXTDZ($A$1,$B16,BV$1)</f>
        <v>#NAME?</v>
      </c>
      <c r="BW16" s="116" t="e" cm="1">
        <f t="array" aca="1" ref="BW16" ca="1">_xll.EQNXTDZ($A$1,$B16,BW$1)</f>
        <v>#NAME?</v>
      </c>
      <c r="BX16" s="116" t="e" cm="1">
        <f t="array" aca="1" ref="BX16" ca="1">_xll.EQNXTDZ($A$1,$B16,BX$1)</f>
        <v>#NAME?</v>
      </c>
      <c r="BY16" s="116" t="e" cm="1">
        <f t="array" aca="1" ref="BY16" ca="1">_xll.EQNXTDZ($A$1,$B16,BY$1)</f>
        <v>#NAME?</v>
      </c>
      <c r="BZ16" s="116" t="e" cm="1">
        <f t="array" aca="1" ref="BZ16" ca="1">_xll.EQNXTDZ($A$1,$B16,BZ$1)</f>
        <v>#NAME?</v>
      </c>
      <c r="CA16" s="116" t="e" cm="1">
        <f t="array" aca="1" ref="CA16" ca="1">_xll.EQNXTDZ($A$1,$B16,CA$1)</f>
        <v>#NAME?</v>
      </c>
      <c r="CB16" s="116" t="e" cm="1">
        <f t="array" aca="1" ref="CB16" ca="1">_xll.EQNXTDZ($A$1,$B16,CB$1)</f>
        <v>#NAME?</v>
      </c>
      <c r="CC16" s="116" t="e" cm="1">
        <f t="array" aca="1" ref="CC16" ca="1">_xll.EQNXTDZ($A$1,$B16,CC$1)</f>
        <v>#NAME?</v>
      </c>
      <c r="CD16" s="116" t="e" cm="1">
        <f t="array" aca="1" ref="CD16" ca="1">_xll.EQNXTDZ($A$1,$B16,CD$1)</f>
        <v>#NAME?</v>
      </c>
      <c r="CE16" s="116" t="e" cm="1">
        <f t="array" aca="1" ref="CE16" ca="1">_xll.EQNXTDZ($A$1,$B16,CE$1)</f>
        <v>#NAME?</v>
      </c>
      <c r="CF16" s="116" t="e" cm="1">
        <f t="array" aca="1" ref="CF16" ca="1">_xll.EQNXTDZ($A$1,$B16,CF$1)</f>
        <v>#NAME?</v>
      </c>
      <c r="CG16" s="116" t="e" cm="1">
        <f t="array" aca="1" ref="CG16" ca="1">_xll.EQNXTDZ($A$1,$B16,CG$1)</f>
        <v>#NAME?</v>
      </c>
      <c r="CH16" s="116" t="e" cm="1">
        <f t="array" aca="1" ref="CH16" ca="1">_xll.EQNXTDZ($A$1,$B16,CH$1)</f>
        <v>#NAME?</v>
      </c>
      <c r="CI16" s="116" t="e" cm="1">
        <f t="array" aca="1" ref="CI16" ca="1">_xll.EQNXTDZ($A$1,$B16,CI$1)</f>
        <v>#NAME?</v>
      </c>
      <c r="CJ16" s="116" t="e" cm="1">
        <f t="array" aca="1" ref="CJ16" ca="1">_xll.EQNXTDZ($A$1,$B16,CJ$1)</f>
        <v>#NAME?</v>
      </c>
      <c r="CK16" s="116" t="e" cm="1">
        <f t="array" aca="1" ref="CK16" ca="1">_xll.EQNXTDZ($A$1,$B16,CK$1)</f>
        <v>#NAME?</v>
      </c>
      <c r="CL16" s="116" t="e" cm="1">
        <f t="array" aca="1" ref="CL16" ca="1">_xll.EQNXTDZ($A$1,$B16,CL$1)</f>
        <v>#NAME?</v>
      </c>
      <c r="CM16" s="116" t="e" cm="1">
        <f t="array" aca="1" ref="CM16" ca="1">_xll.EQNXTDZ($A$1,$B16,CM$1)</f>
        <v>#NAME?</v>
      </c>
      <c r="CN16" s="116" t="e" cm="1">
        <f t="array" aca="1" ref="CN16" ca="1">_xll.EQNXTDZ($A$1,$B16,CN$1)</f>
        <v>#NAME?</v>
      </c>
      <c r="CO16" s="116" t="e" cm="1">
        <f t="array" aca="1" ref="CO16" ca="1">_xll.EQNXTDZ($A$1,$B16,CO$1)</f>
        <v>#NAME?</v>
      </c>
      <c r="CP16" s="116" t="e" cm="1">
        <f t="array" aca="1" ref="CP16" ca="1">_xll.EQNXTDZ($A$1,$B16,CP$1)</f>
        <v>#NAME?</v>
      </c>
      <c r="CQ16" s="116" t="e" cm="1">
        <f t="array" aca="1" ref="CQ16" ca="1">_xll.EQNXTDZ($A$1,$B16,CQ$1)</f>
        <v>#NAME?</v>
      </c>
      <c r="CR16" s="116" t="e" cm="1">
        <f t="array" aca="1" ref="CR16" ca="1">_xll.EQNXTDZ($A$1,$B16,CR$1)</f>
        <v>#NAME?</v>
      </c>
      <c r="CS16" s="116" t="e" cm="1">
        <f t="array" aca="1" ref="CS16" ca="1">_xll.EQNXTDZ($A$1,$B16,CS$1)</f>
        <v>#NAME?</v>
      </c>
      <c r="CT16" s="116" t="e" cm="1">
        <f t="array" aca="1" ref="CT16" ca="1">_xll.EQNXTDZ($A$1,$B16,CT$1)</f>
        <v>#NAME?</v>
      </c>
      <c r="CU16" s="116" t="e" cm="1">
        <f t="array" aca="1" ref="CU16" ca="1">_xll.EQNXTDZ($A$1,$B16,CU$1)</f>
        <v>#NAME?</v>
      </c>
      <c r="CV16" s="116" t="e" cm="1">
        <f t="array" aca="1" ref="CV16" ca="1">_xll.EQNXTDZ($A$1,$B16,CV$1)</f>
        <v>#NAME?</v>
      </c>
      <c r="CW16" s="116" t="e" cm="1">
        <f t="array" aca="1" ref="CW16" ca="1">_xll.EQNXTDZ($A$1,$B16,CW$1)</f>
        <v>#NAME?</v>
      </c>
      <c r="CX16" s="116" t="e" cm="1">
        <f t="array" aca="1" ref="CX16" ca="1">_xll.EQNXTDZ($A$1,$B16,CX$1)</f>
        <v>#NAME?</v>
      </c>
      <c r="CY16" s="116" t="e" cm="1">
        <f t="array" aca="1" ref="CY16" ca="1">_xll.EQNXTDZ($A$1,$B16,CY$1)</f>
        <v>#NAME?</v>
      </c>
      <c r="CZ16" s="116" t="e" cm="1">
        <f t="array" aca="1" ref="CZ16" ca="1">_xll.EQNXTDZ($A$1,$B16,CZ$1)</f>
        <v>#NAME?</v>
      </c>
      <c r="DA16" s="116" t="e" cm="1">
        <f t="array" aca="1" ref="DA16" ca="1">_xll.EQNXTDZ($A$1,$B16,DA$1)</f>
        <v>#NAME?</v>
      </c>
      <c r="DB16" s="116" t="e" cm="1">
        <f t="array" aca="1" ref="DB16" ca="1">_xll.EQNXTDZ($A$1,$B16,DB$1)</f>
        <v>#NAME?</v>
      </c>
      <c r="DC16" s="116" t="e" cm="1">
        <f t="array" aca="1" ref="DC16" ca="1">_xll.EQNXTDZ($A$1,$B16,DC$1)</f>
        <v>#NAME?</v>
      </c>
      <c r="DD16" s="116" t="e" cm="1">
        <f t="array" aca="1" ref="DD16" ca="1">_xll.EQNXTDZ($A$1,$B16,DD$1)</f>
        <v>#NAME?</v>
      </c>
      <c r="DE16" s="116" t="e" cm="1">
        <f t="array" aca="1" ref="DE16" ca="1">_xll.EQNXTDZ($A$1,$B16,DE$1)</f>
        <v>#NAME?</v>
      </c>
      <c r="DF16" s="116" t="e" cm="1">
        <f t="array" aca="1" ref="DF16" ca="1">_xll.EQNXTDZ($A$1,$B16,DF$1)</f>
        <v>#NAME?</v>
      </c>
      <c r="DG16" s="116" t="e" cm="1">
        <f t="array" aca="1" ref="DG16" ca="1">_xll.EQNXTDZ($A$1,$B16,DG$1)</f>
        <v>#NAME?</v>
      </c>
      <c r="DH16" s="116" t="e" cm="1">
        <f t="array" aca="1" ref="DH16" ca="1">_xll.EQNXTDZ($A$1,$B16,DH$1)</f>
        <v>#NAME?</v>
      </c>
      <c r="DI16" s="116" t="e" cm="1">
        <f t="array" aca="1" ref="DI16" ca="1">_xll.EQNXTDZ($A$1,$B16,DI$1)</f>
        <v>#NAME?</v>
      </c>
      <c r="DJ16" s="116" t="e" cm="1">
        <f t="array" aca="1" ref="DJ16" ca="1">_xll.EQNXTDZ($A$1,$B16,DJ$1)</f>
        <v>#NAME?</v>
      </c>
      <c r="DK16" s="116" t="e" cm="1">
        <f t="array" aca="1" ref="DK16" ca="1">_xll.EQNXTDZ($A$1,$B16,DK$1)</f>
        <v>#NAME?</v>
      </c>
      <c r="DL16" s="116" t="e" cm="1">
        <f t="array" aca="1" ref="DL16" ca="1">_xll.EQNXTDZ($A$1,$B16,DL$1)</f>
        <v>#NAME?</v>
      </c>
      <c r="DM16" s="116" t="e" cm="1">
        <f t="array" aca="1" ref="DM16" ca="1">_xll.EQNXTDZ($A$1,$B16,DM$1)</f>
        <v>#NAME?</v>
      </c>
      <c r="DN16" s="116" t="e" cm="1">
        <f t="array" aca="1" ref="DN16" ca="1">_xll.EQNXTDZ($A$1,$B16,DN$1)</f>
        <v>#NAME?</v>
      </c>
      <c r="DO16" s="116" t="e" cm="1">
        <f t="array" aca="1" ref="DO16" ca="1">_xll.EQNXTDZ($A$1,$B16,DO$1)</f>
        <v>#NAME?</v>
      </c>
      <c r="DP16" s="116" t="e" cm="1">
        <f t="array" aca="1" ref="DP16" ca="1">_xll.EQNXTDZ($A$1,$B16,DP$1)</f>
        <v>#NAME?</v>
      </c>
      <c r="DQ16" s="116" t="e" cm="1">
        <f t="array" aca="1" ref="DQ16" ca="1">_xll.EQNXTDZ($A$1,$B16,DQ$1)</f>
        <v>#NAME?</v>
      </c>
      <c r="DR16" s="116" t="e" cm="1">
        <f t="array" aca="1" ref="DR16" ca="1">_xll.EQNXTDZ($A$1,$B16,DR$1)</f>
        <v>#NAME?</v>
      </c>
      <c r="DS16" s="116" t="e" cm="1">
        <f t="array" aca="1" ref="DS16" ca="1">_xll.EQNXTDZ($A$1,$B16,DS$1)</f>
        <v>#NAME?</v>
      </c>
      <c r="DT16" s="116" t="e" cm="1">
        <f t="array" aca="1" ref="DT16" ca="1">_xll.EQNXTDZ($A$1,$B16,DT$1)</f>
        <v>#NAME?</v>
      </c>
      <c r="DU16" s="116" t="e" cm="1">
        <f t="array" aca="1" ref="DU16" ca="1">_xll.EQNXTDZ($A$1,$B16,DU$1)</f>
        <v>#NAME?</v>
      </c>
      <c r="DV16" s="116" t="e" cm="1">
        <f t="array" aca="1" ref="DV16" ca="1">_xll.EQNXTDZ($A$1,$B16,DV$1)</f>
        <v>#NAME?</v>
      </c>
      <c r="DW16" s="116" t="e" cm="1">
        <f t="array" aca="1" ref="DW16" ca="1">_xll.EQNXTDZ($A$1,$B16,DW$1)</f>
        <v>#NAME?</v>
      </c>
      <c r="DX16" s="116" t="e" cm="1">
        <f t="array" aca="1" ref="DX16" ca="1">_xll.EQNXTDZ($A$1,$B16,DX$1)</f>
        <v>#NAME?</v>
      </c>
      <c r="DY16" s="116" t="e" cm="1">
        <f t="array" aca="1" ref="DY16" ca="1">_xll.EQNXTDZ($A$1,$B16,DY$1)</f>
        <v>#NAME?</v>
      </c>
      <c r="DZ16" s="116" t="e" cm="1">
        <f t="array" aca="1" ref="DZ16" ca="1">_xll.EQNXTDZ($A$1,$B16,DZ$1)</f>
        <v>#NAME?</v>
      </c>
      <c r="EA16" s="116" t="e" cm="1">
        <f t="array" aca="1" ref="EA16" ca="1">_xll.EQNXTDZ($A$1,$B16,EA$1)</f>
        <v>#NAME?</v>
      </c>
      <c r="EB16" s="116" t="e" cm="1">
        <f t="array" aca="1" ref="EB16" ca="1">_xll.EQNXTDZ($A$1,$B16,EB$1)</f>
        <v>#NAME?</v>
      </c>
      <c r="EC16" s="116" t="e" cm="1">
        <f t="array" aca="1" ref="EC16" ca="1">_xll.EQNXTDZ($A$1,$B16,EC$1)</f>
        <v>#NAME?</v>
      </c>
      <c r="ED16" s="116" t="e" cm="1">
        <f t="array" aca="1" ref="ED16" ca="1">_xll.EQNXTDZ($A$1,$B16,ED$1)</f>
        <v>#NAME?</v>
      </c>
      <c r="EE16" s="116" t="e" cm="1">
        <f t="array" aca="1" ref="EE16" ca="1">_xll.EQNXTDZ($A$1,$B16,EE$1)</f>
        <v>#NAME?</v>
      </c>
      <c r="EF16" s="116" t="e" cm="1">
        <f t="array" aca="1" ref="EF16" ca="1">_xll.EQNXTDZ($A$1,$B16,EF$1)</f>
        <v>#NAME?</v>
      </c>
      <c r="EG16" s="116" t="e" cm="1">
        <f t="array" aca="1" ref="EG16" ca="1">_xll.EQNXTDZ($A$1,$B16,EG$1)</f>
        <v>#NAME?</v>
      </c>
      <c r="EH16" s="116" t="e" cm="1">
        <f t="array" aca="1" ref="EH16" ca="1">_xll.EQNXTDZ($A$1,$B16,EH$1)</f>
        <v>#NAME?</v>
      </c>
      <c r="EI16" s="116" t="e" cm="1">
        <f t="array" aca="1" ref="EI16" ca="1">_xll.EQNXTDZ($A$1,$B16,EI$1)</f>
        <v>#NAME?</v>
      </c>
      <c r="EJ16" s="116" t="e" cm="1">
        <f t="array" aca="1" ref="EJ16" ca="1">_xll.EQNXTDZ($A$1,$B16,EJ$1)</f>
        <v>#NAME?</v>
      </c>
      <c r="EK16" s="116" t="e" cm="1">
        <f t="array" aca="1" ref="EK16" ca="1">_xll.EQNXTDZ($A$1,$B16,EK$1)</f>
        <v>#NAME?</v>
      </c>
      <c r="EL16" s="116" t="e" cm="1">
        <f t="array" aca="1" ref="EL16" ca="1">_xll.EQNXTDZ($A$1,$B16,EL$1)</f>
        <v>#NAME?</v>
      </c>
      <c r="EM16" s="116" t="e" cm="1">
        <f t="array" aca="1" ref="EM16" ca="1">_xll.EQNXTDZ($A$1,$B16,EM$1)</f>
        <v>#NAME?</v>
      </c>
      <c r="EN16" s="116" t="e" cm="1">
        <f t="array" aca="1" ref="EN16" ca="1">_xll.EQNXTDZ($A$1,$B16,EN$1)</f>
        <v>#NAME?</v>
      </c>
      <c r="EO16" s="116" t="e" cm="1">
        <f t="array" aca="1" ref="EO16" ca="1">_xll.EQNXTDZ($A$1,$B16,EO$1)</f>
        <v>#NAME?</v>
      </c>
      <c r="EP16" s="116" t="e" cm="1">
        <f t="array" aca="1" ref="EP16" ca="1">_xll.EQNXTDZ($A$1,$B16,EP$1)</f>
        <v>#NAME?</v>
      </c>
      <c r="EQ16" s="116" t="e" cm="1">
        <f t="array" aca="1" ref="EQ16" ca="1">_xll.EQNXTDZ($A$1,$B16,EQ$1)</f>
        <v>#NAME?</v>
      </c>
      <c r="ER16" s="116" t="e" cm="1">
        <f t="array" aca="1" ref="ER16" ca="1">_xll.EQNXTDZ($A$1,$B16,ER$1)</f>
        <v>#NAME?</v>
      </c>
      <c r="ES16" s="116" t="e" cm="1">
        <f t="array" aca="1" ref="ES16" ca="1">_xll.EQNXTDZ($A$1,$B16,ES$1)</f>
        <v>#NAME?</v>
      </c>
      <c r="ET16" s="116" t="e" cm="1">
        <f t="array" aca="1" ref="ET16" ca="1">_xll.EQNXTDZ($A$1,$B16,ET$1)</f>
        <v>#NAME?</v>
      </c>
      <c r="EU16" s="116" t="e" cm="1">
        <f t="array" aca="1" ref="EU16" ca="1">_xll.EQNXTDZ($A$1,$B16,EU$1)</f>
        <v>#NAME?</v>
      </c>
      <c r="EV16" s="116" t="e" cm="1">
        <f t="array" aca="1" ref="EV16" ca="1">_xll.EQNXTDZ($A$1,$B16,EV$1)</f>
        <v>#NAME?</v>
      </c>
      <c r="EW16" s="116" t="e" cm="1">
        <f t="array" aca="1" ref="EW16" ca="1">_xll.EQNXTDZ($A$1,$B16,EW$1)</f>
        <v>#NAME?</v>
      </c>
      <c r="EX16" s="116" t="e" cm="1">
        <f t="array" aca="1" ref="EX16" ca="1">_xll.EQNXTDZ($A$1,$B16,EX$1)</f>
        <v>#NAME?</v>
      </c>
      <c r="EY16" s="116" t="e" cm="1">
        <f t="array" aca="1" ref="EY16" ca="1">_xll.EQNXTDZ($A$1,$B16,EY$1)</f>
        <v>#NAME?</v>
      </c>
      <c r="EZ16" s="116" t="e" cm="1">
        <f t="array" aca="1" ref="EZ16" ca="1">_xll.EQNXTDZ($A$1,$B16,EZ$1)</f>
        <v>#NAME?</v>
      </c>
      <c r="FA16" s="116" t="e" cm="1">
        <f t="array" aca="1" ref="FA16" ca="1">_xll.EQNXTDZ($A$1,$B16,FA$1)</f>
        <v>#NAME?</v>
      </c>
      <c r="FB16" s="116" t="e" cm="1">
        <f t="array" aca="1" ref="FB16" ca="1">_xll.EQNXTDZ($A$1,$B16,FB$1)</f>
        <v>#NAME?</v>
      </c>
      <c r="FC16" s="116" t="e" cm="1">
        <f t="array" aca="1" ref="FC16" ca="1">_xll.EQNXTDZ($A$1,$B16,FC$1)</f>
        <v>#NAME?</v>
      </c>
      <c r="FD16" s="116" t="e" cm="1">
        <f t="array" aca="1" ref="FD16" ca="1">_xll.EQNXTDZ($A$1,$B16,FD$1)</f>
        <v>#NAME?</v>
      </c>
      <c r="FE16" s="116" t="e" cm="1">
        <f t="array" aca="1" ref="FE16" ca="1">_xll.EQNXTDZ($A$1,$B16,FE$1)</f>
        <v>#NAME?</v>
      </c>
      <c r="FF16" s="116" t="e" cm="1">
        <f t="array" aca="1" ref="FF16" ca="1">_xll.EQNXTDZ($A$1,$B16,FF$1)</f>
        <v>#NAME?</v>
      </c>
      <c r="FG16" s="116" t="e" cm="1">
        <f t="array" aca="1" ref="FG16" ca="1">_xll.EQNXTDZ($A$1,$B16,FG$1)</f>
        <v>#NAME?</v>
      </c>
      <c r="FH16" s="116" t="e" cm="1">
        <f t="array" aca="1" ref="FH16" ca="1">_xll.EQNXTDZ($A$1,$B16,FH$1)</f>
        <v>#NAME?</v>
      </c>
      <c r="FI16" s="116" t="e" cm="1">
        <f t="array" aca="1" ref="FI16" ca="1">_xll.EQNXTDZ($A$1,$B16,FI$1)</f>
        <v>#NAME?</v>
      </c>
      <c r="FJ16" s="116" t="e" cm="1">
        <f t="array" aca="1" ref="FJ16" ca="1">_xll.EQNXTDZ($A$1,$B16,FJ$1)</f>
        <v>#NAME?</v>
      </c>
      <c r="FK16" s="116" t="e" cm="1">
        <f t="array" aca="1" ref="FK16" ca="1">_xll.EQNXTDZ($A$1,$B16,FK$1)</f>
        <v>#NAME?</v>
      </c>
      <c r="FL16" s="116" t="e" cm="1">
        <f t="array" aca="1" ref="FL16" ca="1">_xll.EQNXTDZ($A$1,$B16,FL$1)</f>
        <v>#NAME?</v>
      </c>
      <c r="FM16" s="116" t="e" cm="1">
        <f t="array" aca="1" ref="FM16" ca="1">_xll.EQNXTDZ($A$1,$B16,FM$1)</f>
        <v>#NAME?</v>
      </c>
      <c r="FN16" s="116" t="e" cm="1">
        <f t="array" aca="1" ref="FN16" ca="1">_xll.EQNXTDZ($A$1,$B16,FN$1)</f>
        <v>#NAME?</v>
      </c>
      <c r="FO16" s="116" t="e" cm="1">
        <f t="array" aca="1" ref="FO16" ca="1">_xll.EQNXTDZ($A$1,$B16,FO$1)</f>
        <v>#NAME?</v>
      </c>
      <c r="FP16" s="116" t="e" cm="1">
        <f t="array" aca="1" ref="FP16" ca="1">_xll.EQNXTDZ($A$1,$B16,FP$1)</f>
        <v>#NAME?</v>
      </c>
      <c r="FQ16" s="116" t="e" cm="1">
        <f t="array" aca="1" ref="FQ16" ca="1">_xll.EQNXTDZ($A$1,$B16,FQ$1)</f>
        <v>#NAME?</v>
      </c>
      <c r="FR16" s="116" t="e" cm="1">
        <f t="array" aca="1" ref="FR16" ca="1">_xll.EQNXTDZ($A$1,$B16,FR$1)</f>
        <v>#NAME?</v>
      </c>
      <c r="FS16" s="116" t="e" cm="1">
        <f t="array" aca="1" ref="FS16" ca="1">_xll.EQNXTDZ($A$1,$B16,FS$1)</f>
        <v>#NAME?</v>
      </c>
      <c r="FT16" s="116" t="e" cm="1">
        <f t="array" aca="1" ref="FT16" ca="1">_xll.EQNXTDZ($A$1,$B16,FT$1)</f>
        <v>#NAME?</v>
      </c>
      <c r="FU16" s="116" t="e" cm="1">
        <f t="array" aca="1" ref="FU16" ca="1">_xll.EQNXTDZ($A$1,$B16,FU$1)</f>
        <v>#NAME?</v>
      </c>
      <c r="FV16" s="116" t="e" cm="1">
        <f t="array" aca="1" ref="FV16" ca="1">_xll.EQNXTDZ($A$1,$B16,FV$1)</f>
        <v>#NAME?</v>
      </c>
      <c r="FW16" s="116" t="e" cm="1">
        <f t="array" aca="1" ref="FW16" ca="1">_xll.EQNXTDZ($A$1,$B16,FW$1)</f>
        <v>#NAME?</v>
      </c>
      <c r="FX16" s="116" t="e" cm="1">
        <f t="array" aca="1" ref="FX16" ca="1">_xll.EQNXTDZ($A$1,$B16,FX$1)</f>
        <v>#NAME?</v>
      </c>
      <c r="FY16" s="116" t="e" cm="1">
        <f t="array" aca="1" ref="FY16" ca="1">_xll.EQNXTDZ($A$1,$B16,FY$1)</f>
        <v>#NAME?</v>
      </c>
      <c r="FZ16" s="116" t="e" cm="1">
        <f t="array" aca="1" ref="FZ16" ca="1">_xll.EQNXTDZ($A$1,$B16,FZ$1)</f>
        <v>#NAME?</v>
      </c>
      <c r="GA16" s="116" t="e" cm="1">
        <f t="array" aca="1" ref="GA16" ca="1">_xll.EQNXTDZ($A$1,$B16,GA$1)</f>
        <v>#NAME?</v>
      </c>
      <c r="GB16" s="116" t="e" cm="1">
        <f t="array" aca="1" ref="GB16" ca="1">_xll.EQNXTDZ($A$1,$B16,GB$1)</f>
        <v>#NAME?</v>
      </c>
      <c r="GC16" s="116" t="e" cm="1">
        <f t="array" aca="1" ref="GC16" ca="1">_xll.EQNXTDZ($A$1,$B16,GC$1)</f>
        <v>#NAME?</v>
      </c>
      <c r="GD16" s="116" t="e" cm="1">
        <f t="array" aca="1" ref="GD16" ca="1">_xll.EQNXTDZ($A$1,$B16,GD$1)</f>
        <v>#NAME?</v>
      </c>
      <c r="GE16" s="116" t="e" cm="1">
        <f t="array" aca="1" ref="GE16" ca="1">_xll.EQNXTDZ($A$1,$B16,GE$1)</f>
        <v>#NAME?</v>
      </c>
      <c r="GF16" s="116" t="e" cm="1">
        <f t="array" aca="1" ref="GF16" ca="1">_xll.EQNXTDZ($A$1,$B16,GF$1)</f>
        <v>#NAME?</v>
      </c>
      <c r="GG16" s="116" t="e" cm="1">
        <f t="array" aca="1" ref="GG16" ca="1">_xll.EQNXTDZ($A$1,$B16,GG$1)</f>
        <v>#NAME?</v>
      </c>
      <c r="GH16" s="116" t="e" cm="1">
        <f t="array" aca="1" ref="GH16" ca="1">_xll.EQNXTDZ($A$1,$B16,GH$1)</f>
        <v>#NAME?</v>
      </c>
      <c r="GI16" s="116" t="e" cm="1">
        <f t="array" aca="1" ref="GI16" ca="1">_xll.EQNXTDZ($A$1,$B16,GI$1)</f>
        <v>#NAME?</v>
      </c>
      <c r="GJ16" s="116" t="e" cm="1">
        <f t="array" aca="1" ref="GJ16" ca="1">_xll.EQNXTDZ($A$1,$B16,GJ$1)</f>
        <v>#NAME?</v>
      </c>
      <c r="GK16" s="116" t="e" cm="1">
        <f t="array" aca="1" ref="GK16" ca="1">_xll.EQNXTDZ($A$1,$B16,GK$1)</f>
        <v>#NAME?</v>
      </c>
      <c r="GL16" s="116" t="e" cm="1">
        <f t="array" aca="1" ref="GL16" ca="1">_xll.EQNXTDZ($A$1,$B16,GL$1)</f>
        <v>#NAME?</v>
      </c>
      <c r="GM16" s="116" t="e" cm="1">
        <f t="array" aca="1" ref="GM16" ca="1">_xll.EQNXTDZ($A$1,$B16,GM$1)</f>
        <v>#NAME?</v>
      </c>
      <c r="GN16" s="116" t="e" cm="1">
        <f t="array" aca="1" ref="GN16" ca="1">_xll.EQNXTDZ($A$1,$B16,GN$1)</f>
        <v>#NAME?</v>
      </c>
      <c r="GO16" s="116" t="e" cm="1">
        <f t="array" aca="1" ref="GO16" ca="1">_xll.EQNXTDZ($A$1,$B16,GO$1)</f>
        <v>#NAME?</v>
      </c>
      <c r="GP16" s="116" t="e" cm="1">
        <f t="array" aca="1" ref="GP16" ca="1">_xll.EQNXTDZ($A$1,$B16,GP$1)</f>
        <v>#NAME?</v>
      </c>
      <c r="GQ16" s="116" t="e" cm="1">
        <f t="array" aca="1" ref="GQ16" ca="1">_xll.EQNXTDZ($A$1,$B16,GQ$1)</f>
        <v>#NAME?</v>
      </c>
      <c r="GR16" s="116" t="e" cm="1">
        <f t="array" aca="1" ref="GR16" ca="1">_xll.EQNXTDZ($A$1,$B16,GR$1)</f>
        <v>#NAME?</v>
      </c>
      <c r="GS16" s="116" t="e" cm="1">
        <f t="array" aca="1" ref="GS16" ca="1">_xll.EQNXTDZ($A$1,$B16,GS$1)</f>
        <v>#NAME?</v>
      </c>
      <c r="GT16" s="116" t="e" cm="1">
        <f t="array" aca="1" ref="GT16" ca="1">_xll.EQNXTDZ($A$1,$B16,GT$1)</f>
        <v>#NAME?</v>
      </c>
      <c r="GU16" s="116" t="e" cm="1">
        <f t="array" aca="1" ref="GU16" ca="1">_xll.EQNXTDZ($A$1,$B16,GU$1)</f>
        <v>#NAME?</v>
      </c>
      <c r="GV16" s="116" t="e" cm="1">
        <f t="array" aca="1" ref="GV16" ca="1">_xll.EQNXTDZ($A$1,$B16,GV$1)</f>
        <v>#NAME?</v>
      </c>
      <c r="GW16" s="116" t="e" cm="1">
        <f t="array" aca="1" ref="GW16" ca="1">_xll.EQNXTDZ($A$1,$B16,GW$1)</f>
        <v>#NAME?</v>
      </c>
      <c r="GX16" s="116" t="e" cm="1">
        <f t="array" aca="1" ref="GX16" ca="1">_xll.EQNXTDZ($A$1,$B16,GX$1)</f>
        <v>#NAME?</v>
      </c>
      <c r="GY16" s="116" t="e" cm="1">
        <f t="array" aca="1" ref="GY16" ca="1">_xll.EQNXTDZ($A$1,$B16,GY$1)</f>
        <v>#NAME?</v>
      </c>
      <c r="GZ16" s="116" t="e" cm="1">
        <f t="array" aca="1" ref="GZ16" ca="1">_xll.EQNXTDZ($A$1,$B16,GZ$1)</f>
        <v>#NAME?</v>
      </c>
      <c r="HA16" s="116" t="e" cm="1">
        <f t="array" aca="1" ref="HA16" ca="1">_xll.EQNXTDZ($A$1,$B16,HA$1)</f>
        <v>#NAME?</v>
      </c>
      <c r="HB16" s="116" t="e" cm="1">
        <f t="array" aca="1" ref="HB16" ca="1">_xll.EQNXTDZ($A$1,$B16,HB$1)</f>
        <v>#NAME?</v>
      </c>
      <c r="HC16" s="116" t="e" cm="1">
        <f t="array" aca="1" ref="HC16" ca="1">_xll.EQNXTDZ($A$1,$B16,HC$1)</f>
        <v>#NAME?</v>
      </c>
      <c r="HD16" s="116" t="e" cm="1">
        <f t="array" aca="1" ref="HD16" ca="1">_xll.EQNXTDZ($A$1,$B16,HD$1)</f>
        <v>#NAME?</v>
      </c>
      <c r="HE16" s="116" t="e" cm="1">
        <f t="array" aca="1" ref="HE16" ca="1">_xll.EQNXTDZ($A$1,$B16,HE$1)</f>
        <v>#NAME?</v>
      </c>
      <c r="HF16" s="116" t="e" cm="1">
        <f t="array" aca="1" ref="HF16" ca="1">_xll.EQNXTDZ($A$1,$B16,HF$1)</f>
        <v>#NAME?</v>
      </c>
      <c r="HG16" s="116" t="e" cm="1">
        <f t="array" aca="1" ref="HG16" ca="1">_xll.EQNXTDZ($A$1,$B16,HG$1)</f>
        <v>#NAME?</v>
      </c>
      <c r="HH16" s="116" t="e" cm="1">
        <f t="array" aca="1" ref="HH16" ca="1">_xll.EQNXTDZ($A$1,$B16,HH$1)</f>
        <v>#NAME?</v>
      </c>
      <c r="HP16" s="116" t="e">
        <f ca="1">+F16</f>
        <v>#NAME?</v>
      </c>
      <c r="HQ16" s="116" t="e">
        <f ca="1">+I16</f>
        <v>#NAME?</v>
      </c>
      <c r="HR16" s="116" t="e">
        <f ca="1">+L16</f>
        <v>#NAME?</v>
      </c>
      <c r="HS16" s="116" t="e">
        <f ca="1">+O16</f>
        <v>#NAME?</v>
      </c>
      <c r="HT16" s="116" t="e">
        <f ca="1">+R16</f>
        <v>#NAME?</v>
      </c>
      <c r="HU16" s="116" t="e">
        <f ca="1">+U16</f>
        <v>#NAME?</v>
      </c>
      <c r="HV16" s="116" t="e">
        <f ca="1">+X16</f>
        <v>#NAME?</v>
      </c>
      <c r="HW16" s="116" t="e">
        <f ca="1">+AA16</f>
        <v>#NAME?</v>
      </c>
      <c r="HX16" s="116" t="e">
        <f ca="1">+AD16</f>
        <v>#NAME?</v>
      </c>
      <c r="HY16" s="116" t="e">
        <f ca="1">+AG16</f>
        <v>#NAME?</v>
      </c>
      <c r="HZ16" s="116" t="e">
        <f ca="1">+AJ16</f>
        <v>#NAME?</v>
      </c>
      <c r="IA16" s="116" t="e">
        <f ca="1">+AM16</f>
        <v>#NAME?</v>
      </c>
      <c r="IB16" s="116" t="e">
        <f ca="1">+AP16</f>
        <v>#NAME?</v>
      </c>
      <c r="IC16" s="116" t="e">
        <f ca="1">+AS16</f>
        <v>#NAME?</v>
      </c>
      <c r="ID16" s="116" t="e">
        <f ca="1">+AV16</f>
        <v>#NAME?</v>
      </c>
      <c r="IE16" s="116" t="e">
        <f ca="1">+AY16</f>
        <v>#NAME?</v>
      </c>
      <c r="IF16" s="116" t="e">
        <f ca="1">+BB16</f>
        <v>#NAME?</v>
      </c>
      <c r="IG16" s="116" t="e">
        <f ca="1">+BE16</f>
        <v>#NAME?</v>
      </c>
      <c r="IH16" s="116" t="e">
        <f ca="1">+BH16</f>
        <v>#NAME?</v>
      </c>
      <c r="II16" s="116" t="e">
        <f ca="1">+BK16</f>
        <v>#NAME?</v>
      </c>
      <c r="IJ16" s="116" t="e">
        <f ca="1">+BN16</f>
        <v>#NAME?</v>
      </c>
      <c r="IK16" s="116" t="e">
        <f ca="1">+BQ16</f>
        <v>#NAME?</v>
      </c>
      <c r="IL16" s="116" t="e">
        <f ca="1">+BT16</f>
        <v>#NAME?</v>
      </c>
      <c r="IM16" s="116" t="e">
        <f ca="1">+BW16</f>
        <v>#NAME?</v>
      </c>
      <c r="IN16" s="116" t="e">
        <f ca="1">+BZ16</f>
        <v>#NAME?</v>
      </c>
      <c r="IO16" s="116" t="e">
        <f ca="1">+CC16</f>
        <v>#NAME?</v>
      </c>
      <c r="IP16" s="116" t="e">
        <f ca="1">+CF16</f>
        <v>#NAME?</v>
      </c>
      <c r="IQ16" s="116" t="e">
        <f ca="1">+CI16</f>
        <v>#NAME?</v>
      </c>
      <c r="IR16" s="116" t="e">
        <f ca="1">+CL16</f>
        <v>#NAME?</v>
      </c>
      <c r="IS16" s="116" t="e">
        <f ca="1">+CO16</f>
        <v>#NAME?</v>
      </c>
      <c r="IT16" s="116" t="e">
        <f ca="1">+CR16</f>
        <v>#NAME?</v>
      </c>
      <c r="IU16" s="116" t="e">
        <f ca="1">+CU16</f>
        <v>#NAME?</v>
      </c>
      <c r="IV16" s="116" t="e">
        <f ca="1">+CX16</f>
        <v>#NAME?</v>
      </c>
      <c r="IW16" s="116" t="e">
        <f ca="1">+DA16</f>
        <v>#NAME?</v>
      </c>
      <c r="IX16" s="116" t="e">
        <f ca="1">+DD16</f>
        <v>#NAME?</v>
      </c>
      <c r="IY16" s="116" t="e">
        <f ca="1">+DG16</f>
        <v>#NAME?</v>
      </c>
      <c r="IZ16" s="116" t="e">
        <f ca="1">+DJ16</f>
        <v>#NAME?</v>
      </c>
      <c r="JA16" s="116" t="e">
        <f ca="1">+DM16</f>
        <v>#NAME?</v>
      </c>
      <c r="JB16" s="116" t="e">
        <f ca="1">+DP16</f>
        <v>#NAME?</v>
      </c>
      <c r="JC16" s="116" t="e">
        <f ca="1">+DS16</f>
        <v>#NAME?</v>
      </c>
      <c r="JD16" s="116" t="e">
        <f ca="1">+DV16</f>
        <v>#NAME?</v>
      </c>
      <c r="JE16" s="116" t="e">
        <f ca="1">+DY16</f>
        <v>#NAME?</v>
      </c>
      <c r="JF16" s="116" t="e">
        <f ca="1">+EB16</f>
        <v>#NAME?</v>
      </c>
      <c r="JG16" s="116" t="e">
        <f ca="1">+EE16</f>
        <v>#NAME?</v>
      </c>
      <c r="JH16" s="116" t="e">
        <f ca="1">+EH16</f>
        <v>#NAME?</v>
      </c>
      <c r="JI16" s="116" t="e">
        <f ca="1">+EK16</f>
        <v>#NAME?</v>
      </c>
      <c r="JJ16" s="116" t="e">
        <f ca="1">+EN16</f>
        <v>#NAME?</v>
      </c>
      <c r="JK16" s="116" t="e">
        <f ca="1">EQ16</f>
        <v>#NAME?</v>
      </c>
      <c r="JL16" s="116" t="e">
        <f ca="1">ET16</f>
        <v>#NAME?</v>
      </c>
      <c r="JM16" s="116" t="e">
        <f ca="1">EW16</f>
        <v>#NAME?</v>
      </c>
      <c r="JN16" s="116" t="e">
        <f ca="1">EZ16</f>
        <v>#NAME?</v>
      </c>
      <c r="JO16" s="116" t="e">
        <f ca="1">FC16</f>
        <v>#NAME?</v>
      </c>
      <c r="JP16" s="116" t="e">
        <f ca="1">FF16</f>
        <v>#NAME?</v>
      </c>
      <c r="JQ16" s="116" t="e">
        <f ca="1">FI16</f>
        <v>#NAME?</v>
      </c>
      <c r="JR16" s="116" t="e">
        <f ca="1">FL16</f>
        <v>#NAME?</v>
      </c>
      <c r="JS16" s="116" t="e">
        <f ca="1">FO16</f>
        <v>#NAME?</v>
      </c>
      <c r="JT16" s="116" t="e">
        <f ca="1">FR16</f>
        <v>#NAME?</v>
      </c>
      <c r="JU16" s="116" t="e">
        <f ca="1">FU16</f>
        <v>#NAME?</v>
      </c>
      <c r="JV16" s="116" t="e">
        <f ca="1">FX16</f>
        <v>#NAME?</v>
      </c>
      <c r="JW16" s="116" t="e">
        <f ca="1">GA16</f>
        <v>#NAME?</v>
      </c>
      <c r="JX16" s="116" t="e">
        <f ca="1">GD16</f>
        <v>#NAME?</v>
      </c>
      <c r="JY16" s="116" t="e">
        <f ca="1">GG16</f>
        <v>#NAME?</v>
      </c>
      <c r="JZ16" s="116" t="e">
        <f ca="1">GJ16</f>
        <v>#NAME?</v>
      </c>
      <c r="KA16" s="116" t="e">
        <f ca="1">GM16</f>
        <v>#NAME?</v>
      </c>
      <c r="KB16" s="116" t="e">
        <f ca="1">GP16</f>
        <v>#NAME?</v>
      </c>
      <c r="KC16" s="116" t="e">
        <f ca="1">GS16</f>
        <v>#NAME?</v>
      </c>
      <c r="KD16" s="116" t="e">
        <f ca="1">GV16</f>
        <v>#NAME?</v>
      </c>
      <c r="KE16" s="116" t="e">
        <f ca="1">GY16</f>
        <v>#NAME?</v>
      </c>
      <c r="KF16" s="116" t="e">
        <f ca="1">HB16</f>
        <v>#NAME?</v>
      </c>
      <c r="KG16" s="116" t="e">
        <f ca="1">HE16</f>
        <v>#NAME?</v>
      </c>
      <c r="KH16" s="116" t="e">
        <f ca="1">HH16</f>
        <v>#NAME?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 t="e">
        <f ca="1">+IF(HP14=0,HP7,HP14)</f>
        <v>#NAME?</v>
      </c>
      <c r="HQ19" s="116" t="e">
        <f t="shared" ref="HQ19:JI21" ca="1" si="1">+IF(HQ14=0,HQ7,HQ14)</f>
        <v>#NAME?</v>
      </c>
      <c r="HR19" s="116" t="e">
        <f t="shared" ca="1" si="1"/>
        <v>#NAME?</v>
      </c>
      <c r="HS19" s="116" t="e">
        <f t="shared" ca="1" si="1"/>
        <v>#NAME?</v>
      </c>
      <c r="HT19" s="116" t="e">
        <f t="shared" ca="1" si="1"/>
        <v>#NAME?</v>
      </c>
      <c r="HU19" s="116" t="e">
        <f t="shared" ca="1" si="1"/>
        <v>#NAME?</v>
      </c>
      <c r="HV19" s="116" t="e">
        <f t="shared" ca="1" si="1"/>
        <v>#NAME?</v>
      </c>
      <c r="HW19" s="116" t="e">
        <f t="shared" ca="1" si="1"/>
        <v>#NAME?</v>
      </c>
      <c r="HX19" s="116" t="e">
        <f t="shared" ca="1" si="1"/>
        <v>#NAME?</v>
      </c>
      <c r="HY19" s="116" t="e">
        <f t="shared" ca="1" si="1"/>
        <v>#NAME?</v>
      </c>
      <c r="HZ19" s="116" t="e">
        <f t="shared" ca="1" si="1"/>
        <v>#NAME?</v>
      </c>
      <c r="IA19" s="116" t="e">
        <f t="shared" ca="1" si="1"/>
        <v>#NAME?</v>
      </c>
      <c r="IB19" s="116" t="e">
        <f t="shared" ca="1" si="1"/>
        <v>#NAME?</v>
      </c>
      <c r="IC19" s="116" t="e">
        <f t="shared" ca="1" si="1"/>
        <v>#NAME?</v>
      </c>
      <c r="ID19" s="116" t="e">
        <f t="shared" ca="1" si="1"/>
        <v>#NAME?</v>
      </c>
      <c r="IE19" s="116" t="e">
        <f t="shared" ca="1" si="1"/>
        <v>#NAME?</v>
      </c>
      <c r="IF19" s="116" t="e">
        <f t="shared" ca="1" si="1"/>
        <v>#NAME?</v>
      </c>
      <c r="IG19" s="116" t="e">
        <f t="shared" ca="1" si="1"/>
        <v>#NAME?</v>
      </c>
      <c r="IH19" s="116" t="e">
        <f t="shared" ca="1" si="1"/>
        <v>#NAME?</v>
      </c>
      <c r="II19" s="116" t="e">
        <f t="shared" ca="1" si="1"/>
        <v>#NAME?</v>
      </c>
      <c r="IJ19" s="116" t="e">
        <f t="shared" ca="1" si="1"/>
        <v>#NAME?</v>
      </c>
      <c r="IK19" s="116" t="e">
        <f t="shared" ca="1" si="1"/>
        <v>#NAME?</v>
      </c>
      <c r="IL19" s="116" t="e">
        <f t="shared" ca="1" si="1"/>
        <v>#NAME?</v>
      </c>
      <c r="IM19" s="116" t="e">
        <f t="shared" ca="1" si="1"/>
        <v>#NAME?</v>
      </c>
      <c r="IN19" s="116" t="e">
        <f t="shared" ca="1" si="1"/>
        <v>#NAME?</v>
      </c>
      <c r="IO19" s="116" t="e">
        <f t="shared" ca="1" si="1"/>
        <v>#NAME?</v>
      </c>
      <c r="IP19" s="116" t="e">
        <f t="shared" ca="1" si="1"/>
        <v>#NAME?</v>
      </c>
      <c r="IQ19" s="116" t="e">
        <f t="shared" ca="1" si="1"/>
        <v>#NAME?</v>
      </c>
      <c r="IR19" s="116" t="e">
        <f t="shared" ca="1" si="1"/>
        <v>#NAME?</v>
      </c>
      <c r="IS19" s="116" t="e">
        <f t="shared" ca="1" si="1"/>
        <v>#NAME?</v>
      </c>
      <c r="IT19" s="116" t="e">
        <f t="shared" ca="1" si="1"/>
        <v>#NAME?</v>
      </c>
      <c r="IU19" s="116" t="e">
        <f t="shared" ca="1" si="1"/>
        <v>#NAME?</v>
      </c>
      <c r="IV19" s="116" t="e">
        <f t="shared" ca="1" si="1"/>
        <v>#NAME?</v>
      </c>
      <c r="IW19" s="116" t="e">
        <f t="shared" ca="1" si="1"/>
        <v>#NAME?</v>
      </c>
      <c r="IX19" s="116" t="e">
        <f t="shared" ca="1" si="1"/>
        <v>#NAME?</v>
      </c>
      <c r="IY19" s="116" t="e">
        <f t="shared" ca="1" si="1"/>
        <v>#NAME?</v>
      </c>
      <c r="IZ19" s="116" t="e">
        <f t="shared" ca="1" si="1"/>
        <v>#NAME?</v>
      </c>
      <c r="JA19" s="116" t="e">
        <f t="shared" ca="1" si="1"/>
        <v>#NAME?</v>
      </c>
      <c r="JB19" s="116" t="e">
        <f t="shared" ca="1" si="1"/>
        <v>#NAME?</v>
      </c>
      <c r="JC19" s="116" t="e">
        <f t="shared" ca="1" si="1"/>
        <v>#NAME?</v>
      </c>
      <c r="JD19" s="116" t="e">
        <f t="shared" ca="1" si="1"/>
        <v>#NAME?</v>
      </c>
      <c r="JE19" s="116" t="e">
        <f t="shared" ca="1" si="1"/>
        <v>#NAME?</v>
      </c>
      <c r="JF19" s="116" t="e">
        <f t="shared" ca="1" si="1"/>
        <v>#NAME?</v>
      </c>
      <c r="JG19" s="116" t="e">
        <f t="shared" ca="1" si="1"/>
        <v>#NAME?</v>
      </c>
      <c r="JH19" s="116" t="e">
        <f t="shared" ca="1" si="1"/>
        <v>#NAME?</v>
      </c>
      <c r="JI19" s="116" t="e">
        <f t="shared" ca="1" si="1"/>
        <v>#NAME?</v>
      </c>
      <c r="JJ19" s="116" t="e">
        <f t="shared" ref="JJ19:JJ21" ca="1" si="2">+IF(JJ14=0,JJ7,JJ14)</f>
        <v>#NAME?</v>
      </c>
      <c r="JK19" s="116" t="e">
        <f t="shared" ref="JK19" ca="1" si="3">+IF(JK14=0,JK7,JK14)</f>
        <v>#NAME?</v>
      </c>
      <c r="JL19" s="116" t="e">
        <f t="shared" ref="JL19:JM19" ca="1" si="4">+IF(JL14=0,JL7,JL14)</f>
        <v>#NAME?</v>
      </c>
      <c r="JM19" s="116" t="e">
        <f t="shared" ca="1" si="4"/>
        <v>#NAME?</v>
      </c>
      <c r="JN19" s="116" t="e">
        <f t="shared" ref="JN19:JO19" ca="1" si="5">+IF(JN14=0,JN7,JN14)</f>
        <v>#NAME?</v>
      </c>
      <c r="JO19" s="116" t="e">
        <f t="shared" ca="1" si="5"/>
        <v>#NAME?</v>
      </c>
      <c r="JP19" s="116" t="e">
        <f t="shared" ref="JP19" ca="1" si="6">+IF(JP14=0,JP7,JP14)</f>
        <v>#NAME?</v>
      </c>
      <c r="JQ19" s="116" t="e">
        <f t="shared" ref="JQ19:KH19" ca="1" si="7">+IF(JQ14=0,JQ7,JQ14)</f>
        <v>#NAME?</v>
      </c>
      <c r="JR19" s="116" t="e">
        <f t="shared" ca="1" si="7"/>
        <v>#NAME?</v>
      </c>
      <c r="JS19" s="116" t="e">
        <f t="shared" ca="1" si="7"/>
        <v>#NAME?</v>
      </c>
      <c r="JT19" s="116" t="e">
        <f t="shared" ca="1" si="7"/>
        <v>#NAME?</v>
      </c>
      <c r="JU19" s="116" t="e">
        <f t="shared" ca="1" si="7"/>
        <v>#NAME?</v>
      </c>
      <c r="JV19" s="116" t="e">
        <f t="shared" ca="1" si="7"/>
        <v>#NAME?</v>
      </c>
      <c r="JW19" s="116" t="e">
        <f t="shared" ca="1" si="7"/>
        <v>#NAME?</v>
      </c>
      <c r="JX19" s="116" t="e">
        <f t="shared" ca="1" si="7"/>
        <v>#NAME?</v>
      </c>
      <c r="JY19" s="116" t="e">
        <f t="shared" ca="1" si="7"/>
        <v>#NAME?</v>
      </c>
      <c r="JZ19" s="116" t="e">
        <f t="shared" ca="1" si="7"/>
        <v>#NAME?</v>
      </c>
      <c r="KA19" s="116" t="e">
        <f t="shared" ca="1" si="7"/>
        <v>#NAME?</v>
      </c>
      <c r="KB19" s="116" t="e">
        <f t="shared" ca="1" si="7"/>
        <v>#NAME?</v>
      </c>
      <c r="KC19" s="116" t="e">
        <f t="shared" ca="1" si="7"/>
        <v>#NAME?</v>
      </c>
      <c r="KD19" s="116" t="e">
        <f t="shared" ca="1" si="7"/>
        <v>#NAME?</v>
      </c>
      <c r="KE19" s="116" t="e">
        <f t="shared" ca="1" si="7"/>
        <v>#NAME?</v>
      </c>
      <c r="KF19" s="116" t="e">
        <f t="shared" ca="1" si="7"/>
        <v>#NAME?</v>
      </c>
      <c r="KG19" s="116" t="e">
        <f t="shared" ca="1" si="7"/>
        <v>#NAME?</v>
      </c>
      <c r="KH19" s="116" t="e">
        <f t="shared" ca="1" si="7"/>
        <v>#NAME?</v>
      </c>
    </row>
    <row r="20" spans="1:294" s="116" customFormat="1" x14ac:dyDescent="0.25">
      <c r="A20" s="116" t="s">
        <v>39</v>
      </c>
      <c r="HP20" s="116" t="e">
        <f t="shared" ref="HP20:IE21" ca="1" si="8">+IF(HP15=0,HP8,HP15)</f>
        <v>#NAME?</v>
      </c>
      <c r="HQ20" s="116" t="e">
        <f t="shared" ca="1" si="8"/>
        <v>#NAME?</v>
      </c>
      <c r="HR20" s="116" t="e">
        <f t="shared" ca="1" si="8"/>
        <v>#NAME?</v>
      </c>
      <c r="HS20" s="116" t="e">
        <f t="shared" ca="1" si="8"/>
        <v>#NAME?</v>
      </c>
      <c r="HT20" s="116" t="e">
        <f t="shared" ca="1" si="8"/>
        <v>#NAME?</v>
      </c>
      <c r="HU20" s="116" t="e">
        <f t="shared" ca="1" si="8"/>
        <v>#NAME?</v>
      </c>
      <c r="HV20" s="116" t="e">
        <f t="shared" ca="1" si="8"/>
        <v>#NAME?</v>
      </c>
      <c r="HW20" s="116" t="e">
        <f t="shared" ca="1" si="8"/>
        <v>#NAME?</v>
      </c>
      <c r="HX20" s="116" t="e">
        <f t="shared" ca="1" si="8"/>
        <v>#NAME?</v>
      </c>
      <c r="HY20" s="116" t="e">
        <f t="shared" ca="1" si="8"/>
        <v>#NAME?</v>
      </c>
      <c r="HZ20" s="116" t="e">
        <f t="shared" ca="1" si="8"/>
        <v>#NAME?</v>
      </c>
      <c r="IA20" s="116" t="e">
        <f t="shared" ca="1" si="8"/>
        <v>#NAME?</v>
      </c>
      <c r="IB20" s="116" t="e">
        <f t="shared" ca="1" si="8"/>
        <v>#NAME?</v>
      </c>
      <c r="IC20" s="116" t="e">
        <f t="shared" ca="1" si="8"/>
        <v>#NAME?</v>
      </c>
      <c r="ID20" s="116" t="e">
        <f t="shared" ca="1" si="8"/>
        <v>#NAME?</v>
      </c>
      <c r="IE20" s="116" t="e">
        <f t="shared" ca="1" si="8"/>
        <v>#NAME?</v>
      </c>
      <c r="IF20" s="116" t="e">
        <f t="shared" ca="1" si="1"/>
        <v>#NAME?</v>
      </c>
      <c r="IG20" s="116" t="e">
        <f t="shared" ca="1" si="1"/>
        <v>#NAME?</v>
      </c>
      <c r="IH20" s="116" t="e">
        <f t="shared" ca="1" si="1"/>
        <v>#NAME?</v>
      </c>
      <c r="II20" s="116" t="e">
        <f t="shared" ca="1" si="1"/>
        <v>#NAME?</v>
      </c>
      <c r="IJ20" s="116" t="e">
        <f t="shared" ca="1" si="1"/>
        <v>#NAME?</v>
      </c>
      <c r="IK20" s="116" t="e">
        <f t="shared" ca="1" si="1"/>
        <v>#NAME?</v>
      </c>
      <c r="IL20" s="116" t="e">
        <f t="shared" ca="1" si="1"/>
        <v>#NAME?</v>
      </c>
      <c r="IM20" s="116" t="e">
        <f t="shared" ca="1" si="1"/>
        <v>#NAME?</v>
      </c>
      <c r="IN20" s="116" t="e">
        <f t="shared" ca="1" si="1"/>
        <v>#NAME?</v>
      </c>
      <c r="IO20" s="116" t="e">
        <f t="shared" ca="1" si="1"/>
        <v>#NAME?</v>
      </c>
      <c r="IP20" s="116" t="e">
        <f t="shared" ca="1" si="1"/>
        <v>#NAME?</v>
      </c>
      <c r="IQ20" s="116" t="e">
        <f t="shared" ca="1" si="1"/>
        <v>#NAME?</v>
      </c>
      <c r="IR20" s="116" t="e">
        <f t="shared" ca="1" si="1"/>
        <v>#NAME?</v>
      </c>
      <c r="IS20" s="116" t="e">
        <f t="shared" ca="1" si="1"/>
        <v>#NAME?</v>
      </c>
      <c r="IT20" s="116" t="e">
        <f t="shared" ca="1" si="1"/>
        <v>#NAME?</v>
      </c>
      <c r="IU20" s="116" t="e">
        <f t="shared" ca="1" si="1"/>
        <v>#NAME?</v>
      </c>
      <c r="IV20" s="116" t="e">
        <f t="shared" ca="1" si="1"/>
        <v>#NAME?</v>
      </c>
      <c r="IW20" s="116" t="e">
        <f t="shared" ca="1" si="1"/>
        <v>#NAME?</v>
      </c>
      <c r="IX20" s="116" t="e">
        <f t="shared" ca="1" si="1"/>
        <v>#NAME?</v>
      </c>
      <c r="IY20" s="116" t="e">
        <f t="shared" ca="1" si="1"/>
        <v>#NAME?</v>
      </c>
      <c r="IZ20" s="116" t="e">
        <f t="shared" ca="1" si="1"/>
        <v>#NAME?</v>
      </c>
      <c r="JA20" s="116" t="e">
        <f t="shared" ca="1" si="1"/>
        <v>#NAME?</v>
      </c>
      <c r="JB20" s="116" t="e">
        <f t="shared" ca="1" si="1"/>
        <v>#NAME?</v>
      </c>
      <c r="JC20" s="116" t="e">
        <f t="shared" ca="1" si="1"/>
        <v>#NAME?</v>
      </c>
      <c r="JD20" s="116" t="e">
        <f t="shared" ca="1" si="1"/>
        <v>#NAME?</v>
      </c>
      <c r="JE20" s="116" t="e">
        <f t="shared" ca="1" si="1"/>
        <v>#NAME?</v>
      </c>
      <c r="JF20" s="116" t="e">
        <f t="shared" ca="1" si="1"/>
        <v>#NAME?</v>
      </c>
      <c r="JG20" s="116" t="e">
        <f t="shared" ca="1" si="1"/>
        <v>#NAME?</v>
      </c>
      <c r="JH20" s="116" t="e">
        <f t="shared" ca="1" si="1"/>
        <v>#NAME?</v>
      </c>
      <c r="JI20" s="116" t="e">
        <f t="shared" ca="1" si="1"/>
        <v>#NAME?</v>
      </c>
      <c r="JJ20" s="116" t="e">
        <f t="shared" ca="1" si="2"/>
        <v>#NAME?</v>
      </c>
      <c r="JK20" s="116" t="e">
        <f t="shared" ref="JK20" ca="1" si="9">+IF(JK15=0,JK8,JK15)</f>
        <v>#NAME?</v>
      </c>
      <c r="JL20" s="116" t="e">
        <f t="shared" ref="JL20:JM20" ca="1" si="10">+IF(JL15=0,JL8,JL15)</f>
        <v>#NAME?</v>
      </c>
      <c r="JM20" s="116" t="e">
        <f t="shared" ca="1" si="10"/>
        <v>#NAME?</v>
      </c>
      <c r="JN20" s="116" t="e">
        <f t="shared" ref="JN20:JO20" ca="1" si="11">+IF(JN15=0,JN8,JN15)</f>
        <v>#NAME?</v>
      </c>
      <c r="JO20" s="116" t="e">
        <f t="shared" ca="1" si="11"/>
        <v>#NAME?</v>
      </c>
      <c r="JP20" s="116" t="e">
        <f t="shared" ref="JP20" ca="1" si="12">+IF(JP15=0,JP8,JP15)</f>
        <v>#NAME?</v>
      </c>
      <c r="JQ20" s="116" t="e">
        <f t="shared" ref="JQ20:KH20" ca="1" si="13">+IF(JQ15=0,JQ8,JQ15)</f>
        <v>#NAME?</v>
      </c>
      <c r="JR20" s="116" t="e">
        <f t="shared" ca="1" si="13"/>
        <v>#NAME?</v>
      </c>
      <c r="JS20" s="116" t="e">
        <f t="shared" ca="1" si="13"/>
        <v>#NAME?</v>
      </c>
      <c r="JT20" s="116" t="e">
        <f t="shared" ca="1" si="13"/>
        <v>#NAME?</v>
      </c>
      <c r="JU20" s="116" t="e">
        <f t="shared" ca="1" si="13"/>
        <v>#NAME?</v>
      </c>
      <c r="JV20" s="116" t="e">
        <f t="shared" ca="1" si="13"/>
        <v>#NAME?</v>
      </c>
      <c r="JW20" s="116" t="e">
        <f t="shared" ca="1" si="13"/>
        <v>#NAME?</v>
      </c>
      <c r="JX20" s="116" t="e">
        <f t="shared" ca="1" si="13"/>
        <v>#NAME?</v>
      </c>
      <c r="JY20" s="116" t="e">
        <f t="shared" ca="1" si="13"/>
        <v>#NAME?</v>
      </c>
      <c r="JZ20" s="116" t="e">
        <f t="shared" ca="1" si="13"/>
        <v>#NAME?</v>
      </c>
      <c r="KA20" s="116" t="e">
        <f t="shared" ca="1" si="13"/>
        <v>#NAME?</v>
      </c>
      <c r="KB20" s="116" t="e">
        <f t="shared" ca="1" si="13"/>
        <v>#NAME?</v>
      </c>
      <c r="KC20" s="116" t="e">
        <f t="shared" ca="1" si="13"/>
        <v>#NAME?</v>
      </c>
      <c r="KD20" s="116" t="e">
        <f t="shared" ca="1" si="13"/>
        <v>#NAME?</v>
      </c>
      <c r="KE20" s="116" t="e">
        <f t="shared" ca="1" si="13"/>
        <v>#NAME?</v>
      </c>
      <c r="KF20" s="116" t="e">
        <f t="shared" ca="1" si="13"/>
        <v>#NAME?</v>
      </c>
      <c r="KG20" s="116" t="e">
        <f t="shared" ca="1" si="13"/>
        <v>#NAME?</v>
      </c>
      <c r="KH20" s="116" t="e">
        <f t="shared" ca="1" si="13"/>
        <v>#NAME?</v>
      </c>
    </row>
    <row r="21" spans="1:294" s="116" customFormat="1" x14ac:dyDescent="0.25">
      <c r="A21" s="116" t="s">
        <v>37</v>
      </c>
      <c r="HP21" s="116" t="e">
        <f t="shared" ca="1" si="8"/>
        <v>#NAME?</v>
      </c>
      <c r="HQ21" s="116" t="e">
        <f t="shared" ca="1" si="1"/>
        <v>#NAME?</v>
      </c>
      <c r="HR21" s="116" t="e">
        <f t="shared" ca="1" si="1"/>
        <v>#NAME?</v>
      </c>
      <c r="HS21" s="116" t="e">
        <f t="shared" ca="1" si="1"/>
        <v>#NAME?</v>
      </c>
      <c r="HT21" s="116" t="e">
        <f t="shared" ca="1" si="1"/>
        <v>#NAME?</v>
      </c>
      <c r="HU21" s="116" t="e">
        <f t="shared" ca="1" si="1"/>
        <v>#NAME?</v>
      </c>
      <c r="HV21" s="116" t="e">
        <f t="shared" ca="1" si="1"/>
        <v>#NAME?</v>
      </c>
      <c r="HW21" s="116" t="e">
        <f t="shared" ca="1" si="1"/>
        <v>#NAME?</v>
      </c>
      <c r="HX21" s="116" t="e">
        <f t="shared" ca="1" si="1"/>
        <v>#NAME?</v>
      </c>
      <c r="HY21" s="116" t="e">
        <f t="shared" ca="1" si="1"/>
        <v>#NAME?</v>
      </c>
      <c r="HZ21" s="116" t="e">
        <f t="shared" ca="1" si="1"/>
        <v>#NAME?</v>
      </c>
      <c r="IA21" s="116" t="e">
        <f t="shared" ca="1" si="1"/>
        <v>#NAME?</v>
      </c>
      <c r="IB21" s="116" t="e">
        <f t="shared" ca="1" si="1"/>
        <v>#NAME?</v>
      </c>
      <c r="IC21" s="116" t="e">
        <f t="shared" ca="1" si="1"/>
        <v>#NAME?</v>
      </c>
      <c r="ID21" s="116" t="e">
        <f t="shared" ca="1" si="1"/>
        <v>#NAME?</v>
      </c>
      <c r="IE21" s="116" t="e">
        <f t="shared" ca="1" si="1"/>
        <v>#NAME?</v>
      </c>
      <c r="IF21" s="116" t="e">
        <f t="shared" ca="1" si="1"/>
        <v>#NAME?</v>
      </c>
      <c r="IG21" s="116" t="e">
        <f t="shared" ca="1" si="1"/>
        <v>#NAME?</v>
      </c>
      <c r="IH21" s="116" t="e">
        <f t="shared" ca="1" si="1"/>
        <v>#NAME?</v>
      </c>
      <c r="II21" s="116" t="e">
        <f t="shared" ca="1" si="1"/>
        <v>#NAME?</v>
      </c>
      <c r="IJ21" s="116" t="e">
        <f t="shared" ca="1" si="1"/>
        <v>#NAME?</v>
      </c>
      <c r="IK21" s="116" t="e">
        <f t="shared" ca="1" si="1"/>
        <v>#NAME?</v>
      </c>
      <c r="IL21" s="116" t="e">
        <f t="shared" ca="1" si="1"/>
        <v>#NAME?</v>
      </c>
      <c r="IM21" s="116" t="e">
        <f t="shared" ca="1" si="1"/>
        <v>#NAME?</v>
      </c>
      <c r="IN21" s="116" t="e">
        <f t="shared" ca="1" si="1"/>
        <v>#NAME?</v>
      </c>
      <c r="IO21" s="116" t="e">
        <f t="shared" ca="1" si="1"/>
        <v>#NAME?</v>
      </c>
      <c r="IP21" s="116" t="e">
        <f t="shared" ca="1" si="1"/>
        <v>#NAME?</v>
      </c>
      <c r="IQ21" s="116" t="e">
        <f t="shared" ca="1" si="1"/>
        <v>#NAME?</v>
      </c>
      <c r="IR21" s="116" t="e">
        <f t="shared" ca="1" si="1"/>
        <v>#NAME?</v>
      </c>
      <c r="IS21" s="116" t="e">
        <f t="shared" ca="1" si="1"/>
        <v>#NAME?</v>
      </c>
      <c r="IT21" s="116" t="e">
        <f t="shared" ca="1" si="1"/>
        <v>#NAME?</v>
      </c>
      <c r="IU21" s="116" t="e">
        <f t="shared" ca="1" si="1"/>
        <v>#NAME?</v>
      </c>
      <c r="IV21" s="116" t="e">
        <f t="shared" ca="1" si="1"/>
        <v>#NAME?</v>
      </c>
      <c r="IW21" s="116" t="e">
        <f t="shared" ca="1" si="1"/>
        <v>#NAME?</v>
      </c>
      <c r="IX21" s="116" t="e">
        <f t="shared" ca="1" si="1"/>
        <v>#NAME?</v>
      </c>
      <c r="IY21" s="116" t="e">
        <f t="shared" ca="1" si="1"/>
        <v>#NAME?</v>
      </c>
      <c r="IZ21" s="116" t="e">
        <f t="shared" ca="1" si="1"/>
        <v>#NAME?</v>
      </c>
      <c r="JA21" s="116" t="e">
        <f t="shared" ca="1" si="1"/>
        <v>#NAME?</v>
      </c>
      <c r="JB21" s="116" t="e">
        <f t="shared" ca="1" si="1"/>
        <v>#NAME?</v>
      </c>
      <c r="JC21" s="116" t="e">
        <f t="shared" ca="1" si="1"/>
        <v>#NAME?</v>
      </c>
      <c r="JD21" s="116" t="e">
        <f t="shared" ca="1" si="1"/>
        <v>#NAME?</v>
      </c>
      <c r="JE21" s="116" t="e">
        <f t="shared" ca="1" si="1"/>
        <v>#NAME?</v>
      </c>
      <c r="JF21" s="116" t="e">
        <f t="shared" ca="1" si="1"/>
        <v>#NAME?</v>
      </c>
      <c r="JG21" s="116" t="e">
        <f t="shared" ca="1" si="1"/>
        <v>#NAME?</v>
      </c>
      <c r="JH21" s="116" t="e">
        <f t="shared" ca="1" si="1"/>
        <v>#NAME?</v>
      </c>
      <c r="JI21" s="116" t="e">
        <f t="shared" ca="1" si="1"/>
        <v>#NAME?</v>
      </c>
      <c r="JJ21" s="116" t="e">
        <f t="shared" ca="1" si="2"/>
        <v>#NAME?</v>
      </c>
      <c r="JK21" s="116" t="e">
        <f t="shared" ref="JK21" ca="1" si="14">+IF(JK16=0,JK9,JK16)</f>
        <v>#NAME?</v>
      </c>
      <c r="JL21" s="116" t="e">
        <f t="shared" ref="JL21:JM21" ca="1" si="15">+IF(JL16=0,JL9,JL16)</f>
        <v>#NAME?</v>
      </c>
      <c r="JM21" s="116" t="e">
        <f t="shared" ca="1" si="15"/>
        <v>#NAME?</v>
      </c>
      <c r="JN21" s="116" t="e">
        <f t="shared" ref="JN21:JO21" ca="1" si="16">+IF(JN16=0,JN9,JN16)</f>
        <v>#NAME?</v>
      </c>
      <c r="JO21" s="116" t="e">
        <f t="shared" ca="1" si="16"/>
        <v>#NAME?</v>
      </c>
      <c r="JP21" s="116" t="e">
        <f t="shared" ref="JP21" ca="1" si="17">+IF(JP16=0,JP9,JP16)</f>
        <v>#NAME?</v>
      </c>
      <c r="JQ21" s="116" t="e">
        <f t="shared" ref="JQ21:KH21" ca="1" si="18">+IF(JQ16=0,JQ9,JQ16)</f>
        <v>#NAME?</v>
      </c>
      <c r="JR21" s="116" t="e">
        <f t="shared" ca="1" si="18"/>
        <v>#NAME?</v>
      </c>
      <c r="JS21" s="116" t="e">
        <f t="shared" ca="1" si="18"/>
        <v>#NAME?</v>
      </c>
      <c r="JT21" s="116" t="e">
        <f t="shared" ca="1" si="18"/>
        <v>#NAME?</v>
      </c>
      <c r="JU21" s="116" t="e">
        <f t="shared" ca="1" si="18"/>
        <v>#NAME?</v>
      </c>
      <c r="JV21" s="116" t="e">
        <f t="shared" ca="1" si="18"/>
        <v>#NAME?</v>
      </c>
      <c r="JW21" s="116" t="e">
        <f t="shared" ca="1" si="18"/>
        <v>#NAME?</v>
      </c>
      <c r="JX21" s="116" t="e">
        <f t="shared" ca="1" si="18"/>
        <v>#NAME?</v>
      </c>
      <c r="JY21" s="116" t="e">
        <f t="shared" ca="1" si="18"/>
        <v>#NAME?</v>
      </c>
      <c r="JZ21" s="116" t="e">
        <f t="shared" ca="1" si="18"/>
        <v>#NAME?</v>
      </c>
      <c r="KA21" s="116" t="e">
        <f t="shared" ca="1" si="18"/>
        <v>#NAME?</v>
      </c>
      <c r="KB21" s="116" t="e">
        <f t="shared" ca="1" si="18"/>
        <v>#NAME?</v>
      </c>
      <c r="KC21" s="116" t="e">
        <f t="shared" ca="1" si="18"/>
        <v>#NAME?</v>
      </c>
      <c r="KD21" s="116" t="e">
        <f t="shared" ca="1" si="18"/>
        <v>#NAME?</v>
      </c>
      <c r="KE21" s="116" t="e">
        <f t="shared" ca="1" si="18"/>
        <v>#NAME?</v>
      </c>
      <c r="KF21" s="116" t="e">
        <f t="shared" ca="1" si="18"/>
        <v>#NAME?</v>
      </c>
      <c r="KG21" s="116" t="e">
        <f t="shared" ca="1" si="18"/>
        <v>#NAME?</v>
      </c>
      <c r="KH21" s="116" t="e">
        <f t="shared" ca="1" si="18"/>
        <v>#NAME?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132406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t="e" cm="1">
        <f t="array" aca="1" ref="C5" ca="1">_xll.EQNXTDZ($A$1,$B5,C$1)</f>
        <v>#NAME?</v>
      </c>
      <c r="D5" t="e" cm="1">
        <f t="array" aca="1" ref="D5" ca="1">_xll.EQNXTDZ($A$1,$B5,D$1)</f>
        <v>#NAME?</v>
      </c>
      <c r="E5" t="e" cm="1">
        <f t="array" aca="1" ref="E5" ca="1">_xll.EQNXTDZ($A$1,$B5,E$1)</f>
        <v>#NAME?</v>
      </c>
      <c r="F5" t="e" cm="1">
        <f t="array" aca="1" ref="F5" ca="1">_xll.EQNXTDZ($A$1,$B5,F$1)</f>
        <v>#NAME?</v>
      </c>
      <c r="G5" t="e" cm="1">
        <f t="array" aca="1" ref="G5" ca="1">_xll.EQNXTDZ($A$1,$B5,G$1)</f>
        <v>#NAME?</v>
      </c>
      <c r="H5" t="e" cm="1">
        <f t="array" aca="1" ref="H5" ca="1">_xll.EQNXTDZ($A$1,$B5,H$1)</f>
        <v>#NAME?</v>
      </c>
      <c r="I5" t="e" cm="1">
        <f t="array" aca="1" ref="I5" ca="1">_xll.EQNXTDZ($A$1,$B5,I$1)</f>
        <v>#NAME?</v>
      </c>
      <c r="J5" t="e" cm="1">
        <f t="array" aca="1" ref="J5" ca="1">_xll.EQNXTDZ($A$1,$B5,J$1)</f>
        <v>#NAME?</v>
      </c>
      <c r="K5" t="e" cm="1">
        <f t="array" aca="1" ref="K5" ca="1">_xll.EQNXTDZ($A$1,$B5,K$1)</f>
        <v>#NAME?</v>
      </c>
      <c r="L5" t="e" cm="1">
        <f t="array" aca="1" ref="L5" ca="1">_xll.EQNXTDZ($A$1,$B5,L$1)</f>
        <v>#NAME?</v>
      </c>
      <c r="M5" t="e" cm="1">
        <f t="array" aca="1" ref="M5" ca="1">_xll.EQNXTDZ($A$1,$B5,M$1)</f>
        <v>#NAME?</v>
      </c>
      <c r="N5" t="e" cm="1">
        <f t="array" aca="1" ref="N5" ca="1">_xll.EQNXTDZ($A$1,$B5,N$1)</f>
        <v>#NAME?</v>
      </c>
      <c r="O5" t="e" cm="1">
        <f t="array" aca="1" ref="O5" ca="1">_xll.EQNXTDZ($A$1,$B5,O$1)</f>
        <v>#NAME?</v>
      </c>
      <c r="P5" t="e" cm="1">
        <f t="array" aca="1" ref="P5" ca="1">_xll.EQNXTDZ($A$1,$B5,P$1)</f>
        <v>#NAME?</v>
      </c>
      <c r="Q5" t="e" cm="1">
        <f t="array" aca="1" ref="Q5" ca="1">_xll.EQNXTDZ($A$1,$B5,Q$1)</f>
        <v>#NAME?</v>
      </c>
      <c r="R5" t="e" cm="1">
        <f t="array" aca="1" ref="R5" ca="1">_xll.EQNXTDZ($A$1,$B5,R$1)</f>
        <v>#NAME?</v>
      </c>
      <c r="S5" t="e" cm="1">
        <f t="array" aca="1" ref="S5" ca="1">_xll.EQNXTDZ($A$1,$B5,S$1)</f>
        <v>#NAME?</v>
      </c>
      <c r="T5" t="e" cm="1">
        <f t="array" aca="1" ref="T5" ca="1">_xll.EQNXTDZ($A$1,$B5,T$1)</f>
        <v>#NAME?</v>
      </c>
      <c r="U5" t="e" cm="1">
        <f t="array" aca="1" ref="U5" ca="1">_xll.EQNXTDZ($A$1,$B5,U$1)</f>
        <v>#NAME?</v>
      </c>
      <c r="V5" t="e" cm="1">
        <f t="array" aca="1" ref="V5" ca="1">_xll.EQNXTDZ($A$1,$B5,V$1)</f>
        <v>#NAME?</v>
      </c>
      <c r="W5" t="e" cm="1">
        <f t="array" aca="1" ref="W5" ca="1">_xll.EQNXTDZ($A$1,$B5,W$1)</f>
        <v>#NAME?</v>
      </c>
      <c r="X5" t="e" cm="1">
        <f t="array" aca="1" ref="X5" ca="1">_xll.EQNXTDZ($A$1,$B5,X$1)</f>
        <v>#NAME?</v>
      </c>
      <c r="Y5" t="e" cm="1">
        <f t="array" aca="1" ref="Y5" ca="1">_xll.EQNXTDZ($A$1,$B5,Y$1)</f>
        <v>#NAME?</v>
      </c>
      <c r="Z5" t="e" cm="1">
        <f t="array" aca="1" ref="Z5" ca="1">_xll.EQNXTDZ($A$1,$B5,Z$1)</f>
        <v>#NAME?</v>
      </c>
      <c r="AA5" t="e" cm="1">
        <f t="array" aca="1" ref="AA5" ca="1">_xll.EQNXTDZ($A$1,$B5,AA$1)</f>
        <v>#NAME?</v>
      </c>
      <c r="AB5" t="e" cm="1">
        <f t="array" aca="1" ref="AB5" ca="1">_xll.EQNXTDZ($A$1,$B5,AB$1)</f>
        <v>#NAME?</v>
      </c>
      <c r="AC5" t="e" cm="1">
        <f t="array" aca="1" ref="AC5" ca="1">_xll.EQNXTDZ($A$1,$B5,AC$1)</f>
        <v>#NAME?</v>
      </c>
      <c r="AD5" t="e" cm="1">
        <f t="array" aca="1" ref="AD5" ca="1">_xll.EQNXTDZ($A$1,$B5,AD$1)</f>
        <v>#NAME?</v>
      </c>
      <c r="AE5" t="e" cm="1">
        <f t="array" aca="1" ref="AE5" ca="1">_xll.EQNXTDZ($A$1,$B5,AE$1)</f>
        <v>#NAME?</v>
      </c>
      <c r="AF5" t="e" cm="1">
        <f t="array" aca="1" ref="AF5" ca="1">_xll.EQNXTDZ($A$1,$B5,AF$1)</f>
        <v>#NAME?</v>
      </c>
      <c r="AG5" t="e" cm="1">
        <f t="array" aca="1" ref="AG5" ca="1">_xll.EQNXTDZ($A$1,$B5,AG$1)</f>
        <v>#NAME?</v>
      </c>
      <c r="AH5" t="e" cm="1">
        <f t="array" aca="1" ref="AH5" ca="1">_xll.EQNXTDZ($A$1,$B5,AH$1)</f>
        <v>#NAME?</v>
      </c>
      <c r="AI5" t="e" cm="1">
        <f t="array" aca="1" ref="AI5" ca="1">_xll.EQNXTDZ($A$1,$B5,AI$1)</f>
        <v>#NAME?</v>
      </c>
      <c r="AJ5" t="e" cm="1">
        <f t="array" aca="1" ref="AJ5" ca="1">_xll.EQNXTDZ($A$1,$B5,AJ$1)</f>
        <v>#NAME?</v>
      </c>
      <c r="AK5" t="e" cm="1">
        <f t="array" aca="1" ref="AK5" ca="1">_xll.EQNXTDZ($A$1,$B5,AK$1)</f>
        <v>#NAME?</v>
      </c>
      <c r="AL5" t="e" cm="1">
        <f t="array" aca="1" ref="AL5" ca="1">_xll.EQNXTDZ($A$1,$B5,AL$1)</f>
        <v>#NAME?</v>
      </c>
      <c r="AM5" t="e" cm="1">
        <f t="array" aca="1" ref="AM5" ca="1">_xll.EQNXTDZ($A$1,$B5,AM$1)</f>
        <v>#NAME?</v>
      </c>
      <c r="AN5" t="e" cm="1">
        <f t="array" aca="1" ref="AN5" ca="1">_xll.EQNXTDZ($A$1,$B5,AN$1)</f>
        <v>#NAME?</v>
      </c>
      <c r="AO5" t="e" cm="1">
        <f t="array" aca="1" ref="AO5" ca="1">_xll.EQNXTDZ($A$1,$B5,AO$1)</f>
        <v>#NAME?</v>
      </c>
      <c r="AP5" t="e" cm="1">
        <f t="array" aca="1" ref="AP5" ca="1">_xll.EQNXTDZ($A$1,$B5,AP$1)</f>
        <v>#NAME?</v>
      </c>
      <c r="AQ5" t="e" cm="1">
        <f t="array" aca="1" ref="AQ5" ca="1">_xll.EQNXTDZ($A$1,$B5,AQ$1)</f>
        <v>#NAME?</v>
      </c>
      <c r="AR5" t="e" cm="1">
        <f t="array" aca="1" ref="AR5" ca="1">_xll.EQNXTDZ($A$1,$B5,AR$1)</f>
        <v>#NAME?</v>
      </c>
      <c r="AS5" t="e" cm="1">
        <f t="array" aca="1" ref="AS5" ca="1">_xll.EQNXTDZ($A$1,$B5,AS$1)</f>
        <v>#NAME?</v>
      </c>
      <c r="AT5" t="e" cm="1">
        <f t="array" aca="1" ref="AT5" ca="1">_xll.EQNXTDZ($A$1,$B5,AT$1)</f>
        <v>#NAME?</v>
      </c>
      <c r="AU5" t="e" cm="1">
        <f t="array" aca="1" ref="AU5" ca="1">_xll.EQNXTDZ($A$1,$B5,AU$1)</f>
        <v>#NAME?</v>
      </c>
      <c r="AV5" t="e" cm="1">
        <f t="array" aca="1" ref="AV5" ca="1">_xll.EQNXTDZ($A$1,$B5,AV$1)</f>
        <v>#NAME?</v>
      </c>
      <c r="AW5" t="e" cm="1">
        <f t="array" aca="1" ref="AW5" ca="1">_xll.EQNXTDZ($A$1,$B5,AW$1)</f>
        <v>#NAME?</v>
      </c>
      <c r="AX5" t="e" cm="1">
        <f t="array" aca="1" ref="AX5" ca="1">_xll.EQNXTDZ($A$1,$B5,AX$1)</f>
        <v>#NAME?</v>
      </c>
      <c r="AY5" t="e" cm="1">
        <f t="array" aca="1" ref="AY5" ca="1">_xll.EQNXTDZ($A$1,$B5,AY$1)</f>
        <v>#NAME?</v>
      </c>
    </row>
    <row r="6" spans="1:51" x14ac:dyDescent="0.25">
      <c r="A6" t="s">
        <v>427</v>
      </c>
      <c r="B6" t="s">
        <v>428</v>
      </c>
      <c r="C6" t="e" cm="1">
        <f t="array" aca="1" ref="C6" ca="1">_xll.EQNXTDZ($A$1,$B6,C$1)</f>
        <v>#NAME?</v>
      </c>
      <c r="D6" t="e" cm="1">
        <f t="array" aca="1" ref="D6" ca="1">_xll.EQNXTDZ($A$1,$B6,D$1)</f>
        <v>#NAME?</v>
      </c>
      <c r="E6" t="e" cm="1">
        <f t="array" aca="1" ref="E6" ca="1">_xll.EQNXTDZ($A$1,$B6,E$1)</f>
        <v>#NAME?</v>
      </c>
      <c r="F6" t="e" cm="1">
        <f t="array" aca="1" ref="F6" ca="1">_xll.EQNXTDZ($A$1,$B6,F$1)</f>
        <v>#NAME?</v>
      </c>
      <c r="G6" t="e" cm="1">
        <f t="array" aca="1" ref="G6" ca="1">_xll.EQNXTDZ($A$1,$B6,G$1)</f>
        <v>#NAME?</v>
      </c>
      <c r="H6" t="e" cm="1">
        <f t="array" aca="1" ref="H6" ca="1">_xll.EQNXTDZ($A$1,$B6,H$1)</f>
        <v>#NAME?</v>
      </c>
      <c r="I6" t="e" cm="1">
        <f t="array" aca="1" ref="I6" ca="1">_xll.EQNXTDZ($A$1,$B6,I$1)</f>
        <v>#NAME?</v>
      </c>
      <c r="J6" t="e" cm="1">
        <f t="array" aca="1" ref="J6" ca="1">_xll.EQNXTDZ($A$1,$B6,J$1)</f>
        <v>#NAME?</v>
      </c>
      <c r="K6" t="e" cm="1">
        <f t="array" aca="1" ref="K6" ca="1">_xll.EQNXTDZ($A$1,$B6,K$1)</f>
        <v>#NAME?</v>
      </c>
      <c r="L6" t="e" cm="1">
        <f t="array" aca="1" ref="L6" ca="1">_xll.EQNXTDZ($A$1,$B6,L$1)</f>
        <v>#NAME?</v>
      </c>
      <c r="M6" t="e" cm="1">
        <f t="array" aca="1" ref="M6" ca="1">_xll.EQNXTDZ($A$1,$B6,M$1)</f>
        <v>#NAME?</v>
      </c>
      <c r="N6" t="e" cm="1">
        <f t="array" aca="1" ref="N6" ca="1">_xll.EQNXTDZ($A$1,$B6,N$1)</f>
        <v>#NAME?</v>
      </c>
      <c r="O6" t="e" cm="1">
        <f t="array" aca="1" ref="O6" ca="1">_xll.EQNXTDZ($A$1,$B6,O$1)</f>
        <v>#NAME?</v>
      </c>
      <c r="P6" t="e" cm="1">
        <f t="array" aca="1" ref="P6" ca="1">_xll.EQNXTDZ($A$1,$B6,P$1)</f>
        <v>#NAME?</v>
      </c>
      <c r="Q6" t="e" cm="1">
        <f t="array" aca="1" ref="Q6" ca="1">_xll.EQNXTDZ($A$1,$B6,Q$1)</f>
        <v>#NAME?</v>
      </c>
      <c r="R6" t="e" cm="1">
        <f t="array" aca="1" ref="R6" ca="1">_xll.EQNXTDZ($A$1,$B6,R$1)</f>
        <v>#NAME?</v>
      </c>
      <c r="S6" t="e" cm="1">
        <f t="array" aca="1" ref="S6" ca="1">_xll.EQNXTDZ($A$1,$B6,S$1)</f>
        <v>#NAME?</v>
      </c>
      <c r="T6" t="e" cm="1">
        <f t="array" aca="1" ref="T6" ca="1">_xll.EQNXTDZ($A$1,$B6,T$1)</f>
        <v>#NAME?</v>
      </c>
      <c r="U6" t="e" cm="1">
        <f t="array" aca="1" ref="U6" ca="1">_xll.EQNXTDZ($A$1,$B6,U$1)</f>
        <v>#NAME?</v>
      </c>
      <c r="V6" t="e" cm="1">
        <f t="array" aca="1" ref="V6" ca="1">_xll.EQNXTDZ($A$1,$B6,V$1)</f>
        <v>#NAME?</v>
      </c>
      <c r="W6" t="e" cm="1">
        <f t="array" aca="1" ref="W6" ca="1">_xll.EQNXTDZ($A$1,$B6,W$1)</f>
        <v>#NAME?</v>
      </c>
      <c r="X6" t="e" cm="1">
        <f t="array" aca="1" ref="X6" ca="1">_xll.EQNXTDZ($A$1,$B6,X$1)</f>
        <v>#NAME?</v>
      </c>
      <c r="Y6" t="e" cm="1">
        <f t="array" aca="1" ref="Y6" ca="1">_xll.EQNXTDZ($A$1,$B6,Y$1)</f>
        <v>#NAME?</v>
      </c>
      <c r="Z6" t="e" cm="1">
        <f t="array" aca="1" ref="Z6" ca="1">_xll.EQNXTDZ($A$1,$B6,Z$1)</f>
        <v>#NAME?</v>
      </c>
      <c r="AA6" t="e" cm="1">
        <f t="array" aca="1" ref="AA6" ca="1">_xll.EQNXTDZ($A$1,$B6,AA$1)</f>
        <v>#NAME?</v>
      </c>
      <c r="AB6" t="e" cm="1">
        <f t="array" aca="1" ref="AB6" ca="1">_xll.EQNXTDZ($A$1,$B6,AB$1)</f>
        <v>#NAME?</v>
      </c>
      <c r="AC6" t="e" cm="1">
        <f t="array" aca="1" ref="AC6" ca="1">_xll.EQNXTDZ($A$1,$B6,AC$1)</f>
        <v>#NAME?</v>
      </c>
      <c r="AD6" t="e" cm="1">
        <f t="array" aca="1" ref="AD6" ca="1">_xll.EQNXTDZ($A$1,$B6,AD$1)</f>
        <v>#NAME?</v>
      </c>
      <c r="AE6" t="e" cm="1">
        <f t="array" aca="1" ref="AE6" ca="1">_xll.EQNXTDZ($A$1,$B6,AE$1)</f>
        <v>#NAME?</v>
      </c>
      <c r="AF6" t="e" cm="1">
        <f t="array" aca="1" ref="AF6" ca="1">_xll.EQNXTDZ($A$1,$B6,AF$1)</f>
        <v>#NAME?</v>
      </c>
      <c r="AG6" t="e" cm="1">
        <f t="array" aca="1" ref="AG6" ca="1">_xll.EQNXTDZ($A$1,$B6,AG$1)</f>
        <v>#NAME?</v>
      </c>
      <c r="AH6" t="e" cm="1">
        <f t="array" aca="1" ref="AH6" ca="1">_xll.EQNXTDZ($A$1,$B6,AH$1)</f>
        <v>#NAME?</v>
      </c>
      <c r="AI6" t="e" cm="1">
        <f t="array" aca="1" ref="AI6" ca="1">_xll.EQNXTDZ($A$1,$B6,AI$1)</f>
        <v>#NAME?</v>
      </c>
      <c r="AJ6" t="e" cm="1">
        <f t="array" aca="1" ref="AJ6" ca="1">_xll.EQNXTDZ($A$1,$B6,AJ$1)</f>
        <v>#NAME?</v>
      </c>
      <c r="AK6" t="e" cm="1">
        <f t="array" aca="1" ref="AK6" ca="1">_xll.EQNXTDZ($A$1,$B6,AK$1)</f>
        <v>#NAME?</v>
      </c>
      <c r="AL6" t="e" cm="1">
        <f t="array" aca="1" ref="AL6" ca="1">_xll.EQNXTDZ($A$1,$B6,AL$1)</f>
        <v>#NAME?</v>
      </c>
      <c r="AM6" t="e" cm="1">
        <f t="array" aca="1" ref="AM6" ca="1">_xll.EQNXTDZ($A$1,$B6,AM$1)</f>
        <v>#NAME?</v>
      </c>
      <c r="AN6" t="e" cm="1">
        <f t="array" aca="1" ref="AN6" ca="1">_xll.EQNXTDZ($A$1,$B6,AN$1)</f>
        <v>#NAME?</v>
      </c>
      <c r="AO6" t="e" cm="1">
        <f t="array" aca="1" ref="AO6" ca="1">_xll.EQNXTDZ($A$1,$B6,AO$1)</f>
        <v>#NAME?</v>
      </c>
      <c r="AP6" t="e" cm="1">
        <f t="array" aca="1" ref="AP6" ca="1">_xll.EQNXTDZ($A$1,$B6,AP$1)</f>
        <v>#NAME?</v>
      </c>
      <c r="AQ6" t="e" cm="1">
        <f t="array" aca="1" ref="AQ6" ca="1">_xll.EQNXTDZ($A$1,$B6,AQ$1)</f>
        <v>#NAME?</v>
      </c>
      <c r="AR6" t="e" cm="1">
        <f t="array" aca="1" ref="AR6" ca="1">_xll.EQNXTDZ($A$1,$B6,AR$1)</f>
        <v>#NAME?</v>
      </c>
      <c r="AS6" t="e" cm="1">
        <f t="array" aca="1" ref="AS6" ca="1">_xll.EQNXTDZ($A$1,$B6,AS$1)</f>
        <v>#NAME?</v>
      </c>
      <c r="AT6" t="e" cm="1">
        <f t="array" aca="1" ref="AT6" ca="1">_xll.EQNXTDZ($A$1,$B6,AT$1)</f>
        <v>#NAME?</v>
      </c>
      <c r="AU6" t="e" cm="1">
        <f t="array" aca="1" ref="AU6" ca="1">_xll.EQNXTDZ($A$1,$B6,AU$1)</f>
        <v>#NAME?</v>
      </c>
      <c r="AV6" t="e" cm="1">
        <f t="array" aca="1" ref="AV6" ca="1">_xll.EQNXTDZ($A$1,$B6,AV$1)</f>
        <v>#NAME?</v>
      </c>
      <c r="AW6" t="e" cm="1">
        <f t="array" aca="1" ref="AW6" ca="1">_xll.EQNXTDZ($A$1,$B6,AW$1)</f>
        <v>#NAME?</v>
      </c>
      <c r="AX6" t="e" cm="1">
        <f t="array" aca="1" ref="AX6" ca="1">_xll.EQNXTDZ($A$1,$B6,AX$1)</f>
        <v>#NAME?</v>
      </c>
      <c r="AY6" t="e" cm="1">
        <f t="array" aca="1" ref="AY6" ca="1">_xll.EQNXTDZ($A$1,$B6,AY$1)</f>
        <v>#NAME?</v>
      </c>
    </row>
    <row r="7" spans="1:51" x14ac:dyDescent="0.25">
      <c r="B7" t="s">
        <v>429</v>
      </c>
      <c r="C7" s="100" t="e">
        <f ca="1">+C6/10^7</f>
        <v>#NAME?</v>
      </c>
      <c r="D7" s="100" t="e">
        <f t="shared" ref="D7:X7" ca="1" si="0">+D6/10^7</f>
        <v>#NAME?</v>
      </c>
      <c r="E7" s="100" t="e">
        <f t="shared" ca="1" si="0"/>
        <v>#NAME?</v>
      </c>
      <c r="F7" s="100" t="e">
        <f t="shared" ca="1" si="0"/>
        <v>#NAME?</v>
      </c>
      <c r="G7" s="100" t="e">
        <f t="shared" ca="1" si="0"/>
        <v>#NAME?</v>
      </c>
      <c r="H7" s="100" t="e">
        <f t="shared" ca="1" si="0"/>
        <v>#NAME?</v>
      </c>
      <c r="I7" s="100" t="e">
        <f t="shared" ca="1" si="0"/>
        <v>#NAME?</v>
      </c>
      <c r="J7" s="100" t="e">
        <f t="shared" ca="1" si="0"/>
        <v>#NAME?</v>
      </c>
      <c r="K7" s="100" t="e">
        <f t="shared" ca="1" si="0"/>
        <v>#NAME?</v>
      </c>
      <c r="L7" s="100" t="e">
        <f t="shared" ca="1" si="0"/>
        <v>#NAME?</v>
      </c>
      <c r="M7" s="100" t="e">
        <f t="shared" ca="1" si="0"/>
        <v>#NAME?</v>
      </c>
      <c r="N7" s="100" t="e">
        <f t="shared" ca="1" si="0"/>
        <v>#NAME?</v>
      </c>
      <c r="O7" s="100" t="e">
        <f t="shared" ca="1" si="0"/>
        <v>#NAME?</v>
      </c>
      <c r="P7" s="100" t="e">
        <f t="shared" ca="1" si="0"/>
        <v>#NAME?</v>
      </c>
      <c r="Q7" s="100" t="e">
        <f t="shared" ca="1" si="0"/>
        <v>#NAME?</v>
      </c>
      <c r="R7" s="100" t="e">
        <f t="shared" ca="1" si="0"/>
        <v>#NAME?</v>
      </c>
      <c r="S7" s="100" t="e">
        <f t="shared" ca="1" si="0"/>
        <v>#NAME?</v>
      </c>
      <c r="T7" s="100" t="e">
        <f t="shared" ca="1" si="0"/>
        <v>#NAME?</v>
      </c>
      <c r="U7" s="100" t="e">
        <f t="shared" ca="1" si="0"/>
        <v>#NAME?</v>
      </c>
      <c r="V7" s="100" t="e">
        <f t="shared" ca="1" si="0"/>
        <v>#NAME?</v>
      </c>
      <c r="W7" s="100" t="e">
        <f t="shared" ca="1" si="0"/>
        <v>#NAME?</v>
      </c>
      <c r="X7" s="100" t="e">
        <f t="shared" ca="1" si="0"/>
        <v>#NAME?</v>
      </c>
      <c r="Y7" s="100" t="e">
        <f t="shared" ref="Y7:AS7" ca="1" si="1">+Y6/10^7</f>
        <v>#NAME?</v>
      </c>
      <c r="Z7" s="100" t="e">
        <f t="shared" ca="1" si="1"/>
        <v>#NAME?</v>
      </c>
      <c r="AA7" s="100" t="e">
        <f t="shared" ca="1" si="1"/>
        <v>#NAME?</v>
      </c>
      <c r="AB7" s="100" t="e">
        <f t="shared" ca="1" si="1"/>
        <v>#NAME?</v>
      </c>
      <c r="AC7" s="100" t="e">
        <f t="shared" ca="1" si="1"/>
        <v>#NAME?</v>
      </c>
      <c r="AD7" s="100" t="e">
        <f t="shared" ca="1" si="1"/>
        <v>#NAME?</v>
      </c>
      <c r="AE7" s="100" t="e">
        <f t="shared" ca="1" si="1"/>
        <v>#NAME?</v>
      </c>
      <c r="AF7" s="100" t="e">
        <f t="shared" ca="1" si="1"/>
        <v>#NAME?</v>
      </c>
      <c r="AG7" s="100" t="e">
        <f t="shared" ca="1" si="1"/>
        <v>#NAME?</v>
      </c>
      <c r="AH7" s="100" t="e">
        <f t="shared" ca="1" si="1"/>
        <v>#NAME?</v>
      </c>
      <c r="AI7" s="100" t="e">
        <f t="shared" ca="1" si="1"/>
        <v>#NAME?</v>
      </c>
      <c r="AJ7" s="100" t="e">
        <f t="shared" ca="1" si="1"/>
        <v>#NAME?</v>
      </c>
      <c r="AK7" s="100" t="e">
        <f t="shared" ca="1" si="1"/>
        <v>#NAME?</v>
      </c>
      <c r="AL7" s="100" t="e">
        <f t="shared" ca="1" si="1"/>
        <v>#NAME?</v>
      </c>
      <c r="AM7" s="100" t="e">
        <f t="shared" ca="1" si="1"/>
        <v>#NAME?</v>
      </c>
      <c r="AN7" s="100" t="e">
        <f t="shared" ca="1" si="1"/>
        <v>#NAME?</v>
      </c>
      <c r="AO7" s="100" t="e">
        <f t="shared" ca="1" si="1"/>
        <v>#NAME?</v>
      </c>
      <c r="AP7" s="100" t="e">
        <f t="shared" ca="1" si="1"/>
        <v>#NAME?</v>
      </c>
      <c r="AQ7" s="100" t="e">
        <f t="shared" ca="1" si="1"/>
        <v>#NAME?</v>
      </c>
      <c r="AR7" s="100" t="e">
        <f t="shared" ca="1" si="1"/>
        <v>#NAME?</v>
      </c>
      <c r="AS7" s="100" t="e">
        <f t="shared" ca="1" si="1"/>
        <v>#NAME?</v>
      </c>
      <c r="AT7" s="100" t="e">
        <f t="shared" ref="AT7:AX7" ca="1" si="2">+AT6/10^7</f>
        <v>#NAME?</v>
      </c>
      <c r="AU7" s="100" t="e">
        <f t="shared" ca="1" si="2"/>
        <v>#NAME?</v>
      </c>
      <c r="AV7" s="100" t="e">
        <f t="shared" ca="1" si="2"/>
        <v>#NAME?</v>
      </c>
      <c r="AW7" s="100" t="e">
        <f t="shared" ca="1" si="2"/>
        <v>#NAME?</v>
      </c>
      <c r="AX7" s="100" t="e">
        <f t="shared" ca="1" si="2"/>
        <v>#NAME?</v>
      </c>
      <c r="AY7" s="100" t="e">
        <f t="shared" ref="AY7" ca="1" si="3">+AY6/10^7</f>
        <v>#NAME?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e">
        <f ca="1">_xll.EQNXTH(B1,"[ADJC];[ADJH];[ADJL];[ADJO];[UCLS];[VOLUME]","2015-Jan-01","Y","All traded days","Asc")</f>
        <v>#NAME?</v>
      </c>
      <c r="B1">
        <f>+'Annual Raw'!A1</f>
        <v>132406</v>
      </c>
      <c r="L1" t="e">
        <f ca="1">_xll.EQNXTH(B1,"[NADJC];[NADJH];[NADJLOW];[NADJOPEN];[NUCLOSE];[NVOLUME]","2015-Jan-01","Y","All traded days","Asc")</f>
        <v>#NAME?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518</v>
      </c>
      <c r="C3" s="172" t="s">
        <v>517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517</v>
      </c>
      <c r="N3" s="173" t="s">
        <v>518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2.43513551865452</v>
      </c>
      <c r="C4" s="116">
        <v>2.40504278704188</v>
      </c>
      <c r="D4" s="116">
        <v>2.3131807642243398</v>
      </c>
      <c r="E4" s="116">
        <v>2.40425087305207</v>
      </c>
      <c r="F4" s="116">
        <v>151.85</v>
      </c>
      <c r="G4">
        <v>2168</v>
      </c>
      <c r="H4" s="116"/>
      <c r="I4" s="116"/>
      <c r="L4" s="170">
        <v>45504</v>
      </c>
      <c r="M4" s="116">
        <v>194.21693047660699</v>
      </c>
      <c r="N4" s="116">
        <v>200.90751175746101</v>
      </c>
      <c r="O4" s="116">
        <v>193.874798479291</v>
      </c>
      <c r="P4" s="116">
        <v>200.432328427855</v>
      </c>
      <c r="Q4" s="116">
        <v>204.36</v>
      </c>
      <c r="R4">
        <v>517685</v>
      </c>
    </row>
    <row r="5" spans="1:18" x14ac:dyDescent="0.25">
      <c r="A5" s="170">
        <v>42006</v>
      </c>
      <c r="B5" s="116">
        <v>2.49769672384922</v>
      </c>
      <c r="C5" s="116">
        <v>2.34248158184718</v>
      </c>
      <c r="D5" s="116">
        <v>2.33139478598989</v>
      </c>
      <c r="E5" s="116">
        <v>2.3994993891132301</v>
      </c>
      <c r="F5" s="116">
        <v>147.9</v>
      </c>
      <c r="G5">
        <v>6209</v>
      </c>
      <c r="H5" s="116"/>
      <c r="I5" s="116"/>
      <c r="L5" s="170">
        <v>45505</v>
      </c>
      <c r="M5" s="116">
        <v>189.027928517308</v>
      </c>
      <c r="N5" s="116">
        <v>197.39115511837599</v>
      </c>
      <c r="O5" s="116">
        <v>185.92022954168399</v>
      </c>
      <c r="P5" s="116">
        <v>196.42178112597901</v>
      </c>
      <c r="Q5" s="116">
        <v>198.9</v>
      </c>
      <c r="R5">
        <v>563044</v>
      </c>
    </row>
    <row r="6" spans="1:18" x14ac:dyDescent="0.25">
      <c r="A6" s="170">
        <v>42009</v>
      </c>
      <c r="B6" s="116">
        <v>2.4493899704710298</v>
      </c>
      <c r="C6" s="116">
        <v>2.3488168937656302</v>
      </c>
      <c r="D6" s="116">
        <v>2.2854637745811202</v>
      </c>
      <c r="E6" s="116">
        <v>2.3583198616433001</v>
      </c>
      <c r="F6" s="116">
        <v>148.30000000000001</v>
      </c>
      <c r="G6">
        <v>13146</v>
      </c>
      <c r="H6" s="116"/>
      <c r="I6" s="116"/>
      <c r="L6" s="170">
        <v>45506</v>
      </c>
      <c r="M6" s="116">
        <v>188.17259852401699</v>
      </c>
      <c r="N6" s="116">
        <v>189.968791509928</v>
      </c>
      <c r="O6" s="116">
        <v>183.420765227956</v>
      </c>
      <c r="P6" s="116">
        <v>185.32149854638101</v>
      </c>
      <c r="Q6" s="116">
        <v>198</v>
      </c>
      <c r="R6">
        <v>416358</v>
      </c>
    </row>
    <row r="7" spans="1:18" x14ac:dyDescent="0.25">
      <c r="A7" s="170">
        <v>42010</v>
      </c>
      <c r="B7" s="116">
        <v>2.4850261000123202</v>
      </c>
      <c r="C7" s="116">
        <v>2.4335516906749102</v>
      </c>
      <c r="D7" s="116">
        <v>2.2886314305403399</v>
      </c>
      <c r="E7" s="116">
        <v>2.2886314305403399</v>
      </c>
      <c r="F7" s="116">
        <v>153.65</v>
      </c>
      <c r="G7">
        <v>11149</v>
      </c>
      <c r="H7" s="116"/>
      <c r="I7" s="116"/>
      <c r="L7" s="170">
        <v>45509</v>
      </c>
      <c r="M7" s="116">
        <v>176.39755561637801</v>
      </c>
      <c r="N7" s="116">
        <v>181.99521523913799</v>
      </c>
      <c r="O7" s="116">
        <v>172.97623564321401</v>
      </c>
      <c r="P7" s="116">
        <v>172.97623564321401</v>
      </c>
      <c r="Q7" s="116">
        <v>185.61</v>
      </c>
      <c r="R7">
        <v>1489699</v>
      </c>
    </row>
    <row r="8" spans="1:18" x14ac:dyDescent="0.25">
      <c r="A8" s="170">
        <v>42011</v>
      </c>
      <c r="B8" s="116">
        <v>2.5016562937982498</v>
      </c>
      <c r="C8" s="116">
        <v>2.36069560361272</v>
      </c>
      <c r="D8" s="116">
        <v>2.3377300979083402</v>
      </c>
      <c r="E8" s="116">
        <v>2.4390950886035498</v>
      </c>
      <c r="F8" s="116">
        <v>149.05000000000001</v>
      </c>
      <c r="G8">
        <v>8179</v>
      </c>
      <c r="H8" s="116"/>
      <c r="I8" s="116"/>
      <c r="L8" s="170">
        <v>45510</v>
      </c>
      <c r="M8" s="116">
        <v>174.69639929638799</v>
      </c>
      <c r="N8" s="116">
        <v>185.32149854638101</v>
      </c>
      <c r="O8" s="116">
        <v>171.16103532411901</v>
      </c>
      <c r="P8" s="116">
        <v>177.69955793949899</v>
      </c>
      <c r="Q8" s="116">
        <v>183.82</v>
      </c>
      <c r="R8">
        <v>646183</v>
      </c>
    </row>
    <row r="9" spans="1:18" x14ac:dyDescent="0.25">
      <c r="A9" s="170">
        <v>42012</v>
      </c>
      <c r="B9" s="116">
        <v>2.5198703155638</v>
      </c>
      <c r="C9" s="116">
        <v>2.4874018419817401</v>
      </c>
      <c r="D9" s="116">
        <v>2.2965505704384102</v>
      </c>
      <c r="E9" s="116">
        <v>2.3757419694190398</v>
      </c>
      <c r="F9" s="116">
        <v>157.05000000000001</v>
      </c>
      <c r="G9">
        <v>18947</v>
      </c>
      <c r="H9" s="116"/>
      <c r="I9" s="116"/>
      <c r="L9" s="170">
        <v>45511</v>
      </c>
      <c r="M9" s="116">
        <v>182.06174090528299</v>
      </c>
      <c r="N9" s="116">
        <v>183.89594855756201</v>
      </c>
      <c r="O9" s="116">
        <v>175.81783195425899</v>
      </c>
      <c r="P9" s="116">
        <v>179.619298591107</v>
      </c>
      <c r="Q9" s="116">
        <v>191.57</v>
      </c>
      <c r="R9">
        <v>562517</v>
      </c>
    </row>
    <row r="10" spans="1:18" x14ac:dyDescent="0.25">
      <c r="A10" s="170">
        <v>42013</v>
      </c>
      <c r="B10" s="116">
        <v>2.7716989643222201</v>
      </c>
      <c r="C10" s="116">
        <v>2.7455658026586098</v>
      </c>
      <c r="D10" s="116">
        <v>2.5341247673803098</v>
      </c>
      <c r="E10" s="116">
        <v>2.6133161663609501</v>
      </c>
      <c r="F10" s="116">
        <v>173.35</v>
      </c>
      <c r="G10">
        <v>48059</v>
      </c>
      <c r="H10" s="116"/>
      <c r="I10" s="116"/>
      <c r="L10" s="170">
        <v>45512</v>
      </c>
      <c r="M10" s="116">
        <v>179.67632059066</v>
      </c>
      <c r="N10" s="116">
        <v>182.793523232876</v>
      </c>
      <c r="O10" s="116">
        <v>178.81148693077699</v>
      </c>
      <c r="P10" s="116">
        <v>182.06174090528299</v>
      </c>
      <c r="Q10" s="116">
        <v>189.06</v>
      </c>
      <c r="R10">
        <v>357226</v>
      </c>
    </row>
    <row r="11" spans="1:18" x14ac:dyDescent="0.25">
      <c r="A11" s="170">
        <v>42016</v>
      </c>
      <c r="B11" s="116">
        <v>2.9775966016718698</v>
      </c>
      <c r="C11" s="116">
        <v>2.7867453301285399</v>
      </c>
      <c r="D11" s="116">
        <v>2.6932994793313898</v>
      </c>
      <c r="E11" s="116">
        <v>2.7716989643222201</v>
      </c>
      <c r="F11" s="116">
        <v>175.95</v>
      </c>
      <c r="G11">
        <v>52390</v>
      </c>
      <c r="H11" s="116"/>
      <c r="I11" s="116"/>
      <c r="L11" s="170">
        <v>45513</v>
      </c>
      <c r="M11" s="116">
        <v>177.33841860899801</v>
      </c>
      <c r="N11" s="116">
        <v>182.26131790371701</v>
      </c>
      <c r="O11" s="116">
        <v>175.72279528833701</v>
      </c>
      <c r="P11" s="116">
        <v>182.26131790371701</v>
      </c>
      <c r="Q11" s="116">
        <v>186.6</v>
      </c>
      <c r="R11">
        <v>521211</v>
      </c>
    </row>
    <row r="12" spans="1:18" x14ac:dyDescent="0.25">
      <c r="A12" s="170">
        <v>42017</v>
      </c>
      <c r="B12" s="116">
        <v>2.3757419694190398</v>
      </c>
      <c r="C12" s="116">
        <v>2.2656659248359601</v>
      </c>
      <c r="D12" s="116">
        <v>2.2300297952946702</v>
      </c>
      <c r="E12" s="116">
        <v>2.3757419694190398</v>
      </c>
      <c r="F12" s="116">
        <v>143.05000000000001</v>
      </c>
      <c r="G12">
        <v>67021</v>
      </c>
      <c r="H12" s="116"/>
      <c r="I12" s="116"/>
      <c r="L12" s="170">
        <v>45516</v>
      </c>
      <c r="M12" s="116">
        <v>182.66997556717899</v>
      </c>
      <c r="N12" s="116">
        <v>186.84208520112</v>
      </c>
      <c r="O12" s="116">
        <v>171.23706465685601</v>
      </c>
      <c r="P12" s="116">
        <v>174.40178563203199</v>
      </c>
      <c r="Q12" s="116">
        <v>192.21</v>
      </c>
      <c r="R12">
        <v>1060631</v>
      </c>
    </row>
    <row r="13" spans="1:18" x14ac:dyDescent="0.25">
      <c r="A13" s="170">
        <v>42018</v>
      </c>
      <c r="B13" s="116">
        <v>2.4549333683996801</v>
      </c>
      <c r="C13" s="116">
        <v>2.3345624419491098</v>
      </c>
      <c r="D13" s="116">
        <v>2.2886314305403399</v>
      </c>
      <c r="E13" s="116">
        <v>2.2886314305403399</v>
      </c>
      <c r="F13" s="116">
        <v>147.4</v>
      </c>
      <c r="G13">
        <v>13704</v>
      </c>
      <c r="H13" s="116"/>
      <c r="I13" s="116"/>
      <c r="L13" s="170">
        <v>45517</v>
      </c>
      <c r="M13" s="116">
        <v>175.17158262599401</v>
      </c>
      <c r="N13" s="116">
        <v>184.75127855085299</v>
      </c>
      <c r="O13" s="116">
        <v>173.91709863583401</v>
      </c>
      <c r="P13" s="116">
        <v>184.75127855085299</v>
      </c>
      <c r="Q13" s="116">
        <v>184.32</v>
      </c>
      <c r="R13">
        <v>655173</v>
      </c>
    </row>
    <row r="14" spans="1:18" x14ac:dyDescent="0.25">
      <c r="A14" s="170">
        <v>42019</v>
      </c>
      <c r="B14" s="116">
        <v>2.41217001295013</v>
      </c>
      <c r="C14" s="116">
        <v>2.3218918181122099</v>
      </c>
      <c r="D14" s="116">
        <v>2.2965505704384102</v>
      </c>
      <c r="E14" s="116">
        <v>2.2965505704384102</v>
      </c>
      <c r="F14" s="116">
        <v>146.6</v>
      </c>
      <c r="G14">
        <v>2176</v>
      </c>
      <c r="H14" s="116"/>
      <c r="I14" s="116"/>
      <c r="L14" s="170">
        <v>45518</v>
      </c>
      <c r="M14" s="116">
        <v>169.29831667206301</v>
      </c>
      <c r="N14" s="116">
        <v>174.867465295046</v>
      </c>
      <c r="O14" s="116">
        <v>167.79673735050801</v>
      </c>
      <c r="P14" s="116">
        <v>174.03114263494001</v>
      </c>
      <c r="Q14" s="116">
        <v>178.14</v>
      </c>
      <c r="R14">
        <v>962410</v>
      </c>
    </row>
    <row r="15" spans="1:18" x14ac:dyDescent="0.25">
      <c r="A15" s="170">
        <v>42020</v>
      </c>
      <c r="B15" s="116">
        <v>2.37495005542924</v>
      </c>
      <c r="C15" s="116">
        <v>2.2086481175699002</v>
      </c>
      <c r="D15" s="116">
        <v>2.0779823092518601</v>
      </c>
      <c r="E15" s="116">
        <v>2.37495005542924</v>
      </c>
      <c r="F15" s="116">
        <v>139.44999999999999</v>
      </c>
      <c r="G15">
        <v>8101</v>
      </c>
      <c r="H15" s="116"/>
      <c r="I15" s="116"/>
      <c r="L15" s="170">
        <v>45520</v>
      </c>
      <c r="M15" s="116">
        <v>170.21066866490699</v>
      </c>
      <c r="N15" s="116">
        <v>174.867465295046</v>
      </c>
      <c r="O15" s="116">
        <v>168.21489868056099</v>
      </c>
      <c r="P15" s="116">
        <v>173.936105969018</v>
      </c>
      <c r="Q15" s="116">
        <v>179.1</v>
      </c>
      <c r="R15">
        <v>571193</v>
      </c>
    </row>
    <row r="16" spans="1:18" x14ac:dyDescent="0.25">
      <c r="A16" s="170">
        <v>42023</v>
      </c>
      <c r="B16" s="116">
        <v>2.29813439841802</v>
      </c>
      <c r="C16" s="116">
        <v>2.1144103527829499</v>
      </c>
      <c r="D16" s="116">
        <v>2.0621440294557298</v>
      </c>
      <c r="E16" s="116">
        <v>2.1144103527829499</v>
      </c>
      <c r="F16" s="116">
        <v>133.5</v>
      </c>
      <c r="G16">
        <v>18140</v>
      </c>
      <c r="H16" s="116"/>
      <c r="I16" s="116"/>
      <c r="L16" s="170">
        <v>45523</v>
      </c>
      <c r="M16" s="116">
        <v>172.52005964679199</v>
      </c>
      <c r="N16" s="116">
        <v>174.47781496476901</v>
      </c>
      <c r="O16" s="116">
        <v>170.21066866490699</v>
      </c>
      <c r="P16" s="116">
        <v>170.21066866490699</v>
      </c>
      <c r="Q16" s="116">
        <v>181.53</v>
      </c>
      <c r="R16">
        <v>479015</v>
      </c>
    </row>
    <row r="17" spans="1:18" x14ac:dyDescent="0.25">
      <c r="A17" s="170">
        <v>42024</v>
      </c>
      <c r="B17" s="116">
        <v>2.18251495590629</v>
      </c>
      <c r="C17" s="116">
        <v>2.0336351258227001</v>
      </c>
      <c r="D17" s="116">
        <v>2.0082938781488999</v>
      </c>
      <c r="E17" s="116">
        <v>2.1381677724771402</v>
      </c>
      <c r="F17" s="116">
        <v>128.4</v>
      </c>
      <c r="G17">
        <v>20480</v>
      </c>
      <c r="H17" s="116"/>
      <c r="I17" s="116"/>
      <c r="L17" s="170">
        <v>45524</v>
      </c>
      <c r="M17" s="116">
        <v>173.96461696879501</v>
      </c>
      <c r="N17" s="116">
        <v>179.486247258818</v>
      </c>
      <c r="O17" s="116">
        <v>172.10189831673901</v>
      </c>
      <c r="P17" s="116">
        <v>174.89597629482299</v>
      </c>
      <c r="Q17" s="116">
        <v>183.05</v>
      </c>
      <c r="R17">
        <v>501545</v>
      </c>
    </row>
    <row r="18" spans="1:18" x14ac:dyDescent="0.25">
      <c r="A18" s="170">
        <v>42025</v>
      </c>
      <c r="B18" s="116">
        <v>2.0589763734964999</v>
      </c>
      <c r="C18" s="116">
        <v>2.0320512978430898</v>
      </c>
      <c r="D18" s="116">
        <v>1.94969224290323</v>
      </c>
      <c r="E18" s="116">
        <v>1.97978497451587</v>
      </c>
      <c r="F18" s="116">
        <v>128.30000000000001</v>
      </c>
      <c r="G18">
        <v>4624</v>
      </c>
      <c r="H18" s="116"/>
      <c r="I18" s="116"/>
      <c r="L18" s="170">
        <v>45525</v>
      </c>
      <c r="M18" s="116">
        <v>176.616139947997</v>
      </c>
      <c r="N18" s="116">
        <v>181.52003190953201</v>
      </c>
      <c r="O18" s="116">
        <v>171.35110865596101</v>
      </c>
      <c r="P18" s="116">
        <v>173.698514304215</v>
      </c>
      <c r="Q18" s="116">
        <v>185.84</v>
      </c>
      <c r="R18">
        <v>1432559</v>
      </c>
    </row>
    <row r="19" spans="1:18" x14ac:dyDescent="0.25">
      <c r="A19" s="170">
        <v>42026</v>
      </c>
      <c r="B19" s="116">
        <v>2.1524222242936499</v>
      </c>
      <c r="C19" s="116">
        <v>2.0510572335984398</v>
      </c>
      <c r="D19" s="116">
        <v>2.0114615341081201</v>
      </c>
      <c r="E19" s="116">
        <v>2.0114615341081201</v>
      </c>
      <c r="F19" s="116">
        <v>129.5</v>
      </c>
      <c r="G19">
        <v>10837</v>
      </c>
      <c r="H19" s="116"/>
      <c r="I19" s="116"/>
      <c r="L19" s="170">
        <v>45526</v>
      </c>
      <c r="M19" s="116">
        <v>181.548542909308</v>
      </c>
      <c r="N19" s="116">
        <v>185.226461880459</v>
      </c>
      <c r="O19" s="116">
        <v>178.20325226888099</v>
      </c>
      <c r="P19" s="116">
        <v>179.14411526150101</v>
      </c>
      <c r="Q19" s="116">
        <v>191.03</v>
      </c>
      <c r="R19">
        <v>1197650</v>
      </c>
    </row>
    <row r="20" spans="1:18" x14ac:dyDescent="0.25">
      <c r="A20" s="170">
        <v>42027</v>
      </c>
      <c r="B20" s="116">
        <v>2.0589763734964999</v>
      </c>
      <c r="C20" s="116">
        <v>1.96553052269935</v>
      </c>
      <c r="D20" s="116">
        <v>1.7786388211050601</v>
      </c>
      <c r="E20" s="116">
        <v>2.0589763734964999</v>
      </c>
      <c r="F20" s="116">
        <v>124.1</v>
      </c>
      <c r="G20">
        <v>10747</v>
      </c>
      <c r="H20" s="116"/>
      <c r="I20" s="116"/>
      <c r="L20" s="170">
        <v>45527</v>
      </c>
      <c r="M20" s="116">
        <v>178.01317893703899</v>
      </c>
      <c r="N20" s="116">
        <v>183.420765227956</v>
      </c>
      <c r="O20" s="116">
        <v>177.26238927626099</v>
      </c>
      <c r="P20" s="116">
        <v>182.37536190282299</v>
      </c>
      <c r="Q20" s="116">
        <v>187.31</v>
      </c>
      <c r="R20">
        <v>354569</v>
      </c>
    </row>
    <row r="21" spans="1:18" x14ac:dyDescent="0.25">
      <c r="A21" s="170">
        <v>42031</v>
      </c>
      <c r="B21" s="116">
        <v>2.05422488955766</v>
      </c>
      <c r="C21" s="116">
        <v>2.0209645019857998</v>
      </c>
      <c r="D21" s="116">
        <v>1.8705008439225901</v>
      </c>
      <c r="E21" s="116">
        <v>1.8705008439225901</v>
      </c>
      <c r="F21" s="116">
        <v>127.6</v>
      </c>
      <c r="G21">
        <v>5227</v>
      </c>
      <c r="H21" s="116"/>
      <c r="I21" s="116"/>
      <c r="L21" s="170">
        <v>45530</v>
      </c>
      <c r="M21" s="116">
        <v>175.941379619956</v>
      </c>
      <c r="N21" s="116">
        <v>179.410217926081</v>
      </c>
      <c r="O21" s="116">
        <v>174.867465295046</v>
      </c>
      <c r="P21" s="116">
        <v>179.410217926081</v>
      </c>
      <c r="Q21" s="116">
        <v>185.13</v>
      </c>
      <c r="R21">
        <v>494457</v>
      </c>
    </row>
    <row r="22" spans="1:18" x14ac:dyDescent="0.25">
      <c r="A22" s="170">
        <v>42032</v>
      </c>
      <c r="B22" s="116">
        <v>2.0589763734964999</v>
      </c>
      <c r="C22" s="116">
        <v>1.96077903876052</v>
      </c>
      <c r="D22" s="116">
        <v>1.9481084149236101</v>
      </c>
      <c r="E22" s="116">
        <v>2.0114615341081201</v>
      </c>
      <c r="F22" s="116">
        <v>123.8</v>
      </c>
      <c r="G22">
        <v>5919</v>
      </c>
      <c r="H22" s="116"/>
      <c r="I22" s="116"/>
      <c r="L22" s="170">
        <v>45531</v>
      </c>
      <c r="M22" s="116">
        <v>175.73229895492901</v>
      </c>
      <c r="N22" s="116">
        <v>177.46196627469601</v>
      </c>
      <c r="O22" s="116">
        <v>173.91709863583401</v>
      </c>
      <c r="P22" s="116">
        <v>176.57812528162799</v>
      </c>
      <c r="Q22" s="116">
        <v>184.91</v>
      </c>
      <c r="R22">
        <v>427490</v>
      </c>
    </row>
    <row r="23" spans="1:18" x14ac:dyDescent="0.25">
      <c r="A23" s="170">
        <v>42033</v>
      </c>
      <c r="B23" s="116">
        <v>2.04947340561883</v>
      </c>
      <c r="C23" s="116">
        <v>1.80556389675847</v>
      </c>
      <c r="D23" s="116">
        <v>1.7263724977778401</v>
      </c>
      <c r="E23" s="116">
        <v>2.04947340561883</v>
      </c>
      <c r="F23" s="116">
        <v>114</v>
      </c>
      <c r="G23">
        <v>13480</v>
      </c>
      <c r="H23" s="116"/>
      <c r="I23" s="116"/>
      <c r="L23" s="170">
        <v>45532</v>
      </c>
      <c r="M23" s="116">
        <v>172.96673197662199</v>
      </c>
      <c r="N23" s="116">
        <v>176.89174627916799</v>
      </c>
      <c r="O23" s="116">
        <v>171.88331398512</v>
      </c>
      <c r="P23" s="116">
        <v>176.67316194755</v>
      </c>
      <c r="Q23" s="116">
        <v>182</v>
      </c>
      <c r="R23">
        <v>630892</v>
      </c>
    </row>
    <row r="24" spans="1:18" x14ac:dyDescent="0.25">
      <c r="A24" s="170">
        <v>42034</v>
      </c>
      <c r="B24" s="116">
        <v>1.87208467190221</v>
      </c>
      <c r="C24" s="116">
        <v>1.8150668646361501</v>
      </c>
      <c r="D24" s="116">
        <v>1.78339030504389</v>
      </c>
      <c r="E24" s="116">
        <v>1.86099787604492</v>
      </c>
      <c r="F24" s="116">
        <v>114.6</v>
      </c>
      <c r="G24">
        <v>13631</v>
      </c>
      <c r="H24" s="116"/>
      <c r="I24" s="116"/>
      <c r="L24" s="170">
        <v>45533</v>
      </c>
      <c r="M24" s="116">
        <v>167.91078134961299</v>
      </c>
      <c r="N24" s="116">
        <v>174.867465295046</v>
      </c>
      <c r="O24" s="116">
        <v>166.31416536213601</v>
      </c>
      <c r="P24" s="116">
        <v>174.867465295046</v>
      </c>
      <c r="Q24" s="116">
        <v>176.68</v>
      </c>
      <c r="R24">
        <v>785295</v>
      </c>
    </row>
    <row r="25" spans="1:18" x14ac:dyDescent="0.25">
      <c r="A25" s="170">
        <v>42037</v>
      </c>
      <c r="B25" s="116">
        <v>1.9481084149236101</v>
      </c>
      <c r="C25" s="116">
        <v>1.92751865118865</v>
      </c>
      <c r="D25" s="116">
        <v>1.71053421798171</v>
      </c>
      <c r="E25" s="116">
        <v>1.77388733716622</v>
      </c>
      <c r="F25" s="116">
        <v>121.7</v>
      </c>
      <c r="G25">
        <v>10466</v>
      </c>
      <c r="H25" s="116"/>
      <c r="I25" s="116"/>
      <c r="L25" s="170">
        <v>45534</v>
      </c>
      <c r="M25" s="116">
        <v>168.83263700904899</v>
      </c>
      <c r="N25" s="116">
        <v>171.29408665640801</v>
      </c>
      <c r="O25" s="116">
        <v>167.34056135408599</v>
      </c>
      <c r="P25" s="116">
        <v>167.92028501620501</v>
      </c>
      <c r="Q25" s="116">
        <v>177.65</v>
      </c>
      <c r="R25">
        <v>417377</v>
      </c>
    </row>
    <row r="26" spans="1:18" x14ac:dyDescent="0.25">
      <c r="A26" s="170">
        <v>42038</v>
      </c>
      <c r="B26" s="116">
        <v>2.0177968460265698</v>
      </c>
      <c r="C26" s="116">
        <v>1.93543779108671</v>
      </c>
      <c r="D26" s="116">
        <v>1.8404081123099501</v>
      </c>
      <c r="E26" s="116">
        <v>1.9085127154332999</v>
      </c>
      <c r="F26" s="116">
        <v>122.2</v>
      </c>
      <c r="G26">
        <v>8177</v>
      </c>
      <c r="H26" s="116"/>
      <c r="I26" s="116"/>
      <c r="L26" s="170">
        <v>45537</v>
      </c>
      <c r="M26" s="116">
        <v>164.23286237846199</v>
      </c>
      <c r="N26" s="116">
        <v>170.10612833239301</v>
      </c>
      <c r="O26" s="116">
        <v>163.4630653845</v>
      </c>
      <c r="P26" s="116">
        <v>169.83052200122199</v>
      </c>
      <c r="Q26" s="116">
        <v>172.81</v>
      </c>
      <c r="R26">
        <v>616526</v>
      </c>
    </row>
    <row r="27" spans="1:18" x14ac:dyDescent="0.25">
      <c r="A27" s="170">
        <v>42039</v>
      </c>
      <c r="B27" s="116">
        <v>2.05422488955766</v>
      </c>
      <c r="C27" s="116">
        <v>2.0003747382508301</v>
      </c>
      <c r="D27" s="116">
        <v>1.9037612314944601</v>
      </c>
      <c r="E27" s="116">
        <v>1.96869817865858</v>
      </c>
      <c r="F27" s="116">
        <v>126.3</v>
      </c>
      <c r="G27">
        <v>10052</v>
      </c>
      <c r="H27" s="116"/>
      <c r="I27" s="116"/>
      <c r="L27" s="170">
        <v>45538</v>
      </c>
      <c r="M27" s="116">
        <v>165.48734636862201</v>
      </c>
      <c r="N27" s="116">
        <v>169.393353337984</v>
      </c>
      <c r="O27" s="116">
        <v>163.56760571701301</v>
      </c>
      <c r="P27" s="116">
        <v>164.22335871186999</v>
      </c>
      <c r="Q27" s="116">
        <v>174.13</v>
      </c>
      <c r="R27">
        <v>396354</v>
      </c>
    </row>
    <row r="28" spans="1:18" x14ac:dyDescent="0.25">
      <c r="A28" s="170">
        <v>42040</v>
      </c>
      <c r="B28" s="116">
        <v>2.0336351258227001</v>
      </c>
      <c r="C28" s="116">
        <v>1.9227671672498099</v>
      </c>
      <c r="D28" s="116">
        <v>1.9005935755352299</v>
      </c>
      <c r="E28" s="116">
        <v>2.0336351258227001</v>
      </c>
      <c r="F28" s="116">
        <v>121.4</v>
      </c>
      <c r="G28">
        <v>2170</v>
      </c>
      <c r="H28" s="116"/>
      <c r="I28" s="116"/>
      <c r="L28" s="170">
        <v>45539</v>
      </c>
      <c r="M28" s="116">
        <v>162.97837838830199</v>
      </c>
      <c r="N28" s="116">
        <v>165.03117037219999</v>
      </c>
      <c r="O28" s="116">
        <v>161.85694573043099</v>
      </c>
      <c r="P28" s="116">
        <v>164.394424710528</v>
      </c>
      <c r="Q28" s="116">
        <v>171.49</v>
      </c>
      <c r="R28">
        <v>507779</v>
      </c>
    </row>
    <row r="29" spans="1:18" x14ac:dyDescent="0.25">
      <c r="A29" s="170">
        <v>42041</v>
      </c>
      <c r="B29" s="116">
        <v>1.9639466947197399</v>
      </c>
      <c r="C29" s="116">
        <v>1.92435099522942</v>
      </c>
      <c r="D29" s="116">
        <v>1.80239624079925</v>
      </c>
      <c r="E29" s="116">
        <v>1.80239624079925</v>
      </c>
      <c r="F29" s="116">
        <v>121.5</v>
      </c>
      <c r="G29">
        <v>3700</v>
      </c>
      <c r="H29" s="116"/>
      <c r="I29" s="116"/>
      <c r="L29" s="170">
        <v>45540</v>
      </c>
      <c r="M29" s="116">
        <v>166.73232669218999</v>
      </c>
      <c r="N29" s="116">
        <v>169.022710340891</v>
      </c>
      <c r="O29" s="116">
        <v>164.11881837935599</v>
      </c>
      <c r="P29" s="116">
        <v>164.31839537779101</v>
      </c>
      <c r="Q29" s="116">
        <v>175.44</v>
      </c>
      <c r="R29">
        <v>651254</v>
      </c>
    </row>
    <row r="30" spans="1:18" x14ac:dyDescent="0.25">
      <c r="A30" s="170">
        <v>42044</v>
      </c>
      <c r="B30" s="116">
        <v>1.9782011465362599</v>
      </c>
      <c r="C30" s="116">
        <v>1.8530787361468499</v>
      </c>
      <c r="D30" s="116">
        <v>1.6313428190010799</v>
      </c>
      <c r="E30" s="116">
        <v>1.75804905737009</v>
      </c>
      <c r="F30" s="116">
        <v>117</v>
      </c>
      <c r="G30">
        <v>177</v>
      </c>
      <c r="H30" s="116"/>
      <c r="I30" s="116"/>
      <c r="L30" s="170">
        <v>45541</v>
      </c>
      <c r="M30" s="116">
        <v>163.833708381593</v>
      </c>
      <c r="N30" s="116">
        <v>167.72070801777099</v>
      </c>
      <c r="O30" s="116">
        <v>162.75029039009101</v>
      </c>
      <c r="P30" s="116">
        <v>167.635175018441</v>
      </c>
      <c r="Q30" s="116">
        <v>172.39</v>
      </c>
      <c r="R30">
        <v>428867</v>
      </c>
    </row>
    <row r="31" spans="1:18" x14ac:dyDescent="0.25">
      <c r="A31" s="170">
        <v>42045</v>
      </c>
      <c r="B31" s="116">
        <v>1.97661731855664</v>
      </c>
      <c r="C31" s="116">
        <v>1.8404081123099501</v>
      </c>
      <c r="D31" s="116">
        <v>1.83248897241189</v>
      </c>
      <c r="E31" s="116">
        <v>1.97661731855664</v>
      </c>
      <c r="F31" s="116">
        <v>116.2</v>
      </c>
      <c r="G31">
        <v>427</v>
      </c>
      <c r="H31" s="116"/>
      <c r="I31" s="116"/>
      <c r="L31" s="170">
        <v>45544</v>
      </c>
      <c r="M31" s="116">
        <v>158.606691755925</v>
      </c>
      <c r="N31" s="116">
        <v>162.94036372193301</v>
      </c>
      <c r="O31" s="116">
        <v>157.76086542922701</v>
      </c>
      <c r="P31" s="116">
        <v>162.36064005981399</v>
      </c>
      <c r="Q31" s="116">
        <v>166.89</v>
      </c>
      <c r="R31">
        <v>602117</v>
      </c>
    </row>
    <row r="32" spans="1:18" x14ac:dyDescent="0.25">
      <c r="A32" s="170">
        <v>42046</v>
      </c>
      <c r="B32" s="116">
        <v>1.9639466947197399</v>
      </c>
      <c r="C32" s="116">
        <v>1.9417731030051599</v>
      </c>
      <c r="D32" s="116">
        <v>1.91643185533136</v>
      </c>
      <c r="E32" s="116">
        <v>1.9528598988624499</v>
      </c>
      <c r="F32" s="116">
        <v>122.6</v>
      </c>
      <c r="G32">
        <v>3823</v>
      </c>
      <c r="H32" s="116"/>
      <c r="I32" s="116"/>
      <c r="L32" s="170">
        <v>45545</v>
      </c>
      <c r="M32" s="116">
        <v>161.66687239858899</v>
      </c>
      <c r="N32" s="116">
        <v>166.266647029176</v>
      </c>
      <c r="O32" s="116">
        <v>159.19591908463701</v>
      </c>
      <c r="P32" s="116">
        <v>159.19591908463701</v>
      </c>
      <c r="Q32" s="116">
        <v>170.11</v>
      </c>
      <c r="R32">
        <v>463779</v>
      </c>
    </row>
    <row r="33" spans="1:18" x14ac:dyDescent="0.25">
      <c r="A33" s="170">
        <v>42047</v>
      </c>
      <c r="B33" s="116">
        <v>2.0589763734964999</v>
      </c>
      <c r="C33" s="116">
        <v>2.0320512978430898</v>
      </c>
      <c r="D33" s="116">
        <v>1.9338539631070999</v>
      </c>
      <c r="E33" s="116">
        <v>1.9481084149236101</v>
      </c>
      <c r="F33" s="116">
        <v>128.30000000000001</v>
      </c>
      <c r="G33">
        <v>12228</v>
      </c>
      <c r="H33" s="116"/>
      <c r="I33" s="116"/>
      <c r="L33" s="170">
        <v>45546</v>
      </c>
      <c r="M33" s="116">
        <v>163.73867171567099</v>
      </c>
      <c r="N33" s="116">
        <v>167.09346602269</v>
      </c>
      <c r="O33" s="116">
        <v>161.99950072931301</v>
      </c>
      <c r="P33" s="116">
        <v>162.41766205936599</v>
      </c>
      <c r="Q33" s="116">
        <v>172.29</v>
      </c>
      <c r="R33">
        <v>430587</v>
      </c>
    </row>
    <row r="34" spans="1:18" x14ac:dyDescent="0.25">
      <c r="A34" s="170">
        <v>42048</v>
      </c>
      <c r="B34" s="116">
        <v>2.0938205890479802</v>
      </c>
      <c r="C34" s="116">
        <v>2.0336351258227001</v>
      </c>
      <c r="D34" s="116">
        <v>1.9813688024954801</v>
      </c>
      <c r="E34" s="116">
        <v>2.0478895776392099</v>
      </c>
      <c r="F34" s="116">
        <v>128.4</v>
      </c>
      <c r="G34">
        <v>3415</v>
      </c>
      <c r="H34" s="116"/>
      <c r="I34" s="116"/>
      <c r="L34" s="170">
        <v>45547</v>
      </c>
      <c r="M34" s="116">
        <v>162.18007039456299</v>
      </c>
      <c r="N34" s="116">
        <v>165.16422170448999</v>
      </c>
      <c r="O34" s="116">
        <v>159.918197745638</v>
      </c>
      <c r="P34" s="116">
        <v>163.73867171567099</v>
      </c>
      <c r="Q34" s="116">
        <v>170.65</v>
      </c>
      <c r="R34">
        <v>442569</v>
      </c>
    </row>
    <row r="35" spans="1:18" x14ac:dyDescent="0.25">
      <c r="A35" s="170">
        <v>42051</v>
      </c>
      <c r="B35" s="116">
        <v>2.1144103527829499</v>
      </c>
      <c r="C35" s="116">
        <v>1.97978497451587</v>
      </c>
      <c r="D35" s="116">
        <v>1.9560275548216799</v>
      </c>
      <c r="E35" s="116">
        <v>1.99087177037316</v>
      </c>
      <c r="F35" s="116">
        <v>125</v>
      </c>
      <c r="G35">
        <v>2556</v>
      </c>
      <c r="H35" s="116"/>
      <c r="I35" s="116"/>
      <c r="L35" s="170">
        <v>45548</v>
      </c>
      <c r="M35" s="116">
        <v>160.18430041021799</v>
      </c>
      <c r="N35" s="116">
        <v>163.11142972059099</v>
      </c>
      <c r="O35" s="116">
        <v>159.48102908240099</v>
      </c>
      <c r="P35" s="116">
        <v>159.68060608083499</v>
      </c>
      <c r="Q35" s="116">
        <v>168.55</v>
      </c>
      <c r="R35">
        <v>528244</v>
      </c>
    </row>
    <row r="36" spans="1:18" x14ac:dyDescent="0.25">
      <c r="A36" s="170">
        <v>42053</v>
      </c>
      <c r="B36" s="116">
        <v>2.2807122906422799</v>
      </c>
      <c r="C36" s="116">
        <v>2.1840987838859101</v>
      </c>
      <c r="D36" s="116">
        <v>2.06056020147612</v>
      </c>
      <c r="E36" s="116">
        <v>2.1049073849052702</v>
      </c>
      <c r="F36" s="116">
        <v>137.9</v>
      </c>
      <c r="G36">
        <v>26969</v>
      </c>
      <c r="H36" s="116"/>
      <c r="I36" s="116"/>
      <c r="L36" s="170">
        <v>45551</v>
      </c>
      <c r="M36" s="116">
        <v>159.965716078599</v>
      </c>
      <c r="N36" s="116">
        <v>163.719664382487</v>
      </c>
      <c r="O36" s="116">
        <v>159.11038608530799</v>
      </c>
      <c r="P36" s="116">
        <v>160.602461740271</v>
      </c>
      <c r="Q36" s="116">
        <v>168.32</v>
      </c>
      <c r="R36">
        <v>490647</v>
      </c>
    </row>
    <row r="37" spans="1:18" x14ac:dyDescent="0.25">
      <c r="A37" s="170">
        <v>42054</v>
      </c>
      <c r="B37" s="116">
        <v>2.2743769787238302</v>
      </c>
      <c r="C37" s="116">
        <v>2.07956613723147</v>
      </c>
      <c r="D37" s="116">
        <v>2.0114615341081201</v>
      </c>
      <c r="E37" s="116">
        <v>2.2743769787238302</v>
      </c>
      <c r="F37" s="116">
        <v>131.30000000000001</v>
      </c>
      <c r="G37">
        <v>6727</v>
      </c>
      <c r="H37" s="116"/>
      <c r="I37" s="116"/>
      <c r="L37" s="170">
        <v>45552</v>
      </c>
      <c r="M37" s="116">
        <v>160.95409740418</v>
      </c>
      <c r="N37" s="116">
        <v>164.42293571030399</v>
      </c>
      <c r="O37" s="116">
        <v>158.654210088886</v>
      </c>
      <c r="P37" s="116">
        <v>160.07976007770401</v>
      </c>
      <c r="Q37" s="116">
        <v>169.36</v>
      </c>
      <c r="R37">
        <v>542988</v>
      </c>
    </row>
    <row r="38" spans="1:18" x14ac:dyDescent="0.25">
      <c r="A38" s="170">
        <v>42055</v>
      </c>
      <c r="B38" s="116">
        <v>2.1381677724771402</v>
      </c>
      <c r="C38" s="116">
        <v>1.9892879423935399</v>
      </c>
      <c r="D38" s="116">
        <v>1.97978497451587</v>
      </c>
      <c r="E38" s="116">
        <v>2.1064912128848801</v>
      </c>
      <c r="F38" s="116">
        <v>125.6</v>
      </c>
      <c r="G38">
        <v>4614</v>
      </c>
      <c r="H38" s="116"/>
      <c r="I38" s="116"/>
      <c r="L38" s="170">
        <v>45553</v>
      </c>
      <c r="M38" s="116">
        <v>164.04278904661899</v>
      </c>
      <c r="N38" s="116">
        <v>174.867465295046</v>
      </c>
      <c r="O38" s="116">
        <v>161.476799066746</v>
      </c>
      <c r="P38" s="116">
        <v>166.31416536213601</v>
      </c>
      <c r="Q38" s="116">
        <v>172.61</v>
      </c>
      <c r="R38">
        <v>2196766</v>
      </c>
    </row>
    <row r="39" spans="1:18" x14ac:dyDescent="0.25">
      <c r="A39" s="170">
        <v>42058</v>
      </c>
      <c r="B39" s="116">
        <v>2.08748527712953</v>
      </c>
      <c r="C39" s="116">
        <v>2.0114615341081201</v>
      </c>
      <c r="D39" s="116">
        <v>1.99403942633238</v>
      </c>
      <c r="E39" s="116">
        <v>2.01304536208773</v>
      </c>
      <c r="F39" s="116">
        <v>127</v>
      </c>
      <c r="G39">
        <v>1929</v>
      </c>
      <c r="H39" s="116"/>
      <c r="I39" s="116"/>
      <c r="L39" s="170">
        <v>45554</v>
      </c>
      <c r="M39" s="116">
        <v>161.81893106406301</v>
      </c>
      <c r="N39" s="116">
        <v>169.45987900412899</v>
      </c>
      <c r="O39" s="116">
        <v>158.82527608754401</v>
      </c>
      <c r="P39" s="116">
        <v>166.17161036325501</v>
      </c>
      <c r="Q39" s="116">
        <v>170.27</v>
      </c>
      <c r="R39">
        <v>644576</v>
      </c>
    </row>
    <row r="40" spans="1:18" x14ac:dyDescent="0.25">
      <c r="A40" s="170">
        <v>42059</v>
      </c>
      <c r="B40" s="116">
        <v>2.05739254551689</v>
      </c>
      <c r="C40" s="116">
        <v>1.97978497451587</v>
      </c>
      <c r="D40" s="116">
        <v>1.9180156833109701</v>
      </c>
      <c r="E40" s="116">
        <v>2.0558087175372801</v>
      </c>
      <c r="F40" s="116">
        <v>125</v>
      </c>
      <c r="G40">
        <v>3792</v>
      </c>
      <c r="H40" s="116"/>
      <c r="I40" s="116"/>
      <c r="L40" s="170">
        <v>45555</v>
      </c>
      <c r="M40" s="116">
        <v>163.75767904885601</v>
      </c>
      <c r="N40" s="116">
        <v>166.35218002850499</v>
      </c>
      <c r="O40" s="116">
        <v>161.06814140328501</v>
      </c>
      <c r="P40" s="116">
        <v>162.98788205489399</v>
      </c>
      <c r="Q40" s="116">
        <v>172.31</v>
      </c>
      <c r="R40">
        <v>471692</v>
      </c>
    </row>
    <row r="41" spans="1:18" x14ac:dyDescent="0.25">
      <c r="A41" s="170">
        <v>42060</v>
      </c>
      <c r="B41" s="116">
        <v>2.0431380937003798</v>
      </c>
      <c r="C41" s="116">
        <v>2.0082938781488999</v>
      </c>
      <c r="D41" s="116">
        <v>1.9639466947197399</v>
      </c>
      <c r="E41" s="116">
        <v>2.02729981390425</v>
      </c>
      <c r="F41" s="116">
        <v>126.8</v>
      </c>
      <c r="G41">
        <v>2977</v>
      </c>
      <c r="H41" s="116"/>
      <c r="I41" s="116"/>
      <c r="L41" s="170">
        <v>45558</v>
      </c>
      <c r="M41" s="116">
        <v>163.529591050645</v>
      </c>
      <c r="N41" s="116">
        <v>165.31628036996401</v>
      </c>
      <c r="O41" s="116">
        <v>161.57183573266801</v>
      </c>
      <c r="P41" s="116">
        <v>165.31628036996401</v>
      </c>
      <c r="Q41" s="116">
        <v>172.07</v>
      </c>
      <c r="R41">
        <v>407143</v>
      </c>
    </row>
    <row r="42" spans="1:18" x14ac:dyDescent="0.25">
      <c r="A42" s="170">
        <v>42061</v>
      </c>
      <c r="B42" s="116">
        <v>2.09065293308876</v>
      </c>
      <c r="C42" s="116">
        <v>2.0431380937003798</v>
      </c>
      <c r="D42" s="116">
        <v>1.9481084149236101</v>
      </c>
      <c r="E42" s="116">
        <v>1.9481084149236101</v>
      </c>
      <c r="F42" s="116">
        <v>129</v>
      </c>
      <c r="G42">
        <v>6289</v>
      </c>
      <c r="H42" s="116"/>
      <c r="I42" s="116"/>
      <c r="L42" s="170">
        <v>45559</v>
      </c>
      <c r="M42" s="116">
        <v>163.49157638427599</v>
      </c>
      <c r="N42" s="116">
        <v>164.698542041476</v>
      </c>
      <c r="O42" s="116">
        <v>161.62885773222001</v>
      </c>
      <c r="P42" s="116">
        <v>163.396539718355</v>
      </c>
      <c r="Q42" s="116">
        <v>172.03</v>
      </c>
      <c r="R42">
        <v>356816</v>
      </c>
    </row>
    <row r="43" spans="1:18" x14ac:dyDescent="0.25">
      <c r="A43" s="170">
        <v>42062</v>
      </c>
      <c r="B43" s="116">
        <v>2.1698443320693901</v>
      </c>
      <c r="C43" s="116">
        <v>2.07639848127224</v>
      </c>
      <c r="D43" s="116">
        <v>1.9560275548216799</v>
      </c>
      <c r="E43" s="116">
        <v>1.9560275548216799</v>
      </c>
      <c r="F43" s="116">
        <v>131.1</v>
      </c>
      <c r="G43">
        <v>4730</v>
      </c>
      <c r="H43" s="116"/>
      <c r="I43" s="116"/>
      <c r="L43" s="170">
        <v>45560</v>
      </c>
      <c r="M43" s="116">
        <v>167.568649352297</v>
      </c>
      <c r="N43" s="116">
        <v>169.53590833686599</v>
      </c>
      <c r="O43" s="116">
        <v>160.62146907345499</v>
      </c>
      <c r="P43" s="116">
        <v>162.531706058472</v>
      </c>
      <c r="Q43" s="116">
        <v>176.32</v>
      </c>
      <c r="R43">
        <v>889036</v>
      </c>
    </row>
    <row r="44" spans="1:18" x14ac:dyDescent="0.25">
      <c r="A44" s="170">
        <v>42063</v>
      </c>
      <c r="B44" s="116">
        <v>2.1666766761101699</v>
      </c>
      <c r="C44" s="116">
        <v>2.02729981390425</v>
      </c>
      <c r="D44" s="116">
        <v>1.96553052269935</v>
      </c>
      <c r="E44" s="116">
        <v>2.0589763734964999</v>
      </c>
      <c r="F44" s="116">
        <v>128</v>
      </c>
      <c r="G44">
        <v>3317</v>
      </c>
      <c r="H44" s="116"/>
      <c r="I44" s="116"/>
      <c r="L44" s="170">
        <v>45561</v>
      </c>
      <c r="M44" s="116">
        <v>164.11881837935599</v>
      </c>
      <c r="N44" s="116">
        <v>169.16526533977299</v>
      </c>
      <c r="O44" s="116">
        <v>163.43455438472299</v>
      </c>
      <c r="P44" s="116">
        <v>168.880155342009</v>
      </c>
      <c r="Q44" s="116">
        <v>172.69</v>
      </c>
      <c r="R44">
        <v>544355</v>
      </c>
    </row>
    <row r="45" spans="1:18" x14ac:dyDescent="0.25">
      <c r="A45" s="170">
        <v>42065</v>
      </c>
      <c r="B45" s="116">
        <v>2.10173972894605</v>
      </c>
      <c r="C45" s="116">
        <v>1.9972070822916099</v>
      </c>
      <c r="D45" s="116">
        <v>1.90217740351485</v>
      </c>
      <c r="E45" s="116">
        <v>1.9972070822916099</v>
      </c>
      <c r="F45" s="116">
        <v>126.1</v>
      </c>
      <c r="G45">
        <v>9557</v>
      </c>
      <c r="H45" s="116"/>
      <c r="I45" s="116"/>
      <c r="L45" s="170">
        <v>45562</v>
      </c>
      <c r="M45" s="116">
        <v>163.04490405444599</v>
      </c>
      <c r="N45" s="116">
        <v>167.454605353191</v>
      </c>
      <c r="O45" s="116">
        <v>162.512698725288</v>
      </c>
      <c r="P45" s="116">
        <v>164.86010437354199</v>
      </c>
      <c r="Q45" s="116">
        <v>171.56</v>
      </c>
      <c r="R45">
        <v>284857</v>
      </c>
    </row>
    <row r="46" spans="1:18" x14ac:dyDescent="0.25">
      <c r="A46" s="170">
        <v>42066</v>
      </c>
      <c r="B46" s="116">
        <v>2.0700631693537899</v>
      </c>
      <c r="C46" s="116">
        <v>1.99087177037316</v>
      </c>
      <c r="D46" s="116">
        <v>1.98770411441393</v>
      </c>
      <c r="E46" s="116">
        <v>2.0700631693537899</v>
      </c>
      <c r="F46" s="116">
        <v>125.7</v>
      </c>
      <c r="G46">
        <v>3089</v>
      </c>
      <c r="H46" s="116"/>
      <c r="I46" s="116"/>
      <c r="L46" s="170">
        <v>45565</v>
      </c>
      <c r="M46" s="116">
        <v>174.734413962757</v>
      </c>
      <c r="N46" s="116">
        <v>183.420765227956</v>
      </c>
      <c r="O46" s="116">
        <v>168.21489868056099</v>
      </c>
      <c r="P46" s="116">
        <v>168.43348301218001</v>
      </c>
      <c r="Q46" s="116">
        <v>183.86</v>
      </c>
      <c r="R46">
        <v>3331021</v>
      </c>
    </row>
    <row r="47" spans="1:18" x14ac:dyDescent="0.25">
      <c r="A47" s="170">
        <v>42067</v>
      </c>
      <c r="B47" s="116">
        <v>2.0257159859246401</v>
      </c>
      <c r="C47" s="116">
        <v>1.94335693098478</v>
      </c>
      <c r="D47" s="116">
        <v>1.91643185533136</v>
      </c>
      <c r="E47" s="116">
        <v>1.97978497451587</v>
      </c>
      <c r="F47" s="116">
        <v>122.7</v>
      </c>
      <c r="G47">
        <v>2275</v>
      </c>
      <c r="H47" s="116"/>
      <c r="I47" s="116"/>
      <c r="L47" s="170">
        <v>45566</v>
      </c>
      <c r="M47" s="116">
        <v>173.58447030510999</v>
      </c>
      <c r="N47" s="116">
        <v>178.19374860228899</v>
      </c>
      <c r="O47" s="116">
        <v>172.120905649923</v>
      </c>
      <c r="P47" s="116">
        <v>174.867465295046</v>
      </c>
      <c r="Q47" s="116">
        <v>182.65</v>
      </c>
      <c r="R47">
        <v>695832</v>
      </c>
    </row>
    <row r="48" spans="1:18" x14ac:dyDescent="0.25">
      <c r="A48" s="170">
        <v>42068</v>
      </c>
      <c r="B48" s="116">
        <v>2.0067100501692798</v>
      </c>
      <c r="C48" s="116">
        <v>1.88317146775949</v>
      </c>
      <c r="D48" s="116">
        <v>1.8530787361468499</v>
      </c>
      <c r="E48" s="116">
        <v>1.9813688024954801</v>
      </c>
      <c r="F48" s="116">
        <v>118.9</v>
      </c>
      <c r="G48">
        <v>7956</v>
      </c>
      <c r="H48" s="116"/>
      <c r="I48" s="116"/>
      <c r="L48" s="170">
        <v>45568</v>
      </c>
      <c r="M48" s="116">
        <v>170.80939966021</v>
      </c>
      <c r="N48" s="116">
        <v>173.58447030510999</v>
      </c>
      <c r="O48" s="116">
        <v>167.64467868503399</v>
      </c>
      <c r="P48" s="116">
        <v>170.10612833239301</v>
      </c>
      <c r="Q48" s="116">
        <v>179.73</v>
      </c>
      <c r="R48">
        <v>678079</v>
      </c>
    </row>
    <row r="49" spans="1:18" x14ac:dyDescent="0.25">
      <c r="A49" s="170">
        <v>42072</v>
      </c>
      <c r="B49" s="116">
        <v>1.96869817865858</v>
      </c>
      <c r="C49" s="116">
        <v>1.83565662837111</v>
      </c>
      <c r="D49" s="116">
        <v>1.8293213164526601</v>
      </c>
      <c r="E49" s="116">
        <v>1.8530787361468499</v>
      </c>
      <c r="F49" s="116">
        <v>115.9</v>
      </c>
      <c r="G49">
        <v>4794</v>
      </c>
      <c r="H49" s="116"/>
      <c r="I49" s="116"/>
      <c r="L49" s="170">
        <v>45569</v>
      </c>
      <c r="M49" s="116">
        <v>169.49789367049701</v>
      </c>
      <c r="N49" s="116">
        <v>173.91709863583401</v>
      </c>
      <c r="O49" s="116">
        <v>165.56337570135901</v>
      </c>
      <c r="P49" s="116">
        <v>171.617211320541</v>
      </c>
      <c r="Q49" s="116">
        <v>178.35</v>
      </c>
      <c r="R49">
        <v>665797</v>
      </c>
    </row>
    <row r="50" spans="1:18" x14ac:dyDescent="0.25">
      <c r="A50" s="170">
        <v>42073</v>
      </c>
      <c r="B50" s="116">
        <v>1.89425826361678</v>
      </c>
      <c r="C50" s="116">
        <v>1.78022264908467</v>
      </c>
      <c r="D50" s="116">
        <v>1.75804905737009</v>
      </c>
      <c r="E50" s="116">
        <v>1.88475529573911</v>
      </c>
      <c r="F50" s="116">
        <v>112.4</v>
      </c>
      <c r="G50">
        <v>3444</v>
      </c>
      <c r="H50" s="116"/>
      <c r="I50" s="116"/>
      <c r="L50" s="170">
        <v>45572</v>
      </c>
      <c r="M50" s="116">
        <v>175.627758622416</v>
      </c>
      <c r="N50" s="116">
        <v>191.023698501654</v>
      </c>
      <c r="O50" s="116">
        <v>172.96673197662199</v>
      </c>
      <c r="P50" s="116">
        <v>190.073331842442</v>
      </c>
      <c r="Q50" s="116">
        <v>184.8</v>
      </c>
      <c r="R50">
        <v>7117079</v>
      </c>
    </row>
    <row r="51" spans="1:18" x14ac:dyDescent="0.25">
      <c r="A51" s="170">
        <v>42074</v>
      </c>
      <c r="B51" s="116">
        <v>1.89900974755562</v>
      </c>
      <c r="C51" s="116">
        <v>1.7865579610031199</v>
      </c>
      <c r="D51" s="116">
        <v>1.74379460555358</v>
      </c>
      <c r="E51" s="116">
        <v>1.74379460555358</v>
      </c>
      <c r="F51" s="116">
        <v>112.8</v>
      </c>
      <c r="G51">
        <v>9486</v>
      </c>
      <c r="H51" s="116"/>
      <c r="I51" s="116"/>
      <c r="L51" s="170">
        <v>45573</v>
      </c>
      <c r="M51" s="116">
        <v>167.64467868503399</v>
      </c>
      <c r="N51" s="116">
        <v>176.188474951351</v>
      </c>
      <c r="O51" s="116">
        <v>166.55175702694001</v>
      </c>
      <c r="P51" s="116">
        <v>175.39967062420499</v>
      </c>
      <c r="Q51" s="116">
        <v>176.4</v>
      </c>
      <c r="R51">
        <v>2634380</v>
      </c>
    </row>
    <row r="52" spans="1:18" x14ac:dyDescent="0.25">
      <c r="A52" s="170">
        <v>42075</v>
      </c>
      <c r="B52" s="116">
        <v>1.9005935755352299</v>
      </c>
      <c r="C52" s="116">
        <v>1.8863391237187199</v>
      </c>
      <c r="D52" s="116">
        <v>1.7422107775739599</v>
      </c>
      <c r="E52" s="116">
        <v>1.85783022008569</v>
      </c>
      <c r="F52" s="116">
        <v>119.1</v>
      </c>
      <c r="G52">
        <v>7045</v>
      </c>
      <c r="H52" s="116"/>
      <c r="I52" s="116"/>
      <c r="L52" s="170">
        <v>45574</v>
      </c>
      <c r="M52" s="116">
        <v>172.177927649476</v>
      </c>
      <c r="N52" s="116">
        <v>179.80937192294999</v>
      </c>
      <c r="O52" s="116">
        <v>170.02059533306399</v>
      </c>
      <c r="P52" s="116">
        <v>170.21066866490699</v>
      </c>
      <c r="Q52" s="116">
        <v>181.17</v>
      </c>
      <c r="R52">
        <v>2623283</v>
      </c>
    </row>
    <row r="53" spans="1:18" x14ac:dyDescent="0.25">
      <c r="A53" s="170">
        <v>42076</v>
      </c>
      <c r="B53" s="116">
        <v>1.9449407589643899</v>
      </c>
      <c r="C53" s="116">
        <v>1.8562463921060799</v>
      </c>
      <c r="D53" s="116">
        <v>1.83882428433034</v>
      </c>
      <c r="E53" s="116">
        <v>1.9005935755352299</v>
      </c>
      <c r="F53" s="116">
        <v>117.2</v>
      </c>
      <c r="G53">
        <v>7666</v>
      </c>
      <c r="H53" s="116"/>
      <c r="I53" s="116"/>
      <c r="L53" s="170">
        <v>45575</v>
      </c>
      <c r="M53" s="116">
        <v>170.04910633284001</v>
      </c>
      <c r="N53" s="116">
        <v>176.76819861347099</v>
      </c>
      <c r="O53" s="116">
        <v>168.11986201464001</v>
      </c>
      <c r="P53" s="116">
        <v>174.19270496700599</v>
      </c>
      <c r="Q53" s="116">
        <v>178.93</v>
      </c>
      <c r="R53">
        <v>1229727</v>
      </c>
    </row>
    <row r="54" spans="1:18" x14ac:dyDescent="0.25">
      <c r="A54" s="170">
        <v>42079</v>
      </c>
      <c r="B54" s="116">
        <v>1.9639466947197399</v>
      </c>
      <c r="C54" s="116">
        <v>1.91326419937214</v>
      </c>
      <c r="D54" s="116">
        <v>1.76280054130893</v>
      </c>
      <c r="E54" s="116">
        <v>1.8530787361468499</v>
      </c>
      <c r="F54" s="116">
        <v>120.8</v>
      </c>
      <c r="G54">
        <v>9544</v>
      </c>
      <c r="H54" s="116"/>
      <c r="I54" s="116"/>
      <c r="L54" s="170">
        <v>45576</v>
      </c>
      <c r="M54" s="116">
        <v>168.86114800882501</v>
      </c>
      <c r="N54" s="116">
        <v>173.422907973044</v>
      </c>
      <c r="O54" s="116">
        <v>168.024825348718</v>
      </c>
      <c r="P54" s="116">
        <v>170.97096199227599</v>
      </c>
      <c r="Q54" s="116">
        <v>177.68</v>
      </c>
      <c r="R54">
        <v>826921</v>
      </c>
    </row>
    <row r="55" spans="1:18" x14ac:dyDescent="0.25">
      <c r="A55" s="170">
        <v>42080</v>
      </c>
      <c r="B55" s="116">
        <v>2.0336351258227001</v>
      </c>
      <c r="C55" s="116">
        <v>1.8974259195760099</v>
      </c>
      <c r="D55" s="116">
        <v>1.87208467190221</v>
      </c>
      <c r="E55" s="116">
        <v>1.9591952107809001</v>
      </c>
      <c r="F55" s="116">
        <v>119.8</v>
      </c>
      <c r="G55">
        <v>11837</v>
      </c>
      <c r="H55" s="116"/>
      <c r="I55" s="116"/>
      <c r="L55" s="170">
        <v>45579</v>
      </c>
      <c r="M55" s="116">
        <v>166.41870569464999</v>
      </c>
      <c r="N55" s="116">
        <v>171.92132865148801</v>
      </c>
      <c r="O55" s="116">
        <v>165.37330236951601</v>
      </c>
      <c r="P55" s="116">
        <v>169.81151466803701</v>
      </c>
      <c r="Q55" s="116">
        <v>175.11</v>
      </c>
      <c r="R55">
        <v>610512</v>
      </c>
    </row>
    <row r="56" spans="1:18" x14ac:dyDescent="0.25">
      <c r="A56" s="170">
        <v>42081</v>
      </c>
      <c r="B56" s="116">
        <v>1.9639466947197399</v>
      </c>
      <c r="C56" s="116">
        <v>1.8594140480653001</v>
      </c>
      <c r="D56" s="116">
        <v>1.8483272522080101</v>
      </c>
      <c r="E56" s="116">
        <v>1.8483272522080101</v>
      </c>
      <c r="F56" s="116">
        <v>117.4</v>
      </c>
      <c r="G56">
        <v>6043</v>
      </c>
      <c r="H56" s="116"/>
      <c r="I56" s="116"/>
      <c r="L56" s="170">
        <v>45580</v>
      </c>
      <c r="M56" s="116">
        <v>167.29304302112499</v>
      </c>
      <c r="N56" s="116">
        <v>170.11563199898501</v>
      </c>
      <c r="O56" s="116">
        <v>166.504238693979</v>
      </c>
      <c r="P56" s="116">
        <v>169.16526533977299</v>
      </c>
      <c r="Q56" s="116">
        <v>176.03</v>
      </c>
      <c r="R56">
        <v>617084</v>
      </c>
    </row>
    <row r="57" spans="1:18" x14ac:dyDescent="0.25">
      <c r="A57" s="170">
        <v>42082</v>
      </c>
      <c r="B57" s="116">
        <v>1.93227013512749</v>
      </c>
      <c r="C57" s="116">
        <v>1.86099787604492</v>
      </c>
      <c r="D57" s="116">
        <v>1.8451595962487899</v>
      </c>
      <c r="E57" s="116">
        <v>1.93227013512749</v>
      </c>
      <c r="F57" s="116">
        <v>117.5</v>
      </c>
      <c r="G57">
        <v>1783</v>
      </c>
      <c r="H57" s="116"/>
      <c r="I57" s="116"/>
      <c r="L57" s="170">
        <v>45581</v>
      </c>
      <c r="M57" s="116">
        <v>167.131480689059</v>
      </c>
      <c r="N57" s="116">
        <v>171.92132865148801</v>
      </c>
      <c r="O57" s="116">
        <v>166.504238693979</v>
      </c>
      <c r="P57" s="116">
        <v>167.255028354757</v>
      </c>
      <c r="Q57" s="116">
        <v>175.86</v>
      </c>
      <c r="R57">
        <v>813613</v>
      </c>
    </row>
    <row r="58" spans="1:18" x14ac:dyDescent="0.25">
      <c r="A58" s="170">
        <v>42083</v>
      </c>
      <c r="B58" s="116">
        <v>1.9417731030051599</v>
      </c>
      <c r="C58" s="116">
        <v>1.8594140480653001</v>
      </c>
      <c r="D58" s="116">
        <v>1.81348303665654</v>
      </c>
      <c r="E58" s="116">
        <v>1.9417731030051599</v>
      </c>
      <c r="F58" s="116">
        <v>117.4</v>
      </c>
      <c r="G58">
        <v>3311</v>
      </c>
      <c r="H58" s="116"/>
      <c r="I58" s="116"/>
      <c r="L58" s="170">
        <v>45582</v>
      </c>
      <c r="M58" s="116">
        <v>168.072343681679</v>
      </c>
      <c r="N58" s="116">
        <v>172.444030314055</v>
      </c>
      <c r="O58" s="116">
        <v>163.082918720815</v>
      </c>
      <c r="P58" s="116">
        <v>167.264532021349</v>
      </c>
      <c r="Q58" s="116">
        <v>176.85</v>
      </c>
      <c r="R58">
        <v>1226214</v>
      </c>
    </row>
    <row r="59" spans="1:18" x14ac:dyDescent="0.25">
      <c r="A59" s="170">
        <v>42086</v>
      </c>
      <c r="B59" s="116">
        <v>1.9005935755352299</v>
      </c>
      <c r="C59" s="116">
        <v>1.86574935998375</v>
      </c>
      <c r="D59" s="116">
        <v>1.7897256169623501</v>
      </c>
      <c r="E59" s="116">
        <v>1.8530787361468499</v>
      </c>
      <c r="F59" s="116">
        <v>117.8</v>
      </c>
      <c r="G59">
        <v>176</v>
      </c>
      <c r="H59" s="116"/>
      <c r="I59" s="116"/>
      <c r="L59" s="170">
        <v>45583</v>
      </c>
      <c r="M59" s="116">
        <v>166.87488169107201</v>
      </c>
      <c r="N59" s="116">
        <v>170.11563199898501</v>
      </c>
      <c r="O59" s="116">
        <v>164.43243937689601</v>
      </c>
      <c r="P59" s="116">
        <v>168.21489868056099</v>
      </c>
      <c r="Q59" s="116">
        <v>175.59</v>
      </c>
      <c r="R59">
        <v>608766</v>
      </c>
    </row>
    <row r="60" spans="1:18" x14ac:dyDescent="0.25">
      <c r="A60" s="170">
        <v>42087</v>
      </c>
      <c r="B60" s="116">
        <v>1.8974259195760099</v>
      </c>
      <c r="C60" s="116">
        <v>1.7897256169623501</v>
      </c>
      <c r="D60" s="116">
        <v>1.7707196812069901</v>
      </c>
      <c r="E60" s="116">
        <v>1.8530787361468499</v>
      </c>
      <c r="F60" s="116">
        <v>113</v>
      </c>
      <c r="G60">
        <v>1314</v>
      </c>
      <c r="H60" s="116"/>
      <c r="I60" s="116"/>
      <c r="L60" s="170">
        <v>45586</v>
      </c>
      <c r="M60" s="116">
        <v>169.85903300099801</v>
      </c>
      <c r="N60" s="116">
        <v>173.441915306228</v>
      </c>
      <c r="O60" s="116">
        <v>167.35956868727001</v>
      </c>
      <c r="P60" s="116">
        <v>169.16526533977299</v>
      </c>
      <c r="Q60" s="116">
        <v>178.73</v>
      </c>
      <c r="R60">
        <v>1538645</v>
      </c>
    </row>
    <row r="61" spans="1:18" x14ac:dyDescent="0.25">
      <c r="A61" s="170">
        <v>42088</v>
      </c>
      <c r="B61" s="116">
        <v>1.87208467190221</v>
      </c>
      <c r="C61" s="116">
        <v>1.76596819726815</v>
      </c>
      <c r="D61" s="116">
        <v>1.6962797661652</v>
      </c>
      <c r="E61" s="116">
        <v>1.85466256412647</v>
      </c>
      <c r="F61" s="116">
        <v>111.5</v>
      </c>
      <c r="G61">
        <v>7934</v>
      </c>
      <c r="H61" s="116"/>
      <c r="I61" s="116"/>
      <c r="L61" s="170">
        <v>45587</v>
      </c>
      <c r="M61" s="116">
        <v>161.400769734009</v>
      </c>
      <c r="N61" s="116">
        <v>169.744989001893</v>
      </c>
      <c r="O61" s="116">
        <v>160.61196540686299</v>
      </c>
      <c r="P61" s="116">
        <v>169.744989001893</v>
      </c>
      <c r="Q61" s="116">
        <v>169.83</v>
      </c>
      <c r="R61">
        <v>791640</v>
      </c>
    </row>
    <row r="62" spans="1:18" x14ac:dyDescent="0.25">
      <c r="A62" s="170">
        <v>42089</v>
      </c>
      <c r="B62" s="116">
        <v>1.86891701594298</v>
      </c>
      <c r="C62" s="116">
        <v>1.78814178898273</v>
      </c>
      <c r="D62" s="116">
        <v>1.7675520252477701</v>
      </c>
      <c r="E62" s="116">
        <v>1.78339030504389</v>
      </c>
      <c r="F62" s="116">
        <v>112.9</v>
      </c>
      <c r="G62">
        <v>22617</v>
      </c>
      <c r="H62" s="116"/>
      <c r="I62" s="116"/>
      <c r="L62" s="170">
        <v>45588</v>
      </c>
      <c r="M62" s="116">
        <v>156.781987770238</v>
      </c>
      <c r="N62" s="116">
        <v>162.512698725288</v>
      </c>
      <c r="O62" s="116">
        <v>155.860132110802</v>
      </c>
      <c r="P62" s="116">
        <v>161.39126606741701</v>
      </c>
      <c r="Q62" s="116">
        <v>164.97</v>
      </c>
      <c r="R62">
        <v>862540</v>
      </c>
    </row>
    <row r="63" spans="1:18" x14ac:dyDescent="0.25">
      <c r="A63" s="170">
        <v>42090</v>
      </c>
      <c r="B63" s="116">
        <v>1.8404081123099501</v>
      </c>
      <c r="C63" s="116">
        <v>1.83248897241189</v>
      </c>
      <c r="D63" s="116">
        <v>1.7754711651458299</v>
      </c>
      <c r="E63" s="116">
        <v>1.8008124128196299</v>
      </c>
      <c r="F63" s="116">
        <v>115.7</v>
      </c>
      <c r="G63">
        <v>9217</v>
      </c>
      <c r="H63" s="116"/>
      <c r="I63" s="116"/>
      <c r="L63" s="170">
        <v>45589</v>
      </c>
      <c r="M63" s="116">
        <v>164.55598704259401</v>
      </c>
      <c r="N63" s="116">
        <v>165.36379870292399</v>
      </c>
      <c r="O63" s="116">
        <v>156.601418104988</v>
      </c>
      <c r="P63" s="116">
        <v>156.800995103422</v>
      </c>
      <c r="Q63" s="116">
        <v>173.15</v>
      </c>
      <c r="R63">
        <v>1527504</v>
      </c>
    </row>
    <row r="64" spans="1:18" x14ac:dyDescent="0.25">
      <c r="A64" s="170">
        <v>42093</v>
      </c>
      <c r="B64" s="116">
        <v>1.86891701594298</v>
      </c>
      <c r="C64" s="116">
        <v>1.8673331879633699</v>
      </c>
      <c r="D64" s="116">
        <v>1.8214021765546</v>
      </c>
      <c r="E64" s="116">
        <v>1.83882428433034</v>
      </c>
      <c r="F64" s="116">
        <v>117.9</v>
      </c>
      <c r="G64">
        <v>4899</v>
      </c>
      <c r="H64" s="116"/>
      <c r="I64" s="116"/>
      <c r="L64" s="170">
        <v>45590</v>
      </c>
      <c r="M64" s="116">
        <v>159.42400708284799</v>
      </c>
      <c r="N64" s="116">
        <v>166.35218002850499</v>
      </c>
      <c r="O64" s="116">
        <v>156.88652810275099</v>
      </c>
      <c r="P64" s="116">
        <v>165.05968137197601</v>
      </c>
      <c r="Q64" s="116">
        <v>167.75</v>
      </c>
      <c r="R64">
        <v>710056</v>
      </c>
    </row>
    <row r="65" spans="1:18" x14ac:dyDescent="0.25">
      <c r="A65" s="170">
        <v>42094</v>
      </c>
      <c r="B65" s="116">
        <v>2.0019585662304502</v>
      </c>
      <c r="C65" s="116">
        <v>1.87208467190221</v>
      </c>
      <c r="D65" s="116">
        <v>1.8261536604934401</v>
      </c>
      <c r="E65" s="116">
        <v>2.0019585662304502</v>
      </c>
      <c r="F65" s="116">
        <v>118.2</v>
      </c>
      <c r="G65">
        <v>2973</v>
      </c>
      <c r="H65" s="116"/>
      <c r="I65" s="116"/>
      <c r="L65" s="170">
        <v>45593</v>
      </c>
      <c r="M65" s="116">
        <v>159.46202174921601</v>
      </c>
      <c r="N65" s="116">
        <v>161.467295400154</v>
      </c>
      <c r="O65" s="116">
        <v>156.82000243660701</v>
      </c>
      <c r="P65" s="116">
        <v>160.07025641111201</v>
      </c>
      <c r="Q65" s="116">
        <v>167.79</v>
      </c>
      <c r="R65">
        <v>709516</v>
      </c>
    </row>
    <row r="66" spans="1:18" x14ac:dyDescent="0.25">
      <c r="A66" s="170">
        <v>42095</v>
      </c>
      <c r="B66" s="116">
        <v>1.995623254312</v>
      </c>
      <c r="C66" s="116">
        <v>1.96869817865858</v>
      </c>
      <c r="D66" s="116">
        <v>1.8530787361468499</v>
      </c>
      <c r="E66" s="116">
        <v>1.87208467190221</v>
      </c>
      <c r="F66" s="116">
        <v>124.3</v>
      </c>
      <c r="G66">
        <v>7403</v>
      </c>
      <c r="H66" s="116"/>
      <c r="I66" s="116"/>
      <c r="L66" s="170">
        <v>45594</v>
      </c>
      <c r="M66" s="116">
        <v>160.44089940820501</v>
      </c>
      <c r="N66" s="116">
        <v>161.12516340283801</v>
      </c>
      <c r="O66" s="116">
        <v>157.19064543369899</v>
      </c>
      <c r="P66" s="116">
        <v>159.224430084413</v>
      </c>
      <c r="Q66" s="116">
        <v>168.82</v>
      </c>
      <c r="R66">
        <v>390316</v>
      </c>
    </row>
    <row r="67" spans="1:18" x14ac:dyDescent="0.25">
      <c r="A67" s="170">
        <v>42100</v>
      </c>
      <c r="B67" s="116">
        <v>2.1223294926810099</v>
      </c>
      <c r="C67" s="116">
        <v>1.97661731855664</v>
      </c>
      <c r="D67" s="116">
        <v>1.9671143506789699</v>
      </c>
      <c r="E67" s="116">
        <v>2.1223294926810099</v>
      </c>
      <c r="F67" s="116">
        <v>124.8</v>
      </c>
      <c r="G67">
        <v>5750</v>
      </c>
      <c r="H67" s="116"/>
      <c r="I67" s="116"/>
      <c r="L67" s="170">
        <v>45595</v>
      </c>
      <c r="M67" s="116">
        <v>161.828434730655</v>
      </c>
      <c r="N67" s="116">
        <v>163.88122671455301</v>
      </c>
      <c r="O67" s="116">
        <v>159.42400708284799</v>
      </c>
      <c r="P67" s="116">
        <v>160.44089940820501</v>
      </c>
      <c r="Q67" s="116">
        <v>170.28</v>
      </c>
      <c r="R67">
        <v>461440</v>
      </c>
    </row>
    <row r="68" spans="1:18" x14ac:dyDescent="0.25">
      <c r="A68" s="170">
        <v>42101</v>
      </c>
      <c r="B68" s="116">
        <v>2.03521895380231</v>
      </c>
      <c r="C68" s="116">
        <v>1.9370216190663301</v>
      </c>
      <c r="D68" s="116">
        <v>1.93227013512749</v>
      </c>
      <c r="E68" s="116">
        <v>2.0336351258227001</v>
      </c>
      <c r="F68" s="116">
        <v>122.3</v>
      </c>
      <c r="G68">
        <v>6544</v>
      </c>
      <c r="H68" s="116"/>
      <c r="I68" s="116"/>
      <c r="L68" s="170">
        <v>45596</v>
      </c>
      <c r="M68" s="116">
        <v>163.92874504751401</v>
      </c>
      <c r="N68" s="116">
        <v>164.17584037890899</v>
      </c>
      <c r="O68" s="116">
        <v>160.61196540686299</v>
      </c>
      <c r="P68" s="116">
        <v>162.094537395234</v>
      </c>
      <c r="Q68" s="116">
        <v>172.49</v>
      </c>
      <c r="R68">
        <v>708942</v>
      </c>
    </row>
    <row r="69" spans="1:18" x14ac:dyDescent="0.25">
      <c r="A69" s="170">
        <v>42102</v>
      </c>
      <c r="B69" s="116">
        <v>2.0193806740061899</v>
      </c>
      <c r="C69" s="116">
        <v>1.9671143506789699</v>
      </c>
      <c r="D69" s="116">
        <v>1.9481084149236101</v>
      </c>
      <c r="E69" s="116">
        <v>1.9623628667401301</v>
      </c>
      <c r="F69" s="116">
        <v>124.2</v>
      </c>
      <c r="G69">
        <v>6545</v>
      </c>
      <c r="H69" s="116"/>
      <c r="I69" s="116"/>
      <c r="L69" s="170">
        <v>45597</v>
      </c>
      <c r="M69" s="116">
        <v>165.97203336481999</v>
      </c>
      <c r="N69" s="116">
        <v>166.31416536213601</v>
      </c>
      <c r="O69" s="116">
        <v>165.401813369293</v>
      </c>
      <c r="P69" s="116">
        <v>165.41131703588499</v>
      </c>
      <c r="Q69" s="116">
        <v>174.64</v>
      </c>
      <c r="R69">
        <v>276165</v>
      </c>
    </row>
    <row r="70" spans="1:18" x14ac:dyDescent="0.25">
      <c r="A70" s="170">
        <v>42103</v>
      </c>
      <c r="B70" s="116">
        <v>2.03521895380231</v>
      </c>
      <c r="C70" s="116">
        <v>2.0035423942100601</v>
      </c>
      <c r="D70" s="116">
        <v>1.93227013512749</v>
      </c>
      <c r="E70" s="116">
        <v>2.03521895380231</v>
      </c>
      <c r="F70" s="116">
        <v>126.5</v>
      </c>
      <c r="G70">
        <v>5865</v>
      </c>
      <c r="H70" s="116"/>
      <c r="I70" s="116"/>
      <c r="L70" s="170">
        <v>45600</v>
      </c>
      <c r="M70" s="116">
        <v>160.95409740418</v>
      </c>
      <c r="N70" s="116">
        <v>166.30466169554401</v>
      </c>
      <c r="O70" s="116">
        <v>159.851672079493</v>
      </c>
      <c r="P70" s="116">
        <v>166.30466169554401</v>
      </c>
      <c r="Q70" s="116">
        <v>169.36</v>
      </c>
      <c r="R70">
        <v>371863</v>
      </c>
    </row>
    <row r="71" spans="1:18" x14ac:dyDescent="0.25">
      <c r="A71" s="170">
        <v>42104</v>
      </c>
      <c r="B71" s="116">
        <v>2.0589763734964999</v>
      </c>
      <c r="C71" s="116">
        <v>1.9861202864343199</v>
      </c>
      <c r="D71" s="116">
        <v>1.97186583461781</v>
      </c>
      <c r="E71" s="116">
        <v>2.0225483299654101</v>
      </c>
      <c r="F71" s="116">
        <v>125.4</v>
      </c>
      <c r="G71">
        <v>7137</v>
      </c>
      <c r="H71" s="116"/>
      <c r="I71" s="116"/>
      <c r="L71" s="170">
        <v>45601</v>
      </c>
      <c r="M71" s="116">
        <v>162.42716572595899</v>
      </c>
      <c r="N71" s="116">
        <v>163.93824871410601</v>
      </c>
      <c r="O71" s="116">
        <v>159.18641541804499</v>
      </c>
      <c r="P71" s="116">
        <v>161.55282839948299</v>
      </c>
      <c r="Q71" s="116">
        <v>170.91</v>
      </c>
      <c r="R71">
        <v>419795</v>
      </c>
    </row>
    <row r="72" spans="1:18" x14ac:dyDescent="0.25">
      <c r="A72" s="170">
        <v>42107</v>
      </c>
      <c r="B72" s="116">
        <v>2.0732308253130198</v>
      </c>
      <c r="C72" s="116">
        <v>2.0526410615780502</v>
      </c>
      <c r="D72" s="116">
        <v>1.97661731855664</v>
      </c>
      <c r="E72" s="116">
        <v>1.995623254312</v>
      </c>
      <c r="F72" s="116">
        <v>129.6</v>
      </c>
      <c r="G72">
        <v>4075</v>
      </c>
      <c r="H72" s="116"/>
      <c r="I72" s="116"/>
      <c r="L72" s="170">
        <v>45602</v>
      </c>
      <c r="M72" s="116">
        <v>162.94986738852501</v>
      </c>
      <c r="N72" s="116">
        <v>164.41343204371199</v>
      </c>
      <c r="O72" s="116">
        <v>161.37225873423299</v>
      </c>
      <c r="P72" s="116">
        <v>163.4630653845</v>
      </c>
      <c r="Q72" s="116">
        <v>171.46</v>
      </c>
      <c r="R72">
        <v>603283</v>
      </c>
    </row>
    <row r="73" spans="1:18" x14ac:dyDescent="0.25">
      <c r="A73" s="170">
        <v>42109</v>
      </c>
      <c r="B73" s="116">
        <v>2.4517657124404502</v>
      </c>
      <c r="C73" s="116">
        <v>2.3662390015413699</v>
      </c>
      <c r="D73" s="116">
        <v>1.995623254312</v>
      </c>
      <c r="E73" s="116">
        <v>1.9972070822916099</v>
      </c>
      <c r="F73" s="116">
        <v>149.4</v>
      </c>
      <c r="G73">
        <v>25466</v>
      </c>
      <c r="H73" s="116"/>
      <c r="I73" s="116"/>
      <c r="L73" s="170">
        <v>45603</v>
      </c>
      <c r="M73" s="116">
        <v>162.63624639098501</v>
      </c>
      <c r="N73" s="116">
        <v>165.648908700688</v>
      </c>
      <c r="O73" s="116">
        <v>161.847442063839</v>
      </c>
      <c r="P73" s="116">
        <v>163.4630653845</v>
      </c>
      <c r="Q73" s="116">
        <v>171.13</v>
      </c>
      <c r="R73">
        <v>601519</v>
      </c>
    </row>
    <row r="74" spans="1:18" x14ac:dyDescent="0.25">
      <c r="A74" s="170">
        <v>42110</v>
      </c>
      <c r="B74" s="116">
        <v>2.4074185290112999</v>
      </c>
      <c r="C74" s="116">
        <v>2.2712093227646002</v>
      </c>
      <c r="D74" s="116">
        <v>2.2331974512539001</v>
      </c>
      <c r="E74" s="116">
        <v>2.3899964212355602</v>
      </c>
      <c r="F74" s="116">
        <v>143.4</v>
      </c>
      <c r="G74">
        <v>4711</v>
      </c>
      <c r="H74" s="116"/>
      <c r="I74" s="116"/>
      <c r="L74" s="170">
        <v>45604</v>
      </c>
      <c r="M74" s="116">
        <v>160.659483739824</v>
      </c>
      <c r="N74" s="116">
        <v>164.41343204371199</v>
      </c>
      <c r="O74" s="116">
        <v>159.42400708284799</v>
      </c>
      <c r="P74" s="116">
        <v>163.339517718802</v>
      </c>
      <c r="Q74" s="116">
        <v>169.05</v>
      </c>
      <c r="R74">
        <v>573229</v>
      </c>
    </row>
    <row r="75" spans="1:18" x14ac:dyDescent="0.25">
      <c r="A75" s="170">
        <v>42111</v>
      </c>
      <c r="B75" s="116">
        <v>2.3108050222549199</v>
      </c>
      <c r="C75" s="116">
        <v>2.2632901828665402</v>
      </c>
      <c r="D75" s="116">
        <v>2.1698443320693901</v>
      </c>
      <c r="E75" s="116">
        <v>2.2189429994373899</v>
      </c>
      <c r="F75" s="116">
        <v>142.9</v>
      </c>
      <c r="G75">
        <v>3299</v>
      </c>
      <c r="H75" s="116"/>
      <c r="I75" s="116"/>
      <c r="L75" s="170">
        <v>45607</v>
      </c>
      <c r="M75" s="116">
        <v>154.81472878566899</v>
      </c>
      <c r="N75" s="116">
        <v>160.61196540686299</v>
      </c>
      <c r="O75" s="116">
        <v>154.311034456286</v>
      </c>
      <c r="P75" s="116">
        <v>160.61196540686299</v>
      </c>
      <c r="Q75" s="116">
        <v>162.9</v>
      </c>
      <c r="R75">
        <v>944757</v>
      </c>
    </row>
    <row r="76" spans="1:18" x14ac:dyDescent="0.25">
      <c r="A76" s="170">
        <v>42114</v>
      </c>
      <c r="B76" s="116">
        <v>2.26487401084615</v>
      </c>
      <c r="C76" s="116">
        <v>2.1571737082324902</v>
      </c>
      <c r="D76" s="116">
        <v>2.1524222242936499</v>
      </c>
      <c r="E76" s="116">
        <v>2.2173591714577698</v>
      </c>
      <c r="F76" s="116">
        <v>136.19999999999999</v>
      </c>
      <c r="G76">
        <v>3724</v>
      </c>
      <c r="H76" s="116"/>
      <c r="I76" s="116"/>
      <c r="L76" s="170">
        <v>45608</v>
      </c>
      <c r="M76" s="116">
        <v>147.98159250593301</v>
      </c>
      <c r="N76" s="116">
        <v>156.781987770238</v>
      </c>
      <c r="O76" s="116">
        <v>147.35435051085301</v>
      </c>
      <c r="P76" s="116">
        <v>155.57502211303901</v>
      </c>
      <c r="Q76" s="116">
        <v>155.71</v>
      </c>
      <c r="R76">
        <v>1020295</v>
      </c>
    </row>
    <row r="77" spans="1:18" x14ac:dyDescent="0.25">
      <c r="A77" s="170">
        <v>42115</v>
      </c>
      <c r="B77" s="116">
        <v>2.2458680750908</v>
      </c>
      <c r="C77" s="116">
        <v>2.1856826118655199</v>
      </c>
      <c r="D77" s="116">
        <v>2.171428160049</v>
      </c>
      <c r="E77" s="116">
        <v>2.2458680750908</v>
      </c>
      <c r="F77" s="116">
        <v>138</v>
      </c>
      <c r="G77">
        <v>900</v>
      </c>
      <c r="H77" s="116"/>
      <c r="I77" s="116"/>
      <c r="L77" s="170">
        <v>45609</v>
      </c>
      <c r="M77" s="116">
        <v>139.152686241852</v>
      </c>
      <c r="N77" s="116">
        <v>147.696482508169</v>
      </c>
      <c r="O77" s="116">
        <v>137.280463923203</v>
      </c>
      <c r="P77" s="116">
        <v>147.27832117811599</v>
      </c>
      <c r="Q77" s="116">
        <v>146.41999999999999</v>
      </c>
      <c r="R77">
        <v>1799413</v>
      </c>
    </row>
    <row r="78" spans="1:18" x14ac:dyDescent="0.25">
      <c r="A78" s="170">
        <v>42116</v>
      </c>
      <c r="B78" s="116">
        <v>2.1698443320693901</v>
      </c>
      <c r="C78" s="116">
        <v>2.1144103527829499</v>
      </c>
      <c r="D78" s="116">
        <v>2.1033235569256599</v>
      </c>
      <c r="E78" s="116">
        <v>2.1381677724771402</v>
      </c>
      <c r="F78" s="116">
        <v>133.5</v>
      </c>
      <c r="G78">
        <v>3147</v>
      </c>
      <c r="H78" s="116"/>
      <c r="I78" s="116"/>
      <c r="L78" s="170">
        <v>45610</v>
      </c>
      <c r="M78" s="116">
        <v>137.74614358621699</v>
      </c>
      <c r="N78" s="116">
        <v>144.45573220025599</v>
      </c>
      <c r="O78" s="116">
        <v>135.902432267346</v>
      </c>
      <c r="P78" s="116">
        <v>139.13367890866701</v>
      </c>
      <c r="Q78" s="116">
        <v>144.94</v>
      </c>
      <c r="R78">
        <v>1399582</v>
      </c>
    </row>
    <row r="79" spans="1:18" x14ac:dyDescent="0.25">
      <c r="A79" s="170">
        <v>42117</v>
      </c>
      <c r="B79" s="116">
        <v>2.1698443320693901</v>
      </c>
      <c r="C79" s="116">
        <v>2.0732308253130198</v>
      </c>
      <c r="D79" s="116">
        <v>2.0589763734964999</v>
      </c>
      <c r="E79" s="116">
        <v>2.1698443320693901</v>
      </c>
      <c r="F79" s="116">
        <v>130.9</v>
      </c>
      <c r="G79">
        <v>2401</v>
      </c>
      <c r="H79" s="116"/>
      <c r="I79" s="116"/>
      <c r="L79" s="170">
        <v>45614</v>
      </c>
      <c r="M79" s="116">
        <v>140.59724356385399</v>
      </c>
      <c r="N79" s="116">
        <v>142.193859551331</v>
      </c>
      <c r="O79" s="116">
        <v>132.661681959432</v>
      </c>
      <c r="P79" s="116">
        <v>139.22871557458899</v>
      </c>
      <c r="Q79" s="116">
        <v>147.94</v>
      </c>
      <c r="R79">
        <v>892959</v>
      </c>
    </row>
    <row r="80" spans="1:18" x14ac:dyDescent="0.25">
      <c r="A80" s="170">
        <v>42118</v>
      </c>
      <c r="B80" s="116">
        <v>2.2617063548869298</v>
      </c>
      <c r="C80" s="116">
        <v>2.0637278574353402</v>
      </c>
      <c r="D80" s="116">
        <v>2.0589763734964999</v>
      </c>
      <c r="E80" s="116">
        <v>2.1540060522732598</v>
      </c>
      <c r="F80" s="116">
        <v>130.30000000000001</v>
      </c>
      <c r="G80">
        <v>1119</v>
      </c>
      <c r="H80" s="116"/>
      <c r="I80" s="116"/>
      <c r="L80" s="170">
        <v>45615</v>
      </c>
      <c r="M80" s="116">
        <v>140.160074900616</v>
      </c>
      <c r="N80" s="116">
        <v>145.21602552762499</v>
      </c>
      <c r="O80" s="116">
        <v>139.23821924118101</v>
      </c>
      <c r="P80" s="116">
        <v>142.079815552225</v>
      </c>
      <c r="Q80" s="116">
        <v>147.47999999999999</v>
      </c>
      <c r="R80">
        <v>689572</v>
      </c>
    </row>
    <row r="81" spans="1:18" x14ac:dyDescent="0.25">
      <c r="A81" s="170">
        <v>42121</v>
      </c>
      <c r="B81" s="116">
        <v>2.1460869123752002</v>
      </c>
      <c r="C81" s="116">
        <v>1.82773748847305</v>
      </c>
      <c r="D81" s="116">
        <v>1.6725223464710099</v>
      </c>
      <c r="E81" s="116">
        <v>2.0336351258227001</v>
      </c>
      <c r="F81" s="116">
        <v>115.4</v>
      </c>
      <c r="G81">
        <v>7123</v>
      </c>
      <c r="H81" s="116"/>
      <c r="I81" s="116"/>
      <c r="L81" s="170">
        <v>45617</v>
      </c>
      <c r="M81" s="116">
        <v>138.80105057794299</v>
      </c>
      <c r="N81" s="116">
        <v>140.17908223380101</v>
      </c>
      <c r="O81" s="116">
        <v>136.63421459493901</v>
      </c>
      <c r="P81" s="116">
        <v>139.703898904195</v>
      </c>
      <c r="Q81" s="116">
        <v>146.05000000000001</v>
      </c>
      <c r="R81">
        <v>499793</v>
      </c>
    </row>
    <row r="82" spans="1:18" x14ac:dyDescent="0.25">
      <c r="A82" s="170">
        <v>42122</v>
      </c>
      <c r="B82" s="116">
        <v>2.0114615341081201</v>
      </c>
      <c r="C82" s="116">
        <v>1.9813688024954801</v>
      </c>
      <c r="D82" s="116">
        <v>1.8419919402895599</v>
      </c>
      <c r="E82" s="116">
        <v>1.88475529573911</v>
      </c>
      <c r="F82" s="116">
        <v>125.1</v>
      </c>
      <c r="G82">
        <v>1316</v>
      </c>
      <c r="H82" s="116"/>
      <c r="I82" s="116"/>
      <c r="L82" s="170">
        <v>45618</v>
      </c>
      <c r="M82" s="116">
        <v>139.46630723939199</v>
      </c>
      <c r="N82" s="116">
        <v>140.71128756296</v>
      </c>
      <c r="O82" s="116">
        <v>137.37550058912501</v>
      </c>
      <c r="P82" s="116">
        <v>139.703898904195</v>
      </c>
      <c r="Q82" s="116">
        <v>146.75</v>
      </c>
      <c r="R82">
        <v>454602</v>
      </c>
    </row>
    <row r="83" spans="1:18" x14ac:dyDescent="0.25">
      <c r="A83" s="170">
        <v>42123</v>
      </c>
      <c r="B83" s="116">
        <v>2.07956613723147</v>
      </c>
      <c r="C83" s="116">
        <v>1.94969224290323</v>
      </c>
      <c r="D83" s="116">
        <v>1.88475529573911</v>
      </c>
      <c r="E83" s="116">
        <v>2.02413215794502</v>
      </c>
      <c r="F83" s="116">
        <v>123.1</v>
      </c>
      <c r="G83">
        <v>2461</v>
      </c>
      <c r="H83" s="116"/>
      <c r="I83" s="116"/>
      <c r="L83" s="170">
        <v>45621</v>
      </c>
      <c r="M83" s="116">
        <v>147.54442384269501</v>
      </c>
      <c r="N83" s="116">
        <v>149.20756549631699</v>
      </c>
      <c r="O83" s="116">
        <v>142.11783021859401</v>
      </c>
      <c r="P83" s="116">
        <v>144.02806720360999</v>
      </c>
      <c r="Q83" s="116">
        <v>155.25</v>
      </c>
      <c r="R83">
        <v>1428049</v>
      </c>
    </row>
    <row r="84" spans="1:18" x14ac:dyDescent="0.25">
      <c r="A84" s="170">
        <v>42124</v>
      </c>
      <c r="B84" s="116">
        <v>1.9227671672498099</v>
      </c>
      <c r="C84" s="116">
        <v>1.8293213164526601</v>
      </c>
      <c r="D84" s="116">
        <v>1.81348303665654</v>
      </c>
      <c r="E84" s="116">
        <v>1.81348303665654</v>
      </c>
      <c r="F84" s="116">
        <v>115.5</v>
      </c>
      <c r="G84">
        <v>2327</v>
      </c>
      <c r="H84" s="116"/>
      <c r="I84" s="116"/>
      <c r="L84" s="170">
        <v>45622</v>
      </c>
      <c r="M84" s="116">
        <v>145.91929685544201</v>
      </c>
      <c r="N84" s="116">
        <v>149.20756549631699</v>
      </c>
      <c r="O84" s="116">
        <v>144.55076886617701</v>
      </c>
      <c r="P84" s="116">
        <v>148.17166583777501</v>
      </c>
      <c r="Q84" s="116">
        <v>153.54</v>
      </c>
      <c r="R84">
        <v>487269</v>
      </c>
    </row>
    <row r="85" spans="1:18" x14ac:dyDescent="0.25">
      <c r="A85" s="170">
        <v>42128</v>
      </c>
      <c r="B85" s="116">
        <v>1.8372404563507301</v>
      </c>
      <c r="C85" s="116">
        <v>1.78339030504389</v>
      </c>
      <c r="D85" s="116">
        <v>1.69469593818558</v>
      </c>
      <c r="E85" s="116">
        <v>1.7121180459613199</v>
      </c>
      <c r="F85" s="116">
        <v>112.6</v>
      </c>
      <c r="G85">
        <v>5081</v>
      </c>
      <c r="H85" s="116"/>
      <c r="I85" s="116"/>
      <c r="L85" s="170">
        <v>45623</v>
      </c>
      <c r="M85" s="116">
        <v>146.698597515996</v>
      </c>
      <c r="N85" s="116">
        <v>148.437768502355</v>
      </c>
      <c r="O85" s="116">
        <v>144.56027253276901</v>
      </c>
      <c r="P85" s="116">
        <v>146.73661218236501</v>
      </c>
      <c r="Q85" s="116">
        <v>154.36000000000001</v>
      </c>
      <c r="R85">
        <v>510361</v>
      </c>
    </row>
    <row r="86" spans="1:18" x14ac:dyDescent="0.25">
      <c r="A86" s="170">
        <v>42129</v>
      </c>
      <c r="B86" s="116">
        <v>1.8214021765546</v>
      </c>
      <c r="C86" s="116">
        <v>1.7596328853497001</v>
      </c>
      <c r="D86" s="116">
        <v>1.6867767982875199</v>
      </c>
      <c r="E86" s="116">
        <v>1.6867767982875199</v>
      </c>
      <c r="F86" s="116">
        <v>111.1</v>
      </c>
      <c r="G86">
        <v>2511</v>
      </c>
      <c r="H86" s="116"/>
      <c r="I86" s="116"/>
      <c r="L86" s="170">
        <v>45624</v>
      </c>
      <c r="M86" s="116">
        <v>149.47366816089601</v>
      </c>
      <c r="N86" s="116">
        <v>151.935117808256</v>
      </c>
      <c r="O86" s="116">
        <v>146.46100585119299</v>
      </c>
      <c r="P86" s="116">
        <v>148.26670250369699</v>
      </c>
      <c r="Q86" s="116">
        <v>157.28</v>
      </c>
      <c r="R86">
        <v>692262</v>
      </c>
    </row>
    <row r="87" spans="1:18" x14ac:dyDescent="0.25">
      <c r="A87" s="170">
        <v>42130</v>
      </c>
      <c r="B87" s="116">
        <v>1.8214021765546</v>
      </c>
      <c r="C87" s="116">
        <v>1.7152857019205501</v>
      </c>
      <c r="D87" s="116">
        <v>1.66301937859333</v>
      </c>
      <c r="E87" s="116">
        <v>1.8214021765546</v>
      </c>
      <c r="F87" s="116">
        <v>108.3</v>
      </c>
      <c r="G87">
        <v>2140</v>
      </c>
      <c r="H87" s="116"/>
      <c r="I87" s="116"/>
      <c r="L87" s="170">
        <v>45625</v>
      </c>
      <c r="M87" s="116">
        <v>148.77990049967099</v>
      </c>
      <c r="N87" s="116">
        <v>150.870707149938</v>
      </c>
      <c r="O87" s="116">
        <v>147.620453175432</v>
      </c>
      <c r="P87" s="116">
        <v>150.53807881921401</v>
      </c>
      <c r="Q87" s="116">
        <v>156.55000000000001</v>
      </c>
      <c r="R87">
        <v>461412</v>
      </c>
    </row>
    <row r="88" spans="1:18" x14ac:dyDescent="0.25">
      <c r="A88" s="170">
        <v>42131</v>
      </c>
      <c r="B88" s="116">
        <v>1.7723035091866099</v>
      </c>
      <c r="C88" s="116">
        <v>1.7010312501040299</v>
      </c>
      <c r="D88" s="116">
        <v>1.6614355506137199</v>
      </c>
      <c r="E88" s="116">
        <v>1.74062694959435</v>
      </c>
      <c r="F88" s="116">
        <v>107.4</v>
      </c>
      <c r="G88">
        <v>1329</v>
      </c>
      <c r="H88" s="116"/>
      <c r="I88" s="116"/>
      <c r="L88" s="170">
        <v>45628</v>
      </c>
      <c r="M88" s="116">
        <v>146.23291785298301</v>
      </c>
      <c r="N88" s="116">
        <v>147.97208883934101</v>
      </c>
      <c r="O88" s="116">
        <v>145.02595219578299</v>
      </c>
      <c r="P88" s="116">
        <v>147.77251184090599</v>
      </c>
      <c r="Q88" s="116">
        <v>153.87</v>
      </c>
      <c r="R88">
        <v>588244</v>
      </c>
    </row>
    <row r="89" spans="1:18" x14ac:dyDescent="0.25">
      <c r="A89" s="170">
        <v>42132</v>
      </c>
      <c r="B89" s="116">
        <v>1.84357576826918</v>
      </c>
      <c r="C89" s="116">
        <v>1.7089503900020999</v>
      </c>
      <c r="D89" s="116">
        <v>1.6788576583894601</v>
      </c>
      <c r="E89" s="116">
        <v>1.74062694959435</v>
      </c>
      <c r="F89" s="116">
        <v>107.9</v>
      </c>
      <c r="G89">
        <v>712</v>
      </c>
      <c r="H89" s="116"/>
      <c r="I89" s="116"/>
      <c r="L89" s="170">
        <v>45629</v>
      </c>
      <c r="M89" s="116">
        <v>158.89180175368901</v>
      </c>
      <c r="N89" s="116">
        <v>160.592958073679</v>
      </c>
      <c r="O89" s="116">
        <v>146.16639218683801</v>
      </c>
      <c r="P89" s="116">
        <v>146.261428852759</v>
      </c>
      <c r="Q89" s="116">
        <v>167.19</v>
      </c>
      <c r="R89">
        <v>2146606</v>
      </c>
    </row>
    <row r="90" spans="1:18" x14ac:dyDescent="0.25">
      <c r="A90" s="170">
        <v>42135</v>
      </c>
      <c r="B90" s="116">
        <v>1.81665069261576</v>
      </c>
      <c r="C90" s="116">
        <v>1.7010312501040299</v>
      </c>
      <c r="D90" s="116">
        <v>1.69469593818558</v>
      </c>
      <c r="E90" s="116">
        <v>1.81665069261576</v>
      </c>
      <c r="F90" s="116">
        <v>107.4</v>
      </c>
      <c r="G90">
        <v>1843</v>
      </c>
      <c r="H90" s="116"/>
      <c r="I90" s="116"/>
      <c r="L90" s="170">
        <v>45630</v>
      </c>
      <c r="M90" s="116">
        <v>162.67426105735399</v>
      </c>
      <c r="N90" s="116">
        <v>170.11563199898501</v>
      </c>
      <c r="O90" s="116">
        <v>159.661598747651</v>
      </c>
      <c r="P90" s="116">
        <v>160.18430041021799</v>
      </c>
      <c r="Q90" s="116">
        <v>171.17</v>
      </c>
      <c r="R90">
        <v>2752648</v>
      </c>
    </row>
    <row r="91" spans="1:18" x14ac:dyDescent="0.25">
      <c r="A91" s="170">
        <v>42136</v>
      </c>
      <c r="B91" s="116">
        <v>1.80556389675847</v>
      </c>
      <c r="C91" s="116">
        <v>1.7263724977778401</v>
      </c>
      <c r="D91" s="116">
        <v>1.66301937859333</v>
      </c>
      <c r="E91" s="116">
        <v>1.66301937859333</v>
      </c>
      <c r="F91" s="116">
        <v>109</v>
      </c>
      <c r="G91">
        <v>3745</v>
      </c>
      <c r="H91" s="116"/>
      <c r="I91" s="116"/>
      <c r="L91" s="170">
        <v>45631</v>
      </c>
      <c r="M91" s="116">
        <v>163.85271571477699</v>
      </c>
      <c r="N91" s="116">
        <v>165.54436836817499</v>
      </c>
      <c r="O91" s="116">
        <v>161.11565973624599</v>
      </c>
      <c r="P91" s="116">
        <v>163.93824871410601</v>
      </c>
      <c r="Q91" s="116">
        <v>172.41</v>
      </c>
      <c r="R91">
        <v>770832</v>
      </c>
    </row>
    <row r="92" spans="1:18" x14ac:dyDescent="0.25">
      <c r="A92" s="170">
        <v>42137</v>
      </c>
      <c r="B92" s="116">
        <v>1.7723035091866099</v>
      </c>
      <c r="C92" s="116">
        <v>1.7263724977778401</v>
      </c>
      <c r="D92" s="116">
        <v>1.6962797661652</v>
      </c>
      <c r="E92" s="116">
        <v>1.7723035091866099</v>
      </c>
      <c r="F92" s="116">
        <v>109</v>
      </c>
      <c r="G92">
        <v>941</v>
      </c>
      <c r="H92" s="116"/>
      <c r="I92" s="116"/>
      <c r="L92" s="170">
        <v>45632</v>
      </c>
      <c r="M92" s="116">
        <v>162.93086005534099</v>
      </c>
      <c r="N92" s="116">
        <v>165.16422170448999</v>
      </c>
      <c r="O92" s="116">
        <v>162.03751539568199</v>
      </c>
      <c r="P92" s="116">
        <v>164.651023708515</v>
      </c>
      <c r="Q92" s="116">
        <v>171.44</v>
      </c>
      <c r="R92">
        <v>445948</v>
      </c>
    </row>
    <row r="93" spans="1:18" x14ac:dyDescent="0.25">
      <c r="A93" s="170">
        <v>42138</v>
      </c>
      <c r="B93" s="116">
        <v>1.7422107775739599</v>
      </c>
      <c r="C93" s="116">
        <v>1.7422107775739599</v>
      </c>
      <c r="D93" s="116">
        <v>1.63292664698069</v>
      </c>
      <c r="E93" s="116">
        <v>1.63292664698069</v>
      </c>
      <c r="F93" s="116">
        <v>110</v>
      </c>
      <c r="G93">
        <v>1457</v>
      </c>
      <c r="H93" s="116"/>
      <c r="I93" s="116"/>
      <c r="L93" s="170">
        <v>45635</v>
      </c>
      <c r="M93" s="116">
        <v>157.94143509447699</v>
      </c>
      <c r="N93" s="116">
        <v>165.18322903767401</v>
      </c>
      <c r="O93" s="116">
        <v>156.81049877001399</v>
      </c>
      <c r="P93" s="116">
        <v>163.833708381593</v>
      </c>
      <c r="Q93" s="116">
        <v>166.19</v>
      </c>
      <c r="R93">
        <v>921662</v>
      </c>
    </row>
    <row r="94" spans="1:18" x14ac:dyDescent="0.25">
      <c r="A94" s="170">
        <v>42139</v>
      </c>
      <c r="B94" s="116">
        <v>1.8372404563507301</v>
      </c>
      <c r="C94" s="116">
        <v>1.7089503900020999</v>
      </c>
      <c r="D94" s="116">
        <v>1.68044148636907</v>
      </c>
      <c r="E94" s="116">
        <v>1.68044148636907</v>
      </c>
      <c r="F94" s="116">
        <v>107.9</v>
      </c>
      <c r="G94">
        <v>1686</v>
      </c>
      <c r="H94" s="116"/>
      <c r="I94" s="116"/>
      <c r="L94" s="170">
        <v>45636</v>
      </c>
      <c r="M94" s="116">
        <v>154.168479457404</v>
      </c>
      <c r="N94" s="116">
        <v>160.47891407457399</v>
      </c>
      <c r="O94" s="116">
        <v>153.104068799087</v>
      </c>
      <c r="P94" s="116">
        <v>158.98683841961</v>
      </c>
      <c r="Q94" s="116">
        <v>162.22</v>
      </c>
      <c r="R94">
        <v>677099</v>
      </c>
    </row>
    <row r="95" spans="1:18" x14ac:dyDescent="0.25">
      <c r="A95" s="170">
        <v>42142</v>
      </c>
      <c r="B95" s="116">
        <v>1.8214021765546</v>
      </c>
      <c r="C95" s="116">
        <v>1.7422107775739599</v>
      </c>
      <c r="D95" s="116">
        <v>1.6867767982875199</v>
      </c>
      <c r="E95" s="116">
        <v>1.7723035091866099</v>
      </c>
      <c r="F95" s="116">
        <v>110</v>
      </c>
      <c r="G95">
        <v>771</v>
      </c>
      <c r="H95" s="116"/>
      <c r="I95" s="116"/>
      <c r="L95" s="170">
        <v>45637</v>
      </c>
      <c r="M95" s="116">
        <v>155.603533112815</v>
      </c>
      <c r="N95" s="116">
        <v>158.08399009335901</v>
      </c>
      <c r="O95" s="116">
        <v>153.978406125562</v>
      </c>
      <c r="P95" s="116">
        <v>153.978406125562</v>
      </c>
      <c r="Q95" s="116">
        <v>163.72999999999999</v>
      </c>
      <c r="R95">
        <v>713586</v>
      </c>
    </row>
    <row r="96" spans="1:18" x14ac:dyDescent="0.25">
      <c r="A96" s="170">
        <v>42143</v>
      </c>
      <c r="B96" s="116">
        <v>1.7754711651458299</v>
      </c>
      <c r="C96" s="116">
        <v>1.73587546565551</v>
      </c>
      <c r="D96" s="116">
        <v>1.7263724977778401</v>
      </c>
      <c r="E96" s="116">
        <v>1.7422107775739599</v>
      </c>
      <c r="F96" s="116">
        <v>109.6</v>
      </c>
      <c r="G96">
        <v>698</v>
      </c>
      <c r="H96" s="116"/>
      <c r="I96" s="116"/>
      <c r="L96" s="170">
        <v>45638</v>
      </c>
      <c r="M96" s="116">
        <v>155.35643778142</v>
      </c>
      <c r="N96" s="116">
        <v>158.61619542251799</v>
      </c>
      <c r="O96" s="116">
        <v>154.919269118182</v>
      </c>
      <c r="P96" s="116">
        <v>156.040701776052</v>
      </c>
      <c r="Q96" s="116">
        <v>163.47</v>
      </c>
      <c r="R96">
        <v>376837</v>
      </c>
    </row>
    <row r="97" spans="1:18" x14ac:dyDescent="0.25">
      <c r="A97" s="170">
        <v>42144</v>
      </c>
      <c r="B97" s="116">
        <v>1.7564652293904801</v>
      </c>
      <c r="C97" s="116">
        <v>1.65826789465449</v>
      </c>
      <c r="D97" s="116">
        <v>1.6471810987972</v>
      </c>
      <c r="E97" s="116">
        <v>1.72795632575745</v>
      </c>
      <c r="F97" s="116">
        <v>104.7</v>
      </c>
      <c r="G97">
        <v>6219</v>
      </c>
      <c r="H97" s="116"/>
      <c r="I97" s="116"/>
      <c r="L97" s="170">
        <v>45639</v>
      </c>
      <c r="M97" s="116">
        <v>156.96255743548801</v>
      </c>
      <c r="N97" s="116">
        <v>158.283567091793</v>
      </c>
      <c r="O97" s="116">
        <v>153.95939879237801</v>
      </c>
      <c r="P97" s="116">
        <v>154.71018845315501</v>
      </c>
      <c r="Q97" s="116">
        <v>165.16</v>
      </c>
      <c r="R97">
        <v>535482</v>
      </c>
    </row>
    <row r="98" spans="1:18" x14ac:dyDescent="0.25">
      <c r="A98" s="170">
        <v>42145</v>
      </c>
      <c r="B98" s="116">
        <v>1.7342916376759001</v>
      </c>
      <c r="C98" s="116">
        <v>1.6313428190010799</v>
      </c>
      <c r="D98" s="116">
        <v>1.6313428190010799</v>
      </c>
      <c r="E98" s="116">
        <v>1.67410617445062</v>
      </c>
      <c r="F98" s="116">
        <v>103</v>
      </c>
      <c r="G98">
        <v>1780</v>
      </c>
      <c r="H98" s="116"/>
      <c r="I98" s="116"/>
      <c r="L98" s="170">
        <v>45642</v>
      </c>
      <c r="M98" s="116">
        <v>162.37014372640601</v>
      </c>
      <c r="N98" s="116">
        <v>164.394424710528</v>
      </c>
      <c r="O98" s="116">
        <v>157.219156433476</v>
      </c>
      <c r="P98" s="116">
        <v>157.63731776352901</v>
      </c>
      <c r="Q98" s="116">
        <v>170.85</v>
      </c>
      <c r="R98">
        <v>1034688</v>
      </c>
    </row>
    <row r="99" spans="1:18" x14ac:dyDescent="0.25">
      <c r="A99" s="170">
        <v>42146</v>
      </c>
      <c r="B99" s="116">
        <v>1.7263724977778401</v>
      </c>
      <c r="C99" s="116">
        <v>1.6424296148583599</v>
      </c>
      <c r="D99" s="116">
        <v>1.6202560231437899</v>
      </c>
      <c r="E99" s="116">
        <v>1.6455972708175901</v>
      </c>
      <c r="F99" s="116">
        <v>103.7</v>
      </c>
      <c r="G99">
        <v>958</v>
      </c>
      <c r="H99" s="116"/>
      <c r="I99" s="116"/>
      <c r="L99" s="170">
        <v>45643</v>
      </c>
      <c r="M99" s="116">
        <v>163.35852505198599</v>
      </c>
      <c r="N99" s="116">
        <v>167.16949535542699</v>
      </c>
      <c r="O99" s="116">
        <v>159.69010974742699</v>
      </c>
      <c r="P99" s="116">
        <v>163.62462771656601</v>
      </c>
      <c r="Q99" s="116">
        <v>171.89</v>
      </c>
      <c r="R99">
        <v>973520</v>
      </c>
    </row>
    <row r="100" spans="1:18" x14ac:dyDescent="0.25">
      <c r="A100" s="170">
        <v>42149</v>
      </c>
      <c r="B100" s="116">
        <v>1.73904312161474</v>
      </c>
      <c r="C100" s="116">
        <v>1.7089503900020999</v>
      </c>
      <c r="D100" s="116">
        <v>1.5901632915311501</v>
      </c>
      <c r="E100" s="116">
        <v>1.73904312161474</v>
      </c>
      <c r="F100" s="116">
        <v>107.9</v>
      </c>
      <c r="G100">
        <v>137</v>
      </c>
      <c r="H100" s="116"/>
      <c r="I100" s="116"/>
      <c r="L100" s="170">
        <v>45644</v>
      </c>
      <c r="M100" s="116">
        <v>159.92770141222999</v>
      </c>
      <c r="N100" s="116">
        <v>165.83898203253</v>
      </c>
      <c r="O100" s="116">
        <v>159.661598747651</v>
      </c>
      <c r="P100" s="116">
        <v>163.4630653845</v>
      </c>
      <c r="Q100" s="116">
        <v>168.28</v>
      </c>
      <c r="R100">
        <v>572084</v>
      </c>
    </row>
    <row r="101" spans="1:18" x14ac:dyDescent="0.25">
      <c r="A101" s="170">
        <v>42150</v>
      </c>
      <c r="B101" s="116">
        <v>1.70578273404287</v>
      </c>
      <c r="C101" s="116">
        <v>1.6281751630418499</v>
      </c>
      <c r="D101" s="116">
        <v>1.5964986034496</v>
      </c>
      <c r="E101" s="116">
        <v>1.6218398511234</v>
      </c>
      <c r="F101" s="116">
        <v>102.8</v>
      </c>
      <c r="G101">
        <v>1085</v>
      </c>
      <c r="H101" s="116"/>
      <c r="I101" s="116"/>
      <c r="L101" s="170">
        <v>45645</v>
      </c>
      <c r="M101" s="116">
        <v>156.82950610319901</v>
      </c>
      <c r="N101" s="116">
        <v>159.42400708284799</v>
      </c>
      <c r="O101" s="116">
        <v>154.292027123102</v>
      </c>
      <c r="P101" s="116">
        <v>155.289912115275</v>
      </c>
      <c r="Q101" s="116">
        <v>165.02</v>
      </c>
      <c r="R101">
        <v>402081</v>
      </c>
    </row>
    <row r="102" spans="1:18" x14ac:dyDescent="0.25">
      <c r="A102" s="170">
        <v>42151</v>
      </c>
      <c r="B102" s="116">
        <v>1.9401892750255501</v>
      </c>
      <c r="C102" s="116">
        <v>1.81665069261576</v>
      </c>
      <c r="D102" s="116">
        <v>1.64401344283798</v>
      </c>
      <c r="E102" s="116">
        <v>1.6455972708175901</v>
      </c>
      <c r="F102" s="116">
        <v>114.7</v>
      </c>
      <c r="G102">
        <v>8453</v>
      </c>
      <c r="H102" s="116"/>
      <c r="I102" s="116"/>
      <c r="L102" s="170">
        <v>45646</v>
      </c>
      <c r="M102" s="116">
        <v>152.28675347216401</v>
      </c>
      <c r="N102" s="116">
        <v>158.23604875883299</v>
      </c>
      <c r="O102" s="116">
        <v>151.53596381138701</v>
      </c>
      <c r="P102" s="116">
        <v>156.70595843750101</v>
      </c>
      <c r="Q102" s="116">
        <v>160.24</v>
      </c>
      <c r="R102">
        <v>571627</v>
      </c>
    </row>
    <row r="103" spans="1:18" x14ac:dyDescent="0.25">
      <c r="A103" s="170">
        <v>42152</v>
      </c>
      <c r="B103" s="116">
        <v>1.8530787361468499</v>
      </c>
      <c r="C103" s="116">
        <v>1.6788576583894601</v>
      </c>
      <c r="D103" s="116">
        <v>1.6725223464710099</v>
      </c>
      <c r="E103" s="116">
        <v>1.8530787361468499</v>
      </c>
      <c r="F103" s="116">
        <v>106</v>
      </c>
      <c r="G103">
        <v>4381</v>
      </c>
      <c r="H103" s="116"/>
      <c r="I103" s="116"/>
      <c r="L103" s="170">
        <v>45649</v>
      </c>
      <c r="M103" s="116">
        <v>147.943577839564</v>
      </c>
      <c r="N103" s="116">
        <v>156.79149143683</v>
      </c>
      <c r="O103" s="116">
        <v>145.60567585790201</v>
      </c>
      <c r="P103" s="116">
        <v>153.674288794614</v>
      </c>
      <c r="Q103" s="116">
        <v>155.66999999999999</v>
      </c>
      <c r="R103">
        <v>548686</v>
      </c>
    </row>
    <row r="104" spans="1:18" x14ac:dyDescent="0.25">
      <c r="A104" s="170">
        <v>42153</v>
      </c>
      <c r="B104" s="116">
        <v>1.8182345205953701</v>
      </c>
      <c r="C104" s="116">
        <v>1.6677708625321701</v>
      </c>
      <c r="D104" s="116">
        <v>1.65193258273604</v>
      </c>
      <c r="E104" s="116">
        <v>1.73904312161474</v>
      </c>
      <c r="F104" s="116">
        <v>105.3</v>
      </c>
      <c r="G104">
        <v>3469</v>
      </c>
      <c r="H104" s="116"/>
      <c r="I104" s="116"/>
      <c r="L104" s="170">
        <v>45650</v>
      </c>
      <c r="M104" s="116">
        <v>151.46943814524201</v>
      </c>
      <c r="N104" s="116">
        <v>154.90026178499801</v>
      </c>
      <c r="O104" s="116">
        <v>148.88444083218499</v>
      </c>
      <c r="P104" s="116">
        <v>148.88444083218499</v>
      </c>
      <c r="Q104" s="116">
        <v>159.38</v>
      </c>
      <c r="R104">
        <v>428526</v>
      </c>
    </row>
    <row r="105" spans="1:18" x14ac:dyDescent="0.25">
      <c r="A105" s="170">
        <v>42156</v>
      </c>
      <c r="B105" s="116">
        <v>1.7976447568604099</v>
      </c>
      <c r="C105" s="116">
        <v>1.6677708625321701</v>
      </c>
      <c r="D105" s="116">
        <v>1.6471810987972</v>
      </c>
      <c r="E105" s="116">
        <v>1.7707196812069901</v>
      </c>
      <c r="F105" s="116">
        <v>105.3</v>
      </c>
      <c r="G105">
        <v>9157</v>
      </c>
      <c r="H105" s="116"/>
      <c r="I105" s="116"/>
      <c r="L105" s="170">
        <v>45652</v>
      </c>
      <c r="M105" s="116">
        <v>148.96047016492199</v>
      </c>
      <c r="N105" s="116">
        <v>153.674288794614</v>
      </c>
      <c r="O105" s="116">
        <v>148.39975383598599</v>
      </c>
      <c r="P105" s="116">
        <v>151.46943814524201</v>
      </c>
      <c r="Q105" s="116">
        <v>156.74</v>
      </c>
      <c r="R105">
        <v>250424</v>
      </c>
    </row>
    <row r="106" spans="1:18" x14ac:dyDescent="0.25">
      <c r="A106" s="170">
        <v>42157</v>
      </c>
      <c r="B106" s="116">
        <v>1.72478866979822</v>
      </c>
      <c r="C106" s="116">
        <v>1.61867219516417</v>
      </c>
      <c r="D106" s="116">
        <v>1.60283391536805</v>
      </c>
      <c r="E106" s="116">
        <v>1.60283391536805</v>
      </c>
      <c r="F106" s="116">
        <v>102.2</v>
      </c>
      <c r="G106">
        <v>9947</v>
      </c>
      <c r="H106" s="116"/>
      <c r="I106" s="116"/>
      <c r="L106" s="170">
        <v>45653</v>
      </c>
      <c r="M106" s="116">
        <v>149.302602162238</v>
      </c>
      <c r="N106" s="116">
        <v>152.058665473953</v>
      </c>
      <c r="O106" s="116">
        <v>148.73238216671101</v>
      </c>
      <c r="P106" s="116">
        <v>149.19806182972499</v>
      </c>
      <c r="Q106" s="116">
        <v>157.1</v>
      </c>
      <c r="R106">
        <v>230858</v>
      </c>
    </row>
    <row r="107" spans="1:18" x14ac:dyDescent="0.25">
      <c r="A107" s="170">
        <v>42158</v>
      </c>
      <c r="B107" s="116">
        <v>1.6725223464710099</v>
      </c>
      <c r="C107" s="116">
        <v>1.4602893972029001</v>
      </c>
      <c r="D107" s="116">
        <v>1.44128346144755</v>
      </c>
      <c r="E107" s="116">
        <v>1.6725223464710099</v>
      </c>
      <c r="F107" s="116">
        <v>92.2</v>
      </c>
      <c r="G107">
        <v>6216</v>
      </c>
      <c r="H107" s="116"/>
      <c r="I107" s="116"/>
      <c r="L107" s="170">
        <v>45656</v>
      </c>
      <c r="M107" s="116">
        <v>144.265658868413</v>
      </c>
      <c r="N107" s="116">
        <v>150.04388815642301</v>
      </c>
      <c r="O107" s="116">
        <v>143.695438872886</v>
      </c>
      <c r="P107" s="116">
        <v>150.02488082323899</v>
      </c>
      <c r="Q107" s="116">
        <v>151.80000000000001</v>
      </c>
      <c r="R107">
        <v>403878</v>
      </c>
    </row>
    <row r="108" spans="1:18" x14ac:dyDescent="0.25">
      <c r="A108" s="170">
        <v>42159</v>
      </c>
      <c r="B108" s="116">
        <v>1.6234236791030101</v>
      </c>
      <c r="C108" s="116">
        <v>1.5014689246728301</v>
      </c>
      <c r="D108" s="116">
        <v>1.44445111740678</v>
      </c>
      <c r="E108" s="116">
        <v>1.58066032365347</v>
      </c>
      <c r="F108" s="116">
        <v>94.8</v>
      </c>
      <c r="G108">
        <v>1976</v>
      </c>
      <c r="H108" s="116"/>
      <c r="I108" s="116"/>
      <c r="L108" s="170">
        <v>45657</v>
      </c>
      <c r="M108" s="116">
        <v>145.60567585790201</v>
      </c>
      <c r="N108" s="116">
        <v>146.35646551868001</v>
      </c>
      <c r="O108" s="116">
        <v>142.697553880713</v>
      </c>
      <c r="P108" s="116">
        <v>143.48635820785901</v>
      </c>
      <c r="Q108" s="116">
        <v>153.21</v>
      </c>
      <c r="R108">
        <v>366978</v>
      </c>
    </row>
    <row r="109" spans="1:18" x14ac:dyDescent="0.25">
      <c r="A109" s="170">
        <v>42160</v>
      </c>
      <c r="B109" s="116">
        <v>1.5790764956738601</v>
      </c>
      <c r="C109" s="116">
        <v>1.496717440734</v>
      </c>
      <c r="D109" s="116">
        <v>1.4729600210398099</v>
      </c>
      <c r="E109" s="116">
        <v>1.5790764956738601</v>
      </c>
      <c r="F109" s="116">
        <v>94.5</v>
      </c>
      <c r="G109">
        <v>3059</v>
      </c>
      <c r="H109" s="116"/>
      <c r="I109" s="116"/>
      <c r="L109" s="170">
        <v>45658</v>
      </c>
      <c r="M109" s="116">
        <v>152.01114714099299</v>
      </c>
      <c r="N109" s="116">
        <v>153.484215462772</v>
      </c>
      <c r="O109" s="116">
        <v>144.18012586908401</v>
      </c>
      <c r="P109" s="116">
        <v>144.18012586908401</v>
      </c>
      <c r="Q109" s="116">
        <v>159.94999999999999</v>
      </c>
      <c r="R109">
        <v>486442</v>
      </c>
    </row>
    <row r="110" spans="1:18" x14ac:dyDescent="0.25">
      <c r="A110" s="170">
        <v>42163</v>
      </c>
      <c r="B110" s="116">
        <v>1.56323821587773</v>
      </c>
      <c r="C110" s="116">
        <v>1.45870556922329</v>
      </c>
      <c r="D110" s="116">
        <v>1.4460349453863901</v>
      </c>
      <c r="E110" s="116">
        <v>1.5569029039592801</v>
      </c>
      <c r="F110" s="116">
        <v>92.1</v>
      </c>
      <c r="G110">
        <v>3161</v>
      </c>
      <c r="H110" s="116"/>
      <c r="I110" s="116"/>
      <c r="L110" s="170">
        <v>45659</v>
      </c>
      <c r="M110" s="116">
        <v>150.42403482010801</v>
      </c>
      <c r="N110" s="116">
        <v>153.57925212869301</v>
      </c>
      <c r="O110" s="116">
        <v>148.44727216894699</v>
      </c>
      <c r="P110" s="116">
        <v>153.43669712981099</v>
      </c>
      <c r="Q110" s="116">
        <v>158.28</v>
      </c>
      <c r="R110">
        <v>425086</v>
      </c>
    </row>
    <row r="111" spans="1:18" x14ac:dyDescent="0.25">
      <c r="A111" s="170">
        <v>42164</v>
      </c>
      <c r="B111" s="116">
        <v>1.57432501173502</v>
      </c>
      <c r="C111" s="116">
        <v>1.45553791326407</v>
      </c>
      <c r="D111" s="116">
        <v>1.4428672894271599</v>
      </c>
      <c r="E111" s="116">
        <v>1.57432501173502</v>
      </c>
      <c r="F111" s="116">
        <v>91.9</v>
      </c>
      <c r="G111">
        <v>1360</v>
      </c>
      <c r="H111" s="116"/>
      <c r="I111" s="116"/>
      <c r="L111" s="170">
        <v>45660</v>
      </c>
      <c r="M111" s="116">
        <v>149.302602162238</v>
      </c>
      <c r="N111" s="116">
        <v>152.53384880355901</v>
      </c>
      <c r="O111" s="116">
        <v>148.51379783509199</v>
      </c>
      <c r="P111" s="116">
        <v>150.918225482899</v>
      </c>
      <c r="Q111" s="116">
        <v>157.1</v>
      </c>
      <c r="R111">
        <v>462696</v>
      </c>
    </row>
    <row r="112" spans="1:18" x14ac:dyDescent="0.25">
      <c r="A112" s="170">
        <v>42165</v>
      </c>
      <c r="B112" s="116">
        <v>1.62500750708262</v>
      </c>
      <c r="C112" s="116">
        <v>1.43653197750871</v>
      </c>
      <c r="D112" s="116">
        <v>1.42544518165143</v>
      </c>
      <c r="E112" s="116">
        <v>1.6155045392049501</v>
      </c>
      <c r="F112" s="116">
        <v>90.7</v>
      </c>
      <c r="G112">
        <v>4879</v>
      </c>
      <c r="H112" s="116"/>
      <c r="I112" s="116"/>
      <c r="L112" s="170">
        <v>45663</v>
      </c>
      <c r="M112" s="116">
        <v>141.899245886975</v>
      </c>
      <c r="N112" s="116">
        <v>150.14842848893699</v>
      </c>
      <c r="O112" s="116">
        <v>141.12944889301301</v>
      </c>
      <c r="P112" s="116">
        <v>149.863318491173</v>
      </c>
      <c r="Q112" s="116">
        <v>149.31</v>
      </c>
      <c r="R112">
        <v>612965</v>
      </c>
    </row>
    <row r="113" spans="1:18" x14ac:dyDescent="0.25">
      <c r="A113" s="170">
        <v>42166</v>
      </c>
      <c r="B113" s="116">
        <v>1.5125557205301201</v>
      </c>
      <c r="C113" s="116">
        <v>1.4286128376106499</v>
      </c>
      <c r="D113" s="116">
        <v>1.42544518165143</v>
      </c>
      <c r="E113" s="116">
        <v>1.5125557205301201</v>
      </c>
      <c r="F113" s="116">
        <v>90.2</v>
      </c>
      <c r="G113">
        <v>2028</v>
      </c>
      <c r="H113" s="116"/>
      <c r="I113" s="116"/>
      <c r="L113" s="170">
        <v>45664</v>
      </c>
      <c r="M113" s="116">
        <v>142.754575880266</v>
      </c>
      <c r="N113" s="116">
        <v>150.623611818543</v>
      </c>
      <c r="O113" s="116">
        <v>140.65426556340699</v>
      </c>
      <c r="P113" s="116">
        <v>150.623611818543</v>
      </c>
      <c r="Q113" s="116">
        <v>150.21</v>
      </c>
      <c r="R113">
        <v>910485</v>
      </c>
    </row>
    <row r="114" spans="1:18" x14ac:dyDescent="0.25">
      <c r="A114" s="170">
        <v>42167</v>
      </c>
      <c r="B114" s="116">
        <v>1.5204748604281899</v>
      </c>
      <c r="C114" s="116">
        <v>1.39218479407956</v>
      </c>
      <c r="D114" s="116">
        <v>1.3462537826707901</v>
      </c>
      <c r="E114" s="116">
        <v>1.5204748604281899</v>
      </c>
      <c r="F114" s="116">
        <v>87.9</v>
      </c>
      <c r="G114">
        <v>1863</v>
      </c>
      <c r="H114" s="116"/>
      <c r="I114" s="116"/>
      <c r="L114" s="170">
        <v>45665</v>
      </c>
      <c r="M114" s="116">
        <v>141.509595556698</v>
      </c>
      <c r="N114" s="116">
        <v>143.93303053768901</v>
      </c>
      <c r="O114" s="116">
        <v>140.530717897709</v>
      </c>
      <c r="P114" s="116">
        <v>143.35330687557001</v>
      </c>
      <c r="Q114" s="116">
        <v>148.9</v>
      </c>
      <c r="R114">
        <v>463389</v>
      </c>
    </row>
    <row r="115" spans="1:18" x14ac:dyDescent="0.25">
      <c r="A115" s="170">
        <v>42170</v>
      </c>
      <c r="B115" s="116">
        <v>1.51097189255051</v>
      </c>
      <c r="C115" s="116">
        <v>1.4016877619572301</v>
      </c>
      <c r="D115" s="116">
        <v>1.3620920624669199</v>
      </c>
      <c r="E115" s="116">
        <v>1.51097189255051</v>
      </c>
      <c r="F115" s="116">
        <v>88.5</v>
      </c>
      <c r="G115">
        <v>2070</v>
      </c>
      <c r="H115" s="116"/>
      <c r="I115" s="116"/>
      <c r="L115" s="170">
        <v>45666</v>
      </c>
      <c r="M115" s="116">
        <v>138.772539578167</v>
      </c>
      <c r="N115" s="116">
        <v>141.462077223737</v>
      </c>
      <c r="O115" s="116">
        <v>138.35437824811299</v>
      </c>
      <c r="P115" s="116">
        <v>141.252996558711</v>
      </c>
      <c r="Q115" s="116">
        <v>146.02000000000001</v>
      </c>
      <c r="R115">
        <v>430484</v>
      </c>
    </row>
    <row r="116" spans="1:18" x14ac:dyDescent="0.25">
      <c r="A116" s="170">
        <v>42171</v>
      </c>
      <c r="B116" s="116">
        <v>1.5426484521427599</v>
      </c>
      <c r="C116" s="116">
        <v>1.43336432154949</v>
      </c>
      <c r="D116" s="116">
        <v>1.4016877619572301</v>
      </c>
      <c r="E116" s="116">
        <v>1.5426484521427599</v>
      </c>
      <c r="F116" s="116">
        <v>90.5</v>
      </c>
      <c r="G116">
        <v>605</v>
      </c>
      <c r="H116" s="116"/>
      <c r="I116" s="116"/>
      <c r="L116" s="170">
        <v>45667</v>
      </c>
      <c r="M116" s="116">
        <v>133.83063295026301</v>
      </c>
      <c r="N116" s="116">
        <v>140.57823623067</v>
      </c>
      <c r="O116" s="116">
        <v>133.14636895563001</v>
      </c>
      <c r="P116" s="116">
        <v>139.703898904195</v>
      </c>
      <c r="Q116" s="116">
        <v>140.82</v>
      </c>
      <c r="R116">
        <v>690691</v>
      </c>
    </row>
    <row r="117" spans="1:18" x14ac:dyDescent="0.25">
      <c r="A117" s="170">
        <v>42172</v>
      </c>
      <c r="B117" s="116">
        <v>1.51413954850974</v>
      </c>
      <c r="C117" s="116">
        <v>1.4792953329582601</v>
      </c>
      <c r="D117" s="116">
        <v>1.42544518165143</v>
      </c>
      <c r="E117" s="116">
        <v>1.51413954850974</v>
      </c>
      <c r="F117" s="116">
        <v>93.4</v>
      </c>
      <c r="G117">
        <v>1416</v>
      </c>
      <c r="H117" s="116"/>
      <c r="I117" s="116"/>
      <c r="L117" s="170">
        <v>45670</v>
      </c>
      <c r="M117" s="116">
        <v>125.69549434740701</v>
      </c>
      <c r="N117" s="116">
        <v>133.05133228970899</v>
      </c>
      <c r="O117" s="116">
        <v>123.54766569758699</v>
      </c>
      <c r="P117" s="116">
        <v>131.18861363765299</v>
      </c>
      <c r="Q117" s="116">
        <v>132.26</v>
      </c>
      <c r="R117">
        <v>956629</v>
      </c>
    </row>
    <row r="118" spans="1:18" x14ac:dyDescent="0.25">
      <c r="A118" s="170">
        <v>42173</v>
      </c>
      <c r="B118" s="116">
        <v>1.51889103244857</v>
      </c>
      <c r="C118" s="116">
        <v>1.51889103244857</v>
      </c>
      <c r="D118" s="116">
        <v>1.45870556922329</v>
      </c>
      <c r="E118" s="116">
        <v>1.51889103244857</v>
      </c>
      <c r="F118" s="116">
        <v>95.9</v>
      </c>
      <c r="G118">
        <v>32</v>
      </c>
      <c r="H118" s="116"/>
      <c r="I118" s="116"/>
      <c r="L118" s="170">
        <v>45671</v>
      </c>
      <c r="M118" s="116">
        <v>129.38291698514999</v>
      </c>
      <c r="N118" s="116">
        <v>133.52651561931501</v>
      </c>
      <c r="O118" s="116">
        <v>125.47691001578799</v>
      </c>
      <c r="P118" s="116">
        <v>126.31323267589499</v>
      </c>
      <c r="Q118" s="116">
        <v>136.13999999999999</v>
      </c>
      <c r="R118">
        <v>856546</v>
      </c>
    </row>
    <row r="119" spans="1:18" x14ac:dyDescent="0.25">
      <c r="A119" s="170">
        <v>42174</v>
      </c>
      <c r="B119" s="116">
        <v>1.6281751630418499</v>
      </c>
      <c r="C119" s="116">
        <v>1.56323821587773</v>
      </c>
      <c r="D119" s="116">
        <v>1.44128346144755</v>
      </c>
      <c r="E119" s="116">
        <v>1.6281751630418499</v>
      </c>
      <c r="F119" s="116">
        <v>98.7</v>
      </c>
      <c r="G119">
        <v>1589</v>
      </c>
      <c r="H119" s="116"/>
      <c r="I119" s="116"/>
      <c r="L119" s="170">
        <v>45672</v>
      </c>
      <c r="M119" s="116">
        <v>128.556097991635</v>
      </c>
      <c r="N119" s="116">
        <v>133.13686528903801</v>
      </c>
      <c r="O119" s="116">
        <v>127.434665333765</v>
      </c>
      <c r="P119" s="116">
        <v>129.24986565286</v>
      </c>
      <c r="Q119" s="116">
        <v>135.27000000000001</v>
      </c>
      <c r="R119">
        <v>731238</v>
      </c>
    </row>
    <row r="120" spans="1:18" x14ac:dyDescent="0.25">
      <c r="A120" s="170">
        <v>42177</v>
      </c>
      <c r="B120" s="116">
        <v>1.5964986034496</v>
      </c>
      <c r="C120" s="116">
        <v>1.5901632915311501</v>
      </c>
      <c r="D120" s="116">
        <v>1.5204748604281899</v>
      </c>
      <c r="E120" s="116">
        <v>1.5679896998165701</v>
      </c>
      <c r="F120" s="116">
        <v>100.4</v>
      </c>
      <c r="G120">
        <v>462</v>
      </c>
      <c r="H120" s="116"/>
      <c r="I120" s="116"/>
      <c r="L120" s="170">
        <v>45673</v>
      </c>
      <c r="M120" s="116">
        <v>132.37657196166899</v>
      </c>
      <c r="N120" s="116">
        <v>133.85914395003999</v>
      </c>
      <c r="O120" s="116">
        <v>130.485342309836</v>
      </c>
      <c r="P120" s="116">
        <v>130.485342309836</v>
      </c>
      <c r="Q120" s="116">
        <v>139.29</v>
      </c>
      <c r="R120">
        <v>515183</v>
      </c>
    </row>
    <row r="121" spans="1:18" x14ac:dyDescent="0.25">
      <c r="A121" s="170">
        <v>42178</v>
      </c>
      <c r="B121" s="116">
        <v>1.64084578687875</v>
      </c>
      <c r="C121" s="116">
        <v>1.5822441516330801</v>
      </c>
      <c r="D121" s="116">
        <v>1.5125557205301201</v>
      </c>
      <c r="E121" s="116">
        <v>1.64084578687875</v>
      </c>
      <c r="F121" s="116">
        <v>99.9</v>
      </c>
      <c r="G121">
        <v>1605</v>
      </c>
      <c r="H121" s="116"/>
      <c r="I121" s="116"/>
      <c r="L121" s="170">
        <v>45674</v>
      </c>
      <c r="M121" s="116">
        <v>132.86125895786699</v>
      </c>
      <c r="N121" s="116">
        <v>135.32270860522601</v>
      </c>
      <c r="O121" s="116">
        <v>130.72293397463901</v>
      </c>
      <c r="P121" s="116">
        <v>135.32270860522601</v>
      </c>
      <c r="Q121" s="116">
        <v>139.80000000000001</v>
      </c>
      <c r="R121">
        <v>702981</v>
      </c>
    </row>
    <row r="122" spans="1:18" x14ac:dyDescent="0.25">
      <c r="A122" s="170">
        <v>42179</v>
      </c>
      <c r="B122" s="116">
        <v>1.5964986034496</v>
      </c>
      <c r="C122" s="116">
        <v>1.5569029039592801</v>
      </c>
      <c r="D122" s="116">
        <v>1.5204748604281899</v>
      </c>
      <c r="E122" s="116">
        <v>1.5964986034496</v>
      </c>
      <c r="F122" s="116">
        <v>98.3</v>
      </c>
      <c r="G122">
        <v>557</v>
      </c>
      <c r="H122" s="116"/>
      <c r="I122" s="116"/>
      <c r="L122" s="170">
        <v>45677</v>
      </c>
      <c r="M122" s="116">
        <v>129.77256731542701</v>
      </c>
      <c r="N122" s="116">
        <v>134.961569274726</v>
      </c>
      <c r="O122" s="116">
        <v>127.216081002146</v>
      </c>
      <c r="P122" s="116">
        <v>134.95206560813401</v>
      </c>
      <c r="Q122" s="116">
        <v>136.55000000000001</v>
      </c>
      <c r="R122">
        <v>1336828</v>
      </c>
    </row>
    <row r="123" spans="1:18" x14ac:dyDescent="0.25">
      <c r="A123" s="170">
        <v>42180</v>
      </c>
      <c r="B123" s="116">
        <v>1.64401344283798</v>
      </c>
      <c r="C123" s="116">
        <v>1.5964986034496</v>
      </c>
      <c r="D123" s="116">
        <v>1.53631314022431</v>
      </c>
      <c r="E123" s="116">
        <v>1.64401344283798</v>
      </c>
      <c r="F123" s="116">
        <v>100.8</v>
      </c>
      <c r="G123">
        <v>1116</v>
      </c>
      <c r="H123" s="116"/>
      <c r="I123" s="116"/>
      <c r="L123" s="170">
        <v>45678</v>
      </c>
      <c r="M123" s="116">
        <v>135.08511694042301</v>
      </c>
      <c r="N123" s="116">
        <v>141.36704055781601</v>
      </c>
      <c r="O123" s="116">
        <v>130.675415641679</v>
      </c>
      <c r="P123" s="116">
        <v>130.96052563944201</v>
      </c>
      <c r="Q123" s="116">
        <v>142.13999999999999</v>
      </c>
      <c r="R123">
        <v>3047044</v>
      </c>
    </row>
    <row r="124" spans="1:18" x14ac:dyDescent="0.25">
      <c r="A124" s="170">
        <v>42181</v>
      </c>
      <c r="B124" s="116">
        <v>1.6155045392049501</v>
      </c>
      <c r="C124" s="116">
        <v>1.54423228012238</v>
      </c>
      <c r="D124" s="116">
        <v>1.5315616562854799</v>
      </c>
      <c r="E124" s="116">
        <v>1.6155045392049501</v>
      </c>
      <c r="F124" s="116">
        <v>97.5</v>
      </c>
      <c r="G124">
        <v>300</v>
      </c>
      <c r="H124" s="116"/>
      <c r="I124" s="116"/>
      <c r="L124" s="170">
        <v>45679</v>
      </c>
      <c r="M124" s="116">
        <v>131.77784096636501</v>
      </c>
      <c r="N124" s="116">
        <v>135.854913934385</v>
      </c>
      <c r="O124" s="116">
        <v>129.82958931498001</v>
      </c>
      <c r="P124" s="116">
        <v>135.79789193483199</v>
      </c>
      <c r="Q124" s="116">
        <v>138.66</v>
      </c>
      <c r="R124">
        <v>855897</v>
      </c>
    </row>
    <row r="125" spans="1:18" x14ac:dyDescent="0.25">
      <c r="A125" s="170">
        <v>42184</v>
      </c>
      <c r="B125" s="116">
        <v>1.5727411837554099</v>
      </c>
      <c r="C125" s="116">
        <v>1.5616543878981199</v>
      </c>
      <c r="D125" s="116">
        <v>1.4935497847747701</v>
      </c>
      <c r="E125" s="116">
        <v>1.5062204086116699</v>
      </c>
      <c r="F125" s="116">
        <v>98.6</v>
      </c>
      <c r="G125">
        <v>9194</v>
      </c>
      <c r="H125" s="116"/>
      <c r="I125" s="116"/>
      <c r="L125" s="170">
        <v>45680</v>
      </c>
      <c r="M125" s="116">
        <v>132.37657196166899</v>
      </c>
      <c r="N125" s="116">
        <v>138.24983791560001</v>
      </c>
      <c r="O125" s="116">
        <v>128.58460899141201</v>
      </c>
      <c r="P125" s="116">
        <v>128.58460899141201</v>
      </c>
      <c r="Q125" s="116">
        <v>139.29</v>
      </c>
      <c r="R125">
        <v>881606</v>
      </c>
    </row>
    <row r="126" spans="1:18" x14ac:dyDescent="0.25">
      <c r="A126" s="170">
        <v>42185</v>
      </c>
      <c r="B126" s="116">
        <v>1.6155045392049501</v>
      </c>
      <c r="C126" s="116">
        <v>1.59966625940882</v>
      </c>
      <c r="D126" s="116">
        <v>1.58066032365347</v>
      </c>
      <c r="E126" s="116">
        <v>1.58066032365347</v>
      </c>
      <c r="F126" s="116">
        <v>101</v>
      </c>
      <c r="G126">
        <v>1326</v>
      </c>
      <c r="H126" s="116"/>
      <c r="I126" s="116"/>
      <c r="L126" s="170">
        <v>45681</v>
      </c>
      <c r="M126" s="116">
        <v>129.49696098425599</v>
      </c>
      <c r="N126" s="116">
        <v>134.286808946685</v>
      </c>
      <c r="O126" s="116">
        <v>128.727163990294</v>
      </c>
      <c r="P126" s="116">
        <v>134.286808946685</v>
      </c>
      <c r="Q126" s="116">
        <v>136.26</v>
      </c>
      <c r="R126">
        <v>571439</v>
      </c>
    </row>
    <row r="127" spans="1:18" x14ac:dyDescent="0.25">
      <c r="A127" s="170">
        <v>42186</v>
      </c>
      <c r="B127" s="116">
        <v>1.6455972708175901</v>
      </c>
      <c r="C127" s="116">
        <v>1.60600157132727</v>
      </c>
      <c r="D127" s="116">
        <v>1.59966625940882</v>
      </c>
      <c r="E127" s="116">
        <v>1.6455972708175901</v>
      </c>
      <c r="F127" s="116">
        <v>101.4</v>
      </c>
      <c r="G127">
        <v>1937</v>
      </c>
      <c r="H127" s="116"/>
      <c r="I127" s="116"/>
      <c r="L127" s="170">
        <v>45684</v>
      </c>
      <c r="M127" s="116">
        <v>122.074597375808</v>
      </c>
      <c r="N127" s="116">
        <v>129.24986565286</v>
      </c>
      <c r="O127" s="116">
        <v>119.74619906073799</v>
      </c>
      <c r="P127" s="116">
        <v>128.299498993648</v>
      </c>
      <c r="Q127" s="116">
        <v>128.44999999999999</v>
      </c>
      <c r="R127">
        <v>1022939</v>
      </c>
    </row>
    <row r="128" spans="1:18" x14ac:dyDescent="0.25">
      <c r="A128" s="170">
        <v>42187</v>
      </c>
      <c r="B128" s="116">
        <v>1.64084578687875</v>
      </c>
      <c r="C128" s="116">
        <v>1.64084578687875</v>
      </c>
      <c r="D128" s="116">
        <v>1.64084578687875</v>
      </c>
      <c r="E128" s="116">
        <v>1.64084578687875</v>
      </c>
      <c r="F128" s="116">
        <v>103.6</v>
      </c>
      <c r="G128">
        <v>1</v>
      </c>
      <c r="H128" s="116"/>
      <c r="I128" s="116"/>
      <c r="L128" s="170">
        <v>45685</v>
      </c>
      <c r="M128" s="116">
        <v>120.943661051346</v>
      </c>
      <c r="N128" s="116">
        <v>125.06825235232699</v>
      </c>
      <c r="O128" s="116">
        <v>112.143265787041</v>
      </c>
      <c r="P128" s="116">
        <v>122.682832037704</v>
      </c>
      <c r="Q128" s="116">
        <v>127.26</v>
      </c>
      <c r="R128">
        <v>1214946</v>
      </c>
    </row>
    <row r="129" spans="1:18" x14ac:dyDescent="0.25">
      <c r="A129" s="170">
        <v>42188</v>
      </c>
      <c r="B129" s="116">
        <v>1.6931121102059701</v>
      </c>
      <c r="C129" s="116">
        <v>1.61392071122534</v>
      </c>
      <c r="D129" s="116">
        <v>1.59174711951076</v>
      </c>
      <c r="E129" s="116">
        <v>1.6471810987972</v>
      </c>
      <c r="F129" s="116">
        <v>101.9</v>
      </c>
      <c r="G129">
        <v>2992</v>
      </c>
      <c r="H129" s="116"/>
      <c r="I129" s="116"/>
      <c r="L129" s="170">
        <v>45686</v>
      </c>
      <c r="M129" s="116">
        <v>125.543435681933</v>
      </c>
      <c r="N129" s="116">
        <v>126.854941671646</v>
      </c>
      <c r="O129" s="116">
        <v>121.998568043071</v>
      </c>
      <c r="P129" s="116">
        <v>122.11261204217701</v>
      </c>
      <c r="Q129" s="116">
        <v>132.1</v>
      </c>
      <c r="R129">
        <v>503789</v>
      </c>
    </row>
    <row r="130" spans="1:18" x14ac:dyDescent="0.25">
      <c r="A130" s="170">
        <v>42191</v>
      </c>
      <c r="B130" s="116">
        <v>1.6566840666748801</v>
      </c>
      <c r="C130" s="116">
        <v>1.59966625940882</v>
      </c>
      <c r="D130" s="116">
        <v>1.59491477546998</v>
      </c>
      <c r="E130" s="116">
        <v>1.6566840666748801</v>
      </c>
      <c r="F130" s="116">
        <v>101</v>
      </c>
      <c r="G130">
        <v>454</v>
      </c>
      <c r="H130" s="116"/>
      <c r="I130" s="116"/>
      <c r="L130" s="170">
        <v>45687</v>
      </c>
      <c r="M130" s="116">
        <v>125.73350901377501</v>
      </c>
      <c r="N130" s="116">
        <v>129.78207098201901</v>
      </c>
      <c r="O130" s="116">
        <v>124.764135021379</v>
      </c>
      <c r="P130" s="116">
        <v>127.44416900035699</v>
      </c>
      <c r="Q130" s="116">
        <v>132.30000000000001</v>
      </c>
      <c r="R130">
        <v>439803</v>
      </c>
    </row>
    <row r="131" spans="1:18" x14ac:dyDescent="0.25">
      <c r="A131" s="170">
        <v>42192</v>
      </c>
      <c r="B131" s="116">
        <v>1.72478866979822</v>
      </c>
      <c r="C131" s="116">
        <v>1.6566840666748801</v>
      </c>
      <c r="D131" s="116">
        <v>1.5790764956738601</v>
      </c>
      <c r="E131" s="116">
        <v>1.6614355506137199</v>
      </c>
      <c r="F131" s="116">
        <v>104.6</v>
      </c>
      <c r="G131">
        <v>3236</v>
      </c>
      <c r="H131" s="116"/>
      <c r="I131" s="116"/>
      <c r="L131" s="170">
        <v>45688</v>
      </c>
      <c r="M131" s="116">
        <v>129.94363331408499</v>
      </c>
      <c r="N131" s="116">
        <v>131.74932996658799</v>
      </c>
      <c r="O131" s="116">
        <v>125.552939348525</v>
      </c>
      <c r="P131" s="116">
        <v>127.824315664042</v>
      </c>
      <c r="Q131" s="116">
        <v>136.72999999999999</v>
      </c>
      <c r="R131">
        <v>534762</v>
      </c>
    </row>
    <row r="132" spans="1:18" x14ac:dyDescent="0.25">
      <c r="A132" s="170">
        <v>42193</v>
      </c>
      <c r="B132" s="116">
        <v>1.7897256169623501</v>
      </c>
      <c r="C132" s="116">
        <v>1.5426484521427599</v>
      </c>
      <c r="D132" s="116">
        <v>1.5046365806320601</v>
      </c>
      <c r="E132" s="116">
        <v>1.7897256169623501</v>
      </c>
      <c r="F132" s="116">
        <v>97.4</v>
      </c>
      <c r="G132">
        <v>2814</v>
      </c>
      <c r="H132" s="116"/>
      <c r="I132" s="116"/>
      <c r="L132" s="170">
        <v>45689</v>
      </c>
      <c r="M132" s="116">
        <v>125.999611678355</v>
      </c>
      <c r="N132" s="116">
        <v>133.916165949592</v>
      </c>
      <c r="O132" s="116">
        <v>124.54555068976001</v>
      </c>
      <c r="P132" s="116">
        <v>130.38080197732299</v>
      </c>
      <c r="Q132" s="116">
        <v>132.58000000000001</v>
      </c>
      <c r="R132">
        <v>455580</v>
      </c>
    </row>
    <row r="133" spans="1:18" x14ac:dyDescent="0.25">
      <c r="A133" s="170">
        <v>42194</v>
      </c>
      <c r="B133" s="116">
        <v>1.7707196812069901</v>
      </c>
      <c r="C133" s="116">
        <v>1.60758539930689</v>
      </c>
      <c r="D133" s="116">
        <v>1.58857946355153</v>
      </c>
      <c r="E133" s="116">
        <v>1.7707196812069901</v>
      </c>
      <c r="F133" s="116">
        <v>101.5</v>
      </c>
      <c r="G133">
        <v>1130</v>
      </c>
      <c r="H133" s="116"/>
      <c r="I133" s="116"/>
      <c r="L133" s="170">
        <v>45691</v>
      </c>
      <c r="M133" s="116">
        <v>120.763091386095</v>
      </c>
      <c r="N133" s="116">
        <v>124.688105688642</v>
      </c>
      <c r="O133" s="116">
        <v>120.325922722858</v>
      </c>
      <c r="P133" s="116">
        <v>124.498032356799</v>
      </c>
      <c r="Q133" s="116">
        <v>127.07</v>
      </c>
      <c r="R133">
        <v>343989</v>
      </c>
    </row>
    <row r="134" spans="1:18" x14ac:dyDescent="0.25">
      <c r="A134" s="170">
        <v>42195</v>
      </c>
      <c r="B134" s="116">
        <v>1.6471810987972</v>
      </c>
      <c r="C134" s="116">
        <v>1.61392071122534</v>
      </c>
      <c r="D134" s="116">
        <v>1.58382797961269</v>
      </c>
      <c r="E134" s="116">
        <v>1.6471810987972</v>
      </c>
      <c r="F134" s="116">
        <v>101.9</v>
      </c>
      <c r="G134">
        <v>387</v>
      </c>
      <c r="H134" s="116"/>
      <c r="I134" s="116"/>
      <c r="L134" s="170">
        <v>45692</v>
      </c>
      <c r="M134" s="116">
        <v>124.222426025628</v>
      </c>
      <c r="N134" s="116">
        <v>125.781027346736</v>
      </c>
      <c r="O134" s="116">
        <v>122.597299038375</v>
      </c>
      <c r="P134" s="116">
        <v>122.597299038375</v>
      </c>
      <c r="Q134" s="116">
        <v>130.71</v>
      </c>
      <c r="R134">
        <v>376777</v>
      </c>
    </row>
    <row r="135" spans="1:18" x14ac:dyDescent="0.25">
      <c r="A135" s="170">
        <v>42198</v>
      </c>
      <c r="B135" s="116">
        <v>1.69469593818558</v>
      </c>
      <c r="C135" s="116">
        <v>1.60600157132727</v>
      </c>
      <c r="D135" s="116">
        <v>1.4428672894271599</v>
      </c>
      <c r="E135" s="116">
        <v>1.4428672894271599</v>
      </c>
      <c r="F135" s="116">
        <v>101.4</v>
      </c>
      <c r="G135">
        <v>2085</v>
      </c>
      <c r="H135" s="116"/>
      <c r="I135" s="116"/>
      <c r="L135" s="170">
        <v>45693</v>
      </c>
      <c r="M135" s="116">
        <v>125.096763352103</v>
      </c>
      <c r="N135" s="116">
        <v>127.339628667844</v>
      </c>
      <c r="O135" s="116">
        <v>124.26994435858801</v>
      </c>
      <c r="P135" s="116">
        <v>125.400880683051</v>
      </c>
      <c r="Q135" s="116">
        <v>131.63</v>
      </c>
      <c r="R135">
        <v>218194</v>
      </c>
    </row>
    <row r="136" spans="1:18" x14ac:dyDescent="0.25">
      <c r="A136" s="170">
        <v>42199</v>
      </c>
      <c r="B136" s="116">
        <v>1.70261507808365</v>
      </c>
      <c r="C136" s="116">
        <v>1.68360914232829</v>
      </c>
      <c r="D136" s="116">
        <v>1.51889103244857</v>
      </c>
      <c r="E136" s="116">
        <v>1.51889103244857</v>
      </c>
      <c r="F136" s="116">
        <v>106.3</v>
      </c>
      <c r="G136">
        <v>1350</v>
      </c>
      <c r="H136" s="116"/>
      <c r="I136" s="116"/>
      <c r="L136" s="170">
        <v>45694</v>
      </c>
      <c r="M136" s="116">
        <v>124.830660687524</v>
      </c>
      <c r="N136" s="116">
        <v>127.111540669633</v>
      </c>
      <c r="O136" s="116">
        <v>123.614191363732</v>
      </c>
      <c r="P136" s="116">
        <v>126.959482004159</v>
      </c>
      <c r="Q136" s="116">
        <v>131.35</v>
      </c>
      <c r="R136">
        <v>249855</v>
      </c>
    </row>
    <row r="137" spans="1:18" x14ac:dyDescent="0.25">
      <c r="A137" s="170">
        <v>42200</v>
      </c>
      <c r="B137" s="116">
        <v>1.75804905737009</v>
      </c>
      <c r="C137" s="116">
        <v>1.7041989060632601</v>
      </c>
      <c r="D137" s="116">
        <v>1.58541180759231</v>
      </c>
      <c r="E137" s="116">
        <v>1.58541180759231</v>
      </c>
      <c r="F137" s="116">
        <v>107.6</v>
      </c>
      <c r="G137">
        <v>4571</v>
      </c>
      <c r="H137" s="116"/>
      <c r="I137" s="116"/>
      <c r="L137" s="170">
        <v>45695</v>
      </c>
      <c r="M137" s="116">
        <v>123.813768362167</v>
      </c>
      <c r="N137" s="116">
        <v>125.82854567969601</v>
      </c>
      <c r="O137" s="116">
        <v>122.568788038599</v>
      </c>
      <c r="P137" s="116">
        <v>125.448399016012</v>
      </c>
      <c r="Q137" s="116">
        <v>130.28</v>
      </c>
      <c r="R137">
        <v>317441</v>
      </c>
    </row>
    <row r="138" spans="1:18" x14ac:dyDescent="0.25">
      <c r="A138" s="170">
        <v>42201</v>
      </c>
      <c r="B138" s="116">
        <v>1.7422107775739599</v>
      </c>
      <c r="C138" s="116">
        <v>1.67410617445062</v>
      </c>
      <c r="D138" s="116">
        <v>1.61867219516417</v>
      </c>
      <c r="E138" s="116">
        <v>1.7422107775739599</v>
      </c>
      <c r="F138" s="116">
        <v>105.7</v>
      </c>
      <c r="G138">
        <v>4095</v>
      </c>
      <c r="H138" s="116"/>
      <c r="I138" s="116"/>
      <c r="L138" s="170">
        <v>45698</v>
      </c>
      <c r="M138" s="116">
        <v>120.62053638721299</v>
      </c>
      <c r="N138" s="116">
        <v>123.97533069423299</v>
      </c>
      <c r="O138" s="116">
        <v>120.316419056266</v>
      </c>
      <c r="P138" s="116">
        <v>123.072482367981</v>
      </c>
      <c r="Q138" s="116">
        <v>126.92</v>
      </c>
      <c r="R138">
        <v>305221</v>
      </c>
    </row>
    <row r="139" spans="1:18" x14ac:dyDescent="0.25">
      <c r="A139" s="170">
        <v>42202</v>
      </c>
      <c r="B139" s="116">
        <v>1.8214021765546</v>
      </c>
      <c r="C139" s="116">
        <v>1.70736656202248</v>
      </c>
      <c r="D139" s="116">
        <v>1.6709385184913901</v>
      </c>
      <c r="E139" s="116">
        <v>1.8214021765546</v>
      </c>
      <c r="F139" s="116">
        <v>107.8</v>
      </c>
      <c r="G139">
        <v>877</v>
      </c>
      <c r="H139" s="116"/>
      <c r="I139" s="116"/>
      <c r="L139" s="170">
        <v>45699</v>
      </c>
      <c r="M139" s="116">
        <v>113.283705778095</v>
      </c>
      <c r="N139" s="116">
        <v>120.592025387437</v>
      </c>
      <c r="O139" s="116">
        <v>112.38085745184399</v>
      </c>
      <c r="P139" s="116">
        <v>120.37344105581801</v>
      </c>
      <c r="Q139" s="116">
        <v>119.2</v>
      </c>
      <c r="R139">
        <v>641777</v>
      </c>
    </row>
    <row r="140" spans="1:18" x14ac:dyDescent="0.25">
      <c r="A140" s="170">
        <v>42205</v>
      </c>
      <c r="B140" s="116">
        <v>1.8198183485749899</v>
      </c>
      <c r="C140" s="116">
        <v>1.7485460894924201</v>
      </c>
      <c r="D140" s="116">
        <v>1.71053421798171</v>
      </c>
      <c r="E140" s="116">
        <v>1.7707196812069901</v>
      </c>
      <c r="F140" s="116">
        <v>110.4</v>
      </c>
      <c r="G140">
        <v>2111</v>
      </c>
      <c r="H140" s="116"/>
      <c r="I140" s="116"/>
      <c r="L140" s="170">
        <v>45700</v>
      </c>
      <c r="M140" s="116">
        <v>114.07251010524099</v>
      </c>
      <c r="N140" s="116">
        <v>114.97535843149301</v>
      </c>
      <c r="O140" s="116">
        <v>106.63113916361</v>
      </c>
      <c r="P140" s="116">
        <v>113.093632446253</v>
      </c>
      <c r="Q140" s="116">
        <v>120.03</v>
      </c>
      <c r="R140">
        <v>880673</v>
      </c>
    </row>
    <row r="141" spans="1:18" x14ac:dyDescent="0.25">
      <c r="A141" s="170">
        <v>42206</v>
      </c>
      <c r="B141" s="116">
        <v>1.8039800687788601</v>
      </c>
      <c r="C141" s="116">
        <v>1.7453784335331901</v>
      </c>
      <c r="D141" s="116">
        <v>1.7041989060632601</v>
      </c>
      <c r="E141" s="116">
        <v>1.7723035091866099</v>
      </c>
      <c r="F141" s="116">
        <v>110.2</v>
      </c>
      <c r="G141">
        <v>4787</v>
      </c>
      <c r="H141" s="116"/>
      <c r="I141" s="116"/>
      <c r="L141" s="170">
        <v>45701</v>
      </c>
      <c r="M141" s="116">
        <v>112.456886784581</v>
      </c>
      <c r="N141" s="116">
        <v>118.824343401302</v>
      </c>
      <c r="O141" s="116">
        <v>111.192899127828</v>
      </c>
      <c r="P141" s="116">
        <v>114.519182435071</v>
      </c>
      <c r="Q141" s="116">
        <v>118.33</v>
      </c>
      <c r="R141">
        <v>473131</v>
      </c>
    </row>
    <row r="142" spans="1:18" x14ac:dyDescent="0.25">
      <c r="A142" s="170">
        <v>42207</v>
      </c>
      <c r="B142" s="116">
        <v>1.8198183485749899</v>
      </c>
      <c r="C142" s="116">
        <v>1.7818064770642801</v>
      </c>
      <c r="D142" s="116">
        <v>1.7469622615128</v>
      </c>
      <c r="E142" s="116">
        <v>1.7707196812069901</v>
      </c>
      <c r="F142" s="116">
        <v>112.5</v>
      </c>
      <c r="G142">
        <v>3000</v>
      </c>
      <c r="H142" s="116"/>
      <c r="I142" s="116"/>
      <c r="L142" s="170">
        <v>45702</v>
      </c>
      <c r="M142" s="116">
        <v>107.448454490532</v>
      </c>
      <c r="N142" s="116">
        <v>113.378742444016</v>
      </c>
      <c r="O142" s="116">
        <v>106.916249161373</v>
      </c>
      <c r="P142" s="116">
        <v>112.95107744737101</v>
      </c>
      <c r="Q142" s="116">
        <v>113.06</v>
      </c>
      <c r="R142">
        <v>693349</v>
      </c>
    </row>
    <row r="143" spans="1:18" x14ac:dyDescent="0.25">
      <c r="A143" s="170">
        <v>42208</v>
      </c>
      <c r="B143" s="116">
        <v>1.88475529573911</v>
      </c>
      <c r="C143" s="116">
        <v>1.8118992086769199</v>
      </c>
      <c r="D143" s="116">
        <v>1.7897256169623501</v>
      </c>
      <c r="E143" s="116">
        <v>1.8340728003914999</v>
      </c>
      <c r="F143" s="116">
        <v>114.4</v>
      </c>
      <c r="G143">
        <v>16528</v>
      </c>
      <c r="H143" s="116"/>
      <c r="I143" s="116"/>
      <c r="L143" s="170">
        <v>45705</v>
      </c>
      <c r="M143" s="116">
        <v>103.295352189775</v>
      </c>
      <c r="N143" s="116">
        <v>108.816982479798</v>
      </c>
      <c r="O143" s="116">
        <v>102.16441586531199</v>
      </c>
      <c r="P143" s="116">
        <v>106.212977833556</v>
      </c>
      <c r="Q143" s="116">
        <v>108.69</v>
      </c>
      <c r="R143">
        <v>873447</v>
      </c>
    </row>
    <row r="144" spans="1:18" x14ac:dyDescent="0.25">
      <c r="A144" s="170">
        <v>42209</v>
      </c>
      <c r="B144" s="116">
        <v>1.8530787361468499</v>
      </c>
      <c r="C144" s="116">
        <v>1.75804905737009</v>
      </c>
      <c r="D144" s="116">
        <v>1.67410617445062</v>
      </c>
      <c r="E144" s="116">
        <v>1.67410617445062</v>
      </c>
      <c r="F144" s="116">
        <v>111</v>
      </c>
      <c r="G144">
        <v>5532</v>
      </c>
      <c r="H144" s="116"/>
      <c r="I144" s="116"/>
      <c r="L144" s="170">
        <v>45706</v>
      </c>
      <c r="M144" s="116">
        <v>96.405193910486403</v>
      </c>
      <c r="N144" s="116">
        <v>105.65226150462099</v>
      </c>
      <c r="O144" s="116">
        <v>95.131702587142101</v>
      </c>
      <c r="P144" s="116">
        <v>101.79377286822</v>
      </c>
      <c r="Q144" s="116">
        <v>101.44</v>
      </c>
      <c r="R144">
        <v>1506181</v>
      </c>
    </row>
    <row r="145" spans="1:18" x14ac:dyDescent="0.25">
      <c r="A145" s="170">
        <v>42212</v>
      </c>
      <c r="B145" s="116">
        <v>1.8340728003914999</v>
      </c>
      <c r="C145" s="116">
        <v>1.6931121102059701</v>
      </c>
      <c r="D145" s="116">
        <v>1.6709385184913901</v>
      </c>
      <c r="E145" s="116">
        <v>1.8340728003914999</v>
      </c>
      <c r="F145" s="116">
        <v>106.9</v>
      </c>
      <c r="G145">
        <v>3705</v>
      </c>
      <c r="H145" s="116"/>
      <c r="I145" s="116"/>
      <c r="L145" s="170">
        <v>45707</v>
      </c>
      <c r="M145" s="116">
        <v>101.66072153592999</v>
      </c>
      <c r="N145" s="116">
        <v>102.639599194919</v>
      </c>
      <c r="O145" s="116">
        <v>95.416812584905699</v>
      </c>
      <c r="P145" s="116">
        <v>95.426316251497795</v>
      </c>
      <c r="Q145" s="116">
        <v>106.97</v>
      </c>
      <c r="R145">
        <v>1079625</v>
      </c>
    </row>
    <row r="146" spans="1:18" x14ac:dyDescent="0.25">
      <c r="A146" s="170">
        <v>42213</v>
      </c>
      <c r="B146" s="116">
        <v>1.73270780969629</v>
      </c>
      <c r="C146" s="116">
        <v>1.66935469051178</v>
      </c>
      <c r="D146" s="116">
        <v>1.59966625940882</v>
      </c>
      <c r="E146" s="116">
        <v>1.59966625940882</v>
      </c>
      <c r="F146" s="116">
        <v>105.4</v>
      </c>
      <c r="G146">
        <v>2154</v>
      </c>
      <c r="H146" s="116"/>
      <c r="I146" s="116"/>
      <c r="L146" s="170">
        <v>45708</v>
      </c>
      <c r="M146" s="116">
        <v>116.68601841807499</v>
      </c>
      <c r="N146" s="116">
        <v>118.700795735605</v>
      </c>
      <c r="O146" s="116">
        <v>102.829672526761</v>
      </c>
      <c r="P146" s="116">
        <v>109.187625476891</v>
      </c>
      <c r="Q146" s="116">
        <v>122.78</v>
      </c>
      <c r="R146">
        <v>6465359</v>
      </c>
    </row>
    <row r="147" spans="1:18" x14ac:dyDescent="0.25">
      <c r="A147" s="170">
        <v>42214</v>
      </c>
      <c r="B147" s="116">
        <v>1.76913585322738</v>
      </c>
      <c r="C147" s="116">
        <v>1.71686952990016</v>
      </c>
      <c r="D147" s="116">
        <v>1.6155045392049501</v>
      </c>
      <c r="E147" s="116">
        <v>1.76913585322738</v>
      </c>
      <c r="F147" s="116">
        <v>108.4</v>
      </c>
      <c r="G147">
        <v>11980</v>
      </c>
      <c r="H147" s="116"/>
      <c r="I147" s="116"/>
      <c r="L147" s="170">
        <v>45709</v>
      </c>
      <c r="M147" s="116">
        <v>115.336497761994</v>
      </c>
      <c r="N147" s="116">
        <v>121.32380771503099</v>
      </c>
      <c r="O147" s="116">
        <v>114.29109443686001</v>
      </c>
      <c r="P147" s="116">
        <v>117.132690747905</v>
      </c>
      <c r="Q147" s="116">
        <v>121.36</v>
      </c>
      <c r="R147">
        <v>2056485</v>
      </c>
    </row>
    <row r="148" spans="1:18" x14ac:dyDescent="0.25">
      <c r="A148" s="170">
        <v>42215</v>
      </c>
      <c r="B148" s="116">
        <v>1.75012991747203</v>
      </c>
      <c r="C148" s="116">
        <v>1.721621013839</v>
      </c>
      <c r="D148" s="116">
        <v>1.6044177433476601</v>
      </c>
      <c r="E148" s="116">
        <v>1.6044177433476601</v>
      </c>
      <c r="F148" s="116">
        <v>108.7</v>
      </c>
      <c r="G148">
        <v>2766</v>
      </c>
      <c r="H148" s="116"/>
      <c r="I148" s="116"/>
      <c r="L148" s="170">
        <v>45712</v>
      </c>
      <c r="M148" s="116">
        <v>113.302713111279</v>
      </c>
      <c r="N148" s="116">
        <v>116.324879087574</v>
      </c>
      <c r="O148" s="116">
        <v>109.94791880426</v>
      </c>
      <c r="P148" s="116">
        <v>114.053502772057</v>
      </c>
      <c r="Q148" s="116">
        <v>119.22</v>
      </c>
      <c r="R148">
        <v>805668</v>
      </c>
    </row>
    <row r="149" spans="1:18" x14ac:dyDescent="0.25">
      <c r="A149" s="170">
        <v>42216</v>
      </c>
      <c r="B149" s="116">
        <v>1.75488140141087</v>
      </c>
      <c r="C149" s="116">
        <v>1.62975899102146</v>
      </c>
      <c r="D149" s="116">
        <v>1.6155045392049501</v>
      </c>
      <c r="E149" s="116">
        <v>1.7422107775739599</v>
      </c>
      <c r="F149" s="116">
        <v>102.9</v>
      </c>
      <c r="G149">
        <v>6126</v>
      </c>
      <c r="H149" s="116"/>
      <c r="I149" s="116"/>
      <c r="L149" s="170">
        <v>45713</v>
      </c>
      <c r="M149" s="116">
        <v>111.943688788606</v>
      </c>
      <c r="N149" s="116">
        <v>116.201331421877</v>
      </c>
      <c r="O149" s="116">
        <v>111.192899127828</v>
      </c>
      <c r="P149" s="116">
        <v>114.395634769374</v>
      </c>
      <c r="Q149" s="116">
        <v>117.79</v>
      </c>
      <c r="R149">
        <v>543387</v>
      </c>
    </row>
    <row r="150" spans="1:18" x14ac:dyDescent="0.25">
      <c r="A150" s="170">
        <v>42219</v>
      </c>
      <c r="B150" s="116">
        <v>1.7342916376759001</v>
      </c>
      <c r="C150" s="116">
        <v>1.6265913350622401</v>
      </c>
      <c r="D150" s="116">
        <v>1.59174711951076</v>
      </c>
      <c r="E150" s="116">
        <v>1.7342916376759001</v>
      </c>
      <c r="F150" s="116">
        <v>102.7</v>
      </c>
      <c r="G150">
        <v>2413</v>
      </c>
      <c r="H150" s="116"/>
      <c r="I150" s="116"/>
      <c r="L150" s="170">
        <v>45715</v>
      </c>
      <c r="M150" s="116">
        <v>108.67442748091599</v>
      </c>
      <c r="N150" s="116">
        <v>113.283705778095</v>
      </c>
      <c r="O150" s="116">
        <v>108.26576981745499</v>
      </c>
      <c r="P150" s="116">
        <v>113.283705778095</v>
      </c>
      <c r="Q150" s="116">
        <v>114.35</v>
      </c>
      <c r="R150">
        <v>480811</v>
      </c>
    </row>
    <row r="151" spans="1:18" x14ac:dyDescent="0.25">
      <c r="A151" s="170">
        <v>42220</v>
      </c>
      <c r="B151" s="116">
        <v>1.75804905737009</v>
      </c>
      <c r="C151" s="116">
        <v>1.6376781309195301</v>
      </c>
      <c r="D151" s="116">
        <v>1.6170883671845599</v>
      </c>
      <c r="E151" s="116">
        <v>1.6788576583894601</v>
      </c>
      <c r="F151" s="116">
        <v>103.4</v>
      </c>
      <c r="G151">
        <v>970</v>
      </c>
      <c r="H151" s="116"/>
      <c r="I151" s="116"/>
      <c r="L151" s="170">
        <v>45716</v>
      </c>
      <c r="M151" s="116">
        <v>105.300625840713</v>
      </c>
      <c r="N151" s="116">
        <v>108.417828482929</v>
      </c>
      <c r="O151" s="116">
        <v>104.654376512448</v>
      </c>
      <c r="P151" s="116">
        <v>107.05880416025499</v>
      </c>
      <c r="Q151" s="116">
        <v>110.8</v>
      </c>
      <c r="R151">
        <v>766022</v>
      </c>
    </row>
    <row r="152" spans="1:18" x14ac:dyDescent="0.25">
      <c r="A152" s="170">
        <v>42221</v>
      </c>
      <c r="B152" s="116">
        <v>1.8372404563507301</v>
      </c>
      <c r="C152" s="116">
        <v>1.67410617445062</v>
      </c>
      <c r="D152" s="116">
        <v>1.5679896998165701</v>
      </c>
      <c r="E152" s="116">
        <v>1.5679896998165701</v>
      </c>
      <c r="F152" s="116">
        <v>105.7</v>
      </c>
      <c r="G152">
        <v>6023</v>
      </c>
      <c r="H152" s="116"/>
      <c r="I152" s="116"/>
      <c r="L152" s="170">
        <v>45719</v>
      </c>
      <c r="M152" s="116">
        <v>105.025019509541</v>
      </c>
      <c r="N152" s="116">
        <v>108.341799150192</v>
      </c>
      <c r="O152" s="116">
        <v>98.657562892819399</v>
      </c>
      <c r="P152" s="116">
        <v>105.300625840713</v>
      </c>
      <c r="Q152" s="116">
        <v>110.51</v>
      </c>
      <c r="R152">
        <v>1252605</v>
      </c>
    </row>
    <row r="153" spans="1:18" x14ac:dyDescent="0.25">
      <c r="A153" s="170">
        <v>42222</v>
      </c>
      <c r="B153" s="116">
        <v>1.7422107775739599</v>
      </c>
      <c r="C153" s="116">
        <v>1.66301937859333</v>
      </c>
      <c r="D153" s="116">
        <v>1.6487649267768201</v>
      </c>
      <c r="E153" s="116">
        <v>1.72478866979822</v>
      </c>
      <c r="F153" s="116">
        <v>105</v>
      </c>
      <c r="G153">
        <v>6219</v>
      </c>
      <c r="H153" s="116"/>
      <c r="I153" s="116"/>
      <c r="L153" s="170">
        <v>45720</v>
      </c>
      <c r="M153" s="116">
        <v>104.293237181948</v>
      </c>
      <c r="N153" s="116">
        <v>107.476965490309</v>
      </c>
      <c r="O153" s="116">
        <v>102.487540529445</v>
      </c>
      <c r="P153" s="116">
        <v>103.12428619111699</v>
      </c>
      <c r="Q153" s="116">
        <v>109.74</v>
      </c>
      <c r="R153">
        <v>757573</v>
      </c>
    </row>
    <row r="154" spans="1:18" x14ac:dyDescent="0.25">
      <c r="A154" s="170">
        <v>42223</v>
      </c>
      <c r="B154" s="116">
        <v>1.7089503900020999</v>
      </c>
      <c r="C154" s="116">
        <v>1.6503487547564299</v>
      </c>
      <c r="D154" s="116">
        <v>1.6313428190010799</v>
      </c>
      <c r="E154" s="116">
        <v>1.69469593818558</v>
      </c>
      <c r="F154" s="116">
        <v>104.2</v>
      </c>
      <c r="G154">
        <v>5050</v>
      </c>
      <c r="H154" s="116"/>
      <c r="I154" s="116"/>
      <c r="L154" s="170">
        <v>45721</v>
      </c>
      <c r="M154" s="116">
        <v>111.554038458329</v>
      </c>
      <c r="N154" s="116">
        <v>112.000710788159</v>
      </c>
      <c r="O154" s="116">
        <v>104.540332513343</v>
      </c>
      <c r="P154" s="116">
        <v>105.87084583623999</v>
      </c>
      <c r="Q154" s="116">
        <v>117.38</v>
      </c>
      <c r="R154">
        <v>1100042</v>
      </c>
    </row>
    <row r="155" spans="1:18" x14ac:dyDescent="0.25">
      <c r="A155" s="170">
        <v>42226</v>
      </c>
      <c r="B155" s="116">
        <v>1.7422107775739599</v>
      </c>
      <c r="C155" s="116">
        <v>1.6234236791030101</v>
      </c>
      <c r="D155" s="116">
        <v>1.58382797961269</v>
      </c>
      <c r="E155" s="116">
        <v>1.7422107775739599</v>
      </c>
      <c r="F155" s="116">
        <v>102.5</v>
      </c>
      <c r="G155">
        <v>3286</v>
      </c>
      <c r="H155" s="116"/>
      <c r="I155" s="116"/>
      <c r="L155" s="170">
        <v>45722</v>
      </c>
      <c r="M155" s="116">
        <v>112.219295119778</v>
      </c>
      <c r="N155" s="116">
        <v>115.32699409540101</v>
      </c>
      <c r="O155" s="116">
        <v>111.820141122908</v>
      </c>
      <c r="P155" s="116">
        <v>114.614219100992</v>
      </c>
      <c r="Q155" s="116">
        <v>118.08</v>
      </c>
      <c r="R155">
        <v>595119</v>
      </c>
    </row>
    <row r="156" spans="1:18" x14ac:dyDescent="0.25">
      <c r="A156" s="170">
        <v>42227</v>
      </c>
      <c r="B156" s="116">
        <v>1.6155045392049501</v>
      </c>
      <c r="C156" s="116">
        <v>1.54106462416315</v>
      </c>
      <c r="D156" s="116">
        <v>1.50780423659129</v>
      </c>
      <c r="E156" s="116">
        <v>1.6155045392049501</v>
      </c>
      <c r="F156" s="116">
        <v>97.3</v>
      </c>
      <c r="G156">
        <v>2459</v>
      </c>
      <c r="H156" s="116"/>
      <c r="I156" s="116"/>
      <c r="L156" s="170">
        <v>45723</v>
      </c>
      <c r="M156" s="116">
        <v>113.179165445582</v>
      </c>
      <c r="N156" s="116">
        <v>116.334382754166</v>
      </c>
      <c r="O156" s="116">
        <v>111.525527458553</v>
      </c>
      <c r="P156" s="116">
        <v>112.799018781897</v>
      </c>
      <c r="Q156" s="116">
        <v>119.09</v>
      </c>
      <c r="R156">
        <v>720373</v>
      </c>
    </row>
    <row r="157" spans="1:18" x14ac:dyDescent="0.25">
      <c r="A157" s="170">
        <v>42228</v>
      </c>
      <c r="B157" s="116">
        <v>1.58382797961269</v>
      </c>
      <c r="C157" s="116">
        <v>1.5394807961835399</v>
      </c>
      <c r="D157" s="116">
        <v>1.5378969682039301</v>
      </c>
      <c r="E157" s="116">
        <v>1.5822441516330801</v>
      </c>
      <c r="F157" s="116">
        <v>97.2</v>
      </c>
      <c r="G157">
        <v>1263</v>
      </c>
      <c r="H157" s="116"/>
      <c r="I157" s="116"/>
      <c r="L157" s="170">
        <v>45726</v>
      </c>
      <c r="M157" s="116">
        <v>111.934185122014</v>
      </c>
      <c r="N157" s="116">
        <v>116.895099083102</v>
      </c>
      <c r="O157" s="116">
        <v>111.107366128499</v>
      </c>
      <c r="P157" s="116">
        <v>116.895099083102</v>
      </c>
      <c r="Q157" s="116">
        <v>117.78</v>
      </c>
      <c r="R157">
        <v>698219</v>
      </c>
    </row>
    <row r="158" spans="1:18" x14ac:dyDescent="0.25">
      <c r="A158" s="170">
        <v>42229</v>
      </c>
      <c r="B158" s="116">
        <v>1.59966625940882</v>
      </c>
      <c r="C158" s="116">
        <v>1.51889103244857</v>
      </c>
      <c r="D158" s="116">
        <v>1.5046365806320601</v>
      </c>
      <c r="E158" s="116">
        <v>1.55215142002044</v>
      </c>
      <c r="F158" s="116">
        <v>95.9</v>
      </c>
      <c r="G158">
        <v>1140</v>
      </c>
      <c r="H158" s="116"/>
      <c r="I158" s="116"/>
      <c r="L158" s="170">
        <v>45727</v>
      </c>
      <c r="M158" s="116">
        <v>107.923637820138</v>
      </c>
      <c r="N158" s="116">
        <v>111.192899127828</v>
      </c>
      <c r="O158" s="116">
        <v>106.92575282796599</v>
      </c>
      <c r="P158" s="116">
        <v>110.61317546570901</v>
      </c>
      <c r="Q158" s="116">
        <v>113.56</v>
      </c>
      <c r="R158">
        <v>550157</v>
      </c>
    </row>
    <row r="159" spans="1:18" x14ac:dyDescent="0.25">
      <c r="A159" s="170">
        <v>42230</v>
      </c>
      <c r="B159" s="116">
        <v>1.6281751630418499</v>
      </c>
      <c r="C159" s="116">
        <v>1.5980824314292099</v>
      </c>
      <c r="D159" s="116">
        <v>1.53631314022431</v>
      </c>
      <c r="E159" s="116">
        <v>1.6281751630418499</v>
      </c>
      <c r="F159" s="116">
        <v>100.9</v>
      </c>
      <c r="G159">
        <v>612</v>
      </c>
      <c r="H159" s="116"/>
      <c r="I159" s="116"/>
      <c r="L159" s="170">
        <v>45728</v>
      </c>
      <c r="M159" s="116">
        <v>106.602628163833</v>
      </c>
      <c r="N159" s="116">
        <v>110.090473803142</v>
      </c>
      <c r="O159" s="116">
        <v>106.289007166293</v>
      </c>
      <c r="P159" s="116">
        <v>109.472735474654</v>
      </c>
      <c r="Q159" s="116">
        <v>112.17</v>
      </c>
      <c r="R159">
        <v>482837</v>
      </c>
    </row>
    <row r="160" spans="1:18" x14ac:dyDescent="0.25">
      <c r="A160" s="170">
        <v>42233</v>
      </c>
      <c r="B160" s="116">
        <v>1.68519297030791</v>
      </c>
      <c r="C160" s="116">
        <v>1.6012500873884301</v>
      </c>
      <c r="D160" s="116">
        <v>1.55215142002044</v>
      </c>
      <c r="E160" s="116">
        <v>1.59966625940882</v>
      </c>
      <c r="F160" s="116">
        <v>101.1</v>
      </c>
      <c r="G160">
        <v>5337</v>
      </c>
      <c r="H160" s="116"/>
      <c r="I160" s="116"/>
      <c r="L160" s="170">
        <v>45729</v>
      </c>
      <c r="M160" s="116">
        <v>104.017630850776</v>
      </c>
      <c r="N160" s="116">
        <v>107.667038822151</v>
      </c>
      <c r="O160" s="116">
        <v>103.685002520052</v>
      </c>
      <c r="P160" s="116">
        <v>107.05880416025499</v>
      </c>
      <c r="Q160" s="116">
        <v>109.45</v>
      </c>
      <c r="R160">
        <v>639616</v>
      </c>
    </row>
    <row r="161" spans="1:18" x14ac:dyDescent="0.25">
      <c r="A161" s="170">
        <v>42234</v>
      </c>
      <c r="B161" s="116">
        <v>1.6471810987972</v>
      </c>
      <c r="C161" s="116">
        <v>1.62975899102146</v>
      </c>
      <c r="D161" s="116">
        <v>1.58541180759231</v>
      </c>
      <c r="E161" s="116">
        <v>1.6424296148583599</v>
      </c>
      <c r="F161" s="116">
        <v>102.9</v>
      </c>
      <c r="G161">
        <v>4396</v>
      </c>
      <c r="H161" s="116"/>
      <c r="I161" s="116"/>
      <c r="L161" s="170">
        <v>45733</v>
      </c>
      <c r="M161" s="116">
        <v>101.60369953637699</v>
      </c>
      <c r="N161" s="116">
        <v>105.46218817277899</v>
      </c>
      <c r="O161" s="116">
        <v>100.938442874929</v>
      </c>
      <c r="P161" s="116">
        <v>104.910975510436</v>
      </c>
      <c r="Q161" s="116">
        <v>106.91</v>
      </c>
      <c r="R161">
        <v>562607</v>
      </c>
    </row>
    <row r="162" spans="1:18" x14ac:dyDescent="0.25">
      <c r="A162" s="170">
        <v>42235</v>
      </c>
      <c r="B162" s="116">
        <v>1.6709385184913901</v>
      </c>
      <c r="C162" s="116">
        <v>1.6313428190010799</v>
      </c>
      <c r="D162" s="116">
        <v>1.5869956355719199</v>
      </c>
      <c r="E162" s="116">
        <v>1.60758539930689</v>
      </c>
      <c r="F162" s="116">
        <v>103</v>
      </c>
      <c r="G162">
        <v>5557</v>
      </c>
      <c r="H162" s="116"/>
      <c r="I162" s="116"/>
      <c r="L162" s="170">
        <v>45734</v>
      </c>
      <c r="M162" s="116">
        <v>107.52448382326899</v>
      </c>
      <c r="N162" s="116">
        <v>108.37981381656</v>
      </c>
      <c r="O162" s="116">
        <v>103.019745858603</v>
      </c>
      <c r="P162" s="116">
        <v>104.445295847422</v>
      </c>
      <c r="Q162" s="116">
        <v>113.14</v>
      </c>
      <c r="R162">
        <v>1094984</v>
      </c>
    </row>
    <row r="163" spans="1:18" x14ac:dyDescent="0.25">
      <c r="A163" s="170">
        <v>42236</v>
      </c>
      <c r="B163" s="116">
        <v>1.6677708625321701</v>
      </c>
      <c r="C163" s="116">
        <v>1.6170883671845599</v>
      </c>
      <c r="D163" s="116">
        <v>1.5679896998165701</v>
      </c>
      <c r="E163" s="116">
        <v>1.6155045392049501</v>
      </c>
      <c r="F163" s="116">
        <v>102.1</v>
      </c>
      <c r="G163">
        <v>2706</v>
      </c>
      <c r="H163" s="116"/>
      <c r="I163" s="116"/>
      <c r="L163" s="170">
        <v>45735</v>
      </c>
      <c r="M163" s="116">
        <v>110.290050801577</v>
      </c>
      <c r="N163" s="116">
        <v>111.192899127828</v>
      </c>
      <c r="O163" s="116">
        <v>107.86661582058601</v>
      </c>
      <c r="P163" s="116">
        <v>108.33229548360001</v>
      </c>
      <c r="Q163" s="116">
        <v>116.05</v>
      </c>
      <c r="R163">
        <v>868887</v>
      </c>
    </row>
    <row r="164" spans="1:18" x14ac:dyDescent="0.25">
      <c r="A164" s="170">
        <v>42237</v>
      </c>
      <c r="B164" s="116">
        <v>1.6313428190010799</v>
      </c>
      <c r="C164" s="116">
        <v>1.6123368832457201</v>
      </c>
      <c r="D164" s="116">
        <v>1.56957352779618</v>
      </c>
      <c r="E164" s="116">
        <v>1.58382797961269</v>
      </c>
      <c r="F164" s="116">
        <v>101.8</v>
      </c>
      <c r="G164">
        <v>6218</v>
      </c>
      <c r="H164" s="116"/>
      <c r="I164" s="116"/>
      <c r="L164" s="170">
        <v>45736</v>
      </c>
      <c r="M164" s="116">
        <v>111.088358795315</v>
      </c>
      <c r="N164" s="116">
        <v>114.42414576915</v>
      </c>
      <c r="O164" s="116">
        <v>110.29955446816901</v>
      </c>
      <c r="P164" s="116">
        <v>112.133762120448</v>
      </c>
      <c r="Q164" s="116">
        <v>116.89</v>
      </c>
      <c r="R164">
        <v>802318</v>
      </c>
    </row>
    <row r="165" spans="1:18" x14ac:dyDescent="0.25">
      <c r="A165" s="170">
        <v>42240</v>
      </c>
      <c r="B165" s="116">
        <v>1.6313428190010799</v>
      </c>
      <c r="C165" s="116">
        <v>1.4096069018552999</v>
      </c>
      <c r="D165" s="116">
        <v>1.4048554179164601</v>
      </c>
      <c r="E165" s="116">
        <v>1.6313428190010799</v>
      </c>
      <c r="F165" s="116">
        <v>89</v>
      </c>
      <c r="G165">
        <v>8510</v>
      </c>
      <c r="H165" s="116"/>
      <c r="I165" s="116"/>
      <c r="L165" s="170">
        <v>45737</v>
      </c>
      <c r="M165" s="116">
        <v>115.041884097638</v>
      </c>
      <c r="N165" s="116">
        <v>117.332267746339</v>
      </c>
      <c r="O165" s="116">
        <v>110.385087467498</v>
      </c>
      <c r="P165" s="116">
        <v>111.91517778882999</v>
      </c>
      <c r="Q165" s="116">
        <v>121.05</v>
      </c>
      <c r="R165">
        <v>1035601</v>
      </c>
    </row>
    <row r="166" spans="1:18" x14ac:dyDescent="0.25">
      <c r="A166" s="170">
        <v>42241</v>
      </c>
      <c r="B166" s="116">
        <v>1.37793034226304</v>
      </c>
      <c r="C166" s="116">
        <v>1.3272478469154401</v>
      </c>
      <c r="D166" s="116">
        <v>1.18945481268913</v>
      </c>
      <c r="E166" s="116">
        <v>1.3620920624669199</v>
      </c>
      <c r="F166" s="116">
        <v>83.8</v>
      </c>
      <c r="G166">
        <v>18177</v>
      </c>
      <c r="H166" s="116"/>
      <c r="I166" s="116"/>
      <c r="L166" s="170">
        <v>45740</v>
      </c>
      <c r="M166" s="116">
        <v>115.203446429704</v>
      </c>
      <c r="N166" s="116">
        <v>119.366052397053</v>
      </c>
      <c r="O166" s="116">
        <v>114.75677409987399</v>
      </c>
      <c r="P166" s="116">
        <v>117.322764079747</v>
      </c>
      <c r="Q166" s="116">
        <v>121.22</v>
      </c>
      <c r="R166">
        <v>934943</v>
      </c>
    </row>
    <row r="167" spans="1:18" x14ac:dyDescent="0.25">
      <c r="A167" s="170">
        <v>42242</v>
      </c>
      <c r="B167" s="116">
        <v>1.4206936977125899</v>
      </c>
      <c r="C167" s="116">
        <v>1.35575675054847</v>
      </c>
      <c r="D167" s="116">
        <v>1.3478376106504</v>
      </c>
      <c r="E167" s="116">
        <v>1.3478376106504</v>
      </c>
      <c r="F167" s="116">
        <v>85.6</v>
      </c>
      <c r="G167">
        <v>109</v>
      </c>
      <c r="H167" s="116"/>
      <c r="I167" s="116"/>
      <c r="L167" s="170">
        <v>45741</v>
      </c>
      <c r="M167" s="116">
        <v>108.06619281902</v>
      </c>
      <c r="N167" s="116">
        <v>116.895099083102</v>
      </c>
      <c r="O167" s="116">
        <v>107.23937382550599</v>
      </c>
      <c r="P167" s="116">
        <v>115.897214090929</v>
      </c>
      <c r="Q167" s="116">
        <v>113.71</v>
      </c>
      <c r="R167">
        <v>1549228</v>
      </c>
    </row>
    <row r="168" spans="1:18" x14ac:dyDescent="0.25">
      <c r="A168" s="170">
        <v>42243</v>
      </c>
      <c r="B168" s="116">
        <v>1.44128346144755</v>
      </c>
      <c r="C168" s="116">
        <v>1.4349481495291001</v>
      </c>
      <c r="D168" s="116">
        <v>1.3795141702426601</v>
      </c>
      <c r="E168" s="116">
        <v>1.3842656541814999</v>
      </c>
      <c r="F168" s="116">
        <v>90.6</v>
      </c>
      <c r="G168">
        <v>1154</v>
      </c>
      <c r="H168" s="116"/>
      <c r="I168" s="116"/>
      <c r="L168" s="170">
        <v>45742</v>
      </c>
      <c r="M168" s="116">
        <v>105.50020283914699</v>
      </c>
      <c r="N168" s="116">
        <v>109.9004004713</v>
      </c>
      <c r="O168" s="116">
        <v>104.549836179935</v>
      </c>
      <c r="P168" s="116">
        <v>108.77896781342901</v>
      </c>
      <c r="Q168" s="116">
        <v>111.01</v>
      </c>
      <c r="R168">
        <v>835294</v>
      </c>
    </row>
    <row r="169" spans="1:18" x14ac:dyDescent="0.25">
      <c r="A169" s="170">
        <v>42244</v>
      </c>
      <c r="B169" s="116">
        <v>1.4872144728563199</v>
      </c>
      <c r="C169" s="116">
        <v>1.41910986973297</v>
      </c>
      <c r="D169" s="116">
        <v>1.4064392458960699</v>
      </c>
      <c r="E169" s="116">
        <v>1.4286128376106499</v>
      </c>
      <c r="F169" s="116">
        <v>89.6</v>
      </c>
      <c r="G169">
        <v>2425</v>
      </c>
      <c r="H169" s="116"/>
      <c r="I169" s="116"/>
      <c r="L169" s="170">
        <v>45743</v>
      </c>
      <c r="M169" s="116">
        <v>105.81382383668701</v>
      </c>
      <c r="N169" s="116">
        <v>107.90463048695401</v>
      </c>
      <c r="O169" s="116">
        <v>104.25522251557901</v>
      </c>
      <c r="P169" s="116">
        <v>104.92998284362</v>
      </c>
      <c r="Q169" s="116">
        <v>111.34</v>
      </c>
      <c r="R169">
        <v>1720060</v>
      </c>
    </row>
    <row r="170" spans="1:18" x14ac:dyDescent="0.25">
      <c r="A170" s="170">
        <v>42247</v>
      </c>
      <c r="B170" s="116">
        <v>1.5157233764893501</v>
      </c>
      <c r="C170" s="116">
        <v>1.3177448790377599</v>
      </c>
      <c r="D170" s="116">
        <v>1.31457722307854</v>
      </c>
      <c r="E170" s="116">
        <v>1.51413954850974</v>
      </c>
      <c r="F170" s="116">
        <v>83.2</v>
      </c>
      <c r="G170">
        <v>3681</v>
      </c>
      <c r="H170" s="116"/>
      <c r="I170" s="116"/>
      <c r="L170" s="170">
        <v>45744</v>
      </c>
      <c r="M170" s="116">
        <v>107.638527822375</v>
      </c>
      <c r="N170" s="116">
        <v>111.01232946257799</v>
      </c>
      <c r="O170" s="116">
        <v>105.68077250439801</v>
      </c>
      <c r="P170" s="116">
        <v>106.44106583176701</v>
      </c>
      <c r="Q170" s="116">
        <v>113.26</v>
      </c>
      <c r="R170">
        <v>1404287</v>
      </c>
    </row>
    <row r="171" spans="1:18" x14ac:dyDescent="0.25">
      <c r="A171" s="170">
        <v>42248</v>
      </c>
      <c r="B171" s="116">
        <v>1.44128346144755</v>
      </c>
      <c r="C171" s="116">
        <v>1.3763465142834299</v>
      </c>
      <c r="D171" s="116">
        <v>1.2987389432824099</v>
      </c>
      <c r="E171" s="116">
        <v>1.39218479407956</v>
      </c>
      <c r="F171" s="116">
        <v>86.9</v>
      </c>
      <c r="G171">
        <v>4846</v>
      </c>
      <c r="H171" s="116"/>
      <c r="I171" s="116"/>
      <c r="L171" s="170">
        <v>45748</v>
      </c>
      <c r="M171" s="116">
        <v>109.14010714393</v>
      </c>
      <c r="N171" s="116">
        <v>112.390361118436</v>
      </c>
      <c r="O171" s="116">
        <v>107.39143249097999</v>
      </c>
      <c r="P171" s="116">
        <v>107.39143249097999</v>
      </c>
      <c r="Q171" s="116">
        <v>114.84</v>
      </c>
      <c r="R171">
        <v>769283</v>
      </c>
    </row>
    <row r="172" spans="1:18" x14ac:dyDescent="0.25">
      <c r="A172" s="170">
        <v>42249</v>
      </c>
      <c r="B172" s="116">
        <v>1.42544518165143</v>
      </c>
      <c r="C172" s="116">
        <v>1.37080311635479</v>
      </c>
      <c r="D172" s="116">
        <v>1.30744999717028</v>
      </c>
      <c r="E172" s="116">
        <v>1.3470456966605999</v>
      </c>
      <c r="F172" s="116">
        <v>86.55</v>
      </c>
      <c r="G172">
        <v>3027</v>
      </c>
      <c r="H172" s="116"/>
      <c r="I172" s="116"/>
      <c r="L172" s="170">
        <v>45749</v>
      </c>
      <c r="M172" s="116">
        <v>109.76734913900999</v>
      </c>
      <c r="N172" s="116">
        <v>110.727219464814</v>
      </c>
      <c r="O172" s="116">
        <v>106.450569498359</v>
      </c>
      <c r="P172" s="116">
        <v>109.9004004713</v>
      </c>
      <c r="Q172" s="116">
        <v>115.5</v>
      </c>
      <c r="R172">
        <v>573254</v>
      </c>
    </row>
    <row r="173" spans="1:18" x14ac:dyDescent="0.25">
      <c r="A173" s="170">
        <v>42250</v>
      </c>
      <c r="B173" s="116">
        <v>1.42148561170239</v>
      </c>
      <c r="C173" s="116">
        <v>1.3676354603955601</v>
      </c>
      <c r="D173" s="116">
        <v>1.3319993308542799</v>
      </c>
      <c r="E173" s="116">
        <v>1.3723869443343999</v>
      </c>
      <c r="F173" s="116">
        <v>86.35</v>
      </c>
      <c r="G173">
        <v>723</v>
      </c>
      <c r="H173" s="116"/>
      <c r="I173" s="116"/>
      <c r="L173" s="170">
        <v>45750</v>
      </c>
      <c r="M173" s="116">
        <v>111.60155679128999</v>
      </c>
      <c r="N173" s="116">
        <v>112.998595780332</v>
      </c>
      <c r="O173" s="116">
        <v>106.67865749657</v>
      </c>
      <c r="P173" s="116">
        <v>106.67865749657</v>
      </c>
      <c r="Q173" s="116">
        <v>117.43</v>
      </c>
      <c r="R173">
        <v>813730</v>
      </c>
    </row>
    <row r="174" spans="1:18" x14ac:dyDescent="0.25">
      <c r="A174" s="170">
        <v>42251</v>
      </c>
      <c r="B174" s="116">
        <v>1.4167341277635599</v>
      </c>
      <c r="C174" s="116">
        <v>1.3652597184261399</v>
      </c>
      <c r="D174" s="116">
        <v>1.3240801909562101</v>
      </c>
      <c r="E174" s="116">
        <v>1.4167341277635599</v>
      </c>
      <c r="F174" s="116">
        <v>86.2</v>
      </c>
      <c r="G174">
        <v>6329</v>
      </c>
      <c r="H174" s="116"/>
      <c r="I174" s="116"/>
      <c r="L174" s="170">
        <v>45751</v>
      </c>
      <c r="M174" s="116">
        <v>106.878234495005</v>
      </c>
      <c r="N174" s="116">
        <v>111.753615456764</v>
      </c>
      <c r="O174" s="116">
        <v>105.68077250439801</v>
      </c>
      <c r="P174" s="116">
        <v>111.573045791513</v>
      </c>
      <c r="Q174" s="116">
        <v>112.46</v>
      </c>
      <c r="R174">
        <v>974841</v>
      </c>
    </row>
    <row r="175" spans="1:18" x14ac:dyDescent="0.25">
      <c r="A175" s="170">
        <v>42254</v>
      </c>
      <c r="B175" s="116">
        <v>1.4096069018552999</v>
      </c>
      <c r="C175" s="116">
        <v>1.3692192883751699</v>
      </c>
      <c r="D175" s="116">
        <v>1.30428234121105</v>
      </c>
      <c r="E175" s="116">
        <v>1.3462537826707901</v>
      </c>
      <c r="F175" s="116">
        <v>86.45</v>
      </c>
      <c r="G175">
        <v>21409</v>
      </c>
      <c r="H175" s="116"/>
      <c r="I175" s="116"/>
      <c r="L175" s="170">
        <v>45754</v>
      </c>
      <c r="M175" s="116">
        <v>101.109508873587</v>
      </c>
      <c r="N175" s="116">
        <v>102.516051529221</v>
      </c>
      <c r="O175" s="116">
        <v>97.127472571487701</v>
      </c>
      <c r="P175" s="116">
        <v>97.887765898857495</v>
      </c>
      <c r="Q175" s="116">
        <v>106.39</v>
      </c>
      <c r="R175">
        <v>1376425</v>
      </c>
    </row>
    <row r="176" spans="1:18" x14ac:dyDescent="0.25">
      <c r="A176" s="170">
        <v>42255</v>
      </c>
      <c r="B176" s="116">
        <v>1.3953524500387799</v>
      </c>
      <c r="C176" s="116">
        <v>1.3605082344873101</v>
      </c>
      <c r="D176" s="116">
        <v>1.3462537826707901</v>
      </c>
      <c r="E176" s="116">
        <v>1.3953524500387799</v>
      </c>
      <c r="F176" s="116">
        <v>85.9</v>
      </c>
      <c r="G176">
        <v>3355</v>
      </c>
      <c r="H176" s="116"/>
      <c r="I176" s="116"/>
      <c r="L176" s="170">
        <v>45755</v>
      </c>
      <c r="M176" s="116">
        <v>107.163344492769</v>
      </c>
      <c r="N176" s="116">
        <v>107.48646915690099</v>
      </c>
      <c r="O176" s="116">
        <v>101.223552872692</v>
      </c>
      <c r="P176" s="116">
        <v>102.687117527879</v>
      </c>
      <c r="Q176" s="116">
        <v>112.76</v>
      </c>
      <c r="R176">
        <v>1287774</v>
      </c>
    </row>
    <row r="177" spans="1:18" x14ac:dyDescent="0.25">
      <c r="A177" s="170">
        <v>42256</v>
      </c>
      <c r="B177" s="116">
        <v>1.3937686220591701</v>
      </c>
      <c r="C177" s="116">
        <v>1.36684354640576</v>
      </c>
      <c r="D177" s="116">
        <v>1.3541729225688499</v>
      </c>
      <c r="E177" s="116">
        <v>1.37793034226304</v>
      </c>
      <c r="F177" s="116">
        <v>86.3</v>
      </c>
      <c r="G177">
        <v>1726</v>
      </c>
      <c r="H177" s="116"/>
      <c r="I177" s="116"/>
      <c r="L177" s="170">
        <v>45756</v>
      </c>
      <c r="M177" s="116">
        <v>107.724060821704</v>
      </c>
      <c r="N177" s="116">
        <v>108.15172581834899</v>
      </c>
      <c r="O177" s="116">
        <v>104.825442511107</v>
      </c>
      <c r="P177" s="116">
        <v>106.830716162044</v>
      </c>
      <c r="Q177" s="116">
        <v>113.35</v>
      </c>
      <c r="R177">
        <v>647463</v>
      </c>
    </row>
    <row r="178" spans="1:18" x14ac:dyDescent="0.25">
      <c r="A178" s="170">
        <v>42257</v>
      </c>
      <c r="B178" s="116">
        <v>1.4729600210398099</v>
      </c>
      <c r="C178" s="116">
        <v>1.35892440650769</v>
      </c>
      <c r="D178" s="116">
        <v>1.3462537826707901</v>
      </c>
      <c r="E178" s="116">
        <v>1.37001120236498</v>
      </c>
      <c r="F178" s="116">
        <v>85.8</v>
      </c>
      <c r="G178">
        <v>3765</v>
      </c>
      <c r="H178" s="116"/>
      <c r="I178" s="116"/>
      <c r="L178" s="170">
        <v>45758</v>
      </c>
      <c r="M178" s="116">
        <v>109.966926137445</v>
      </c>
      <c r="N178" s="116">
        <v>110.95530746302499</v>
      </c>
      <c r="O178" s="116">
        <v>109.04507047800899</v>
      </c>
      <c r="P178" s="116">
        <v>110.385087467498</v>
      </c>
      <c r="Q178" s="116">
        <v>115.71</v>
      </c>
      <c r="R178">
        <v>637916</v>
      </c>
    </row>
    <row r="179" spans="1:18" x14ac:dyDescent="0.25">
      <c r="A179" s="170">
        <v>42258</v>
      </c>
      <c r="B179" s="116">
        <v>1.4396996334679399</v>
      </c>
      <c r="C179" s="116">
        <v>1.3462537826707901</v>
      </c>
      <c r="D179" s="116">
        <v>1.3462537826707901</v>
      </c>
      <c r="E179" s="116">
        <v>1.3494214386300201</v>
      </c>
      <c r="F179" s="116">
        <v>85</v>
      </c>
      <c r="G179">
        <v>1597</v>
      </c>
      <c r="H179" s="116"/>
      <c r="I179" s="116"/>
      <c r="L179" s="170">
        <v>45762</v>
      </c>
      <c r="M179" s="116">
        <v>118.168590406446</v>
      </c>
      <c r="N179" s="116">
        <v>119.603644061856</v>
      </c>
      <c r="O179" s="116">
        <v>110.727219464814</v>
      </c>
      <c r="P179" s="116">
        <v>112.133762120448</v>
      </c>
      <c r="Q179" s="116">
        <v>124.34</v>
      </c>
      <c r="R179">
        <v>2165059</v>
      </c>
    </row>
    <row r="180" spans="1:18" x14ac:dyDescent="0.25">
      <c r="A180" s="170">
        <v>42261</v>
      </c>
      <c r="B180" s="116">
        <v>1.4096069018552999</v>
      </c>
      <c r="C180" s="116">
        <v>1.4096069018552999</v>
      </c>
      <c r="D180" s="116">
        <v>1.3478376106504</v>
      </c>
      <c r="E180" s="116">
        <v>1.3478376106504</v>
      </c>
      <c r="F180" s="116">
        <v>89</v>
      </c>
      <c r="G180">
        <v>63</v>
      </c>
      <c r="H180" s="116"/>
      <c r="I180" s="116"/>
      <c r="L180" s="170">
        <v>45763</v>
      </c>
      <c r="M180" s="116">
        <v>119.356548730461</v>
      </c>
      <c r="N180" s="116">
        <v>120.69656571995</v>
      </c>
      <c r="O180" s="116">
        <v>117.27524574678699</v>
      </c>
      <c r="P180" s="116">
        <v>119.033424066329</v>
      </c>
      <c r="Q180" s="116">
        <v>125.59</v>
      </c>
      <c r="R180">
        <v>1134842</v>
      </c>
    </row>
    <row r="181" spans="1:18" x14ac:dyDescent="0.25">
      <c r="A181" s="170">
        <v>42262</v>
      </c>
      <c r="B181" s="116">
        <v>1.4096069018552999</v>
      </c>
      <c r="C181" s="116">
        <v>1.4096069018552999</v>
      </c>
      <c r="D181" s="116">
        <v>1.4096069018552999</v>
      </c>
      <c r="E181" s="116">
        <v>1.4096069018552999</v>
      </c>
      <c r="F181" s="116">
        <v>89</v>
      </c>
      <c r="G181">
        <v>5</v>
      </c>
      <c r="H181" s="116"/>
      <c r="I181" s="116"/>
      <c r="L181" s="170">
        <v>45764</v>
      </c>
      <c r="M181" s="116">
        <v>120.82961705224</v>
      </c>
      <c r="N181" s="116">
        <v>121.36182238139899</v>
      </c>
      <c r="O181" s="116">
        <v>117.94050240823501</v>
      </c>
      <c r="P181" s="116">
        <v>118.795832401526</v>
      </c>
      <c r="Q181" s="116">
        <v>127.14</v>
      </c>
      <c r="R181">
        <v>891685</v>
      </c>
    </row>
    <row r="182" spans="1:18" x14ac:dyDescent="0.25">
      <c r="A182" s="170">
        <v>42263</v>
      </c>
      <c r="B182" s="116">
        <v>1.36288397645672</v>
      </c>
      <c r="C182" s="116">
        <v>1.3462537826707901</v>
      </c>
      <c r="D182" s="116">
        <v>1.3462537826707901</v>
      </c>
      <c r="E182" s="116">
        <v>1.35258909458924</v>
      </c>
      <c r="F182" s="116">
        <v>85</v>
      </c>
      <c r="G182">
        <v>2422</v>
      </c>
      <c r="H182" s="116"/>
      <c r="I182" s="116"/>
      <c r="L182" s="170">
        <v>45768</v>
      </c>
      <c r="M182" s="116">
        <v>124.84966802070799</v>
      </c>
      <c r="N182" s="116">
        <v>126.018619011539</v>
      </c>
      <c r="O182" s="116">
        <v>121.181252716149</v>
      </c>
      <c r="P182" s="116">
        <v>121.542392046649</v>
      </c>
      <c r="Q182" s="116">
        <v>131.37</v>
      </c>
      <c r="R182">
        <v>917819</v>
      </c>
    </row>
    <row r="183" spans="1:18" x14ac:dyDescent="0.25">
      <c r="A183" s="170">
        <v>42265</v>
      </c>
      <c r="B183" s="116">
        <v>1.36367589044653</v>
      </c>
      <c r="C183" s="116">
        <v>1.3541729225688499</v>
      </c>
      <c r="D183" s="116">
        <v>1.3462537826707901</v>
      </c>
      <c r="E183" s="116">
        <v>1.36367589044653</v>
      </c>
      <c r="F183" s="116">
        <v>85.5</v>
      </c>
      <c r="G183">
        <v>3607</v>
      </c>
      <c r="H183" s="116"/>
      <c r="I183" s="116"/>
      <c r="L183" s="170">
        <v>45769</v>
      </c>
      <c r="M183" s="116">
        <v>127.206577335554</v>
      </c>
      <c r="N183" s="116">
        <v>129.02177765464899</v>
      </c>
      <c r="O183" s="116">
        <v>122.67332837111201</v>
      </c>
      <c r="P183" s="116">
        <v>125.999611678355</v>
      </c>
      <c r="Q183" s="116">
        <v>133.85</v>
      </c>
      <c r="R183">
        <v>868175</v>
      </c>
    </row>
    <row r="184" spans="1:18" x14ac:dyDescent="0.25">
      <c r="A184" s="170">
        <v>42268</v>
      </c>
      <c r="B184" s="116">
        <v>1.3462537826707901</v>
      </c>
      <c r="C184" s="116">
        <v>1.2939874593435701</v>
      </c>
      <c r="D184" s="116">
        <v>1.2512241038940299</v>
      </c>
      <c r="E184" s="116">
        <v>1.3462537826707901</v>
      </c>
      <c r="F184" s="116">
        <v>81.7</v>
      </c>
      <c r="G184">
        <v>27533</v>
      </c>
      <c r="H184" s="116"/>
      <c r="I184" s="116"/>
      <c r="L184" s="170">
        <v>45770</v>
      </c>
      <c r="M184" s="116">
        <v>126.10415201086801</v>
      </c>
      <c r="N184" s="116">
        <v>129.72504898246601</v>
      </c>
      <c r="O184" s="116">
        <v>124.05136002697</v>
      </c>
      <c r="P184" s="116">
        <v>128.15694399476601</v>
      </c>
      <c r="Q184" s="116">
        <v>132.69</v>
      </c>
      <c r="R184">
        <v>755569</v>
      </c>
    </row>
    <row r="185" spans="1:18" x14ac:dyDescent="0.25">
      <c r="A185" s="170">
        <v>42269</v>
      </c>
      <c r="B185" s="116">
        <v>1.27498152358822</v>
      </c>
      <c r="C185" s="116">
        <v>1.27498152358822</v>
      </c>
      <c r="D185" s="116">
        <v>1.26627046970035</v>
      </c>
      <c r="E185" s="116">
        <v>1.27023003964938</v>
      </c>
      <c r="F185" s="116">
        <v>80.5</v>
      </c>
      <c r="G185">
        <v>2152</v>
      </c>
      <c r="H185" s="116"/>
      <c r="I185" s="116"/>
      <c r="L185" s="170">
        <v>45771</v>
      </c>
      <c r="M185" s="116">
        <v>127.90984866337099</v>
      </c>
      <c r="N185" s="116">
        <v>128.917237322136</v>
      </c>
      <c r="O185" s="116">
        <v>126.10415201086801</v>
      </c>
      <c r="P185" s="116">
        <v>126.864445338238</v>
      </c>
      <c r="Q185" s="116">
        <v>134.59</v>
      </c>
      <c r="R185">
        <v>702402</v>
      </c>
    </row>
    <row r="186" spans="1:18" x14ac:dyDescent="0.25">
      <c r="A186" s="170">
        <v>42270</v>
      </c>
      <c r="B186" s="116">
        <v>1.2987389432824099</v>
      </c>
      <c r="C186" s="116">
        <v>1.2987389432824099</v>
      </c>
      <c r="D186" s="116">
        <v>1.2987389432824099</v>
      </c>
      <c r="E186" s="116">
        <v>1.2987389432824099</v>
      </c>
      <c r="F186" s="116">
        <v>82</v>
      </c>
      <c r="G186">
        <v>500</v>
      </c>
      <c r="H186" s="116"/>
      <c r="I186" s="116"/>
      <c r="L186" s="170">
        <v>45772</v>
      </c>
      <c r="M186" s="116">
        <v>123.376599698929</v>
      </c>
      <c r="N186" s="116">
        <v>128.242476994095</v>
      </c>
      <c r="O186" s="116">
        <v>118.909876400632</v>
      </c>
      <c r="P186" s="116">
        <v>127.90984866337099</v>
      </c>
      <c r="Q186" s="116">
        <v>129.82</v>
      </c>
      <c r="R186">
        <v>1713254</v>
      </c>
    </row>
    <row r="187" spans="1:18" x14ac:dyDescent="0.25">
      <c r="A187" s="170">
        <v>42271</v>
      </c>
      <c r="B187" s="116">
        <v>1.31457722307854</v>
      </c>
      <c r="C187" s="116">
        <v>1.27498152358822</v>
      </c>
      <c r="D187" s="116">
        <v>1.27023003964938</v>
      </c>
      <c r="E187" s="116">
        <v>1.29953085727222</v>
      </c>
      <c r="F187" s="116">
        <v>80.5</v>
      </c>
      <c r="G187">
        <v>420</v>
      </c>
      <c r="H187" s="116"/>
      <c r="I187" s="116"/>
      <c r="L187" s="170">
        <v>45775</v>
      </c>
      <c r="M187" s="116">
        <v>111.059847795539</v>
      </c>
      <c r="N187" s="116">
        <v>115.71664442567899</v>
      </c>
      <c r="O187" s="116">
        <v>105.823327503279</v>
      </c>
      <c r="P187" s="116">
        <v>111.202402794421</v>
      </c>
      <c r="Q187" s="116">
        <v>116.86</v>
      </c>
      <c r="R187">
        <v>4443793</v>
      </c>
    </row>
    <row r="188" spans="1:18" x14ac:dyDescent="0.25">
      <c r="A188" s="170">
        <v>42275</v>
      </c>
      <c r="B188" s="116">
        <v>1.2829006634862801</v>
      </c>
      <c r="C188" s="116">
        <v>1.2543917598532499</v>
      </c>
      <c r="D188" s="116">
        <v>1.2543917598532499</v>
      </c>
      <c r="E188" s="116">
        <v>1.26706238369016</v>
      </c>
      <c r="F188" s="116">
        <v>79.2</v>
      </c>
      <c r="G188">
        <v>2061</v>
      </c>
      <c r="H188" s="116"/>
      <c r="I188" s="116"/>
      <c r="L188" s="170">
        <v>45776</v>
      </c>
      <c r="M188" s="116">
        <v>111.126373461684</v>
      </c>
      <c r="N188" s="116">
        <v>114.03449543887299</v>
      </c>
      <c r="O188" s="116">
        <v>110.717715798222</v>
      </c>
      <c r="P188" s="116">
        <v>112.143265787041</v>
      </c>
      <c r="Q188" s="116">
        <v>116.93</v>
      </c>
      <c r="R188">
        <v>1004426</v>
      </c>
    </row>
    <row r="189" spans="1:18" x14ac:dyDescent="0.25">
      <c r="A189" s="170">
        <v>42276</v>
      </c>
      <c r="B189" s="116">
        <v>1.3224963629766</v>
      </c>
      <c r="C189" s="116">
        <v>1.24092922202655</v>
      </c>
      <c r="D189" s="116">
        <v>1.2353858240979001</v>
      </c>
      <c r="E189" s="116">
        <v>1.2623108997513199</v>
      </c>
      <c r="F189" s="116">
        <v>78.349999999999994</v>
      </c>
      <c r="G189">
        <v>2342</v>
      </c>
      <c r="H189" s="116"/>
      <c r="I189" s="116"/>
      <c r="L189" s="170">
        <v>45777</v>
      </c>
      <c r="M189" s="116">
        <v>107.80009015444099</v>
      </c>
      <c r="N189" s="116">
        <v>113.891940439991</v>
      </c>
      <c r="O189" s="116">
        <v>106.726175829531</v>
      </c>
      <c r="P189" s="116">
        <v>112.523412450725</v>
      </c>
      <c r="Q189" s="116">
        <v>113.43</v>
      </c>
      <c r="R189">
        <v>1016108</v>
      </c>
    </row>
    <row r="190" spans="1:18" x14ac:dyDescent="0.25">
      <c r="A190" s="170">
        <v>42277</v>
      </c>
      <c r="B190" s="116">
        <v>1.3280397609052399</v>
      </c>
      <c r="C190" s="116">
        <v>1.2575594158124801</v>
      </c>
      <c r="D190" s="116">
        <v>1.2512241038940299</v>
      </c>
      <c r="E190" s="116">
        <v>1.2908198033843501</v>
      </c>
      <c r="F190" s="116">
        <v>79.400000000000006</v>
      </c>
      <c r="G190">
        <v>2540</v>
      </c>
      <c r="H190" s="116"/>
      <c r="I190" s="116"/>
      <c r="L190" s="170">
        <v>45779</v>
      </c>
      <c r="M190" s="116">
        <v>109.349187808957</v>
      </c>
      <c r="N190" s="116">
        <v>112.124258453856</v>
      </c>
      <c r="O190" s="116">
        <v>107.942645153323</v>
      </c>
      <c r="P190" s="116">
        <v>111.95319245519801</v>
      </c>
      <c r="Q190" s="116">
        <v>115.06</v>
      </c>
      <c r="R190">
        <v>1364157</v>
      </c>
    </row>
    <row r="191" spans="1:18" x14ac:dyDescent="0.25">
      <c r="A191" s="170">
        <v>42278</v>
      </c>
      <c r="B191" s="116">
        <v>1.2829006634862801</v>
      </c>
      <c r="C191" s="116">
        <v>1.21162840440371</v>
      </c>
      <c r="D191" s="116">
        <v>1.19262246864836</v>
      </c>
      <c r="E191" s="116">
        <v>1.2829006634862801</v>
      </c>
      <c r="F191" s="116">
        <v>76.5</v>
      </c>
      <c r="G191">
        <v>798</v>
      </c>
      <c r="H191" s="116"/>
      <c r="I191" s="116"/>
      <c r="L191" s="170">
        <v>45782</v>
      </c>
      <c r="M191" s="116">
        <v>117.712414410024</v>
      </c>
      <c r="N191" s="116">
        <v>118.795832401526</v>
      </c>
      <c r="O191" s="116">
        <v>110.052459136774</v>
      </c>
      <c r="P191" s="116">
        <v>110.755730464591</v>
      </c>
      <c r="Q191" s="116">
        <v>123.86</v>
      </c>
      <c r="R191">
        <v>2647365</v>
      </c>
    </row>
    <row r="192" spans="1:18" x14ac:dyDescent="0.25">
      <c r="A192" s="170">
        <v>42282</v>
      </c>
      <c r="B192" s="116">
        <v>1.31457722307854</v>
      </c>
      <c r="C192" s="116">
        <v>1.31457722307854</v>
      </c>
      <c r="D192" s="116">
        <v>1.26706238369016</v>
      </c>
      <c r="E192" s="116">
        <v>1.26706238369016</v>
      </c>
      <c r="F192" s="116">
        <v>83</v>
      </c>
      <c r="G192">
        <v>4064</v>
      </c>
      <c r="H192" s="116"/>
      <c r="I192" s="116"/>
      <c r="L192" s="170">
        <v>45783</v>
      </c>
      <c r="M192" s="116">
        <v>108.67442748091599</v>
      </c>
      <c r="N192" s="116">
        <v>120.420959388779</v>
      </c>
      <c r="O192" s="116">
        <v>106.916249161373</v>
      </c>
      <c r="P192" s="116">
        <v>119.55612572889601</v>
      </c>
      <c r="Q192" s="116">
        <v>114.35</v>
      </c>
      <c r="R192">
        <v>2937184</v>
      </c>
    </row>
    <row r="193" spans="1:18" x14ac:dyDescent="0.25">
      <c r="A193" s="170">
        <v>42283</v>
      </c>
      <c r="B193" s="116">
        <v>1.3541729225688499</v>
      </c>
      <c r="C193" s="116">
        <v>1.31457722307854</v>
      </c>
      <c r="D193" s="116">
        <v>1.2987389432824099</v>
      </c>
      <c r="E193" s="116">
        <v>1.3541729225688499</v>
      </c>
      <c r="F193" s="116">
        <v>83</v>
      </c>
      <c r="G193">
        <v>4028</v>
      </c>
      <c r="H193" s="116"/>
      <c r="I193" s="116"/>
      <c r="L193" s="170">
        <v>45784</v>
      </c>
      <c r="M193" s="116">
        <v>108.38</v>
      </c>
      <c r="N193" s="116">
        <v>110.95</v>
      </c>
      <c r="O193" s="116">
        <v>107.07</v>
      </c>
      <c r="P193" s="116">
        <v>109</v>
      </c>
      <c r="Q193" s="116">
        <v>108.38</v>
      </c>
      <c r="R193">
        <v>2366829</v>
      </c>
    </row>
    <row r="194" spans="1:18" x14ac:dyDescent="0.25">
      <c r="A194" s="170">
        <v>42284</v>
      </c>
      <c r="B194" s="116">
        <v>1.3937686220591701</v>
      </c>
      <c r="C194" s="116">
        <v>1.38901713812033</v>
      </c>
      <c r="D194" s="116">
        <v>1.31457722307854</v>
      </c>
      <c r="E194" s="116">
        <v>1.31457722307854</v>
      </c>
      <c r="F194" s="116">
        <v>87.7</v>
      </c>
      <c r="G194">
        <v>4573</v>
      </c>
      <c r="H194" s="116"/>
      <c r="I194" s="116"/>
      <c r="L194" s="170">
        <v>45785</v>
      </c>
      <c r="M194" s="116">
        <v>105.57</v>
      </c>
      <c r="N194" s="116">
        <v>110.72</v>
      </c>
      <c r="O194" s="116">
        <v>104.72</v>
      </c>
      <c r="P194" s="116">
        <v>109.22</v>
      </c>
      <c r="Q194" s="116">
        <v>105.57</v>
      </c>
      <c r="R194">
        <v>1113764</v>
      </c>
    </row>
    <row r="195" spans="1:18" x14ac:dyDescent="0.25">
      <c r="A195" s="170">
        <v>42285</v>
      </c>
      <c r="B195" s="116">
        <v>1.4246532676616199</v>
      </c>
      <c r="C195" s="116">
        <v>1.3898090521101401</v>
      </c>
      <c r="D195" s="116">
        <v>1.36367589044653</v>
      </c>
      <c r="E195" s="116">
        <v>1.3795141702426601</v>
      </c>
      <c r="F195" s="116">
        <v>87.75</v>
      </c>
      <c r="G195">
        <v>2314</v>
      </c>
      <c r="H195" s="116"/>
      <c r="I195" s="116"/>
      <c r="L195" s="170">
        <v>45786</v>
      </c>
      <c r="M195" s="116">
        <v>105.97</v>
      </c>
      <c r="N195" s="116">
        <v>110.77</v>
      </c>
      <c r="O195" s="116">
        <v>102.76</v>
      </c>
      <c r="P195" s="116">
        <v>102.97</v>
      </c>
      <c r="Q195" s="116">
        <v>105.97</v>
      </c>
      <c r="R195">
        <v>2263827</v>
      </c>
    </row>
    <row r="196" spans="1:18" x14ac:dyDescent="0.25">
      <c r="A196" s="170">
        <v>42286</v>
      </c>
      <c r="B196" s="116">
        <v>1.6677708625321701</v>
      </c>
      <c r="C196" s="116">
        <v>1.6677708625321701</v>
      </c>
      <c r="D196" s="116">
        <v>1.4008958479674301</v>
      </c>
      <c r="E196" s="116">
        <v>1.4008958479674301</v>
      </c>
      <c r="F196" s="116">
        <v>105.3</v>
      </c>
      <c r="G196">
        <v>29293</v>
      </c>
      <c r="H196" s="116"/>
      <c r="I196" s="116"/>
      <c r="L196" s="170">
        <v>45789</v>
      </c>
      <c r="M196" s="116">
        <v>109.97</v>
      </c>
      <c r="N196" s="116">
        <v>113.03</v>
      </c>
      <c r="O196" s="116">
        <v>108.65</v>
      </c>
      <c r="P196" s="116">
        <v>113</v>
      </c>
      <c r="Q196" s="116">
        <v>109.97</v>
      </c>
      <c r="R196">
        <v>1722370</v>
      </c>
    </row>
    <row r="197" spans="1:18" x14ac:dyDescent="0.25">
      <c r="A197" s="170">
        <v>42289</v>
      </c>
      <c r="B197" s="116">
        <v>1.88317146775949</v>
      </c>
      <c r="C197" s="116">
        <v>1.67648191642004</v>
      </c>
      <c r="D197" s="116">
        <v>1.66222746460352</v>
      </c>
      <c r="E197" s="116">
        <v>1.88317146775949</v>
      </c>
      <c r="F197" s="116">
        <v>105.85</v>
      </c>
      <c r="G197">
        <v>15891</v>
      </c>
      <c r="H197" s="116"/>
      <c r="I197" s="116"/>
      <c r="L197" s="170">
        <v>45790</v>
      </c>
      <c r="M197" s="116">
        <v>113.99</v>
      </c>
      <c r="N197" s="116">
        <v>114.5</v>
      </c>
      <c r="O197" s="116">
        <v>108.71</v>
      </c>
      <c r="P197" s="116">
        <v>110.01</v>
      </c>
      <c r="Q197" s="116">
        <v>113.99</v>
      </c>
      <c r="R197">
        <v>1116449</v>
      </c>
    </row>
    <row r="198" spans="1:18" x14ac:dyDescent="0.25">
      <c r="A198" s="170">
        <v>42290</v>
      </c>
      <c r="B198" s="116">
        <v>1.74062694959435</v>
      </c>
      <c r="C198" s="116">
        <v>1.5869956355719199</v>
      </c>
      <c r="D198" s="116">
        <v>1.5386888821937299</v>
      </c>
      <c r="E198" s="116">
        <v>1.74062694959435</v>
      </c>
      <c r="F198" s="116">
        <v>100.2</v>
      </c>
      <c r="G198">
        <v>5139</v>
      </c>
      <c r="H198" s="116"/>
      <c r="I198" s="116"/>
      <c r="L198" s="170">
        <v>45791</v>
      </c>
      <c r="M198" s="116">
        <v>117.18</v>
      </c>
      <c r="N198" s="116">
        <v>118.29</v>
      </c>
      <c r="O198" s="116">
        <v>114.56</v>
      </c>
      <c r="P198" s="116">
        <v>114.9</v>
      </c>
      <c r="Q198" s="116">
        <v>117.18</v>
      </c>
      <c r="R198">
        <v>1367791</v>
      </c>
    </row>
    <row r="199" spans="1:18" x14ac:dyDescent="0.25">
      <c r="A199" s="170">
        <v>42291</v>
      </c>
      <c r="B199" s="116">
        <v>1.64322152884817</v>
      </c>
      <c r="C199" s="116">
        <v>1.6384700449093299</v>
      </c>
      <c r="D199" s="116">
        <v>1.5862037215821101</v>
      </c>
      <c r="E199" s="116">
        <v>1.5862037215821101</v>
      </c>
      <c r="F199" s="116">
        <v>103.45</v>
      </c>
      <c r="G199">
        <v>2133</v>
      </c>
      <c r="H199" s="116"/>
      <c r="I199" s="116"/>
      <c r="L199" s="170">
        <v>45792</v>
      </c>
      <c r="M199" s="116">
        <v>113.29</v>
      </c>
      <c r="N199" s="116">
        <v>117.92</v>
      </c>
      <c r="O199" s="116">
        <v>112.9</v>
      </c>
      <c r="P199" s="116">
        <v>117</v>
      </c>
      <c r="Q199" s="116">
        <v>113.29</v>
      </c>
      <c r="R199">
        <v>1572658</v>
      </c>
    </row>
    <row r="200" spans="1:18" x14ac:dyDescent="0.25">
      <c r="A200" s="170">
        <v>42292</v>
      </c>
      <c r="B200" s="116">
        <v>1.6313428190010799</v>
      </c>
      <c r="C200" s="116">
        <v>1.58382797961269</v>
      </c>
      <c r="D200" s="116">
        <v>1.5830360656228899</v>
      </c>
      <c r="E200" s="116">
        <v>1.6313428190010799</v>
      </c>
      <c r="F200" s="116">
        <v>100</v>
      </c>
      <c r="G200">
        <v>3209</v>
      </c>
      <c r="H200" s="116"/>
      <c r="I200" s="116"/>
      <c r="L200" s="170">
        <v>45793</v>
      </c>
      <c r="M200" s="116">
        <v>122.2</v>
      </c>
      <c r="N200" s="116">
        <v>123</v>
      </c>
      <c r="O200" s="116">
        <v>113.2</v>
      </c>
      <c r="P200" s="116">
        <v>114.04</v>
      </c>
      <c r="Q200" s="116">
        <v>122.2</v>
      </c>
      <c r="R200">
        <v>3192883</v>
      </c>
    </row>
    <row r="201" spans="1:18" x14ac:dyDescent="0.25">
      <c r="A201" s="170">
        <v>42293</v>
      </c>
      <c r="B201" s="116">
        <v>1.65510023869527</v>
      </c>
      <c r="C201" s="116">
        <v>1.6162964531947599</v>
      </c>
      <c r="D201" s="116">
        <v>1.59570668945979</v>
      </c>
      <c r="E201" s="116">
        <v>1.6155045392049501</v>
      </c>
      <c r="F201" s="116">
        <v>102.05</v>
      </c>
      <c r="G201">
        <v>230</v>
      </c>
      <c r="H201" s="116"/>
      <c r="I201" s="116"/>
      <c r="L201" s="170">
        <v>45796</v>
      </c>
      <c r="M201" s="116">
        <v>133.83000000000001</v>
      </c>
      <c r="N201" s="116">
        <v>139.6</v>
      </c>
      <c r="O201" s="116">
        <v>125.76</v>
      </c>
      <c r="P201" s="116">
        <v>126</v>
      </c>
      <c r="Q201" s="116">
        <v>133.83000000000001</v>
      </c>
      <c r="R201">
        <v>10340939</v>
      </c>
    </row>
    <row r="202" spans="1:18" x14ac:dyDescent="0.25">
      <c r="A202" s="170">
        <v>42296</v>
      </c>
      <c r="B202" s="116">
        <v>1.6313428190010799</v>
      </c>
      <c r="C202" s="116">
        <v>1.5901632915311501</v>
      </c>
      <c r="D202" s="116">
        <v>1.53631314022431</v>
      </c>
      <c r="E202" s="116">
        <v>1.6273832490520399</v>
      </c>
      <c r="F202" s="116">
        <v>100.4</v>
      </c>
      <c r="G202">
        <v>3167</v>
      </c>
      <c r="H202" s="116"/>
      <c r="I202" s="116"/>
      <c r="L202" s="170">
        <v>45797</v>
      </c>
      <c r="M202" s="116">
        <v>133.76</v>
      </c>
      <c r="N202" s="116">
        <v>136.66</v>
      </c>
      <c r="O202" s="116">
        <v>129.31</v>
      </c>
      <c r="P202" s="116">
        <v>135.94999999999999</v>
      </c>
      <c r="Q202" s="116">
        <v>133.76</v>
      </c>
      <c r="R202">
        <v>3245723</v>
      </c>
    </row>
    <row r="203" spans="1:18" x14ac:dyDescent="0.25">
      <c r="A203" s="170">
        <v>42297</v>
      </c>
      <c r="B203" s="116">
        <v>1.6305509050112701</v>
      </c>
      <c r="C203" s="116">
        <v>1.6170883671845599</v>
      </c>
      <c r="D203" s="116">
        <v>1.5640301298675401</v>
      </c>
      <c r="E203" s="116">
        <v>1.6265913350622401</v>
      </c>
      <c r="F203" s="116">
        <v>102.1</v>
      </c>
      <c r="G203">
        <v>796</v>
      </c>
      <c r="H203" s="116"/>
      <c r="I203" s="116"/>
      <c r="L203" s="170">
        <v>45798</v>
      </c>
      <c r="M203" s="116">
        <v>132.46</v>
      </c>
      <c r="N203" s="116">
        <v>135.69</v>
      </c>
      <c r="O203" s="116">
        <v>130.21</v>
      </c>
      <c r="P203" s="116">
        <v>133.25</v>
      </c>
      <c r="Q203" s="116">
        <v>132.46</v>
      </c>
      <c r="R203">
        <v>2082111</v>
      </c>
    </row>
    <row r="204" spans="1:18" x14ac:dyDescent="0.25">
      <c r="A204" s="170">
        <v>42298</v>
      </c>
      <c r="B204" s="116">
        <v>1.6392619588991399</v>
      </c>
      <c r="C204" s="116">
        <v>1.5893713775413401</v>
      </c>
      <c r="D204" s="116">
        <v>1.5489837640612201</v>
      </c>
      <c r="E204" s="116">
        <v>1.5933309474903701</v>
      </c>
      <c r="F204" s="116">
        <v>100.35</v>
      </c>
      <c r="G204">
        <v>1910</v>
      </c>
      <c r="H204" s="116"/>
      <c r="I204" s="116"/>
      <c r="L204" s="170">
        <v>45799</v>
      </c>
      <c r="M204" s="116">
        <v>128.76</v>
      </c>
      <c r="N204" s="116">
        <v>133</v>
      </c>
      <c r="O204" s="116">
        <v>127.24</v>
      </c>
      <c r="P204" s="116">
        <v>132.5</v>
      </c>
      <c r="Q204" s="116">
        <v>128.76</v>
      </c>
      <c r="R204">
        <v>1199782</v>
      </c>
    </row>
    <row r="205" spans="1:18" x14ac:dyDescent="0.25">
      <c r="A205" s="170">
        <v>42300</v>
      </c>
      <c r="B205" s="116">
        <v>1.6471810987972</v>
      </c>
      <c r="C205" s="116">
        <v>1.5711573557757901</v>
      </c>
      <c r="D205" s="116">
        <v>1.5489837640612201</v>
      </c>
      <c r="E205" s="116">
        <v>1.6265913350622401</v>
      </c>
      <c r="F205" s="116">
        <v>99.2</v>
      </c>
      <c r="G205">
        <v>2167</v>
      </c>
      <c r="H205" s="116"/>
      <c r="I205" s="116"/>
      <c r="L205" s="170">
        <v>45800</v>
      </c>
      <c r="M205" s="116">
        <v>128.09</v>
      </c>
      <c r="N205" s="116">
        <v>132</v>
      </c>
      <c r="O205" s="116">
        <v>127.5</v>
      </c>
      <c r="P205" s="116">
        <v>129.08000000000001</v>
      </c>
      <c r="Q205" s="116">
        <v>128.09</v>
      </c>
      <c r="R205">
        <v>999418</v>
      </c>
    </row>
    <row r="206" spans="1:18" x14ac:dyDescent="0.25">
      <c r="A206" s="170">
        <v>42303</v>
      </c>
      <c r="B206" s="116">
        <v>1.6155045392049501</v>
      </c>
      <c r="C206" s="116">
        <v>1.53631314022431</v>
      </c>
      <c r="D206" s="116">
        <v>1.5307697422956701</v>
      </c>
      <c r="E206" s="116">
        <v>1.5537352480000499</v>
      </c>
      <c r="F206" s="116">
        <v>97</v>
      </c>
      <c r="G206">
        <v>535</v>
      </c>
      <c r="H206" s="116"/>
      <c r="I206" s="116"/>
      <c r="L206" s="170">
        <v>45803</v>
      </c>
      <c r="M206" s="116">
        <v>128.5</v>
      </c>
      <c r="N206" s="116">
        <v>130.69</v>
      </c>
      <c r="O206" s="116">
        <v>127.29</v>
      </c>
      <c r="P206" s="116">
        <v>128.94999999999999</v>
      </c>
      <c r="Q206" s="116">
        <v>128.5</v>
      </c>
      <c r="R206">
        <v>1217609</v>
      </c>
    </row>
    <row r="207" spans="1:18" x14ac:dyDescent="0.25">
      <c r="A207" s="170">
        <v>42304</v>
      </c>
      <c r="B207" s="116">
        <v>1.59887434541902</v>
      </c>
      <c r="C207" s="116">
        <v>1.4761276769990299</v>
      </c>
      <c r="D207" s="116">
        <v>1.42544518165143</v>
      </c>
      <c r="E207" s="116">
        <v>1.59887434541902</v>
      </c>
      <c r="F207" s="116">
        <v>93.2</v>
      </c>
      <c r="G207">
        <v>6500</v>
      </c>
      <c r="H207" s="116"/>
      <c r="I207" s="116"/>
      <c r="L207" s="170">
        <v>45804</v>
      </c>
      <c r="M207" s="116">
        <v>138.9</v>
      </c>
      <c r="N207" s="116">
        <v>142.5</v>
      </c>
      <c r="O207" s="116">
        <v>128.53</v>
      </c>
      <c r="P207" s="116">
        <v>128.94999999999999</v>
      </c>
      <c r="Q207" s="116">
        <v>138.9</v>
      </c>
      <c r="R207">
        <v>11561589</v>
      </c>
    </row>
    <row r="208" spans="1:18" x14ac:dyDescent="0.25">
      <c r="A208" s="170">
        <v>42305</v>
      </c>
      <c r="B208" s="116">
        <v>1.5307697422956701</v>
      </c>
      <c r="C208" s="116">
        <v>1.45237025730484</v>
      </c>
      <c r="D208" s="116">
        <v>1.4468268593761999</v>
      </c>
      <c r="E208" s="116">
        <v>1.5307697422956701</v>
      </c>
      <c r="F208" s="116">
        <v>91.7</v>
      </c>
      <c r="G208">
        <v>748</v>
      </c>
      <c r="H208" s="116"/>
      <c r="I208" s="116"/>
      <c r="L208" s="170">
        <v>45805</v>
      </c>
      <c r="M208" s="116">
        <v>146.78</v>
      </c>
      <c r="N208" s="116">
        <v>149.25</v>
      </c>
      <c r="O208" s="116">
        <v>140.01</v>
      </c>
      <c r="P208" s="116">
        <v>140.01</v>
      </c>
      <c r="Q208" s="116">
        <v>146.78</v>
      </c>
      <c r="R208">
        <v>6334734</v>
      </c>
    </row>
    <row r="209" spans="1:18" x14ac:dyDescent="0.25">
      <c r="A209" s="170">
        <v>42306</v>
      </c>
      <c r="B209" s="116">
        <v>1.4729600210398099</v>
      </c>
      <c r="C209" s="116">
        <v>1.4729600210398099</v>
      </c>
      <c r="D209" s="116">
        <v>1.4571217412436801</v>
      </c>
      <c r="E209" s="116">
        <v>1.4571217412436801</v>
      </c>
      <c r="F209" s="116">
        <v>93</v>
      </c>
      <c r="G209">
        <v>108</v>
      </c>
      <c r="H209" s="116"/>
      <c r="I209" s="116"/>
      <c r="L209" s="170">
        <v>45806</v>
      </c>
      <c r="M209" s="116">
        <v>146.97</v>
      </c>
      <c r="N209" s="116">
        <v>152.69999999999999</v>
      </c>
      <c r="O209" s="116">
        <v>145.21</v>
      </c>
      <c r="P209" s="116">
        <v>149</v>
      </c>
      <c r="Q209" s="116">
        <v>146.97</v>
      </c>
      <c r="R209">
        <v>4609104</v>
      </c>
    </row>
    <row r="210" spans="1:18" x14ac:dyDescent="0.25">
      <c r="A210" s="170">
        <v>42307</v>
      </c>
      <c r="B210" s="116">
        <v>1.5204748604281899</v>
      </c>
      <c r="C210" s="116">
        <v>1.4729600210398099</v>
      </c>
      <c r="D210" s="116">
        <v>1.4729600210398099</v>
      </c>
      <c r="E210" s="116">
        <v>1.50305275265245</v>
      </c>
      <c r="F210" s="116">
        <v>93</v>
      </c>
      <c r="G210">
        <v>332</v>
      </c>
      <c r="H210" s="116"/>
      <c r="I210" s="116"/>
      <c r="L210" s="170">
        <v>45807</v>
      </c>
      <c r="M210" s="116">
        <v>140.58000000000001</v>
      </c>
      <c r="N210" s="116">
        <v>148</v>
      </c>
      <c r="O210" s="116">
        <v>139.25</v>
      </c>
      <c r="P210" s="116">
        <v>148</v>
      </c>
      <c r="Q210" s="116">
        <v>140.58000000000001</v>
      </c>
      <c r="R210">
        <v>2355316</v>
      </c>
    </row>
    <row r="211" spans="1:18" x14ac:dyDescent="0.25">
      <c r="A211" s="170">
        <v>42310</v>
      </c>
      <c r="B211" s="116">
        <v>1.5830360656228899</v>
      </c>
      <c r="C211" s="116">
        <v>1.55215142002044</v>
      </c>
      <c r="D211" s="116">
        <v>1.48879830083593</v>
      </c>
      <c r="E211" s="116">
        <v>1.48879830083593</v>
      </c>
      <c r="F211" s="116">
        <v>98</v>
      </c>
      <c r="G211">
        <v>667</v>
      </c>
      <c r="H211" s="116"/>
      <c r="I211" s="116"/>
      <c r="L211" s="170">
        <v>45810</v>
      </c>
      <c r="M211" s="116">
        <v>151.43</v>
      </c>
      <c r="N211" s="116">
        <v>154</v>
      </c>
      <c r="O211" s="116">
        <v>139.75</v>
      </c>
      <c r="P211" s="116">
        <v>140.58000000000001</v>
      </c>
      <c r="Q211" s="116">
        <v>151.43</v>
      </c>
      <c r="R211">
        <v>4994570</v>
      </c>
    </row>
    <row r="212" spans="1:18" x14ac:dyDescent="0.25">
      <c r="A212" s="170">
        <v>42311</v>
      </c>
      <c r="B212" s="116">
        <v>1.70736656202248</v>
      </c>
      <c r="C212" s="116">
        <v>1.6455972708175901</v>
      </c>
      <c r="D212" s="116">
        <v>1.5679896998165701</v>
      </c>
      <c r="E212" s="116">
        <v>1.6155045392049501</v>
      </c>
      <c r="F212" s="116">
        <v>103.9</v>
      </c>
      <c r="G212">
        <v>10069</v>
      </c>
      <c r="H212" s="116"/>
      <c r="I212" s="116"/>
      <c r="L212" s="170">
        <v>45811</v>
      </c>
      <c r="M212" s="116">
        <v>156.94</v>
      </c>
      <c r="N212" s="116">
        <v>159</v>
      </c>
      <c r="O212" s="116">
        <v>151.16</v>
      </c>
      <c r="P212" s="116">
        <v>153.99</v>
      </c>
      <c r="Q212" s="116">
        <v>156.94</v>
      </c>
      <c r="R212">
        <v>6222476</v>
      </c>
    </row>
    <row r="213" spans="1:18" x14ac:dyDescent="0.25">
      <c r="A213" s="170">
        <v>42312</v>
      </c>
      <c r="B213" s="116">
        <v>1.75804905737009</v>
      </c>
      <c r="C213" s="116">
        <v>1.7271644117676399</v>
      </c>
      <c r="D213" s="116">
        <v>1.66301937859333</v>
      </c>
      <c r="E213" s="116">
        <v>1.70261507808365</v>
      </c>
      <c r="F213" s="116">
        <v>109.05</v>
      </c>
      <c r="G213">
        <v>45273</v>
      </c>
      <c r="H213" s="116"/>
      <c r="I213" s="116"/>
      <c r="L213" s="170">
        <v>45812</v>
      </c>
      <c r="M213" s="116">
        <v>160.43</v>
      </c>
      <c r="N213" s="116">
        <v>162.4</v>
      </c>
      <c r="O213" s="116">
        <v>155.30000000000001</v>
      </c>
      <c r="P213" s="116">
        <v>157.69999999999999</v>
      </c>
      <c r="Q213" s="116">
        <v>160.43</v>
      </c>
      <c r="R213">
        <v>5496639</v>
      </c>
    </row>
    <row r="214" spans="1:18" x14ac:dyDescent="0.25">
      <c r="A214" s="170">
        <v>42313</v>
      </c>
      <c r="B214" s="116">
        <v>1.93227013512749</v>
      </c>
      <c r="C214" s="116">
        <v>1.87287658589201</v>
      </c>
      <c r="D214" s="116">
        <v>1.7263724977778401</v>
      </c>
      <c r="E214" s="116">
        <v>1.75804905737009</v>
      </c>
      <c r="F214" s="116">
        <v>118.25</v>
      </c>
      <c r="G214">
        <v>28055</v>
      </c>
      <c r="H214" s="116"/>
      <c r="I214" s="116"/>
      <c r="L214" s="170">
        <v>45813</v>
      </c>
      <c r="M214" s="116">
        <v>181.43</v>
      </c>
      <c r="N214" s="116">
        <v>184.61</v>
      </c>
      <c r="O214" s="116">
        <v>164</v>
      </c>
      <c r="P214" s="116">
        <v>165</v>
      </c>
      <c r="Q214" s="116">
        <v>181.43</v>
      </c>
      <c r="R214">
        <v>22852041</v>
      </c>
    </row>
    <row r="215" spans="1:18" x14ac:dyDescent="0.25">
      <c r="A215" s="170">
        <v>42314</v>
      </c>
      <c r="B215" s="116">
        <v>2.0431380937003798</v>
      </c>
      <c r="C215" s="116">
        <v>1.9964151683018001</v>
      </c>
      <c r="D215" s="116">
        <v>1.93227013512749</v>
      </c>
      <c r="E215" s="116">
        <v>1.93227013512749</v>
      </c>
      <c r="F215" s="116">
        <v>126.05</v>
      </c>
      <c r="G215">
        <v>61187</v>
      </c>
      <c r="H215" s="116"/>
      <c r="I215" s="116"/>
      <c r="L215" s="170">
        <v>45814</v>
      </c>
      <c r="M215" s="116">
        <v>171.37</v>
      </c>
      <c r="N215" s="116">
        <v>189.45</v>
      </c>
      <c r="O215" s="116">
        <v>170</v>
      </c>
      <c r="P215" s="116">
        <v>185.5</v>
      </c>
      <c r="Q215" s="116">
        <v>171.37</v>
      </c>
      <c r="R215">
        <v>10194456</v>
      </c>
    </row>
    <row r="216" spans="1:18" x14ac:dyDescent="0.25">
      <c r="A216" s="170">
        <v>42317</v>
      </c>
      <c r="B216" s="116">
        <v>2.10965886884411</v>
      </c>
      <c r="C216" s="116">
        <v>2.0645197714251502</v>
      </c>
      <c r="D216" s="116">
        <v>1.90217740351485</v>
      </c>
      <c r="E216" s="116">
        <v>1.90217740351485</v>
      </c>
      <c r="F216" s="116">
        <v>130.35</v>
      </c>
      <c r="G216">
        <v>34497</v>
      </c>
      <c r="H216" s="116"/>
      <c r="I216" s="116"/>
      <c r="L216" s="170">
        <v>45817</v>
      </c>
      <c r="M216" s="116">
        <v>160.74</v>
      </c>
      <c r="N216" s="116">
        <v>174.14</v>
      </c>
      <c r="O216" s="116">
        <v>158.37</v>
      </c>
      <c r="P216" s="116">
        <v>172.8</v>
      </c>
      <c r="Q216" s="116">
        <v>160.74</v>
      </c>
      <c r="R216">
        <v>8437478</v>
      </c>
    </row>
    <row r="217" spans="1:18" x14ac:dyDescent="0.25">
      <c r="A217" s="170">
        <v>42318</v>
      </c>
      <c r="B217" s="116">
        <v>2.1452949983853999</v>
      </c>
      <c r="C217" s="116">
        <v>2.0993639869766301</v>
      </c>
      <c r="D217" s="116">
        <v>1.9639466947197399</v>
      </c>
      <c r="E217" s="116">
        <v>2.1215375786911999</v>
      </c>
      <c r="F217" s="116">
        <v>132.55000000000001</v>
      </c>
      <c r="G217">
        <v>15167</v>
      </c>
      <c r="H217" s="116"/>
      <c r="I217" s="116"/>
      <c r="L217" s="170">
        <v>45818</v>
      </c>
      <c r="M217" s="116">
        <v>163.91</v>
      </c>
      <c r="N217" s="116">
        <v>165.99</v>
      </c>
      <c r="O217" s="116">
        <v>156.33000000000001</v>
      </c>
      <c r="P217" s="116">
        <v>161</v>
      </c>
      <c r="Q217" s="116">
        <v>163.91</v>
      </c>
      <c r="R217">
        <v>5775636</v>
      </c>
    </row>
    <row r="218" spans="1:18" x14ac:dyDescent="0.25">
      <c r="A218" s="170">
        <v>42319</v>
      </c>
      <c r="B218" s="116">
        <v>2.1381677724771402</v>
      </c>
      <c r="C218" s="116">
        <v>2.08748527712953</v>
      </c>
      <c r="D218" s="116">
        <v>2.0589763734964999</v>
      </c>
      <c r="E218" s="116">
        <v>2.1223294926810099</v>
      </c>
      <c r="F218" s="116">
        <v>131.80000000000001</v>
      </c>
      <c r="G218">
        <v>6672</v>
      </c>
      <c r="H218" s="116"/>
      <c r="I218" s="116"/>
      <c r="L218" s="170">
        <v>45819</v>
      </c>
      <c r="M218" s="116">
        <v>165.72</v>
      </c>
      <c r="N218" s="116">
        <v>168.69</v>
      </c>
      <c r="O218" s="116">
        <v>162.01</v>
      </c>
      <c r="P218" s="116">
        <v>165.6</v>
      </c>
      <c r="Q218" s="116">
        <v>165.72</v>
      </c>
      <c r="R218">
        <v>3148007</v>
      </c>
    </row>
    <row r="219" spans="1:18" x14ac:dyDescent="0.25">
      <c r="A219" s="170">
        <v>42321</v>
      </c>
      <c r="B219" s="116">
        <v>2.0700631693537899</v>
      </c>
      <c r="C219" s="116">
        <v>1.7889337029725401</v>
      </c>
      <c r="D219" s="116">
        <v>1.7422107775739599</v>
      </c>
      <c r="E219" s="116">
        <v>2.0431380937003798</v>
      </c>
      <c r="F219" s="116">
        <v>112.95</v>
      </c>
      <c r="G219">
        <v>33275</v>
      </c>
      <c r="H219" s="116"/>
      <c r="I219" s="116"/>
      <c r="L219" s="170">
        <v>45820</v>
      </c>
      <c r="M219" s="116">
        <v>161.22</v>
      </c>
      <c r="N219" s="116">
        <v>166.18</v>
      </c>
      <c r="O219" s="116">
        <v>160.02000000000001</v>
      </c>
      <c r="P219" s="116">
        <v>166.18</v>
      </c>
      <c r="Q219" s="116">
        <v>161.22</v>
      </c>
      <c r="R219">
        <v>1528798</v>
      </c>
    </row>
    <row r="220" spans="1:18" x14ac:dyDescent="0.25">
      <c r="A220" s="170">
        <v>42324</v>
      </c>
      <c r="B220" s="116">
        <v>1.8681251019531699</v>
      </c>
      <c r="C220" s="116">
        <v>1.83961619832015</v>
      </c>
      <c r="D220" s="116">
        <v>1.6392619588991399</v>
      </c>
      <c r="E220" s="116">
        <v>1.77388733716622</v>
      </c>
      <c r="F220" s="116">
        <v>116.15</v>
      </c>
      <c r="G220">
        <v>20985</v>
      </c>
      <c r="H220" s="116"/>
      <c r="I220" s="116"/>
      <c r="L220" s="170">
        <v>45821</v>
      </c>
      <c r="M220" s="116">
        <v>159.1</v>
      </c>
      <c r="N220" s="116">
        <v>163.30000000000001</v>
      </c>
      <c r="O220" s="116">
        <v>154.36000000000001</v>
      </c>
      <c r="P220" s="116">
        <v>154.36000000000001</v>
      </c>
      <c r="Q220" s="116">
        <v>159.1</v>
      </c>
      <c r="R220">
        <v>2953990</v>
      </c>
    </row>
    <row r="221" spans="1:18" x14ac:dyDescent="0.25">
      <c r="A221" s="170">
        <v>42325</v>
      </c>
      <c r="B221" s="116">
        <v>1.97661731855664</v>
      </c>
      <c r="C221" s="116">
        <v>1.8887148656881401</v>
      </c>
      <c r="D221" s="116">
        <v>1.8404081123099501</v>
      </c>
      <c r="E221" s="116">
        <v>1.8404081123099501</v>
      </c>
      <c r="F221" s="116">
        <v>119.25</v>
      </c>
      <c r="G221">
        <v>25833</v>
      </c>
      <c r="H221" s="116"/>
      <c r="I221" s="116"/>
      <c r="L221" s="170">
        <v>45824</v>
      </c>
      <c r="M221" s="116">
        <v>156.54</v>
      </c>
      <c r="N221" s="116">
        <v>161.19</v>
      </c>
      <c r="O221" s="116">
        <v>150.4</v>
      </c>
      <c r="P221" s="116">
        <v>159.5</v>
      </c>
      <c r="Q221" s="116">
        <v>156.54</v>
      </c>
      <c r="R221">
        <v>2439257</v>
      </c>
    </row>
    <row r="222" spans="1:18" x14ac:dyDescent="0.25">
      <c r="A222" s="170">
        <v>42326</v>
      </c>
      <c r="B222" s="116">
        <v>2.0668955133945701</v>
      </c>
      <c r="C222" s="116">
        <v>1.9924555983527701</v>
      </c>
      <c r="D222" s="116">
        <v>1.9219752532600101</v>
      </c>
      <c r="E222" s="116">
        <v>1.9481084149236101</v>
      </c>
      <c r="F222" s="116">
        <v>125.8</v>
      </c>
      <c r="G222">
        <v>28832</v>
      </c>
      <c r="H222" s="116"/>
      <c r="I222" s="116"/>
      <c r="L222" s="170">
        <v>45825</v>
      </c>
      <c r="M222" s="116">
        <v>153.32</v>
      </c>
      <c r="N222" s="116">
        <v>160.28</v>
      </c>
      <c r="O222" s="116">
        <v>153</v>
      </c>
      <c r="P222" s="116">
        <v>157</v>
      </c>
      <c r="Q222" s="116">
        <v>153.32</v>
      </c>
      <c r="R222">
        <v>1729964</v>
      </c>
    </row>
    <row r="223" spans="1:18" x14ac:dyDescent="0.25">
      <c r="A223" s="170">
        <v>42327</v>
      </c>
      <c r="B223" s="116">
        <v>2.0589763734964999</v>
      </c>
      <c r="C223" s="116">
        <v>2.0320512978430898</v>
      </c>
      <c r="D223" s="116">
        <v>1.995623254312</v>
      </c>
      <c r="E223" s="116">
        <v>1.9972070822916099</v>
      </c>
      <c r="F223" s="116">
        <v>128.30000000000001</v>
      </c>
      <c r="G223">
        <v>12245</v>
      </c>
      <c r="H223" s="116"/>
      <c r="I223" s="116"/>
      <c r="L223" s="170">
        <v>45826</v>
      </c>
      <c r="M223" s="116">
        <v>153.06</v>
      </c>
      <c r="N223" s="116">
        <v>155.44999999999999</v>
      </c>
      <c r="O223" s="116">
        <v>151.26</v>
      </c>
      <c r="P223" s="116">
        <v>153.27000000000001</v>
      </c>
      <c r="Q223" s="116">
        <v>153.06</v>
      </c>
      <c r="R223">
        <v>1051560</v>
      </c>
    </row>
    <row r="224" spans="1:18" x14ac:dyDescent="0.25">
      <c r="A224" s="170">
        <v>42328</v>
      </c>
      <c r="B224" s="116">
        <v>2.07164699733341</v>
      </c>
      <c r="C224" s="116">
        <v>1.98295263047509</v>
      </c>
      <c r="D224" s="116">
        <v>1.9481084149236101</v>
      </c>
      <c r="E224" s="116">
        <v>2.07164699733341</v>
      </c>
      <c r="F224" s="116">
        <v>125.2</v>
      </c>
      <c r="G224">
        <v>6589</v>
      </c>
      <c r="H224" s="116"/>
      <c r="I224" s="116"/>
      <c r="L224" s="170">
        <v>45827</v>
      </c>
      <c r="M224" s="116">
        <v>153.94999999999999</v>
      </c>
      <c r="N224" s="116">
        <v>159.24</v>
      </c>
      <c r="O224" s="116">
        <v>151.41999999999999</v>
      </c>
      <c r="P224" s="116">
        <v>153</v>
      </c>
      <c r="Q224" s="116">
        <v>153.94999999999999</v>
      </c>
      <c r="R224">
        <v>2378559</v>
      </c>
    </row>
    <row r="225" spans="1:18" x14ac:dyDescent="0.25">
      <c r="A225" s="170">
        <v>42331</v>
      </c>
      <c r="B225" s="116">
        <v>2.27912846266267</v>
      </c>
      <c r="C225" s="116">
        <v>2.2482438170602199</v>
      </c>
      <c r="D225" s="116">
        <v>1.99879091027122</v>
      </c>
      <c r="E225" s="116">
        <v>2.0257159859246401</v>
      </c>
      <c r="F225" s="116">
        <v>141.94999999999999</v>
      </c>
      <c r="G225">
        <v>43172</v>
      </c>
      <c r="H225" s="116"/>
      <c r="I225" s="116"/>
      <c r="L225" s="170">
        <v>45828</v>
      </c>
      <c r="M225" s="116">
        <v>154.93</v>
      </c>
      <c r="N225" s="116">
        <v>156.75</v>
      </c>
      <c r="O225" s="116">
        <v>151.5</v>
      </c>
      <c r="P225" s="116">
        <v>153.79</v>
      </c>
      <c r="Q225" s="116">
        <v>154.93</v>
      </c>
      <c r="R225">
        <v>1296189</v>
      </c>
    </row>
    <row r="226" spans="1:18" x14ac:dyDescent="0.25">
      <c r="A226" s="170">
        <v>42332</v>
      </c>
      <c r="B226" s="116">
        <v>2.42325680880742</v>
      </c>
      <c r="C226" s="116">
        <v>2.3464411517962098</v>
      </c>
      <c r="D226" s="116">
        <v>2.28704760256073</v>
      </c>
      <c r="E226" s="116">
        <v>2.28704760256073</v>
      </c>
      <c r="F226" s="116">
        <v>148.15</v>
      </c>
      <c r="G226">
        <v>43380</v>
      </c>
      <c r="H226" s="116"/>
      <c r="I226" s="116"/>
      <c r="L226" s="170">
        <v>45831</v>
      </c>
      <c r="M226" s="116">
        <v>163.35</v>
      </c>
      <c r="N226" s="116">
        <v>168.89</v>
      </c>
      <c r="O226" s="116">
        <v>156.5</v>
      </c>
      <c r="P226" s="116">
        <v>156.59</v>
      </c>
      <c r="Q226" s="116">
        <v>163.35</v>
      </c>
      <c r="R226">
        <v>6279778</v>
      </c>
    </row>
    <row r="227" spans="1:18" x14ac:dyDescent="0.25">
      <c r="A227" s="170">
        <v>42334</v>
      </c>
      <c r="B227" s="116">
        <v>2.5658013269725699</v>
      </c>
      <c r="C227" s="116">
        <v>2.5174945735943801</v>
      </c>
      <c r="D227" s="116">
        <v>2.3448573238165902</v>
      </c>
      <c r="E227" s="116">
        <v>2.3448573238165902</v>
      </c>
      <c r="F227" s="116">
        <v>158.94999999999999</v>
      </c>
      <c r="G227">
        <v>37182</v>
      </c>
      <c r="H227" s="116"/>
      <c r="I227" s="116"/>
      <c r="L227" s="170">
        <v>45832</v>
      </c>
      <c r="M227" s="116">
        <v>161.4</v>
      </c>
      <c r="N227" s="116">
        <v>166.7</v>
      </c>
      <c r="O227" s="116">
        <v>159.51</v>
      </c>
      <c r="P227" s="116">
        <v>165</v>
      </c>
      <c r="Q227" s="116">
        <v>161.4</v>
      </c>
      <c r="R227">
        <v>2658488</v>
      </c>
    </row>
    <row r="228" spans="1:18" x14ac:dyDescent="0.25">
      <c r="A228" s="170">
        <v>42335</v>
      </c>
      <c r="B228" s="116">
        <v>2.6766692855454499</v>
      </c>
      <c r="C228" s="116">
        <v>2.5737204668706299</v>
      </c>
      <c r="D228" s="116">
        <v>2.5499630471764401</v>
      </c>
      <c r="E228" s="116">
        <v>2.5974778865648198</v>
      </c>
      <c r="F228" s="116">
        <v>162.5</v>
      </c>
      <c r="G228">
        <v>33249</v>
      </c>
      <c r="H228" s="116"/>
      <c r="I228" s="116"/>
      <c r="L228" s="170">
        <v>45833</v>
      </c>
      <c r="M228" s="116">
        <v>158.49</v>
      </c>
      <c r="N228" s="116">
        <v>162.44999999999999</v>
      </c>
      <c r="O228" s="116">
        <v>158</v>
      </c>
      <c r="P228" s="116">
        <v>161.81</v>
      </c>
      <c r="Q228" s="116">
        <v>158.49</v>
      </c>
      <c r="R228">
        <v>1415048</v>
      </c>
    </row>
    <row r="229" spans="1:18" x14ac:dyDescent="0.25">
      <c r="A229" s="170">
        <v>42338</v>
      </c>
      <c r="B229" s="116">
        <v>2.6766692855454499</v>
      </c>
      <c r="C229" s="116">
        <v>2.3804934533578801</v>
      </c>
      <c r="D229" s="116">
        <v>2.25695487094809</v>
      </c>
      <c r="E229" s="116">
        <v>2.6766692855454499</v>
      </c>
      <c r="F229" s="116">
        <v>150.30000000000001</v>
      </c>
      <c r="G229">
        <v>31755</v>
      </c>
      <c r="H229" s="116"/>
      <c r="I229" s="116"/>
      <c r="L229" s="170">
        <v>45834</v>
      </c>
      <c r="M229" s="116">
        <v>157.52000000000001</v>
      </c>
      <c r="N229" s="116">
        <v>161.18</v>
      </c>
      <c r="O229" s="116">
        <v>156.26</v>
      </c>
      <c r="P229" s="116">
        <v>159.5</v>
      </c>
      <c r="Q229" s="116">
        <v>157.52000000000001</v>
      </c>
      <c r="R229">
        <v>1086026</v>
      </c>
    </row>
    <row r="230" spans="1:18" x14ac:dyDescent="0.25">
      <c r="A230" s="170">
        <v>42339</v>
      </c>
      <c r="B230" s="116">
        <v>2.4707716481958002</v>
      </c>
      <c r="C230" s="116">
        <v>2.3678228295209802</v>
      </c>
      <c r="D230" s="116">
        <v>2.2807122906422799</v>
      </c>
      <c r="E230" s="116">
        <v>2.2807122906422799</v>
      </c>
      <c r="F230" s="116">
        <v>149.5</v>
      </c>
      <c r="G230">
        <v>9038</v>
      </c>
      <c r="H230" s="116"/>
      <c r="I230" s="116"/>
      <c r="L230" s="170">
        <v>45835</v>
      </c>
      <c r="M230" s="116">
        <v>156.44999999999999</v>
      </c>
      <c r="N230" s="116">
        <v>159.85</v>
      </c>
      <c r="O230" s="116">
        <v>156</v>
      </c>
      <c r="P230" s="116">
        <v>157.99</v>
      </c>
      <c r="Q230" s="116">
        <v>156.44999999999999</v>
      </c>
      <c r="R230">
        <v>729044</v>
      </c>
    </row>
    <row r="231" spans="1:18" x14ac:dyDescent="0.25">
      <c r="A231" s="170">
        <v>42340</v>
      </c>
      <c r="B231" s="116">
        <v>2.43751126062394</v>
      </c>
      <c r="C231" s="116">
        <v>2.29021525851996</v>
      </c>
      <c r="D231" s="116">
        <v>2.2807122906422799</v>
      </c>
      <c r="E231" s="116">
        <v>2.3060535383160801</v>
      </c>
      <c r="F231" s="116">
        <v>144.6</v>
      </c>
      <c r="G231">
        <v>6591</v>
      </c>
      <c r="H231" s="116"/>
      <c r="I231" s="116"/>
      <c r="L231" s="170">
        <v>45838</v>
      </c>
      <c r="M231" s="116">
        <v>158.36000000000001</v>
      </c>
      <c r="N231" s="116">
        <v>161.12</v>
      </c>
      <c r="O231" s="116">
        <v>156.5</v>
      </c>
      <c r="P231" s="116">
        <v>157</v>
      </c>
      <c r="Q231" s="116">
        <v>158.36000000000001</v>
      </c>
      <c r="R231">
        <v>1178683</v>
      </c>
    </row>
    <row r="232" spans="1:18" x14ac:dyDescent="0.25">
      <c r="A232" s="170">
        <v>42341</v>
      </c>
      <c r="B232" s="116">
        <v>2.5341247673803098</v>
      </c>
      <c r="C232" s="116">
        <v>2.5071996917269002</v>
      </c>
      <c r="D232" s="116">
        <v>2.3155565061937602</v>
      </c>
      <c r="E232" s="116">
        <v>2.3725743134598201</v>
      </c>
      <c r="F232" s="116">
        <v>158.30000000000001</v>
      </c>
      <c r="G232">
        <v>46101</v>
      </c>
      <c r="H232" s="116"/>
      <c r="I232" s="116"/>
      <c r="L232" s="170">
        <v>45839</v>
      </c>
      <c r="M232" s="116">
        <v>163.87</v>
      </c>
      <c r="N232" s="116">
        <v>165.7</v>
      </c>
      <c r="O232" s="116">
        <v>158.80000000000001</v>
      </c>
      <c r="P232" s="116">
        <v>159.79</v>
      </c>
      <c r="Q232" s="116">
        <v>163.87</v>
      </c>
      <c r="R232">
        <v>3410735</v>
      </c>
    </row>
    <row r="233" spans="1:18" x14ac:dyDescent="0.25">
      <c r="A233" s="170">
        <v>42342</v>
      </c>
      <c r="B233" s="116">
        <v>2.60381319848327</v>
      </c>
      <c r="C233" s="116">
        <v>2.4200891528481998</v>
      </c>
      <c r="D233" s="116">
        <v>2.3852449372967199</v>
      </c>
      <c r="E233" s="116">
        <v>2.5642174989929498</v>
      </c>
      <c r="F233" s="116">
        <v>152.80000000000001</v>
      </c>
      <c r="G233">
        <v>26774</v>
      </c>
      <c r="H233" s="116"/>
      <c r="I233" s="116"/>
      <c r="L233" s="170">
        <v>45840</v>
      </c>
      <c r="M233" s="116">
        <v>160.38999999999999</v>
      </c>
      <c r="N233" s="116">
        <v>166.14</v>
      </c>
      <c r="O233" s="116">
        <v>159.36000000000001</v>
      </c>
      <c r="P233" s="116">
        <v>165.1</v>
      </c>
      <c r="Q233" s="116">
        <v>160.38999999999999</v>
      </c>
      <c r="R233">
        <v>1685444</v>
      </c>
    </row>
    <row r="234" spans="1:18" x14ac:dyDescent="0.25">
      <c r="A234" s="170">
        <v>42345</v>
      </c>
      <c r="B234" s="116">
        <v>2.5262056274822502</v>
      </c>
      <c r="C234" s="116">
        <v>2.4470142285016099</v>
      </c>
      <c r="D234" s="116">
        <v>2.42325680880742</v>
      </c>
      <c r="E234" s="116">
        <v>2.5262056274822502</v>
      </c>
      <c r="F234" s="116">
        <v>154.5</v>
      </c>
      <c r="G234">
        <v>8414</v>
      </c>
      <c r="H234" s="116"/>
      <c r="I234" s="116"/>
      <c r="L234" s="170">
        <v>45841</v>
      </c>
      <c r="M234" s="116">
        <v>157.38</v>
      </c>
      <c r="N234" s="116">
        <v>160.97999999999999</v>
      </c>
      <c r="O234" s="116">
        <v>156.81</v>
      </c>
      <c r="P234" s="116">
        <v>160.38999999999999</v>
      </c>
      <c r="Q234" s="116">
        <v>157.38</v>
      </c>
      <c r="R234">
        <v>1280222</v>
      </c>
    </row>
    <row r="235" spans="1:18" x14ac:dyDescent="0.25">
      <c r="A235" s="170">
        <v>42346</v>
      </c>
      <c r="B235" s="116">
        <v>2.4945290678899901</v>
      </c>
      <c r="C235" s="116">
        <v>2.3599036896229202</v>
      </c>
      <c r="D235" s="116">
        <v>2.3440654098267899</v>
      </c>
      <c r="E235" s="116">
        <v>2.4945290678899901</v>
      </c>
      <c r="F235" s="116">
        <v>149</v>
      </c>
      <c r="G235">
        <v>5933</v>
      </c>
      <c r="H235" s="116"/>
      <c r="I235" s="116"/>
      <c r="L235" s="170">
        <v>45842</v>
      </c>
      <c r="M235" s="116">
        <v>159.44</v>
      </c>
      <c r="N235" s="116">
        <v>160.65</v>
      </c>
      <c r="O235" s="116">
        <v>157.5</v>
      </c>
      <c r="P235" s="116">
        <v>158.25</v>
      </c>
      <c r="Q235" s="116">
        <v>159.44</v>
      </c>
      <c r="R235">
        <v>951461</v>
      </c>
    </row>
    <row r="236" spans="1:18" x14ac:dyDescent="0.25">
      <c r="A236" s="170">
        <v>42347</v>
      </c>
      <c r="B236" s="116">
        <v>2.4074185290112999</v>
      </c>
      <c r="C236" s="116">
        <v>2.2363651072131199</v>
      </c>
      <c r="D236" s="116">
        <v>2.2173591714577698</v>
      </c>
      <c r="E236" s="116">
        <v>2.3361462699287299</v>
      </c>
      <c r="F236" s="116">
        <v>141.19999999999999</v>
      </c>
      <c r="G236">
        <v>15918</v>
      </c>
      <c r="H236" s="116"/>
      <c r="I236" s="116"/>
      <c r="L236" s="170">
        <v>45845</v>
      </c>
      <c r="M236" s="116">
        <v>160.61000000000001</v>
      </c>
      <c r="N236" s="116">
        <v>163.34</v>
      </c>
      <c r="O236" s="116">
        <v>156.80000000000001</v>
      </c>
      <c r="P236" s="116">
        <v>159.4</v>
      </c>
      <c r="Q236" s="116">
        <v>160.61000000000001</v>
      </c>
      <c r="R236">
        <v>1201952</v>
      </c>
    </row>
    <row r="237" spans="1:18" x14ac:dyDescent="0.25">
      <c r="A237" s="170">
        <v>42348</v>
      </c>
      <c r="B237" s="116">
        <v>2.3915802492151701</v>
      </c>
      <c r="C237" s="116">
        <v>2.3519845497248499</v>
      </c>
      <c r="D237" s="116">
        <v>2.2522033870092502</v>
      </c>
      <c r="E237" s="116">
        <v>2.3915802492151701</v>
      </c>
      <c r="F237" s="116">
        <v>148.5</v>
      </c>
      <c r="G237">
        <v>10580</v>
      </c>
      <c r="H237" s="116"/>
      <c r="I237" s="116"/>
      <c r="L237" s="170">
        <v>45846</v>
      </c>
      <c r="M237" s="116">
        <v>158.77000000000001</v>
      </c>
      <c r="N237" s="116">
        <v>160.84</v>
      </c>
      <c r="O237" s="116">
        <v>157.1</v>
      </c>
      <c r="P237" s="116">
        <v>160.84</v>
      </c>
      <c r="Q237" s="116">
        <v>158.77000000000001</v>
      </c>
      <c r="R237">
        <v>842415</v>
      </c>
    </row>
    <row r="238" spans="1:18" x14ac:dyDescent="0.25">
      <c r="A238" s="170">
        <v>42349</v>
      </c>
      <c r="B238" s="116">
        <v>2.47869078809387</v>
      </c>
      <c r="C238" s="116">
        <v>2.33139478598989</v>
      </c>
      <c r="D238" s="116">
        <v>2.23478127923351</v>
      </c>
      <c r="E238" s="116">
        <v>2.47869078809387</v>
      </c>
      <c r="F238" s="116">
        <v>147.19999999999999</v>
      </c>
      <c r="G238">
        <v>6468</v>
      </c>
      <c r="H238" s="116"/>
      <c r="I238" s="116"/>
      <c r="L238" s="170">
        <v>45847</v>
      </c>
      <c r="M238" s="116">
        <v>162.19999999999999</v>
      </c>
      <c r="N238" s="116">
        <v>164.8</v>
      </c>
      <c r="O238" s="116">
        <v>158.01</v>
      </c>
      <c r="P238" s="116">
        <v>158.61000000000001</v>
      </c>
      <c r="Q238" s="116">
        <v>162.19999999999999</v>
      </c>
      <c r="R238">
        <v>2529229</v>
      </c>
    </row>
    <row r="239" spans="1:18" x14ac:dyDescent="0.25">
      <c r="A239" s="170">
        <v>42352</v>
      </c>
      <c r="B239" s="116">
        <v>2.3915802492151701</v>
      </c>
      <c r="C239" s="116">
        <v>2.3519845497248499</v>
      </c>
      <c r="D239" s="116">
        <v>2.2807122906422799</v>
      </c>
      <c r="E239" s="116">
        <v>2.3662390015413699</v>
      </c>
      <c r="F239" s="116">
        <v>148.5</v>
      </c>
      <c r="G239">
        <v>4008</v>
      </c>
      <c r="H239" s="116"/>
      <c r="I239" s="116"/>
      <c r="L239" s="170">
        <v>45848</v>
      </c>
      <c r="M239" s="116">
        <v>156.05000000000001</v>
      </c>
      <c r="N239" s="116">
        <v>162.9</v>
      </c>
      <c r="O239" s="116">
        <v>153.5</v>
      </c>
      <c r="P239" s="116">
        <v>162.4</v>
      </c>
      <c r="Q239" s="116">
        <v>156.05000000000001</v>
      </c>
      <c r="R239">
        <v>2202486</v>
      </c>
    </row>
    <row r="240" spans="1:18" x14ac:dyDescent="0.25">
      <c r="A240" s="170">
        <v>42353</v>
      </c>
      <c r="B240" s="116">
        <v>2.3440654098267899</v>
      </c>
      <c r="C240" s="116">
        <v>2.3044697103364702</v>
      </c>
      <c r="D240" s="116">
        <v>2.27596080670344</v>
      </c>
      <c r="E240" s="116">
        <v>2.3361462699287299</v>
      </c>
      <c r="F240" s="116">
        <v>145.5</v>
      </c>
      <c r="G240">
        <v>8257</v>
      </c>
      <c r="H240" s="116"/>
      <c r="I240" s="116"/>
      <c r="L240" s="170">
        <v>45849</v>
      </c>
      <c r="M240" s="116">
        <v>154.87</v>
      </c>
      <c r="N240" s="116">
        <v>157.54</v>
      </c>
      <c r="O240" s="116">
        <v>154.1</v>
      </c>
      <c r="P240" s="116">
        <v>155</v>
      </c>
      <c r="Q240" s="116">
        <v>154.87</v>
      </c>
      <c r="R240">
        <v>900839</v>
      </c>
    </row>
    <row r="241" spans="1:18" x14ac:dyDescent="0.25">
      <c r="A241" s="170">
        <v>42354</v>
      </c>
      <c r="B241" s="116">
        <v>2.3282271300306601</v>
      </c>
      <c r="C241" s="116">
        <v>2.2854637745811202</v>
      </c>
      <c r="D241" s="116">
        <v>2.24903573105003</v>
      </c>
      <c r="E241" s="116">
        <v>2.2965505704384102</v>
      </c>
      <c r="F241" s="116">
        <v>144.30000000000001</v>
      </c>
      <c r="G241">
        <v>5648</v>
      </c>
      <c r="H241" s="116"/>
      <c r="I241" s="116"/>
      <c r="L241" s="170">
        <v>45852</v>
      </c>
      <c r="M241" s="116">
        <v>155.80000000000001</v>
      </c>
      <c r="N241" s="116">
        <v>156.80000000000001</v>
      </c>
      <c r="O241" s="116">
        <v>151.94999999999999</v>
      </c>
      <c r="P241" s="116">
        <v>155.08000000000001</v>
      </c>
      <c r="Q241" s="116">
        <v>155.80000000000001</v>
      </c>
      <c r="R241">
        <v>899356</v>
      </c>
    </row>
    <row r="242" spans="1:18" x14ac:dyDescent="0.25">
      <c r="A242" s="170">
        <v>42355</v>
      </c>
      <c r="B242" s="116">
        <v>2.3519845497248499</v>
      </c>
      <c r="C242" s="116">
        <v>2.29021525851996</v>
      </c>
      <c r="D242" s="116">
        <v>2.2585386989276999</v>
      </c>
      <c r="E242" s="116">
        <v>2.2965505704384102</v>
      </c>
      <c r="F242" s="116">
        <v>144.6</v>
      </c>
      <c r="G242">
        <v>7231</v>
      </c>
      <c r="H242" s="116"/>
      <c r="I242" s="116"/>
      <c r="L242" s="170">
        <v>45853</v>
      </c>
      <c r="M242" s="116">
        <v>155.51</v>
      </c>
      <c r="N242" s="116">
        <v>157.69</v>
      </c>
      <c r="O242" s="116">
        <v>154.96</v>
      </c>
      <c r="P242" s="116">
        <v>155.88</v>
      </c>
      <c r="Q242" s="116">
        <v>155.51</v>
      </c>
      <c r="R242">
        <v>726490</v>
      </c>
    </row>
    <row r="243" spans="1:18" x14ac:dyDescent="0.25">
      <c r="A243" s="170">
        <v>42356</v>
      </c>
      <c r="B243" s="116">
        <v>2.3440654098267899</v>
      </c>
      <c r="C243" s="116">
        <v>2.2284459673150598</v>
      </c>
      <c r="D243" s="116">
        <v>2.2173591714577698</v>
      </c>
      <c r="E243" s="116">
        <v>2.3345624419491098</v>
      </c>
      <c r="F243" s="116">
        <v>140.69999999999999</v>
      </c>
      <c r="G243">
        <v>10998</v>
      </c>
      <c r="H243" s="116"/>
      <c r="I243" s="116"/>
      <c r="L243" s="170">
        <v>45854</v>
      </c>
      <c r="M243" s="116">
        <v>153.84</v>
      </c>
      <c r="N243" s="116">
        <v>156.1</v>
      </c>
      <c r="O243" s="116">
        <v>153.31</v>
      </c>
      <c r="P243" s="116">
        <v>156.1</v>
      </c>
      <c r="Q243" s="116">
        <v>153.84</v>
      </c>
      <c r="R243">
        <v>621863</v>
      </c>
    </row>
    <row r="244" spans="1:18" x14ac:dyDescent="0.25">
      <c r="A244" s="170">
        <v>42359</v>
      </c>
      <c r="B244" s="116">
        <v>2.2807122906422799</v>
      </c>
      <c r="C244" s="116">
        <v>2.1856826118655199</v>
      </c>
      <c r="D244" s="116">
        <v>2.1745958160082299</v>
      </c>
      <c r="E244" s="116">
        <v>2.2189429994373899</v>
      </c>
      <c r="F244" s="116">
        <v>138</v>
      </c>
      <c r="G244">
        <v>14106</v>
      </c>
      <c r="H244" s="116"/>
      <c r="I244" s="116"/>
      <c r="L244" s="170">
        <v>45855</v>
      </c>
      <c r="M244" s="116">
        <v>153.22</v>
      </c>
      <c r="N244" s="116">
        <v>155.80000000000001</v>
      </c>
      <c r="O244" s="116">
        <v>152.75</v>
      </c>
      <c r="P244" s="116">
        <v>153.9</v>
      </c>
      <c r="Q244" s="116">
        <v>153.22</v>
      </c>
      <c r="R244">
        <v>646477</v>
      </c>
    </row>
    <row r="245" spans="1:18" x14ac:dyDescent="0.25">
      <c r="A245" s="170">
        <v>42360</v>
      </c>
      <c r="B245" s="116">
        <v>2.2632901828665402</v>
      </c>
      <c r="C245" s="116">
        <v>2.2110238595393201</v>
      </c>
      <c r="D245" s="116">
        <v>2.1381677724771402</v>
      </c>
      <c r="E245" s="116">
        <v>2.2632901828665402</v>
      </c>
      <c r="F245" s="116">
        <v>139.6</v>
      </c>
      <c r="G245">
        <v>7963</v>
      </c>
      <c r="H245" s="116"/>
      <c r="I245" s="116"/>
      <c r="L245" s="170">
        <v>45856</v>
      </c>
      <c r="M245" s="116">
        <v>151.12</v>
      </c>
      <c r="N245" s="116">
        <v>154.19999999999999</v>
      </c>
      <c r="O245" s="116">
        <v>150.22</v>
      </c>
      <c r="P245" s="116">
        <v>153.49</v>
      </c>
      <c r="Q245" s="116">
        <v>151.12</v>
      </c>
      <c r="R245">
        <v>731245</v>
      </c>
    </row>
    <row r="246" spans="1:18" x14ac:dyDescent="0.25">
      <c r="A246" s="170">
        <v>42361</v>
      </c>
      <c r="B246" s="116">
        <v>2.2807122906422799</v>
      </c>
      <c r="C246" s="116">
        <v>2.1967694077228099</v>
      </c>
      <c r="D246" s="116">
        <v>2.1730119880286201</v>
      </c>
      <c r="E246" s="116">
        <v>2.2775446346830601</v>
      </c>
      <c r="F246" s="116">
        <v>138.69999999999999</v>
      </c>
      <c r="G246">
        <v>8086</v>
      </c>
      <c r="H246" s="116"/>
      <c r="I246" s="116"/>
      <c r="L246" s="170">
        <v>45859</v>
      </c>
      <c r="M246" s="116">
        <v>144.83000000000001</v>
      </c>
      <c r="N246" s="116">
        <v>151.5</v>
      </c>
      <c r="O246" s="116">
        <v>143.12</v>
      </c>
      <c r="P246" s="116">
        <v>151.12</v>
      </c>
      <c r="Q246" s="116">
        <v>144.83000000000001</v>
      </c>
      <c r="R246">
        <v>1721743</v>
      </c>
    </row>
    <row r="247" spans="1:18" x14ac:dyDescent="0.25">
      <c r="A247" s="170">
        <v>42362</v>
      </c>
      <c r="B247" s="116">
        <v>2.6133161663609501</v>
      </c>
      <c r="C247" s="116">
        <v>2.5230379715230198</v>
      </c>
      <c r="D247" s="116">
        <v>2.1413354284363599</v>
      </c>
      <c r="E247" s="116">
        <v>2.2331974512539001</v>
      </c>
      <c r="F247" s="116">
        <v>159.30000000000001</v>
      </c>
      <c r="G247">
        <v>84910</v>
      </c>
      <c r="H247" s="116"/>
      <c r="I247" s="116"/>
      <c r="L247" s="170">
        <v>45860</v>
      </c>
      <c r="M247" s="116">
        <v>147.74</v>
      </c>
      <c r="N247" s="116">
        <v>150.18</v>
      </c>
      <c r="O247" s="116">
        <v>145.38999999999999</v>
      </c>
      <c r="P247" s="116">
        <v>145.38999999999999</v>
      </c>
      <c r="Q247" s="116">
        <v>147.74</v>
      </c>
      <c r="R247">
        <v>1026238</v>
      </c>
    </row>
    <row r="248" spans="1:18" x14ac:dyDescent="0.25">
      <c r="A248" s="170">
        <v>42366</v>
      </c>
      <c r="B248" s="116">
        <v>2.58163960676869</v>
      </c>
      <c r="C248" s="116">
        <v>2.5214541435434099</v>
      </c>
      <c r="D248" s="116">
        <v>2.4707716481958002</v>
      </c>
      <c r="E248" s="116">
        <v>2.5626336710133399</v>
      </c>
      <c r="F248" s="116">
        <v>159.19999999999999</v>
      </c>
      <c r="G248">
        <v>21897</v>
      </c>
      <c r="H248" s="116"/>
      <c r="I248" s="116"/>
      <c r="L248" s="170">
        <v>45861</v>
      </c>
      <c r="M248" s="116">
        <v>144.74</v>
      </c>
      <c r="N248" s="116">
        <v>149.1</v>
      </c>
      <c r="O248" s="116">
        <v>143.56</v>
      </c>
      <c r="P248" s="116">
        <v>149.1</v>
      </c>
      <c r="Q248" s="116">
        <v>144.74</v>
      </c>
      <c r="R248">
        <v>726607</v>
      </c>
    </row>
    <row r="249" spans="1:18" x14ac:dyDescent="0.25">
      <c r="A249" s="170">
        <v>42367</v>
      </c>
      <c r="B249" s="116">
        <v>2.5721366388910201</v>
      </c>
      <c r="C249" s="116">
        <v>2.4026670450724601</v>
      </c>
      <c r="D249" s="116">
        <v>2.3599036896229202</v>
      </c>
      <c r="E249" s="116">
        <v>2.5721366388910201</v>
      </c>
      <c r="F249" s="116">
        <v>151.69999999999999</v>
      </c>
      <c r="G249">
        <v>14865</v>
      </c>
      <c r="H249" s="116"/>
      <c r="I249" s="116"/>
      <c r="L249" s="170">
        <v>45862</v>
      </c>
      <c r="M249" s="116">
        <v>147.33000000000001</v>
      </c>
      <c r="N249" s="116">
        <v>148.30000000000001</v>
      </c>
      <c r="O249" s="116">
        <v>144.24</v>
      </c>
      <c r="P249" s="116">
        <v>145.24</v>
      </c>
      <c r="Q249" s="116">
        <v>147.33000000000001</v>
      </c>
      <c r="R249">
        <v>811461</v>
      </c>
    </row>
    <row r="250" spans="1:18" x14ac:dyDescent="0.25">
      <c r="A250" s="170">
        <v>42368</v>
      </c>
      <c r="B250" s="116">
        <v>2.4818584440530902</v>
      </c>
      <c r="C250" s="116">
        <v>2.4074185290112999</v>
      </c>
      <c r="D250" s="116">
        <v>2.3915802492151701</v>
      </c>
      <c r="E250" s="116">
        <v>2.4628525082977402</v>
      </c>
      <c r="F250" s="116">
        <v>152</v>
      </c>
      <c r="G250">
        <v>4862</v>
      </c>
      <c r="H250" s="116"/>
      <c r="I250" s="116"/>
      <c r="L250" s="170">
        <v>45863</v>
      </c>
      <c r="M250" s="116">
        <v>135.96</v>
      </c>
      <c r="N250" s="116">
        <v>148.05000000000001</v>
      </c>
      <c r="O250" s="116">
        <v>135.21</v>
      </c>
      <c r="P250" s="116">
        <v>147.75</v>
      </c>
      <c r="Q250" s="116">
        <v>135.96</v>
      </c>
      <c r="R250">
        <v>3295388</v>
      </c>
    </row>
    <row r="251" spans="1:18" x14ac:dyDescent="0.25">
      <c r="A251" s="170">
        <v>42369</v>
      </c>
      <c r="B251" s="116">
        <v>2.4549333683996801</v>
      </c>
      <c r="C251" s="116">
        <v>2.41533766890936</v>
      </c>
      <c r="D251" s="116">
        <v>2.4074185290112999</v>
      </c>
      <c r="E251" s="116">
        <v>2.4549333683996801</v>
      </c>
      <c r="F251" s="116">
        <v>152.5</v>
      </c>
      <c r="G251">
        <v>6305</v>
      </c>
      <c r="H251" s="116"/>
      <c r="I251" s="116"/>
      <c r="L251" s="170">
        <v>45866</v>
      </c>
      <c r="M251" s="116">
        <v>130.21</v>
      </c>
      <c r="N251" s="116">
        <v>133.97</v>
      </c>
      <c r="O251" s="116">
        <v>128.25</v>
      </c>
      <c r="P251" s="116">
        <v>133</v>
      </c>
      <c r="Q251" s="116">
        <v>130.21</v>
      </c>
      <c r="R251">
        <v>1689813</v>
      </c>
    </row>
    <row r="252" spans="1:18" x14ac:dyDescent="0.25">
      <c r="A252" s="170">
        <v>42370</v>
      </c>
      <c r="B252" s="116">
        <v>2.5325409394006999</v>
      </c>
      <c r="C252" s="116">
        <v>2.5246217995026399</v>
      </c>
      <c r="D252" s="116">
        <v>2.39316407719478</v>
      </c>
      <c r="E252" s="116">
        <v>2.4549333683996801</v>
      </c>
      <c r="F252" s="116">
        <v>159.4</v>
      </c>
      <c r="G252">
        <v>13528</v>
      </c>
      <c r="H252" s="116"/>
      <c r="I252" s="116"/>
      <c r="L252" s="170">
        <v>45867</v>
      </c>
      <c r="M252" s="116">
        <v>132.59</v>
      </c>
      <c r="N252" s="116">
        <v>134</v>
      </c>
      <c r="O252" s="116">
        <v>127.57</v>
      </c>
      <c r="P252" s="116">
        <v>128.06</v>
      </c>
      <c r="Q252" s="116">
        <v>132.59</v>
      </c>
      <c r="R252">
        <v>1120433</v>
      </c>
    </row>
    <row r="253" spans="1:18" x14ac:dyDescent="0.25">
      <c r="A253" s="170">
        <v>42373</v>
      </c>
      <c r="B253" s="116">
        <v>2.5958940585852099</v>
      </c>
      <c r="C253" s="116">
        <v>2.46760399223658</v>
      </c>
      <c r="D253" s="116">
        <v>2.4549333683996801</v>
      </c>
      <c r="E253" s="116">
        <v>2.5958940585852099</v>
      </c>
      <c r="F253" s="116">
        <v>155.80000000000001</v>
      </c>
      <c r="G253">
        <v>14164</v>
      </c>
      <c r="H253" s="116"/>
      <c r="I253" s="116"/>
      <c r="L253" s="170">
        <v>45868</v>
      </c>
      <c r="M253" s="116">
        <v>131.66</v>
      </c>
      <c r="N253" s="116">
        <v>134.84</v>
      </c>
      <c r="O253" s="116">
        <v>130.15</v>
      </c>
      <c r="P253" s="116">
        <v>133.4</v>
      </c>
      <c r="Q253" s="116">
        <v>131.66</v>
      </c>
      <c r="R253">
        <v>670086</v>
      </c>
    </row>
    <row r="254" spans="1:18" x14ac:dyDescent="0.25">
      <c r="A254" s="170">
        <v>42374</v>
      </c>
      <c r="B254" s="116">
        <v>2.5483792191968302</v>
      </c>
      <c r="C254" s="116">
        <v>2.5325409394006999</v>
      </c>
      <c r="D254" s="116">
        <v>2.4549333683996801</v>
      </c>
      <c r="E254" s="116">
        <v>2.4549333683996801</v>
      </c>
      <c r="F254" s="116">
        <v>159.9</v>
      </c>
      <c r="G254">
        <v>19827</v>
      </c>
      <c r="H254" s="116"/>
      <c r="I254" s="116"/>
      <c r="L254" s="170">
        <v>45869</v>
      </c>
      <c r="M254" s="116">
        <v>127.44</v>
      </c>
      <c r="N254" s="116">
        <v>130.74</v>
      </c>
      <c r="O254" s="116">
        <v>126.25</v>
      </c>
      <c r="P254" s="116">
        <v>129.5</v>
      </c>
      <c r="Q254" s="116">
        <v>127.44</v>
      </c>
      <c r="R254">
        <v>951811</v>
      </c>
    </row>
    <row r="255" spans="1:18" x14ac:dyDescent="0.25">
      <c r="A255" s="170">
        <v>42375</v>
      </c>
      <c r="B255" s="116">
        <v>2.5499630471764401</v>
      </c>
      <c r="C255" s="116">
        <v>2.45968485233852</v>
      </c>
      <c r="D255" s="116">
        <v>2.4295921207258702</v>
      </c>
      <c r="E255" s="116">
        <v>2.5499630471764401</v>
      </c>
      <c r="F255" s="116">
        <v>155.30000000000001</v>
      </c>
      <c r="G255">
        <v>13270</v>
      </c>
      <c r="H255" s="116"/>
      <c r="I255" s="116"/>
      <c r="L255" s="170">
        <v>45870</v>
      </c>
      <c r="M255" s="116">
        <v>127.78</v>
      </c>
      <c r="N255" s="116">
        <v>129.41</v>
      </c>
      <c r="O255" s="116">
        <v>127.04</v>
      </c>
      <c r="P255" s="116">
        <v>128.05000000000001</v>
      </c>
      <c r="Q255" s="116">
        <v>127.78</v>
      </c>
      <c r="R255">
        <v>567973</v>
      </c>
    </row>
    <row r="256" spans="1:18" x14ac:dyDescent="0.25">
      <c r="A256" s="170">
        <v>42376</v>
      </c>
      <c r="B256" s="116">
        <v>2.4549333683996801</v>
      </c>
      <c r="C256" s="116">
        <v>2.3250594740714399</v>
      </c>
      <c r="D256" s="116">
        <v>2.2949667424587998</v>
      </c>
      <c r="E256" s="116">
        <v>2.4185053248685802</v>
      </c>
      <c r="F256" s="116">
        <v>146.80000000000001</v>
      </c>
      <c r="G256">
        <v>7137</v>
      </c>
      <c r="H256" s="116"/>
      <c r="I256" s="116"/>
      <c r="L256" s="170">
        <v>45873</v>
      </c>
      <c r="M256" s="116">
        <v>131.22999999999999</v>
      </c>
      <c r="N256" s="116">
        <v>132.80000000000001</v>
      </c>
      <c r="O256" s="116">
        <v>125.36</v>
      </c>
      <c r="P256" s="116">
        <v>127.9</v>
      </c>
      <c r="Q256" s="116">
        <v>131.22999999999999</v>
      </c>
      <c r="R256">
        <v>644566</v>
      </c>
    </row>
    <row r="257" spans="1:18" x14ac:dyDescent="0.25">
      <c r="A257" s="170">
        <v>42377</v>
      </c>
      <c r="B257" s="116">
        <v>2.4390950886035498</v>
      </c>
      <c r="C257" s="116">
        <v>2.3646551735617498</v>
      </c>
      <c r="D257" s="116">
        <v>2.3282271300306601</v>
      </c>
      <c r="E257" s="116">
        <v>2.4058347010316798</v>
      </c>
      <c r="F257" s="116">
        <v>149.30000000000001</v>
      </c>
      <c r="G257">
        <v>6949</v>
      </c>
      <c r="H257" s="116"/>
      <c r="I257" s="116"/>
      <c r="L257" s="170">
        <v>45874</v>
      </c>
      <c r="M257" s="116">
        <v>129.49</v>
      </c>
      <c r="N257" s="116">
        <v>132.5</v>
      </c>
      <c r="O257" s="116">
        <v>129</v>
      </c>
      <c r="P257" s="116">
        <v>130.6</v>
      </c>
      <c r="Q257" s="116">
        <v>129.49</v>
      </c>
      <c r="R257">
        <v>454067</v>
      </c>
    </row>
    <row r="258" spans="1:18" x14ac:dyDescent="0.25">
      <c r="A258" s="170">
        <v>42380</v>
      </c>
      <c r="B258" s="116">
        <v>2.3741581414394299</v>
      </c>
      <c r="C258" s="116">
        <v>2.3393139258879501</v>
      </c>
      <c r="D258" s="116">
        <v>2.2933829144791802</v>
      </c>
      <c r="E258" s="116">
        <v>2.2933829144791802</v>
      </c>
      <c r="F258" s="116">
        <v>147.69999999999999</v>
      </c>
      <c r="G258">
        <v>4917</v>
      </c>
      <c r="H258" s="116"/>
      <c r="I258" s="116"/>
      <c r="L258" s="170">
        <v>45875</v>
      </c>
      <c r="M258" s="116">
        <v>126.32</v>
      </c>
      <c r="N258" s="116">
        <v>131</v>
      </c>
      <c r="O258" s="116">
        <v>125.5</v>
      </c>
      <c r="P258" s="116">
        <v>130</v>
      </c>
      <c r="Q258" s="116">
        <v>126.32</v>
      </c>
      <c r="R258">
        <v>523400</v>
      </c>
    </row>
    <row r="259" spans="1:18" x14ac:dyDescent="0.25">
      <c r="A259" s="170">
        <v>42381</v>
      </c>
      <c r="B259" s="116">
        <v>2.3915802492151701</v>
      </c>
      <c r="C259" s="116">
        <v>2.3028858823568599</v>
      </c>
      <c r="D259" s="116">
        <v>2.2965505704384102</v>
      </c>
      <c r="E259" s="116">
        <v>2.3757419694190398</v>
      </c>
      <c r="F259" s="116">
        <v>145.4</v>
      </c>
      <c r="G259">
        <v>4903</v>
      </c>
      <c r="H259" s="116"/>
      <c r="I259" s="116"/>
      <c r="L259" s="170">
        <v>45876</v>
      </c>
      <c r="M259" s="116">
        <v>128.87</v>
      </c>
      <c r="N259" s="116">
        <v>130.19</v>
      </c>
      <c r="O259" s="116">
        <v>123.25</v>
      </c>
      <c r="P259" s="116">
        <v>126</v>
      </c>
      <c r="Q259" s="116">
        <v>128.87</v>
      </c>
      <c r="R259">
        <v>1140831</v>
      </c>
    </row>
    <row r="260" spans="1:18" x14ac:dyDescent="0.25">
      <c r="A260" s="170">
        <v>42382</v>
      </c>
      <c r="B260" s="116">
        <v>2.3504007217452401</v>
      </c>
      <c r="C260" s="116">
        <v>2.14291925641598</v>
      </c>
      <c r="D260" s="116">
        <v>1.8562463921060799</v>
      </c>
      <c r="E260" s="116">
        <v>2.3139726782141499</v>
      </c>
      <c r="F260" s="116">
        <v>135.30000000000001</v>
      </c>
      <c r="G260">
        <v>16344</v>
      </c>
      <c r="H260" s="116"/>
      <c r="I260" s="116"/>
      <c r="L260" s="170">
        <v>45877</v>
      </c>
      <c r="M260" s="116">
        <v>125.33</v>
      </c>
      <c r="N260" s="116">
        <v>129.69999999999999</v>
      </c>
      <c r="O260" s="116">
        <v>125.01</v>
      </c>
      <c r="P260" s="116">
        <v>129.69999999999999</v>
      </c>
      <c r="Q260" s="116">
        <v>125.33</v>
      </c>
      <c r="R260">
        <v>722148</v>
      </c>
    </row>
    <row r="261" spans="1:18" x14ac:dyDescent="0.25">
      <c r="A261" s="170">
        <v>42383</v>
      </c>
      <c r="B261" s="116">
        <v>2.2015208916616502</v>
      </c>
      <c r="C261" s="116">
        <v>2.1698443320693901</v>
      </c>
      <c r="D261" s="116">
        <v>1.9195995112905899</v>
      </c>
      <c r="E261" s="116">
        <v>2.0668955133945701</v>
      </c>
      <c r="F261" s="116">
        <v>137</v>
      </c>
      <c r="G261">
        <v>11316</v>
      </c>
      <c r="H261" s="116"/>
      <c r="I261" s="116"/>
      <c r="L261" s="170">
        <v>45880</v>
      </c>
      <c r="M261" s="116">
        <v>127.82</v>
      </c>
      <c r="N261" s="116">
        <v>129.25</v>
      </c>
      <c r="O261" s="116">
        <v>123.36</v>
      </c>
      <c r="P261" s="116">
        <v>125</v>
      </c>
      <c r="Q261" s="116">
        <v>127.82</v>
      </c>
      <c r="R261">
        <v>1314302</v>
      </c>
    </row>
    <row r="262" spans="1:18" x14ac:dyDescent="0.25">
      <c r="A262" s="170">
        <v>42384</v>
      </c>
      <c r="B262" s="116">
        <v>2.27912846266267</v>
      </c>
      <c r="C262" s="116">
        <v>1.99879091027122</v>
      </c>
      <c r="D262" s="116">
        <v>1.97978497451587</v>
      </c>
      <c r="E262" s="116">
        <v>2.27912846266267</v>
      </c>
      <c r="F262" s="116">
        <v>126.2</v>
      </c>
      <c r="G262">
        <v>10463</v>
      </c>
      <c r="H262" s="116"/>
      <c r="I262" s="116"/>
      <c r="L262" s="170">
        <v>45881</v>
      </c>
      <c r="M262" s="116">
        <v>135.01</v>
      </c>
      <c r="N262" s="116">
        <v>136</v>
      </c>
      <c r="O262" s="116">
        <v>128.07</v>
      </c>
      <c r="P262" s="116">
        <v>128.62</v>
      </c>
      <c r="Q262" s="116">
        <v>135.01</v>
      </c>
      <c r="R262">
        <v>1969408</v>
      </c>
    </row>
    <row r="263" spans="1:18" x14ac:dyDescent="0.25">
      <c r="A263" s="170">
        <v>42387</v>
      </c>
      <c r="B263" s="116">
        <v>2.02729981390425</v>
      </c>
      <c r="C263" s="116">
        <v>1.8419919402895599</v>
      </c>
      <c r="D263" s="116">
        <v>1.8309051444322799</v>
      </c>
      <c r="E263" s="116">
        <v>2.02729981390425</v>
      </c>
      <c r="F263" s="116">
        <v>116.3</v>
      </c>
      <c r="G263">
        <v>9704</v>
      </c>
      <c r="H263" s="116"/>
      <c r="I263" s="116"/>
      <c r="L263" s="170">
        <v>45882</v>
      </c>
      <c r="M263" s="116">
        <v>133.49</v>
      </c>
      <c r="N263" s="116">
        <v>136.80000000000001</v>
      </c>
      <c r="O263" s="116">
        <v>132.65</v>
      </c>
      <c r="P263" s="116">
        <v>136</v>
      </c>
      <c r="Q263" s="116">
        <v>133.49</v>
      </c>
      <c r="R263">
        <v>760704</v>
      </c>
    </row>
    <row r="264" spans="1:18" x14ac:dyDescent="0.25">
      <c r="A264" s="170">
        <v>42388</v>
      </c>
      <c r="B264" s="116">
        <v>2.0748146532926302</v>
      </c>
      <c r="C264" s="116">
        <v>2.04947340561883</v>
      </c>
      <c r="D264" s="116">
        <v>1.9005935755352299</v>
      </c>
      <c r="E264" s="116">
        <v>1.9639466947197399</v>
      </c>
      <c r="F264" s="116">
        <v>129.4</v>
      </c>
      <c r="G264">
        <v>10594</v>
      </c>
      <c r="H264" s="116"/>
      <c r="I264" s="116"/>
      <c r="L264" s="170">
        <v>45883</v>
      </c>
      <c r="M264" s="116">
        <v>131.84</v>
      </c>
      <c r="N264" s="116">
        <v>134.99</v>
      </c>
      <c r="O264" s="116">
        <v>131.11000000000001</v>
      </c>
      <c r="P264" s="116">
        <v>134.4</v>
      </c>
      <c r="Q264" s="116">
        <v>131.84</v>
      </c>
      <c r="R264">
        <v>427409</v>
      </c>
    </row>
    <row r="265" spans="1:18" x14ac:dyDescent="0.25">
      <c r="A265" s="170">
        <v>42389</v>
      </c>
      <c r="B265" s="116">
        <v>2.09065293308876</v>
      </c>
      <c r="C265" s="116">
        <v>2.05422488955766</v>
      </c>
      <c r="D265" s="116">
        <v>1.9259348232090401</v>
      </c>
      <c r="E265" s="116">
        <v>2.0415542657207602</v>
      </c>
      <c r="F265" s="116">
        <v>129.69999999999999</v>
      </c>
      <c r="G265">
        <v>4443</v>
      </c>
      <c r="H265" s="116"/>
      <c r="I265" s="116"/>
      <c r="L265" s="170">
        <v>45887</v>
      </c>
      <c r="M265" s="116">
        <v>132.84</v>
      </c>
      <c r="N265" s="116">
        <v>135.6</v>
      </c>
      <c r="O265" s="116">
        <v>132.11000000000001</v>
      </c>
      <c r="P265" s="116">
        <v>133</v>
      </c>
      <c r="Q265" s="116">
        <v>132.84</v>
      </c>
      <c r="R265">
        <v>500489</v>
      </c>
    </row>
    <row r="266" spans="1:18" x14ac:dyDescent="0.25">
      <c r="A266" s="170">
        <v>42390</v>
      </c>
      <c r="B266" s="116">
        <v>2.09065293308876</v>
      </c>
      <c r="C266" s="116">
        <v>2.01621301804696</v>
      </c>
      <c r="D266" s="116">
        <v>1.93227013512749</v>
      </c>
      <c r="E266" s="116">
        <v>2.09065293308876</v>
      </c>
      <c r="F266" s="116">
        <v>127.3</v>
      </c>
      <c r="G266">
        <v>4208</v>
      </c>
      <c r="H266" s="116"/>
      <c r="I266" s="116"/>
      <c r="L266" s="170">
        <v>45888</v>
      </c>
      <c r="M266" s="116">
        <v>132.94999999999999</v>
      </c>
      <c r="N266" s="116">
        <v>133.44</v>
      </c>
      <c r="O266" s="116">
        <v>131.22</v>
      </c>
      <c r="P266" s="116">
        <v>132.85</v>
      </c>
      <c r="Q266" s="116">
        <v>132.94999999999999</v>
      </c>
      <c r="R266">
        <v>434086</v>
      </c>
    </row>
    <row r="267" spans="1:18" x14ac:dyDescent="0.25">
      <c r="A267" s="170">
        <v>42391</v>
      </c>
      <c r="B267" s="116">
        <v>2.21577534347816</v>
      </c>
      <c r="C267" s="116">
        <v>2.09857207298682</v>
      </c>
      <c r="D267" s="116">
        <v>2.0589763734964999</v>
      </c>
      <c r="E267" s="116">
        <v>2.1191618367217901</v>
      </c>
      <c r="F267" s="116">
        <v>132.5</v>
      </c>
      <c r="G267">
        <v>11901</v>
      </c>
      <c r="H267" s="116"/>
      <c r="I267" s="116"/>
      <c r="L267" s="170">
        <v>45889</v>
      </c>
      <c r="M267" s="116">
        <v>139.69</v>
      </c>
      <c r="N267" s="116">
        <v>140.5</v>
      </c>
      <c r="O267" s="116">
        <v>132.61000000000001</v>
      </c>
      <c r="P267" s="116">
        <v>133.49</v>
      </c>
      <c r="Q267" s="116">
        <v>139.69</v>
      </c>
      <c r="R267">
        <v>1859091</v>
      </c>
    </row>
    <row r="268" spans="1:18" x14ac:dyDescent="0.25">
      <c r="A268" s="170">
        <v>42394</v>
      </c>
      <c r="B268" s="116">
        <v>2.1809311279266801</v>
      </c>
      <c r="C268" s="116">
        <v>2.0478895776392099</v>
      </c>
      <c r="D268" s="116">
        <v>2.02729981390425</v>
      </c>
      <c r="E268" s="116">
        <v>2.1397516004567501</v>
      </c>
      <c r="F268" s="116">
        <v>129.30000000000001</v>
      </c>
      <c r="G268">
        <v>5181</v>
      </c>
      <c r="H268" s="116"/>
      <c r="I268" s="116"/>
      <c r="L268" s="170">
        <v>45890</v>
      </c>
      <c r="M268" s="116">
        <v>141.91999999999999</v>
      </c>
      <c r="N268" s="116">
        <v>143.86000000000001</v>
      </c>
      <c r="O268" s="116">
        <v>140.63999999999999</v>
      </c>
      <c r="P268" s="116">
        <v>141.19</v>
      </c>
      <c r="Q268" s="116">
        <v>141.91999999999999</v>
      </c>
      <c r="R268">
        <v>1188897</v>
      </c>
    </row>
    <row r="269" spans="1:18" x14ac:dyDescent="0.25">
      <c r="A269" s="170">
        <v>42396</v>
      </c>
      <c r="B269" s="116">
        <v>2.1619251921713301</v>
      </c>
      <c r="C269" s="116">
        <v>2.1144103527829499</v>
      </c>
      <c r="D269" s="116">
        <v>2.0431380937003798</v>
      </c>
      <c r="E269" s="116">
        <v>2.1064912128848801</v>
      </c>
      <c r="F269" s="116">
        <v>133.5</v>
      </c>
      <c r="G269">
        <v>4027</v>
      </c>
      <c r="H269" s="116"/>
      <c r="I269" s="116"/>
      <c r="L269" s="170">
        <v>45891</v>
      </c>
      <c r="M269" s="116">
        <v>148.99</v>
      </c>
      <c r="N269" s="116">
        <v>150.5</v>
      </c>
      <c r="O269" s="116">
        <v>138.18</v>
      </c>
      <c r="P269" s="116">
        <v>141.91999999999999</v>
      </c>
      <c r="Q269" s="116">
        <v>148.99</v>
      </c>
      <c r="R269">
        <v>3711695</v>
      </c>
    </row>
    <row r="270" spans="1:18" x14ac:dyDescent="0.25">
      <c r="A270" s="170">
        <v>42397</v>
      </c>
      <c r="B270" s="116">
        <v>2.2949667424587998</v>
      </c>
      <c r="C270" s="116">
        <v>2.23794893519274</v>
      </c>
      <c r="D270" s="116">
        <v>2.06056020147612</v>
      </c>
      <c r="E270" s="116">
        <v>2.06056020147612</v>
      </c>
      <c r="F270" s="116">
        <v>141.30000000000001</v>
      </c>
      <c r="G270">
        <v>8521</v>
      </c>
      <c r="H270" s="116"/>
      <c r="I270" s="116"/>
      <c r="L270" s="170">
        <v>45894</v>
      </c>
      <c r="M270" s="116">
        <v>150.85</v>
      </c>
      <c r="N270" s="116">
        <v>152.28</v>
      </c>
      <c r="O270" s="116">
        <v>147.63</v>
      </c>
      <c r="P270" s="116">
        <v>150.03</v>
      </c>
      <c r="Q270" s="116">
        <v>150.85</v>
      </c>
      <c r="R270">
        <v>1698823</v>
      </c>
    </row>
    <row r="271" spans="1:18" x14ac:dyDescent="0.25">
      <c r="A271" s="170">
        <v>42398</v>
      </c>
      <c r="B271" s="116">
        <v>2.3741581414394299</v>
      </c>
      <c r="C271" s="116">
        <v>2.3393139258879501</v>
      </c>
      <c r="D271" s="116">
        <v>2.09065293308876</v>
      </c>
      <c r="E271" s="116">
        <v>2.09065293308876</v>
      </c>
      <c r="F271" s="116">
        <v>147.69999999999999</v>
      </c>
      <c r="G271">
        <v>9161</v>
      </c>
      <c r="H271" s="116"/>
      <c r="I271" s="116"/>
      <c r="L271" s="170">
        <v>45895</v>
      </c>
      <c r="M271" s="116">
        <v>148.1</v>
      </c>
      <c r="N271" s="116">
        <v>153.74</v>
      </c>
      <c r="O271" s="116">
        <v>146.49</v>
      </c>
      <c r="P271" s="116">
        <v>151.59</v>
      </c>
      <c r="Q271" s="116">
        <v>148.1</v>
      </c>
      <c r="R271">
        <v>1643040</v>
      </c>
    </row>
    <row r="272" spans="1:18" x14ac:dyDescent="0.25">
      <c r="A272" s="170">
        <v>42401</v>
      </c>
      <c r="B272" s="116">
        <v>2.3757419694190398</v>
      </c>
      <c r="C272" s="116">
        <v>2.3250594740714399</v>
      </c>
      <c r="D272" s="116">
        <v>2.2331974512539001</v>
      </c>
      <c r="E272" s="116">
        <v>2.3757419694190398</v>
      </c>
      <c r="F272" s="116">
        <v>146.80000000000001</v>
      </c>
      <c r="G272">
        <v>5758</v>
      </c>
      <c r="H272" s="116"/>
      <c r="I272" s="116"/>
      <c r="L272" s="170">
        <v>45897</v>
      </c>
      <c r="M272" s="116">
        <v>145.66</v>
      </c>
      <c r="N272" s="116">
        <v>148.85</v>
      </c>
      <c r="O272" s="116">
        <v>144.1</v>
      </c>
      <c r="P272" s="116">
        <v>148.44999999999999</v>
      </c>
      <c r="Q272" s="116">
        <v>145.66</v>
      </c>
      <c r="R272">
        <v>962719</v>
      </c>
    </row>
    <row r="273" spans="1:18" x14ac:dyDescent="0.25">
      <c r="A273" s="170">
        <v>42402</v>
      </c>
      <c r="B273" s="116">
        <v>2.3567360336636902</v>
      </c>
      <c r="C273" s="116">
        <v>2.1682605040897802</v>
      </c>
      <c r="D273" s="116">
        <v>2.1381677724771402</v>
      </c>
      <c r="E273" s="116">
        <v>2.3567360336636902</v>
      </c>
      <c r="F273" s="116">
        <v>136.9</v>
      </c>
      <c r="G273">
        <v>3828</v>
      </c>
      <c r="H273" s="116"/>
      <c r="I273" s="116"/>
      <c r="L273" s="170">
        <v>45898</v>
      </c>
      <c r="M273" s="116">
        <v>149.76</v>
      </c>
      <c r="N273" s="116">
        <v>153.19999999999999</v>
      </c>
      <c r="O273" s="116">
        <v>143.6</v>
      </c>
      <c r="P273" s="116">
        <v>145</v>
      </c>
      <c r="Q273" s="116">
        <v>149.76</v>
      </c>
      <c r="R273">
        <v>2485669</v>
      </c>
    </row>
    <row r="274" spans="1:18" x14ac:dyDescent="0.25">
      <c r="A274" s="170">
        <v>42403</v>
      </c>
      <c r="B274" s="116">
        <v>2.2141915154985501</v>
      </c>
      <c r="C274" s="116">
        <v>2.0304674698634702</v>
      </c>
      <c r="D274" s="116">
        <v>1.9005935755352299</v>
      </c>
      <c r="E274" s="116">
        <v>2.2141915154985501</v>
      </c>
      <c r="F274" s="116">
        <v>128.19999999999999</v>
      </c>
      <c r="G274">
        <v>5400</v>
      </c>
      <c r="H274" s="116"/>
      <c r="I274" s="116"/>
      <c r="L274" s="170">
        <v>45901</v>
      </c>
      <c r="M274" s="116">
        <v>150.97</v>
      </c>
      <c r="N274" s="116">
        <v>153.9</v>
      </c>
      <c r="O274" s="116">
        <v>149.71</v>
      </c>
      <c r="P274" s="116">
        <v>152</v>
      </c>
      <c r="Q274" s="116">
        <v>150.97</v>
      </c>
      <c r="R274">
        <v>1528586</v>
      </c>
    </row>
    <row r="275" spans="1:18" x14ac:dyDescent="0.25">
      <c r="A275" s="170">
        <v>42404</v>
      </c>
      <c r="B275" s="116">
        <v>2.1460869123752002</v>
      </c>
      <c r="C275" s="116">
        <v>2.0621440294557298</v>
      </c>
      <c r="D275" s="116">
        <v>2.01621301804696</v>
      </c>
      <c r="E275" s="116">
        <v>2.11282652480334</v>
      </c>
      <c r="F275" s="116">
        <v>130.19999999999999</v>
      </c>
      <c r="G275">
        <v>6688</v>
      </c>
      <c r="H275" s="116"/>
      <c r="I275" s="116"/>
      <c r="L275" s="170">
        <v>45902</v>
      </c>
      <c r="M275" s="116">
        <v>154.52000000000001</v>
      </c>
      <c r="N275" s="116">
        <v>156.30000000000001</v>
      </c>
      <c r="O275" s="116">
        <v>150.56</v>
      </c>
      <c r="P275" s="116">
        <v>151.63</v>
      </c>
      <c r="Q275" s="116">
        <v>154.52000000000001</v>
      </c>
      <c r="R275">
        <v>2130314</v>
      </c>
    </row>
    <row r="276" spans="1:18" x14ac:dyDescent="0.25">
      <c r="A276" s="170">
        <v>42405</v>
      </c>
      <c r="B276" s="116">
        <v>2.1350001165179102</v>
      </c>
      <c r="C276" s="116">
        <v>2.09857207298682</v>
      </c>
      <c r="D276" s="116">
        <v>2.0589763734964999</v>
      </c>
      <c r="E276" s="116">
        <v>2.1112426968237199</v>
      </c>
      <c r="F276" s="116">
        <v>132.5</v>
      </c>
      <c r="G276">
        <v>2197</v>
      </c>
      <c r="H276" s="116"/>
      <c r="I276" s="116"/>
      <c r="L276" s="170">
        <v>45903</v>
      </c>
      <c r="M276" s="116">
        <v>162.08000000000001</v>
      </c>
      <c r="N276" s="116">
        <v>162.80000000000001</v>
      </c>
      <c r="O276" s="116">
        <v>155.55000000000001</v>
      </c>
      <c r="P276" s="116">
        <v>156</v>
      </c>
      <c r="Q276" s="116">
        <v>162.08000000000001</v>
      </c>
      <c r="R276">
        <v>3945151</v>
      </c>
    </row>
    <row r="277" spans="1:18" x14ac:dyDescent="0.25">
      <c r="A277" s="170">
        <v>42408</v>
      </c>
      <c r="B277" s="116">
        <v>2.1144103527829499</v>
      </c>
      <c r="C277" s="116">
        <v>2.0700631693537899</v>
      </c>
      <c r="D277" s="116">
        <v>2.0431380937003798</v>
      </c>
      <c r="E277" s="116">
        <v>2.06056020147612</v>
      </c>
      <c r="F277" s="116">
        <v>130.69999999999999</v>
      </c>
      <c r="G277">
        <v>2513</v>
      </c>
      <c r="H277" s="116"/>
      <c r="I277" s="116"/>
      <c r="L277" s="170">
        <v>45904</v>
      </c>
      <c r="M277" s="116">
        <v>158.63</v>
      </c>
      <c r="N277" s="116">
        <v>164</v>
      </c>
      <c r="O277" s="116">
        <v>157.5</v>
      </c>
      <c r="P277" s="116">
        <v>163.66999999999999</v>
      </c>
      <c r="Q277" s="116">
        <v>158.63</v>
      </c>
      <c r="R277">
        <v>2156499</v>
      </c>
    </row>
    <row r="278" spans="1:18" x14ac:dyDescent="0.25">
      <c r="A278" s="170">
        <v>42409</v>
      </c>
      <c r="B278" s="116">
        <v>2.0811499652110799</v>
      </c>
      <c r="C278" s="116">
        <v>2.03521895380231</v>
      </c>
      <c r="D278" s="116">
        <v>1.95444372684207</v>
      </c>
      <c r="E278" s="116">
        <v>2.0431380937003798</v>
      </c>
      <c r="F278" s="116">
        <v>128.5</v>
      </c>
      <c r="G278">
        <v>3045</v>
      </c>
      <c r="H278" s="116"/>
      <c r="I278" s="116"/>
      <c r="L278" s="170">
        <v>45905</v>
      </c>
      <c r="M278" s="116">
        <v>176.63</v>
      </c>
      <c r="N278" s="116">
        <v>180.5</v>
      </c>
      <c r="O278" s="116">
        <v>158.44999999999999</v>
      </c>
      <c r="P278" s="116">
        <v>159.30000000000001</v>
      </c>
      <c r="Q278" s="116">
        <v>176.63</v>
      </c>
      <c r="R278">
        <v>18235112</v>
      </c>
    </row>
    <row r="279" spans="1:18" x14ac:dyDescent="0.25">
      <c r="A279" s="170">
        <v>42410</v>
      </c>
      <c r="B279" s="116">
        <v>2.0399704377411498</v>
      </c>
      <c r="C279" s="116">
        <v>1.946524586944</v>
      </c>
      <c r="D279" s="116">
        <v>1.8530787361468499</v>
      </c>
      <c r="E279" s="116">
        <v>1.9338539631070999</v>
      </c>
      <c r="F279" s="116">
        <v>122.9</v>
      </c>
      <c r="G279">
        <v>6034</v>
      </c>
      <c r="H279" s="116"/>
      <c r="I279" s="116"/>
      <c r="L279" s="170">
        <v>45908</v>
      </c>
      <c r="M279" s="116">
        <v>170.27</v>
      </c>
      <c r="N279" s="116">
        <v>183.29</v>
      </c>
      <c r="O279" s="116">
        <v>167.33</v>
      </c>
      <c r="P279" s="116">
        <v>179.4</v>
      </c>
      <c r="Q279" s="116">
        <v>170.27</v>
      </c>
      <c r="R279">
        <v>5186818</v>
      </c>
    </row>
    <row r="280" spans="1:18" x14ac:dyDescent="0.25">
      <c r="A280" s="170">
        <v>42411</v>
      </c>
      <c r="B280" s="116">
        <v>1.93227013512749</v>
      </c>
      <c r="C280" s="116">
        <v>1.6756900024302299</v>
      </c>
      <c r="D280" s="116">
        <v>1.58857946355153</v>
      </c>
      <c r="E280" s="116">
        <v>1.9306863071478799</v>
      </c>
      <c r="F280" s="116">
        <v>105.8</v>
      </c>
      <c r="G280">
        <v>18321</v>
      </c>
      <c r="H280" s="116"/>
      <c r="I280" s="116"/>
      <c r="L280" s="170">
        <v>45909</v>
      </c>
      <c r="M280" s="116">
        <v>173.22</v>
      </c>
      <c r="N280" s="116">
        <v>177.6</v>
      </c>
      <c r="O280" s="116">
        <v>166.11</v>
      </c>
      <c r="P280" s="116">
        <v>171</v>
      </c>
      <c r="Q280" s="116">
        <v>173.22</v>
      </c>
      <c r="R280">
        <v>3445136</v>
      </c>
    </row>
    <row r="281" spans="1:18" x14ac:dyDescent="0.25">
      <c r="A281" s="170">
        <v>42412</v>
      </c>
      <c r="B281" s="116">
        <v>1.7723035091866099</v>
      </c>
      <c r="C281" s="116">
        <v>1.7200371858593899</v>
      </c>
      <c r="D281" s="116">
        <v>1.60758539930689</v>
      </c>
      <c r="E281" s="116">
        <v>1.60758539930689</v>
      </c>
      <c r="F281" s="116">
        <v>108.6</v>
      </c>
      <c r="G281">
        <v>8296</v>
      </c>
      <c r="H281" s="116"/>
      <c r="I281" s="116"/>
      <c r="L281" s="170">
        <v>45910</v>
      </c>
      <c r="M281" s="116">
        <v>169.66</v>
      </c>
      <c r="N281" s="116">
        <v>175.74</v>
      </c>
      <c r="O281" s="116">
        <v>168.18</v>
      </c>
      <c r="P281" s="116">
        <v>174.09</v>
      </c>
      <c r="Q281" s="116">
        <v>169.66</v>
      </c>
      <c r="R281">
        <v>2883002</v>
      </c>
    </row>
    <row r="282" spans="1:18" x14ac:dyDescent="0.25">
      <c r="A282" s="170">
        <v>42415</v>
      </c>
      <c r="B282" s="116">
        <v>1.8182345205953701</v>
      </c>
      <c r="C282" s="116">
        <v>1.72954015373706</v>
      </c>
      <c r="D282" s="116">
        <v>1.6725223464710099</v>
      </c>
      <c r="E282" s="116">
        <v>1.7422107775739599</v>
      </c>
      <c r="F282" s="116">
        <v>109.2</v>
      </c>
      <c r="G282">
        <v>14739</v>
      </c>
      <c r="H282" s="116"/>
      <c r="I282" s="116"/>
      <c r="L282" s="170">
        <v>45911</v>
      </c>
      <c r="M282" s="116">
        <v>167.56</v>
      </c>
      <c r="N282" s="116">
        <v>171.58</v>
      </c>
      <c r="O282" s="116">
        <v>166.36</v>
      </c>
      <c r="P282" s="116">
        <v>169.6</v>
      </c>
      <c r="Q282" s="116">
        <v>167.56</v>
      </c>
      <c r="R282">
        <v>3296075</v>
      </c>
    </row>
    <row r="283" spans="1:18" x14ac:dyDescent="0.25">
      <c r="A283" s="170">
        <v>42416</v>
      </c>
      <c r="B283" s="116">
        <v>1.77388733716622</v>
      </c>
      <c r="C283" s="116">
        <v>1.6788576583894601</v>
      </c>
      <c r="D283" s="116">
        <v>1.66301937859333</v>
      </c>
      <c r="E283" s="116">
        <v>1.77388733716622</v>
      </c>
      <c r="F283" s="116">
        <v>106</v>
      </c>
      <c r="G283">
        <v>4922</v>
      </c>
      <c r="H283" s="116"/>
      <c r="I283" s="116"/>
      <c r="L283" s="170">
        <v>45912</v>
      </c>
      <c r="M283" s="116">
        <v>173.95</v>
      </c>
      <c r="N283" s="116">
        <v>177.5</v>
      </c>
      <c r="O283" s="116">
        <v>167</v>
      </c>
      <c r="P283" s="116">
        <v>167.56</v>
      </c>
      <c r="Q283" s="116">
        <v>173.95</v>
      </c>
      <c r="R283">
        <v>5530974</v>
      </c>
    </row>
    <row r="284" spans="1:18" x14ac:dyDescent="0.25">
      <c r="A284" s="170">
        <v>42417</v>
      </c>
      <c r="B284" s="116">
        <v>1.73904312161474</v>
      </c>
      <c r="C284" s="116">
        <v>1.68044148636907</v>
      </c>
      <c r="D284" s="116">
        <v>1.6155045392049501</v>
      </c>
      <c r="E284" s="116">
        <v>1.6155045392049501</v>
      </c>
      <c r="F284" s="116">
        <v>106.1</v>
      </c>
      <c r="G284">
        <v>3849</v>
      </c>
      <c r="H284" s="116"/>
      <c r="I284" s="116"/>
      <c r="L284" s="170">
        <v>45915</v>
      </c>
      <c r="M284" s="116">
        <v>176.61</v>
      </c>
      <c r="N284" s="116">
        <v>179.28</v>
      </c>
      <c r="O284" s="116">
        <v>172.6</v>
      </c>
      <c r="P284" s="116">
        <v>174.64</v>
      </c>
      <c r="Q284" s="116">
        <v>176.61</v>
      </c>
      <c r="R284">
        <v>3343754</v>
      </c>
    </row>
    <row r="285" spans="1:18" x14ac:dyDescent="0.25">
      <c r="A285" s="170">
        <v>42418</v>
      </c>
      <c r="B285" s="116">
        <v>1.75804905737009</v>
      </c>
      <c r="C285" s="116">
        <v>1.70578273404287</v>
      </c>
      <c r="D285" s="116">
        <v>1.65510023869527</v>
      </c>
      <c r="E285" s="116">
        <v>1.75804905737009</v>
      </c>
      <c r="F285" s="116">
        <v>107.7</v>
      </c>
      <c r="G285">
        <v>208</v>
      </c>
      <c r="H285" s="116"/>
      <c r="I285" s="116"/>
      <c r="L285" s="170">
        <v>45916</v>
      </c>
      <c r="M285" s="116">
        <v>177.03</v>
      </c>
      <c r="N285" s="116">
        <v>178.17</v>
      </c>
      <c r="O285" s="116">
        <v>173.37</v>
      </c>
      <c r="P285" s="116">
        <v>177.39</v>
      </c>
      <c r="Q285" s="116">
        <v>177.03</v>
      </c>
      <c r="R285">
        <v>2668146</v>
      </c>
    </row>
    <row r="286" spans="1:18" x14ac:dyDescent="0.25">
      <c r="A286" s="170">
        <v>42419</v>
      </c>
      <c r="B286" s="116">
        <v>1.7707196812069901</v>
      </c>
      <c r="C286" s="116">
        <v>1.75804905737009</v>
      </c>
      <c r="D286" s="116">
        <v>1.65510023869527</v>
      </c>
      <c r="E286" s="116">
        <v>1.6788576583894601</v>
      </c>
      <c r="F286" s="116">
        <v>111</v>
      </c>
      <c r="G286">
        <v>3098</v>
      </c>
      <c r="H286" s="116"/>
      <c r="I286" s="116"/>
      <c r="L286" s="170">
        <v>45917</v>
      </c>
      <c r="M286" s="116">
        <v>177.05</v>
      </c>
      <c r="N286" s="116">
        <v>185.99</v>
      </c>
      <c r="O286" s="116">
        <v>174.35</v>
      </c>
      <c r="P286" s="116">
        <v>179</v>
      </c>
      <c r="Q286" s="116">
        <v>177.05</v>
      </c>
      <c r="R286">
        <v>7725430</v>
      </c>
    </row>
    <row r="287" spans="1:18" x14ac:dyDescent="0.25">
      <c r="A287" s="170">
        <v>42422</v>
      </c>
      <c r="B287" s="116">
        <v>1.80556389675847</v>
      </c>
      <c r="C287" s="116">
        <v>1.721621013839</v>
      </c>
      <c r="D287" s="116">
        <v>1.7121180459613199</v>
      </c>
      <c r="E287" s="116">
        <v>1.75804905737009</v>
      </c>
      <c r="F287" s="116">
        <v>108.7</v>
      </c>
      <c r="G287">
        <v>1450</v>
      </c>
      <c r="H287" s="116"/>
      <c r="I287" s="116"/>
      <c r="L287" s="170">
        <v>45918</v>
      </c>
      <c r="M287" s="116">
        <v>177.14</v>
      </c>
      <c r="N287" s="116">
        <v>184.5</v>
      </c>
      <c r="O287" s="116">
        <v>174.4</v>
      </c>
      <c r="P287" s="116">
        <v>177.99</v>
      </c>
      <c r="Q287" s="116">
        <v>177.14</v>
      </c>
      <c r="R287">
        <v>5405433</v>
      </c>
    </row>
    <row r="288" spans="1:18" x14ac:dyDescent="0.25">
      <c r="A288" s="170">
        <v>42423</v>
      </c>
      <c r="B288" s="116">
        <v>1.7723035091866099</v>
      </c>
      <c r="C288" s="116">
        <v>1.6392619588991399</v>
      </c>
      <c r="D288" s="116">
        <v>1.58382797961269</v>
      </c>
      <c r="E288" s="116">
        <v>1.7723035091866099</v>
      </c>
      <c r="F288" s="116">
        <v>103.5</v>
      </c>
      <c r="G288">
        <v>2927</v>
      </c>
      <c r="H288" s="116"/>
      <c r="I288" s="116"/>
      <c r="L288" s="170">
        <v>45919</v>
      </c>
      <c r="M288" s="116">
        <v>183.77</v>
      </c>
      <c r="N288" s="116">
        <v>184.8</v>
      </c>
      <c r="O288" s="116">
        <v>175.25</v>
      </c>
      <c r="P288" s="116">
        <v>178.75</v>
      </c>
      <c r="Q288" s="116">
        <v>183.77</v>
      </c>
      <c r="R288">
        <v>6369362</v>
      </c>
    </row>
    <row r="289" spans="1:18" x14ac:dyDescent="0.25">
      <c r="A289" s="170">
        <v>42424</v>
      </c>
      <c r="B289" s="116">
        <v>1.6788576583894601</v>
      </c>
      <c r="C289" s="116">
        <v>1.5759088397146299</v>
      </c>
      <c r="D289" s="116">
        <v>1.5679896998165701</v>
      </c>
      <c r="E289" s="116">
        <v>1.64084578687875</v>
      </c>
      <c r="F289" s="116">
        <v>99.5</v>
      </c>
      <c r="G289">
        <v>3613</v>
      </c>
      <c r="H289" s="116"/>
      <c r="I289" s="116"/>
      <c r="L289" s="170">
        <v>45922</v>
      </c>
      <c r="M289" s="116">
        <v>189.73</v>
      </c>
      <c r="N289" s="116">
        <v>194.4</v>
      </c>
      <c r="O289" s="116">
        <v>184</v>
      </c>
      <c r="P289" s="116">
        <v>184.85</v>
      </c>
      <c r="Q289" s="116">
        <v>189.73</v>
      </c>
      <c r="R289">
        <v>11422321</v>
      </c>
    </row>
    <row r="290" spans="1:18" x14ac:dyDescent="0.25">
      <c r="A290" s="170">
        <v>42425</v>
      </c>
      <c r="B290" s="116">
        <v>1.66301937859333</v>
      </c>
      <c r="C290" s="116">
        <v>1.5933309474903701</v>
      </c>
      <c r="D290" s="116">
        <v>1.58541180759231</v>
      </c>
      <c r="E290" s="116">
        <v>1.64401344283798</v>
      </c>
      <c r="F290" s="116">
        <v>100.6</v>
      </c>
      <c r="G290">
        <v>3212</v>
      </c>
      <c r="H290" s="116"/>
      <c r="I290" s="116"/>
      <c r="L290" s="170">
        <v>45923</v>
      </c>
      <c r="M290" s="116">
        <v>193.57</v>
      </c>
      <c r="N290" s="116">
        <v>196.5</v>
      </c>
      <c r="O290" s="116">
        <v>188.25</v>
      </c>
      <c r="P290" s="116">
        <v>191.3</v>
      </c>
      <c r="Q290" s="116">
        <v>193.57</v>
      </c>
      <c r="R290">
        <v>8126545</v>
      </c>
    </row>
    <row r="291" spans="1:18" x14ac:dyDescent="0.25">
      <c r="A291" s="170">
        <v>42426</v>
      </c>
      <c r="B291" s="116">
        <v>1.6471810987972</v>
      </c>
      <c r="C291" s="116">
        <v>1.5711573557757901</v>
      </c>
      <c r="D291" s="116">
        <v>1.50780423659129</v>
      </c>
      <c r="E291" s="116">
        <v>1.50780423659129</v>
      </c>
      <c r="F291" s="116">
        <v>99.2</v>
      </c>
      <c r="G291">
        <v>1798</v>
      </c>
      <c r="H291" s="116"/>
      <c r="I291" s="116"/>
      <c r="L291" s="170">
        <v>45924</v>
      </c>
      <c r="M291" s="116">
        <v>186.62</v>
      </c>
      <c r="N291" s="116">
        <v>193.15</v>
      </c>
      <c r="O291" s="116">
        <v>185.4</v>
      </c>
      <c r="P291" s="116">
        <v>193</v>
      </c>
      <c r="Q291" s="116">
        <v>186.62</v>
      </c>
      <c r="R291">
        <v>3412355</v>
      </c>
    </row>
    <row r="292" spans="1:18" x14ac:dyDescent="0.25">
      <c r="A292" s="170">
        <v>42429</v>
      </c>
      <c r="B292" s="116">
        <v>1.6455972708175901</v>
      </c>
      <c r="C292" s="116">
        <v>1.6455972708175901</v>
      </c>
      <c r="D292" s="116">
        <v>1.496717440734</v>
      </c>
      <c r="E292" s="116">
        <v>1.49988509669322</v>
      </c>
      <c r="F292" s="116">
        <v>103.9</v>
      </c>
      <c r="G292">
        <v>1096</v>
      </c>
      <c r="H292" s="116"/>
      <c r="I292" s="116"/>
      <c r="L292" s="170">
        <v>45925</v>
      </c>
      <c r="M292" s="116">
        <v>179.96</v>
      </c>
      <c r="N292" s="116">
        <v>188.19</v>
      </c>
      <c r="O292" s="116">
        <v>179.26</v>
      </c>
      <c r="P292" s="116">
        <v>185.65</v>
      </c>
      <c r="Q292" s="116">
        <v>179.96</v>
      </c>
      <c r="R292">
        <v>3399665</v>
      </c>
    </row>
    <row r="293" spans="1:18" x14ac:dyDescent="0.25">
      <c r="A293" s="170">
        <v>42430</v>
      </c>
      <c r="B293" s="116">
        <v>1.75804905737009</v>
      </c>
      <c r="C293" s="116">
        <v>1.7422107775739599</v>
      </c>
      <c r="D293" s="116">
        <v>1.6044177433476601</v>
      </c>
      <c r="E293" s="116">
        <v>1.6091692272864999</v>
      </c>
      <c r="F293" s="116">
        <v>110</v>
      </c>
      <c r="G293">
        <v>4517</v>
      </c>
      <c r="H293" s="116"/>
      <c r="I293" s="116"/>
      <c r="L293" s="170">
        <v>45926</v>
      </c>
      <c r="M293" s="116">
        <v>178.94</v>
      </c>
      <c r="N293" s="116">
        <v>182.5</v>
      </c>
      <c r="O293" s="116">
        <v>176.51</v>
      </c>
      <c r="P293" s="116">
        <v>181</v>
      </c>
      <c r="Q293" s="116">
        <v>178.94</v>
      </c>
      <c r="R293">
        <v>4121484</v>
      </c>
    </row>
    <row r="294" spans="1:18" x14ac:dyDescent="0.25">
      <c r="A294" s="170">
        <v>42431</v>
      </c>
      <c r="B294" s="116">
        <v>1.8451595962487899</v>
      </c>
      <c r="C294" s="116">
        <v>1.8261536604934401</v>
      </c>
      <c r="D294" s="116">
        <v>1.70736656202248</v>
      </c>
      <c r="E294" s="116">
        <v>1.8372404563507301</v>
      </c>
      <c r="F294" s="116">
        <v>115.3</v>
      </c>
      <c r="G294">
        <v>3088</v>
      </c>
      <c r="H294" s="116"/>
      <c r="I294" s="116"/>
      <c r="L294" s="170">
        <v>45929</v>
      </c>
      <c r="M294" s="116">
        <v>178.43</v>
      </c>
      <c r="N294" s="116">
        <v>185.49</v>
      </c>
      <c r="O294" s="116">
        <v>177.04</v>
      </c>
      <c r="P294" s="116">
        <v>180</v>
      </c>
      <c r="Q294" s="116">
        <v>178.43</v>
      </c>
      <c r="R294">
        <v>2996935</v>
      </c>
    </row>
    <row r="295" spans="1:18" x14ac:dyDescent="0.25">
      <c r="A295" s="170">
        <v>42432</v>
      </c>
      <c r="B295" s="116">
        <v>1.86891701594298</v>
      </c>
      <c r="C295" s="116">
        <v>1.74062694959435</v>
      </c>
      <c r="D295" s="116">
        <v>1.6709385184913901</v>
      </c>
      <c r="E295" s="116">
        <v>1.86891701594298</v>
      </c>
      <c r="F295" s="116">
        <v>109.9</v>
      </c>
      <c r="G295">
        <v>3542</v>
      </c>
      <c r="H295" s="116"/>
      <c r="I295" s="116"/>
      <c r="L295" s="170">
        <v>45930</v>
      </c>
      <c r="M295" s="116">
        <v>174.35</v>
      </c>
      <c r="N295" s="116">
        <v>179.69</v>
      </c>
      <c r="O295" s="116">
        <v>171.3</v>
      </c>
      <c r="P295" s="116">
        <v>178</v>
      </c>
      <c r="Q295" s="116">
        <v>174.35</v>
      </c>
      <c r="R295">
        <v>2485443</v>
      </c>
    </row>
    <row r="296" spans="1:18" x14ac:dyDescent="0.25">
      <c r="A296" s="170">
        <v>42433</v>
      </c>
      <c r="B296" s="116">
        <v>1.8182345205953701</v>
      </c>
      <c r="C296" s="116">
        <v>1.7263724977778401</v>
      </c>
      <c r="D296" s="116">
        <v>1.65510023869527</v>
      </c>
      <c r="E296" s="116">
        <v>1.8182345205953701</v>
      </c>
      <c r="F296" s="116">
        <v>109</v>
      </c>
      <c r="G296">
        <v>805</v>
      </c>
      <c r="H296" s="116"/>
      <c r="I296" s="116"/>
      <c r="L296" s="170">
        <v>45931</v>
      </c>
      <c r="M296" s="116">
        <v>181.25</v>
      </c>
      <c r="N296" s="116">
        <v>182.48</v>
      </c>
      <c r="O296" s="116">
        <v>174.05</v>
      </c>
      <c r="P296" s="116">
        <v>174.85</v>
      </c>
      <c r="Q296" s="116">
        <v>181.25</v>
      </c>
      <c r="R296">
        <v>2883593</v>
      </c>
    </row>
    <row r="297" spans="1:18" x14ac:dyDescent="0.25">
      <c r="A297" s="170">
        <v>42437</v>
      </c>
      <c r="B297" s="116">
        <v>1.7564652293904801</v>
      </c>
      <c r="C297" s="116">
        <v>1.6820253143486801</v>
      </c>
      <c r="D297" s="116">
        <v>1.67410617445062</v>
      </c>
      <c r="E297" s="116">
        <v>1.71053421798171</v>
      </c>
      <c r="F297" s="116">
        <v>106.2</v>
      </c>
      <c r="G297">
        <v>1685</v>
      </c>
      <c r="H297" s="116"/>
      <c r="I297" s="116"/>
      <c r="L297" s="170">
        <v>45933</v>
      </c>
      <c r="M297" s="116">
        <v>202.29</v>
      </c>
      <c r="N297" s="116">
        <v>211.79</v>
      </c>
      <c r="O297" s="116">
        <v>180</v>
      </c>
      <c r="P297" s="116">
        <v>181.9</v>
      </c>
      <c r="Q297" s="116">
        <v>202.29</v>
      </c>
      <c r="R297">
        <v>26435235</v>
      </c>
    </row>
    <row r="298" spans="1:18" x14ac:dyDescent="0.25">
      <c r="A298" s="170">
        <v>42438</v>
      </c>
      <c r="B298" s="116">
        <v>1.7754711651458299</v>
      </c>
      <c r="C298" s="116">
        <v>1.74062694959435</v>
      </c>
      <c r="D298" s="116">
        <v>1.6471810987972</v>
      </c>
      <c r="E298" s="116">
        <v>1.6471810987972</v>
      </c>
      <c r="F298" s="116">
        <v>109.9</v>
      </c>
      <c r="G298">
        <v>2422</v>
      </c>
      <c r="H298" s="116"/>
      <c r="I298" s="116"/>
      <c r="L298" s="170">
        <v>45936</v>
      </c>
      <c r="M298" s="116">
        <v>211.66</v>
      </c>
      <c r="N298" s="116">
        <v>214.57</v>
      </c>
      <c r="O298" s="116">
        <v>202.36</v>
      </c>
      <c r="P298" s="116">
        <v>204.4</v>
      </c>
      <c r="Q298" s="116">
        <v>211.66</v>
      </c>
      <c r="R298">
        <v>14961612</v>
      </c>
    </row>
    <row r="299" spans="1:18" x14ac:dyDescent="0.25">
      <c r="A299" s="170">
        <v>42439</v>
      </c>
      <c r="B299" s="116">
        <v>1.80556389675847</v>
      </c>
      <c r="C299" s="116">
        <v>1.74062694959435</v>
      </c>
      <c r="D299" s="116">
        <v>1.69944742212442</v>
      </c>
      <c r="E299" s="116">
        <v>1.74379460555358</v>
      </c>
      <c r="F299" s="116">
        <v>109.9</v>
      </c>
      <c r="G299">
        <v>4918</v>
      </c>
      <c r="H299" s="116"/>
      <c r="I299" s="116"/>
      <c r="L299" s="170">
        <v>45937</v>
      </c>
      <c r="M299" s="116">
        <v>207.34</v>
      </c>
      <c r="N299" s="116">
        <v>214.39</v>
      </c>
      <c r="O299" s="116">
        <v>205.55</v>
      </c>
      <c r="P299" s="116">
        <v>212</v>
      </c>
      <c r="Q299" s="116">
        <v>207.34</v>
      </c>
      <c r="R299">
        <v>5779397</v>
      </c>
    </row>
    <row r="300" spans="1:18" x14ac:dyDescent="0.25">
      <c r="A300" s="170">
        <v>42440</v>
      </c>
      <c r="B300" s="116">
        <v>1.7723035091866099</v>
      </c>
      <c r="C300" s="116">
        <v>1.6931121102059701</v>
      </c>
      <c r="D300" s="116">
        <v>1.6788576583894601</v>
      </c>
      <c r="E300" s="116">
        <v>1.7723035091866099</v>
      </c>
      <c r="F300" s="116">
        <v>106.9</v>
      </c>
      <c r="G300">
        <v>1690</v>
      </c>
      <c r="H300" s="116"/>
      <c r="I300" s="116"/>
      <c r="L300" s="170">
        <v>45938</v>
      </c>
      <c r="M300" s="116">
        <v>202.59</v>
      </c>
      <c r="N300" s="116">
        <v>212.36</v>
      </c>
      <c r="O300" s="116">
        <v>197.5</v>
      </c>
      <c r="P300" s="116">
        <v>208.75</v>
      </c>
      <c r="Q300" s="116">
        <v>202.59</v>
      </c>
      <c r="R300">
        <v>5569101</v>
      </c>
    </row>
    <row r="301" spans="1:18" x14ac:dyDescent="0.25">
      <c r="A301" s="170">
        <v>42443</v>
      </c>
      <c r="B301" s="116">
        <v>1.7675520252477701</v>
      </c>
      <c r="C301" s="116">
        <v>1.7263724977778401</v>
      </c>
      <c r="D301" s="116">
        <v>1.71686952990016</v>
      </c>
      <c r="E301" s="116">
        <v>1.75488140141087</v>
      </c>
      <c r="F301" s="116">
        <v>109</v>
      </c>
      <c r="G301">
        <v>5615</v>
      </c>
      <c r="H301" s="116"/>
      <c r="I301" s="116"/>
      <c r="L301" s="170">
        <v>45939</v>
      </c>
      <c r="M301" s="116">
        <v>207.23</v>
      </c>
      <c r="N301" s="116">
        <v>207.81</v>
      </c>
      <c r="O301" s="116">
        <v>200.42</v>
      </c>
      <c r="P301" s="116">
        <v>203.2</v>
      </c>
      <c r="Q301" s="116">
        <v>207.23</v>
      </c>
      <c r="R301">
        <v>5611320</v>
      </c>
    </row>
    <row r="302" spans="1:18" x14ac:dyDescent="0.25">
      <c r="A302" s="170">
        <v>42444</v>
      </c>
      <c r="B302" s="116">
        <v>1.71053421798171</v>
      </c>
      <c r="C302" s="116">
        <v>1.71053421798171</v>
      </c>
      <c r="D302" s="116">
        <v>1.71053421798171</v>
      </c>
      <c r="E302" s="116">
        <v>1.71053421798171</v>
      </c>
      <c r="F302" s="116">
        <v>108</v>
      </c>
      <c r="G302">
        <v>810</v>
      </c>
      <c r="H302" s="116"/>
      <c r="I302" s="116"/>
      <c r="L302" s="170">
        <v>45940</v>
      </c>
      <c r="M302" s="116">
        <v>203.82</v>
      </c>
      <c r="N302" s="116">
        <v>215</v>
      </c>
      <c r="O302" s="116">
        <v>202.03</v>
      </c>
      <c r="P302" s="116">
        <v>208.8</v>
      </c>
      <c r="Q302" s="116">
        <v>203.82</v>
      </c>
      <c r="R302">
        <v>7289661</v>
      </c>
    </row>
    <row r="303" spans="1:18" x14ac:dyDescent="0.25">
      <c r="A303" s="170">
        <v>42445</v>
      </c>
      <c r="B303" s="116">
        <v>1.7422107775739599</v>
      </c>
      <c r="C303" s="116">
        <v>1.7422107775739599</v>
      </c>
      <c r="D303" s="116">
        <v>1.68836062626713</v>
      </c>
      <c r="E303" s="116">
        <v>1.70261507808365</v>
      </c>
      <c r="F303" s="116">
        <v>110</v>
      </c>
      <c r="G303">
        <v>582</v>
      </c>
      <c r="H303" s="116"/>
      <c r="I303" s="116"/>
      <c r="L303" s="170">
        <v>45943</v>
      </c>
      <c r="M303" s="116">
        <v>190.49</v>
      </c>
      <c r="N303" s="116">
        <v>203.38</v>
      </c>
      <c r="O303" s="116">
        <v>189.1</v>
      </c>
      <c r="P303" s="116">
        <v>203</v>
      </c>
      <c r="Q303" s="116">
        <v>190.49</v>
      </c>
      <c r="R303">
        <v>6327558</v>
      </c>
    </row>
    <row r="304" spans="1:18" x14ac:dyDescent="0.25">
      <c r="A304" s="170">
        <v>42446</v>
      </c>
      <c r="B304" s="116">
        <v>1.7897256169623501</v>
      </c>
      <c r="C304" s="116">
        <v>1.71686952990016</v>
      </c>
      <c r="D304" s="116">
        <v>1.69944742212442</v>
      </c>
      <c r="E304" s="116">
        <v>1.7121180459613199</v>
      </c>
      <c r="F304" s="116">
        <v>108.4</v>
      </c>
      <c r="G304">
        <v>2006</v>
      </c>
      <c r="H304" s="116"/>
      <c r="I304" s="116"/>
      <c r="L304" s="170">
        <v>45944</v>
      </c>
      <c r="M304" s="116">
        <v>182.71</v>
      </c>
      <c r="N304" s="116">
        <v>193.38</v>
      </c>
      <c r="O304" s="116">
        <v>182.12</v>
      </c>
      <c r="P304" s="116">
        <v>192</v>
      </c>
      <c r="Q304" s="116">
        <v>182.71</v>
      </c>
      <c r="R304">
        <v>3972895</v>
      </c>
    </row>
    <row r="305" spans="1:18" x14ac:dyDescent="0.25">
      <c r="A305" s="170">
        <v>42447</v>
      </c>
      <c r="B305" s="116">
        <v>1.7818064770642801</v>
      </c>
      <c r="C305" s="116">
        <v>1.70578273404287</v>
      </c>
      <c r="D305" s="116">
        <v>1.7041989060632601</v>
      </c>
      <c r="E305" s="116">
        <v>1.7422107775739599</v>
      </c>
      <c r="F305" s="116">
        <v>107.7</v>
      </c>
      <c r="G305">
        <v>1799</v>
      </c>
      <c r="H305" s="116"/>
      <c r="I305" s="116"/>
      <c r="L305" s="170">
        <v>45945</v>
      </c>
      <c r="M305" s="116">
        <v>194.73</v>
      </c>
      <c r="N305" s="116">
        <v>197.8</v>
      </c>
      <c r="O305" s="116">
        <v>182.5</v>
      </c>
      <c r="P305" s="116">
        <v>184.09</v>
      </c>
      <c r="Q305" s="116">
        <v>194.73</v>
      </c>
      <c r="R305">
        <v>7349333</v>
      </c>
    </row>
    <row r="306" spans="1:18" x14ac:dyDescent="0.25">
      <c r="A306" s="170">
        <v>42450</v>
      </c>
      <c r="B306" s="116">
        <v>1.7422107775739599</v>
      </c>
      <c r="C306" s="116">
        <v>1.6820253143486801</v>
      </c>
      <c r="D306" s="116">
        <v>1.62500750708262</v>
      </c>
      <c r="E306" s="116">
        <v>1.69469593818558</v>
      </c>
      <c r="F306" s="116">
        <v>106.2</v>
      </c>
      <c r="G306">
        <v>2192</v>
      </c>
      <c r="H306" s="116"/>
      <c r="I306" s="116"/>
      <c r="L306" s="170">
        <v>45946</v>
      </c>
      <c r="M306" s="116">
        <v>198.32</v>
      </c>
      <c r="N306" s="116">
        <v>201.4</v>
      </c>
      <c r="O306" s="116">
        <v>193.7</v>
      </c>
      <c r="P306" s="116">
        <v>196</v>
      </c>
      <c r="Q306" s="116">
        <v>198.32</v>
      </c>
      <c r="R306">
        <v>5370864</v>
      </c>
    </row>
    <row r="307" spans="1:18" x14ac:dyDescent="0.25">
      <c r="A307" s="170">
        <v>42451</v>
      </c>
      <c r="B307" s="116">
        <v>1.80556389675847</v>
      </c>
      <c r="C307" s="116">
        <v>1.7754711651458299</v>
      </c>
      <c r="D307" s="116">
        <v>1.71053421798171</v>
      </c>
      <c r="E307" s="116">
        <v>1.71053421798171</v>
      </c>
      <c r="F307" s="116">
        <v>112.1</v>
      </c>
      <c r="G307">
        <v>5686</v>
      </c>
      <c r="H307" s="116"/>
      <c r="I307" s="116"/>
      <c r="L307" s="170">
        <v>45947</v>
      </c>
      <c r="M307" s="116">
        <v>190.6</v>
      </c>
      <c r="N307" s="116">
        <v>199.22</v>
      </c>
      <c r="O307" s="116">
        <v>190</v>
      </c>
      <c r="P307" s="116">
        <v>198.32</v>
      </c>
      <c r="Q307" s="116">
        <v>190.6</v>
      </c>
      <c r="R307">
        <v>3745396</v>
      </c>
    </row>
    <row r="308" spans="1:18" x14ac:dyDescent="0.25">
      <c r="A308" s="170">
        <v>42452</v>
      </c>
      <c r="B308" s="116">
        <v>1.7976447568604099</v>
      </c>
      <c r="C308" s="116">
        <v>1.7897256169623501</v>
      </c>
      <c r="D308" s="116">
        <v>1.71053421798171</v>
      </c>
      <c r="E308" s="116">
        <v>1.7976447568604099</v>
      </c>
      <c r="F308" s="116">
        <v>113</v>
      </c>
      <c r="G308">
        <v>2339</v>
      </c>
      <c r="H308" s="116"/>
      <c r="I308" s="116"/>
      <c r="L308" s="170">
        <v>45950</v>
      </c>
      <c r="M308" s="116">
        <v>174.58</v>
      </c>
      <c r="N308" s="116">
        <v>179.77</v>
      </c>
      <c r="O308" s="116">
        <v>160.5</v>
      </c>
      <c r="P308" s="116">
        <v>179.34</v>
      </c>
      <c r="Q308" s="116">
        <v>174.58</v>
      </c>
      <c r="R308">
        <v>21008966</v>
      </c>
    </row>
    <row r="309" spans="1:18" x14ac:dyDescent="0.25">
      <c r="A309" s="170">
        <v>42457</v>
      </c>
      <c r="B309" s="116">
        <v>1.97978497451587</v>
      </c>
      <c r="C309" s="116">
        <v>1.90217740351485</v>
      </c>
      <c r="D309" s="116">
        <v>1.71053421798171</v>
      </c>
      <c r="E309" s="116">
        <v>1.8214021765546</v>
      </c>
      <c r="F309" s="116">
        <v>120.1</v>
      </c>
      <c r="G309">
        <v>14249</v>
      </c>
      <c r="H309" s="116"/>
      <c r="I309" s="116"/>
      <c r="L309" s="170">
        <v>45951</v>
      </c>
      <c r="M309" s="116">
        <v>181.82</v>
      </c>
      <c r="N309" s="116">
        <v>182.7</v>
      </c>
      <c r="O309" s="116">
        <v>175.77</v>
      </c>
      <c r="P309" s="116">
        <v>175.88</v>
      </c>
      <c r="Q309" s="116">
        <v>181.82</v>
      </c>
      <c r="R309">
        <v>2890568</v>
      </c>
    </row>
    <row r="310" spans="1:18" x14ac:dyDescent="0.25">
      <c r="A310" s="170">
        <v>42458</v>
      </c>
      <c r="B310" s="116">
        <v>2.1001559009664299</v>
      </c>
      <c r="C310" s="116">
        <v>2.0447219216799901</v>
      </c>
      <c r="D310" s="116">
        <v>1.8039800687788601</v>
      </c>
      <c r="E310" s="116">
        <v>1.9005935755352299</v>
      </c>
      <c r="F310" s="116">
        <v>129.1</v>
      </c>
      <c r="G310">
        <v>10099</v>
      </c>
      <c r="H310" s="116"/>
      <c r="I310" s="116"/>
      <c r="L310" s="170">
        <v>45953</v>
      </c>
      <c r="M310" s="116">
        <v>180.4</v>
      </c>
      <c r="N310" s="116">
        <v>188.89</v>
      </c>
      <c r="O310" s="116">
        <v>177.5</v>
      </c>
      <c r="P310" s="116">
        <v>183</v>
      </c>
      <c r="Q310" s="116">
        <v>180.4</v>
      </c>
      <c r="R310">
        <v>6329041</v>
      </c>
    </row>
    <row r="311" spans="1:18" x14ac:dyDescent="0.25">
      <c r="A311" s="170">
        <v>42459</v>
      </c>
      <c r="B311" s="116">
        <v>2.1381677724771402</v>
      </c>
      <c r="C311" s="116">
        <v>1.93227013512749</v>
      </c>
      <c r="D311" s="116">
        <v>1.92435099522942</v>
      </c>
      <c r="E311" s="116">
        <v>1.97978497451587</v>
      </c>
      <c r="F311" s="116">
        <v>122</v>
      </c>
      <c r="G311">
        <v>4041</v>
      </c>
      <c r="H311" s="116"/>
      <c r="I311" s="116"/>
      <c r="L311" s="170">
        <v>45954</v>
      </c>
      <c r="M311" s="116">
        <v>179.47</v>
      </c>
      <c r="N311" s="116">
        <v>183.46</v>
      </c>
      <c r="O311" s="116">
        <v>178.59</v>
      </c>
      <c r="P311" s="116">
        <v>180.35</v>
      </c>
      <c r="Q311" s="116">
        <v>179.47</v>
      </c>
      <c r="R311">
        <v>2356523</v>
      </c>
    </row>
    <row r="312" spans="1:18" x14ac:dyDescent="0.25">
      <c r="A312" s="170">
        <v>42460</v>
      </c>
      <c r="B312" s="116">
        <v>1.9924555983527701</v>
      </c>
      <c r="C312" s="116">
        <v>1.97661731855664</v>
      </c>
      <c r="D312" s="116">
        <v>1.8895067796779399</v>
      </c>
      <c r="E312" s="116">
        <v>1.9639466947197399</v>
      </c>
      <c r="F312" s="116">
        <v>124.8</v>
      </c>
      <c r="G312">
        <v>1190</v>
      </c>
      <c r="H312" s="116"/>
      <c r="I312" s="116"/>
      <c r="L312" s="170">
        <v>45957</v>
      </c>
      <c r="M312" s="116">
        <v>173.5</v>
      </c>
      <c r="N312" s="116">
        <v>179.2</v>
      </c>
      <c r="O312" s="116">
        <v>172.61</v>
      </c>
      <c r="P312" s="116">
        <v>179.2</v>
      </c>
      <c r="Q312" s="116">
        <v>173.5</v>
      </c>
      <c r="R312">
        <v>3660992</v>
      </c>
    </row>
    <row r="313" spans="1:18" x14ac:dyDescent="0.25">
      <c r="A313" s="170">
        <v>42461</v>
      </c>
      <c r="B313" s="116">
        <v>1.97978497451587</v>
      </c>
      <c r="C313" s="116">
        <v>1.9782011465362599</v>
      </c>
      <c r="D313" s="116">
        <v>1.8293213164526601</v>
      </c>
      <c r="E313" s="116">
        <v>1.8293213164526601</v>
      </c>
      <c r="F313" s="116">
        <v>124.9</v>
      </c>
      <c r="G313">
        <v>1185</v>
      </c>
      <c r="H313" s="116"/>
      <c r="I313" s="116"/>
      <c r="L313" s="170">
        <v>45958</v>
      </c>
      <c r="M313" s="116">
        <v>173.46</v>
      </c>
      <c r="N313" s="116">
        <v>175.5</v>
      </c>
      <c r="O313" s="116">
        <v>172.15</v>
      </c>
      <c r="P313" s="116">
        <v>173.61</v>
      </c>
      <c r="Q313" s="116">
        <v>173.46</v>
      </c>
      <c r="R313">
        <v>1618147</v>
      </c>
    </row>
    <row r="314" spans="1:18" x14ac:dyDescent="0.25">
      <c r="A314" s="170">
        <v>42465</v>
      </c>
      <c r="B314" s="116">
        <v>2.1999370636820301</v>
      </c>
      <c r="C314" s="116">
        <v>2.1730119880286201</v>
      </c>
      <c r="D314" s="116">
        <v>1.9639466947197399</v>
      </c>
      <c r="E314" s="116">
        <v>1.9639466947197399</v>
      </c>
      <c r="F314" s="116">
        <v>137.19999999999999</v>
      </c>
      <c r="G314">
        <v>10875</v>
      </c>
      <c r="H314" s="116"/>
      <c r="I314" s="116"/>
      <c r="L314" s="170">
        <v>45959</v>
      </c>
      <c r="M314" s="116">
        <v>178.05</v>
      </c>
      <c r="N314" s="116">
        <v>181.5</v>
      </c>
      <c r="O314" s="116">
        <v>172.26</v>
      </c>
      <c r="P314" s="116">
        <v>173.46</v>
      </c>
      <c r="Q314" s="116">
        <v>178.05</v>
      </c>
      <c r="R314">
        <v>2636548</v>
      </c>
    </row>
    <row r="315" spans="1:18" x14ac:dyDescent="0.25">
      <c r="A315" s="170">
        <v>42466</v>
      </c>
      <c r="B315" s="116">
        <v>2.3915802492151701</v>
      </c>
      <c r="C315" s="116">
        <v>2.3408977538675599</v>
      </c>
      <c r="D315" s="116">
        <v>2.0843176211703098</v>
      </c>
      <c r="E315" s="116">
        <v>2.0843176211703098</v>
      </c>
      <c r="F315" s="116">
        <v>147.80000000000001</v>
      </c>
      <c r="G315">
        <v>15954</v>
      </c>
      <c r="H315" s="116"/>
      <c r="I315" s="116"/>
      <c r="L315" s="170">
        <v>45960</v>
      </c>
      <c r="M315" s="116">
        <v>175.23</v>
      </c>
      <c r="N315" s="116">
        <v>178.94</v>
      </c>
      <c r="O315" s="116">
        <v>174.1</v>
      </c>
      <c r="P315" s="116">
        <v>178.94</v>
      </c>
      <c r="Q315" s="116">
        <v>175.23</v>
      </c>
      <c r="R315">
        <v>1083249</v>
      </c>
    </row>
    <row r="316" spans="1:18" x14ac:dyDescent="0.25">
      <c r="A316" s="170">
        <v>42467</v>
      </c>
      <c r="B316" s="116">
        <v>2.4058347010316798</v>
      </c>
      <c r="C316" s="116">
        <v>2.30130205437725</v>
      </c>
      <c r="D316" s="116">
        <v>2.24903573105003</v>
      </c>
      <c r="E316" s="116">
        <v>2.3408977538675599</v>
      </c>
      <c r="F316" s="116">
        <v>145.30000000000001</v>
      </c>
      <c r="G316">
        <v>4187</v>
      </c>
      <c r="H316" s="116"/>
      <c r="I316" s="116"/>
      <c r="L316" s="170">
        <v>45961</v>
      </c>
      <c r="M316" s="116">
        <v>171.55</v>
      </c>
      <c r="N316" s="116">
        <v>176.25</v>
      </c>
      <c r="O316" s="116">
        <v>170.82</v>
      </c>
      <c r="P316" s="116">
        <v>175</v>
      </c>
      <c r="Q316" s="116">
        <v>171.55</v>
      </c>
      <c r="R316">
        <v>1062030</v>
      </c>
    </row>
    <row r="317" spans="1:18" x14ac:dyDescent="0.25">
      <c r="A317" s="170">
        <v>42468</v>
      </c>
      <c r="B317" s="116">
        <v>2.3994993891132301</v>
      </c>
      <c r="C317" s="116">
        <v>2.26804166680538</v>
      </c>
      <c r="D317" s="116">
        <v>2.26487401084615</v>
      </c>
      <c r="E317" s="116">
        <v>2.2807122906422799</v>
      </c>
      <c r="F317" s="116">
        <v>143.19999999999999</v>
      </c>
      <c r="G317">
        <v>533</v>
      </c>
      <c r="H317" s="116"/>
      <c r="I317" s="116"/>
      <c r="L317" s="170">
        <v>45964</v>
      </c>
      <c r="M317" s="116">
        <v>169.1</v>
      </c>
      <c r="N317" s="116">
        <v>172.5</v>
      </c>
      <c r="O317" s="116">
        <v>168.59</v>
      </c>
      <c r="P317" s="116">
        <v>171.99</v>
      </c>
      <c r="Q317" s="116">
        <v>169.1</v>
      </c>
      <c r="R317">
        <v>1531129</v>
      </c>
    </row>
    <row r="318" spans="1:18" x14ac:dyDescent="0.25">
      <c r="A318" s="170">
        <v>42471</v>
      </c>
      <c r="B318" s="116">
        <v>2.24903573105003</v>
      </c>
      <c r="C318" s="116">
        <v>2.2078562035800999</v>
      </c>
      <c r="D318" s="116">
        <v>2.1492545683344302</v>
      </c>
      <c r="E318" s="116">
        <v>2.1571737082324902</v>
      </c>
      <c r="F318" s="116">
        <v>139.4</v>
      </c>
      <c r="G318">
        <v>802</v>
      </c>
      <c r="H318" s="116"/>
      <c r="I318" s="116"/>
      <c r="L318" s="170">
        <v>45965</v>
      </c>
      <c r="M318" s="116">
        <v>167.87</v>
      </c>
      <c r="N318" s="116">
        <v>171.29</v>
      </c>
      <c r="O318" s="116">
        <v>166.5</v>
      </c>
      <c r="P318" s="116">
        <v>169.9</v>
      </c>
      <c r="Q318" s="116">
        <v>167.87</v>
      </c>
      <c r="R318">
        <v>1088570</v>
      </c>
    </row>
    <row r="319" spans="1:18" x14ac:dyDescent="0.25">
      <c r="A319" s="170">
        <v>42472</v>
      </c>
      <c r="B319" s="116">
        <v>2.34248158184718</v>
      </c>
      <c r="C319" s="116">
        <v>2.2284459673150598</v>
      </c>
      <c r="D319" s="116">
        <v>2.11282652480334</v>
      </c>
      <c r="E319" s="116">
        <v>2.11282652480334</v>
      </c>
      <c r="F319" s="116">
        <v>140.69999999999999</v>
      </c>
      <c r="G319">
        <v>3721</v>
      </c>
      <c r="H319" s="116"/>
      <c r="I319" s="116"/>
      <c r="L319" s="170">
        <v>45967</v>
      </c>
      <c r="M319" s="116">
        <v>162.24</v>
      </c>
      <c r="N319" s="116">
        <v>168.44</v>
      </c>
      <c r="O319" s="116">
        <v>161.56</v>
      </c>
      <c r="P319" s="116">
        <v>168</v>
      </c>
      <c r="Q319" s="116">
        <v>162.24</v>
      </c>
      <c r="R319">
        <v>1387163</v>
      </c>
    </row>
    <row r="320" spans="1:18" x14ac:dyDescent="0.25">
      <c r="A320" s="170">
        <v>42473</v>
      </c>
      <c r="B320" s="116">
        <v>2.2617063548869298</v>
      </c>
      <c r="C320" s="116">
        <v>2.1840987838859101</v>
      </c>
      <c r="D320" s="116">
        <v>2.1635090201509399</v>
      </c>
      <c r="E320" s="116">
        <v>2.2173591714577698</v>
      </c>
      <c r="F320" s="116">
        <v>137.9</v>
      </c>
      <c r="G320">
        <v>7142</v>
      </c>
      <c r="H320" s="116"/>
      <c r="I320" s="116"/>
      <c r="L320" s="170">
        <v>45968</v>
      </c>
      <c r="M320" s="116">
        <v>162.69</v>
      </c>
      <c r="N320" s="116">
        <v>164.02</v>
      </c>
      <c r="O320" s="116">
        <v>160.1</v>
      </c>
      <c r="P320" s="116">
        <v>161.94999999999999</v>
      </c>
      <c r="Q320" s="116">
        <v>162.69</v>
      </c>
      <c r="R320">
        <v>1360722</v>
      </c>
    </row>
    <row r="321" spans="1:18" x14ac:dyDescent="0.25">
      <c r="A321" s="170">
        <v>42478</v>
      </c>
      <c r="B321" s="116">
        <v>2.2173591714577698</v>
      </c>
      <c r="C321" s="116">
        <v>2.1350001165179102</v>
      </c>
      <c r="D321" s="116">
        <v>2.1064912128848801</v>
      </c>
      <c r="E321" s="116">
        <v>2.2173591714577698</v>
      </c>
      <c r="F321" s="116">
        <v>134.80000000000001</v>
      </c>
      <c r="G321">
        <v>2399</v>
      </c>
      <c r="H321" s="116"/>
      <c r="I321" s="116"/>
      <c r="L321" s="170">
        <v>45971</v>
      </c>
      <c r="M321" s="116">
        <v>160.74</v>
      </c>
      <c r="N321" s="116">
        <v>164.59</v>
      </c>
      <c r="O321" s="116">
        <v>160.05000000000001</v>
      </c>
      <c r="P321" s="116">
        <v>163</v>
      </c>
      <c r="Q321" s="116">
        <v>160.74</v>
      </c>
      <c r="R321">
        <v>1121890</v>
      </c>
    </row>
    <row r="322" spans="1:18" x14ac:dyDescent="0.25">
      <c r="A322" s="170">
        <v>42480</v>
      </c>
      <c r="B322" s="116">
        <v>2.4913614119307699</v>
      </c>
      <c r="C322" s="116">
        <v>2.4311759487054898</v>
      </c>
      <c r="D322" s="116">
        <v>2.1381677724771402</v>
      </c>
      <c r="E322" s="116">
        <v>2.2205268274169998</v>
      </c>
      <c r="F322" s="116">
        <v>153.5</v>
      </c>
      <c r="G322">
        <v>41054</v>
      </c>
      <c r="H322" s="116"/>
      <c r="I322" s="116"/>
      <c r="L322" s="170">
        <v>45972</v>
      </c>
      <c r="M322" s="116">
        <v>164.61</v>
      </c>
      <c r="N322" s="116">
        <v>167</v>
      </c>
      <c r="O322" s="116">
        <v>160</v>
      </c>
      <c r="P322" s="116">
        <v>160</v>
      </c>
      <c r="Q322" s="116">
        <v>164.61</v>
      </c>
      <c r="R322">
        <v>1512588</v>
      </c>
    </row>
    <row r="323" spans="1:18" x14ac:dyDescent="0.25">
      <c r="A323" s="170">
        <v>42481</v>
      </c>
      <c r="B323" s="116">
        <v>2.4549333683996801</v>
      </c>
      <c r="C323" s="116">
        <v>2.3994993891132301</v>
      </c>
      <c r="D323" s="116">
        <v>2.3678228295209802</v>
      </c>
      <c r="E323" s="116">
        <v>2.4216729808278101</v>
      </c>
      <c r="F323" s="116">
        <v>151.5</v>
      </c>
      <c r="G323">
        <v>13140</v>
      </c>
      <c r="H323" s="116"/>
      <c r="I323" s="116"/>
      <c r="L323" s="170">
        <v>45973</v>
      </c>
      <c r="M323" s="116">
        <v>164.43</v>
      </c>
      <c r="N323" s="116">
        <v>168.25</v>
      </c>
      <c r="O323" s="116">
        <v>163.91</v>
      </c>
      <c r="P323" s="116">
        <v>165.65</v>
      </c>
      <c r="Q323" s="116">
        <v>164.43</v>
      </c>
      <c r="R323">
        <v>1062873</v>
      </c>
    </row>
    <row r="324" spans="1:18" x14ac:dyDescent="0.25">
      <c r="A324" s="170">
        <v>42482</v>
      </c>
      <c r="B324" s="116">
        <v>2.4280082927462598</v>
      </c>
      <c r="C324" s="116">
        <v>2.3044697103364702</v>
      </c>
      <c r="D324" s="116">
        <v>2.2807122906422799</v>
      </c>
      <c r="E324" s="116">
        <v>2.4074185290112999</v>
      </c>
      <c r="F324" s="116">
        <v>145.5</v>
      </c>
      <c r="G324">
        <v>7088</v>
      </c>
      <c r="H324" s="116"/>
      <c r="I324" s="116"/>
      <c r="L324" s="170">
        <v>45974</v>
      </c>
      <c r="M324" s="116">
        <v>162.29</v>
      </c>
      <c r="N324" s="116">
        <v>166.32</v>
      </c>
      <c r="O324" s="116">
        <v>161.72999999999999</v>
      </c>
      <c r="P324" s="116">
        <v>164.9</v>
      </c>
      <c r="Q324" s="116">
        <v>162.29</v>
      </c>
      <c r="R324">
        <v>815112</v>
      </c>
    </row>
    <row r="325" spans="1:18" x14ac:dyDescent="0.25">
      <c r="A325" s="170">
        <v>42485</v>
      </c>
      <c r="B325" s="116">
        <v>2.3440654098267899</v>
      </c>
      <c r="C325" s="116">
        <v>2.33139478598989</v>
      </c>
      <c r="D325" s="116">
        <v>2.20468854762087</v>
      </c>
      <c r="E325" s="116">
        <v>2.2506195590296398</v>
      </c>
      <c r="F325" s="116">
        <v>147.19999999999999</v>
      </c>
      <c r="G325">
        <v>4533</v>
      </c>
      <c r="H325" s="116"/>
      <c r="I325" s="116"/>
      <c r="L325" s="170">
        <v>45975</v>
      </c>
      <c r="M325" s="116">
        <v>164.07</v>
      </c>
      <c r="N325" s="116">
        <v>167.19</v>
      </c>
      <c r="O325" s="116">
        <v>162.13</v>
      </c>
      <c r="P325" s="116">
        <v>162.29</v>
      </c>
      <c r="Q325" s="116">
        <v>164.07</v>
      </c>
      <c r="R325">
        <v>1079422</v>
      </c>
    </row>
    <row r="326" spans="1:18" x14ac:dyDescent="0.25">
      <c r="A326" s="170">
        <v>42486</v>
      </c>
      <c r="B326" s="116">
        <v>2.4200891528481998</v>
      </c>
      <c r="C326" s="116">
        <v>2.2506195590296398</v>
      </c>
      <c r="D326" s="116">
        <v>2.1413354284363599</v>
      </c>
      <c r="E326" s="116">
        <v>2.1413354284363599</v>
      </c>
      <c r="F326" s="116">
        <v>142.1</v>
      </c>
      <c r="G326">
        <v>3165</v>
      </c>
      <c r="H326" s="116"/>
      <c r="I326" s="116"/>
      <c r="L326" s="170">
        <v>45978</v>
      </c>
      <c r="M326" s="116">
        <v>161.66</v>
      </c>
      <c r="N326" s="116">
        <v>165.8</v>
      </c>
      <c r="O326" s="116">
        <v>161.01</v>
      </c>
      <c r="P326" s="116">
        <v>164.49</v>
      </c>
      <c r="Q326" s="116">
        <v>161.66</v>
      </c>
      <c r="R326">
        <v>726316</v>
      </c>
    </row>
    <row r="327" spans="1:18" x14ac:dyDescent="0.25">
      <c r="A327" s="170">
        <v>42487</v>
      </c>
      <c r="B327" s="116">
        <v>2.40425087305207</v>
      </c>
      <c r="C327" s="116">
        <v>2.2807122906422799</v>
      </c>
      <c r="D327" s="116">
        <v>2.2553710429684801</v>
      </c>
      <c r="E327" s="116">
        <v>2.2965505704384102</v>
      </c>
      <c r="F327" s="116">
        <v>144</v>
      </c>
      <c r="G327">
        <v>16274</v>
      </c>
      <c r="H327" s="116"/>
      <c r="I327" s="116"/>
      <c r="L327" s="170">
        <v>45979</v>
      </c>
      <c r="M327" s="116">
        <v>160.69999999999999</v>
      </c>
      <c r="N327" s="116">
        <v>162.29</v>
      </c>
      <c r="O327" s="116">
        <v>159.36000000000001</v>
      </c>
      <c r="P327" s="116">
        <v>162</v>
      </c>
      <c r="Q327" s="116">
        <v>160.69999999999999</v>
      </c>
      <c r="R327">
        <v>887243</v>
      </c>
    </row>
    <row r="328" spans="1:18" x14ac:dyDescent="0.25">
      <c r="A328" s="170">
        <v>42488</v>
      </c>
      <c r="B328" s="116">
        <v>2.3915802492151701</v>
      </c>
      <c r="C328" s="116">
        <v>2.1967694077228099</v>
      </c>
      <c r="D328" s="116">
        <v>2.1540060522732598</v>
      </c>
      <c r="E328" s="116">
        <v>2.3915802492151701</v>
      </c>
      <c r="F328" s="116">
        <v>138.69999999999999</v>
      </c>
      <c r="G328">
        <v>9371</v>
      </c>
      <c r="H328" s="116"/>
      <c r="I328" s="116"/>
      <c r="L328" s="170">
        <v>45980</v>
      </c>
      <c r="M328" s="116">
        <v>157.68</v>
      </c>
      <c r="N328" s="116">
        <v>160.51</v>
      </c>
      <c r="O328" s="116">
        <v>156.97999999999999</v>
      </c>
      <c r="P328" s="116">
        <v>160.51</v>
      </c>
      <c r="Q328" s="116">
        <v>157.68</v>
      </c>
      <c r="R328">
        <v>813479</v>
      </c>
    </row>
    <row r="329" spans="1:18" x14ac:dyDescent="0.25">
      <c r="A329" s="170">
        <v>42489</v>
      </c>
      <c r="B329" s="116">
        <v>2.2617063548869298</v>
      </c>
      <c r="C329" s="116">
        <v>2.2189429994373899</v>
      </c>
      <c r="D329" s="116">
        <v>2.1540060522732598</v>
      </c>
      <c r="E329" s="116">
        <v>2.1540060522732598</v>
      </c>
      <c r="F329" s="116">
        <v>140.1</v>
      </c>
      <c r="G329">
        <v>5067</v>
      </c>
      <c r="H329" s="116"/>
      <c r="I329" s="116"/>
      <c r="L329" s="170">
        <v>45981</v>
      </c>
      <c r="M329" s="116">
        <v>159.33000000000001</v>
      </c>
      <c r="N329" s="116">
        <v>163.35</v>
      </c>
      <c r="O329" s="116">
        <v>157.71</v>
      </c>
      <c r="P329" s="116">
        <v>158</v>
      </c>
      <c r="Q329" s="116">
        <v>159.33000000000001</v>
      </c>
      <c r="R329">
        <v>1197478</v>
      </c>
    </row>
    <row r="330" spans="1:18" x14ac:dyDescent="0.25">
      <c r="A330" s="170">
        <v>42492</v>
      </c>
      <c r="B330" s="116">
        <v>2.2727931507442198</v>
      </c>
      <c r="C330" s="116">
        <v>2.1888502678247401</v>
      </c>
      <c r="D330" s="116">
        <v>2.171428160049</v>
      </c>
      <c r="E330" s="116">
        <v>2.171428160049</v>
      </c>
      <c r="F330" s="116">
        <v>138.19999999999999</v>
      </c>
      <c r="G330">
        <v>1894</v>
      </c>
      <c r="H330" s="116"/>
      <c r="I330" s="116"/>
      <c r="L330" s="170">
        <v>45982</v>
      </c>
      <c r="M330" s="116">
        <v>154.91999999999999</v>
      </c>
      <c r="N330" s="116">
        <v>158.79</v>
      </c>
      <c r="O330" s="116">
        <v>154.15</v>
      </c>
      <c r="P330" s="116">
        <v>158.25</v>
      </c>
      <c r="Q330" s="116">
        <v>154.91999999999999</v>
      </c>
      <c r="R330">
        <v>849280</v>
      </c>
    </row>
    <row r="331" spans="1:18" x14ac:dyDescent="0.25">
      <c r="A331" s="170">
        <v>42493</v>
      </c>
      <c r="B331" s="116">
        <v>2.2807122906422799</v>
      </c>
      <c r="C331" s="116">
        <v>2.2173591714577698</v>
      </c>
      <c r="D331" s="116">
        <v>2.1698443320693901</v>
      </c>
      <c r="E331" s="116">
        <v>2.2458680750908</v>
      </c>
      <c r="F331" s="116">
        <v>140</v>
      </c>
      <c r="G331">
        <v>4621</v>
      </c>
      <c r="H331" s="116"/>
      <c r="I331" s="116"/>
      <c r="L331" s="170">
        <v>45985</v>
      </c>
      <c r="M331" s="116">
        <v>149.93</v>
      </c>
      <c r="N331" s="116">
        <v>155.99</v>
      </c>
      <c r="O331" s="116">
        <v>148</v>
      </c>
      <c r="P331" s="116">
        <v>155.99</v>
      </c>
      <c r="Q331" s="116">
        <v>149.93</v>
      </c>
      <c r="R331">
        <v>1384211</v>
      </c>
    </row>
    <row r="332" spans="1:18" x14ac:dyDescent="0.25">
      <c r="A332" s="170">
        <v>42494</v>
      </c>
      <c r="B332" s="116">
        <v>2.2474519030704099</v>
      </c>
      <c r="C332" s="116">
        <v>2.1571737082324902</v>
      </c>
      <c r="D332" s="116">
        <v>2.1381677724771402</v>
      </c>
      <c r="E332" s="116">
        <v>2.2015208916616502</v>
      </c>
      <c r="F332" s="116">
        <v>136.19999999999999</v>
      </c>
      <c r="G332">
        <v>1330</v>
      </c>
      <c r="H332" s="116"/>
      <c r="I332" s="116"/>
      <c r="L332" s="170">
        <v>45986</v>
      </c>
      <c r="M332" s="116">
        <v>151.21</v>
      </c>
      <c r="N332" s="116">
        <v>154.38</v>
      </c>
      <c r="O332" s="116">
        <v>148.21</v>
      </c>
      <c r="P332" s="116">
        <v>148.81</v>
      </c>
      <c r="Q332" s="116">
        <v>151.21</v>
      </c>
      <c r="R332">
        <v>1297248</v>
      </c>
    </row>
    <row r="333" spans="1:18" x14ac:dyDescent="0.25">
      <c r="A333" s="170">
        <v>42495</v>
      </c>
      <c r="B333" s="116">
        <v>2.22369448337622</v>
      </c>
      <c r="C333" s="116">
        <v>2.1254971486402399</v>
      </c>
      <c r="D333" s="116">
        <v>2.1064912128848801</v>
      </c>
      <c r="E333" s="116">
        <v>2.1460869123752002</v>
      </c>
      <c r="F333" s="116">
        <v>134.19999999999999</v>
      </c>
      <c r="G333">
        <v>2267</v>
      </c>
      <c r="H333" s="116"/>
      <c r="I333" s="116"/>
      <c r="L333" s="170">
        <v>45987</v>
      </c>
      <c r="M333" s="116">
        <v>153.69999999999999</v>
      </c>
      <c r="N333" s="116">
        <v>160</v>
      </c>
      <c r="O333" s="116">
        <v>150</v>
      </c>
      <c r="P333" s="116">
        <v>160</v>
      </c>
      <c r="Q333" s="116">
        <v>153.69999999999999</v>
      </c>
      <c r="R333">
        <v>1657253</v>
      </c>
    </row>
    <row r="334" spans="1:18" x14ac:dyDescent="0.25">
      <c r="A334" s="170">
        <v>42496</v>
      </c>
      <c r="B334" s="116">
        <v>2.1856826118655199</v>
      </c>
      <c r="C334" s="116">
        <v>2.1587575362121001</v>
      </c>
      <c r="D334" s="116">
        <v>2.1223294926810099</v>
      </c>
      <c r="E334" s="116">
        <v>2.1745958160082299</v>
      </c>
      <c r="F334" s="116">
        <v>136.30000000000001</v>
      </c>
      <c r="G334">
        <v>2006</v>
      </c>
      <c r="H334" s="116"/>
      <c r="I334" s="116"/>
      <c r="L334" s="170">
        <v>45988</v>
      </c>
      <c r="M334" s="116">
        <v>154.57</v>
      </c>
      <c r="N334" s="116">
        <v>158.38999999999999</v>
      </c>
      <c r="O334" s="116">
        <v>154</v>
      </c>
      <c r="P334" s="116">
        <v>154.80000000000001</v>
      </c>
      <c r="Q334" s="116">
        <v>154.57</v>
      </c>
      <c r="R334">
        <v>1052212</v>
      </c>
    </row>
    <row r="335" spans="1:18" x14ac:dyDescent="0.25">
      <c r="A335" s="170">
        <v>42499</v>
      </c>
      <c r="B335" s="116">
        <v>2.2300297952946702</v>
      </c>
      <c r="C335" s="116">
        <v>2.1983532357024198</v>
      </c>
      <c r="D335" s="116">
        <v>2.1619251921713301</v>
      </c>
      <c r="E335" s="116">
        <v>2.2284459673150598</v>
      </c>
      <c r="F335" s="116">
        <v>138.80000000000001</v>
      </c>
      <c r="G335">
        <v>1845</v>
      </c>
      <c r="H335" s="116"/>
      <c r="I335" s="116"/>
      <c r="L335" s="170">
        <v>45989</v>
      </c>
      <c r="M335" s="116">
        <v>155.54</v>
      </c>
      <c r="N335" s="116">
        <v>157.5</v>
      </c>
      <c r="O335" s="116">
        <v>151.75</v>
      </c>
      <c r="P335" s="116">
        <v>153.57</v>
      </c>
      <c r="Q335" s="116">
        <v>155.54</v>
      </c>
      <c r="R335">
        <v>752458</v>
      </c>
    </row>
    <row r="336" spans="1:18" x14ac:dyDescent="0.25">
      <c r="A336" s="170">
        <v>42500</v>
      </c>
      <c r="B336" s="116">
        <v>2.2173591714577698</v>
      </c>
      <c r="C336" s="116">
        <v>2.1650928481305498</v>
      </c>
      <c r="D336" s="116">
        <v>2.1381677724771402</v>
      </c>
      <c r="E336" s="116">
        <v>2.2110238595393201</v>
      </c>
      <c r="F336" s="116">
        <v>136.69999999999999</v>
      </c>
      <c r="G336">
        <v>1529</v>
      </c>
      <c r="H336" s="116"/>
      <c r="I336" s="116"/>
      <c r="L336" s="170">
        <v>45992</v>
      </c>
      <c r="M336" s="116">
        <v>156.4</v>
      </c>
      <c r="N336" s="116">
        <v>160.56</v>
      </c>
      <c r="O336" s="116">
        <v>156</v>
      </c>
      <c r="P336" s="116">
        <v>157</v>
      </c>
      <c r="Q336" s="116">
        <v>156.4</v>
      </c>
      <c r="R336">
        <v>1022869</v>
      </c>
    </row>
    <row r="337" spans="1:18" x14ac:dyDescent="0.25">
      <c r="A337" s="170">
        <v>42501</v>
      </c>
      <c r="B337" s="116">
        <v>2.2173591714577698</v>
      </c>
      <c r="C337" s="116">
        <v>2.1872664398451298</v>
      </c>
      <c r="D337" s="116">
        <v>2.06056020147612</v>
      </c>
      <c r="E337" s="116">
        <v>2.13183246055869</v>
      </c>
      <c r="F337" s="116">
        <v>138.1</v>
      </c>
      <c r="G337">
        <v>6603</v>
      </c>
      <c r="H337" s="116"/>
      <c r="I337" s="116"/>
      <c r="L337" s="170">
        <v>45993</v>
      </c>
      <c r="M337" s="116">
        <v>158.71</v>
      </c>
      <c r="N337" s="116">
        <v>159.5</v>
      </c>
      <c r="O337" s="116">
        <v>155.35</v>
      </c>
      <c r="P337" s="116">
        <v>156.15</v>
      </c>
      <c r="Q337" s="116">
        <v>158.71</v>
      </c>
      <c r="R337">
        <v>983282</v>
      </c>
    </row>
    <row r="338" spans="1:18" x14ac:dyDescent="0.25">
      <c r="A338" s="170">
        <v>42502</v>
      </c>
      <c r="B338" s="116">
        <v>2.2015208916616502</v>
      </c>
      <c r="C338" s="116">
        <v>2.1635090201509399</v>
      </c>
      <c r="D338" s="116">
        <v>2.1064912128848801</v>
      </c>
      <c r="E338" s="116">
        <v>2.1080750408645001</v>
      </c>
      <c r="F338" s="116">
        <v>136.6</v>
      </c>
      <c r="G338">
        <v>3307</v>
      </c>
      <c r="H338" s="116"/>
      <c r="I338" s="116"/>
      <c r="L338" s="170">
        <v>45994</v>
      </c>
      <c r="M338" s="116">
        <v>153.05000000000001</v>
      </c>
      <c r="N338" s="116">
        <v>159.38999999999999</v>
      </c>
      <c r="O338" s="116">
        <v>152.19999999999999</v>
      </c>
      <c r="P338" s="116">
        <v>158.99</v>
      </c>
      <c r="Q338" s="116">
        <v>153.05000000000001</v>
      </c>
      <c r="R338">
        <v>901462</v>
      </c>
    </row>
    <row r="339" spans="1:18" x14ac:dyDescent="0.25">
      <c r="A339" s="170">
        <v>42503</v>
      </c>
      <c r="B339" s="116">
        <v>2.1698443320693901</v>
      </c>
      <c r="C339" s="116">
        <v>2.06847934137418</v>
      </c>
      <c r="D339" s="116">
        <v>2.0589763734964999</v>
      </c>
      <c r="E339" s="116">
        <v>2.1144103527829499</v>
      </c>
      <c r="F339" s="116">
        <v>130.6</v>
      </c>
      <c r="G339">
        <v>2936</v>
      </c>
      <c r="H339" s="116"/>
      <c r="I339" s="116"/>
      <c r="L339" s="170">
        <v>45995</v>
      </c>
      <c r="M339" s="116">
        <v>151.18</v>
      </c>
      <c r="N339" s="116">
        <v>154.88</v>
      </c>
      <c r="O339" s="116">
        <v>145.35</v>
      </c>
      <c r="P339" s="116">
        <v>153.19999999999999</v>
      </c>
      <c r="Q339" s="116">
        <v>151.18</v>
      </c>
      <c r="R339">
        <v>1065718</v>
      </c>
    </row>
    <row r="340" spans="1:18" x14ac:dyDescent="0.25">
      <c r="A340" s="170">
        <v>42506</v>
      </c>
      <c r="B340" s="116">
        <v>2.09065293308876</v>
      </c>
      <c r="C340" s="116">
        <v>2.0827337931906902</v>
      </c>
      <c r="D340" s="116">
        <v>1.90217740351485</v>
      </c>
      <c r="E340" s="116">
        <v>1.90217740351485</v>
      </c>
      <c r="F340" s="116">
        <v>131.5</v>
      </c>
      <c r="G340">
        <v>2410</v>
      </c>
      <c r="H340" s="116"/>
      <c r="I340" s="116"/>
      <c r="L340" s="170">
        <v>45996</v>
      </c>
      <c r="M340" s="116">
        <v>147.99</v>
      </c>
      <c r="N340" s="116">
        <v>151.5</v>
      </c>
      <c r="O340" s="116">
        <v>147.19999999999999</v>
      </c>
      <c r="P340" s="116">
        <v>149.99</v>
      </c>
      <c r="Q340" s="116">
        <v>147.99</v>
      </c>
      <c r="R340">
        <v>682168</v>
      </c>
    </row>
    <row r="341" spans="1:18" x14ac:dyDescent="0.25">
      <c r="A341" s="170">
        <v>42507</v>
      </c>
      <c r="B341" s="116">
        <v>2.1223294926810099</v>
      </c>
      <c r="C341" s="116">
        <v>2.0779823092518601</v>
      </c>
      <c r="D341" s="116">
        <v>1.96553052269935</v>
      </c>
      <c r="E341" s="116">
        <v>2.1223294926810099</v>
      </c>
      <c r="F341" s="116">
        <v>131.19999999999999</v>
      </c>
      <c r="G341">
        <v>1998</v>
      </c>
      <c r="H341" s="116"/>
      <c r="I341" s="116"/>
      <c r="L341" s="170">
        <v>45999</v>
      </c>
      <c r="M341" s="116">
        <v>142.5</v>
      </c>
      <c r="N341" s="116">
        <v>150.15</v>
      </c>
      <c r="O341" s="116">
        <v>141</v>
      </c>
      <c r="P341" s="116">
        <v>148.19</v>
      </c>
      <c r="Q341" s="116">
        <v>142.5</v>
      </c>
      <c r="R341">
        <v>1241528</v>
      </c>
    </row>
    <row r="342" spans="1:18" x14ac:dyDescent="0.25">
      <c r="A342" s="170">
        <v>42508</v>
      </c>
      <c r="B342" s="116">
        <v>2.0890691051091399</v>
      </c>
      <c r="C342" s="116">
        <v>2.0510572335984398</v>
      </c>
      <c r="D342" s="116">
        <v>1.9512760708828401</v>
      </c>
      <c r="E342" s="116">
        <v>2.03521895380231</v>
      </c>
      <c r="F342" s="116">
        <v>129.5</v>
      </c>
      <c r="G342">
        <v>3355</v>
      </c>
      <c r="H342" s="116"/>
      <c r="I342" s="116"/>
      <c r="L342" s="170">
        <v>46000</v>
      </c>
      <c r="M342" s="116">
        <v>142.54</v>
      </c>
      <c r="N342" s="116">
        <v>143.75</v>
      </c>
      <c r="O342" s="116">
        <v>136.91999999999999</v>
      </c>
      <c r="P342" s="116">
        <v>140.6</v>
      </c>
      <c r="Q342" s="116">
        <v>142.54</v>
      </c>
      <c r="R342">
        <v>1715012</v>
      </c>
    </row>
    <row r="343" spans="1:18" x14ac:dyDescent="0.25">
      <c r="A343" s="170">
        <v>42509</v>
      </c>
      <c r="B343" s="116">
        <v>2.1223294926810099</v>
      </c>
      <c r="C343" s="116">
        <v>2.0431380937003798</v>
      </c>
      <c r="D343" s="116">
        <v>1.9639466947197399</v>
      </c>
      <c r="E343" s="116">
        <v>2.0843176211703098</v>
      </c>
      <c r="F343" s="116">
        <v>129</v>
      </c>
      <c r="G343">
        <v>3612</v>
      </c>
      <c r="H343" s="116"/>
      <c r="I343" s="116"/>
      <c r="L343" s="170">
        <v>46001</v>
      </c>
      <c r="M343" s="116">
        <v>144.58000000000001</v>
      </c>
      <c r="N343" s="116">
        <v>147.9</v>
      </c>
      <c r="O343" s="116">
        <v>142.62</v>
      </c>
      <c r="P343" s="116">
        <v>143.1</v>
      </c>
      <c r="Q343" s="116">
        <v>144.58000000000001</v>
      </c>
      <c r="R343">
        <v>1528663</v>
      </c>
    </row>
    <row r="344" spans="1:18" x14ac:dyDescent="0.25">
      <c r="A344" s="170">
        <v>42510</v>
      </c>
      <c r="B344" s="116">
        <v>2.05739254551689</v>
      </c>
      <c r="C344" s="116">
        <v>1.97978497451587</v>
      </c>
      <c r="D344" s="116">
        <v>1.97661731855664</v>
      </c>
      <c r="E344" s="116">
        <v>2.0114615341081201</v>
      </c>
      <c r="F344" s="116">
        <v>125</v>
      </c>
      <c r="G344">
        <v>1577</v>
      </c>
      <c r="H344" s="116"/>
      <c r="I344" s="116"/>
      <c r="L344" s="170">
        <v>46002</v>
      </c>
      <c r="M344" s="116">
        <v>147.41</v>
      </c>
      <c r="N344" s="116">
        <v>151.94999999999999</v>
      </c>
      <c r="O344" s="116">
        <v>142.22</v>
      </c>
      <c r="P344" s="116">
        <v>144.63999999999999</v>
      </c>
      <c r="Q344" s="116">
        <v>147.41</v>
      </c>
      <c r="R344">
        <v>1572263</v>
      </c>
    </row>
    <row r="345" spans="1:18" x14ac:dyDescent="0.25">
      <c r="A345" s="170">
        <v>42513</v>
      </c>
      <c r="B345" s="116">
        <v>2.0177968460265698</v>
      </c>
      <c r="C345" s="116">
        <v>1.9663224366891601</v>
      </c>
      <c r="D345" s="116">
        <v>1.96553052269935</v>
      </c>
      <c r="E345" s="116">
        <v>1.995623254312</v>
      </c>
      <c r="F345" s="116">
        <v>124.15</v>
      </c>
      <c r="G345">
        <v>2020</v>
      </c>
      <c r="H345" s="116"/>
      <c r="I345" s="116"/>
      <c r="L345" s="170">
        <v>46003</v>
      </c>
      <c r="M345" s="116">
        <v>152.43</v>
      </c>
      <c r="N345" s="116">
        <v>153.75</v>
      </c>
      <c r="O345" s="116">
        <v>148.09</v>
      </c>
      <c r="P345" s="116">
        <v>148.09</v>
      </c>
      <c r="Q345" s="116">
        <v>152.43</v>
      </c>
      <c r="R345">
        <v>1601556</v>
      </c>
    </row>
    <row r="346" spans="1:18" x14ac:dyDescent="0.25">
      <c r="A346" s="170">
        <v>42514</v>
      </c>
      <c r="B346" s="116">
        <v>2.0098777061285098</v>
      </c>
      <c r="C346" s="116">
        <v>1.9338539631070999</v>
      </c>
      <c r="D346" s="116">
        <v>1.9338539631070999</v>
      </c>
      <c r="E346" s="116">
        <v>1.9639466947197399</v>
      </c>
      <c r="F346" s="116">
        <v>122.1</v>
      </c>
      <c r="G346">
        <v>309</v>
      </c>
      <c r="H346" s="116"/>
      <c r="I346" s="116"/>
      <c r="L346" s="170">
        <v>46006</v>
      </c>
      <c r="M346" s="116">
        <v>153.03</v>
      </c>
      <c r="N346" s="116">
        <v>153.69999999999999</v>
      </c>
      <c r="O346" s="116">
        <v>150.25</v>
      </c>
      <c r="P346" s="116">
        <v>153</v>
      </c>
      <c r="Q346" s="116">
        <v>153.03</v>
      </c>
      <c r="R346">
        <v>946384</v>
      </c>
    </row>
    <row r="347" spans="1:18" x14ac:dyDescent="0.25">
      <c r="A347" s="170">
        <v>42515</v>
      </c>
      <c r="B347" s="116">
        <v>2.0114615341081201</v>
      </c>
      <c r="C347" s="116">
        <v>1.97661731855664</v>
      </c>
      <c r="D347" s="116">
        <v>1.8293213164526601</v>
      </c>
      <c r="E347" s="116">
        <v>1.9045531454842699</v>
      </c>
      <c r="F347" s="116">
        <v>124.8</v>
      </c>
      <c r="G347">
        <v>2946</v>
      </c>
      <c r="H347" s="116"/>
      <c r="I347" s="116"/>
      <c r="L347" s="170">
        <v>46007</v>
      </c>
      <c r="M347" s="116">
        <v>149.72</v>
      </c>
      <c r="N347" s="116">
        <v>153.1</v>
      </c>
      <c r="O347" s="116">
        <v>149.01</v>
      </c>
      <c r="P347" s="116">
        <v>152.25</v>
      </c>
      <c r="Q347" s="116">
        <v>149.72</v>
      </c>
      <c r="R347">
        <v>519728</v>
      </c>
    </row>
    <row r="348" spans="1:18" x14ac:dyDescent="0.25">
      <c r="A348" s="170">
        <v>42516</v>
      </c>
      <c r="B348" s="116">
        <v>2.0193806740061899</v>
      </c>
      <c r="C348" s="116">
        <v>1.9663224366891601</v>
      </c>
      <c r="D348" s="116">
        <v>1.9481084149236101</v>
      </c>
      <c r="E348" s="116">
        <v>2.0035423942100601</v>
      </c>
      <c r="F348" s="116">
        <v>124.15</v>
      </c>
      <c r="G348">
        <v>1885</v>
      </c>
      <c r="H348" s="116"/>
      <c r="I348" s="116"/>
      <c r="L348" s="170">
        <v>46008</v>
      </c>
      <c r="M348" s="116">
        <v>146.66999999999999</v>
      </c>
      <c r="N348" s="116">
        <v>150</v>
      </c>
      <c r="O348" s="116">
        <v>145.61000000000001</v>
      </c>
      <c r="P348" s="116">
        <v>149.6</v>
      </c>
      <c r="Q348" s="116">
        <v>146.66999999999999</v>
      </c>
      <c r="R348">
        <v>704093</v>
      </c>
    </row>
    <row r="349" spans="1:18" x14ac:dyDescent="0.25">
      <c r="A349" s="170">
        <v>42517</v>
      </c>
      <c r="B349" s="116">
        <v>2.0090857921387002</v>
      </c>
      <c r="C349" s="116">
        <v>1.9789930605260599</v>
      </c>
      <c r="D349" s="116">
        <v>1.96473860870955</v>
      </c>
      <c r="E349" s="116">
        <v>2.0090857921387002</v>
      </c>
      <c r="F349" s="116">
        <v>124.95</v>
      </c>
      <c r="G349">
        <v>1660</v>
      </c>
      <c r="H349" s="116"/>
      <c r="I349" s="116"/>
      <c r="L349" s="170">
        <v>46009</v>
      </c>
      <c r="M349" s="116">
        <v>146.5</v>
      </c>
      <c r="N349" s="116">
        <v>150.25</v>
      </c>
      <c r="O349" s="116">
        <v>145.66999999999999</v>
      </c>
      <c r="P349" s="116">
        <v>147.15</v>
      </c>
      <c r="Q349" s="116">
        <v>146.5</v>
      </c>
      <c r="R349">
        <v>982167</v>
      </c>
    </row>
    <row r="350" spans="1:18" x14ac:dyDescent="0.25">
      <c r="A350" s="170">
        <v>42520</v>
      </c>
      <c r="B350" s="116">
        <v>2.0431380937003798</v>
      </c>
      <c r="C350" s="116">
        <v>2.0122534480979302</v>
      </c>
      <c r="D350" s="116">
        <v>1.90217740351485</v>
      </c>
      <c r="E350" s="116">
        <v>1.97978497451587</v>
      </c>
      <c r="F350" s="116">
        <v>127.05</v>
      </c>
      <c r="G350">
        <v>4134</v>
      </c>
      <c r="H350" s="116"/>
      <c r="I350" s="116"/>
      <c r="L350" s="170">
        <v>46010</v>
      </c>
      <c r="M350" s="116">
        <v>153.58000000000001</v>
      </c>
      <c r="N350" s="116">
        <v>155.69999999999999</v>
      </c>
      <c r="O350" s="116">
        <v>146.55000000000001</v>
      </c>
      <c r="P350" s="116">
        <v>149.9</v>
      </c>
      <c r="Q350" s="116">
        <v>153.58000000000001</v>
      </c>
      <c r="R350">
        <v>1964328</v>
      </c>
    </row>
    <row r="351" spans="1:18" x14ac:dyDescent="0.25">
      <c r="A351" s="170">
        <v>42521</v>
      </c>
      <c r="B351" s="116">
        <v>2.05422488955766</v>
      </c>
      <c r="C351" s="116">
        <v>1.9568194688114799</v>
      </c>
      <c r="D351" s="116">
        <v>1.9180156833109701</v>
      </c>
      <c r="E351" s="116">
        <v>1.9639466947197399</v>
      </c>
      <c r="F351" s="116">
        <v>123.55</v>
      </c>
      <c r="G351">
        <v>5070</v>
      </c>
      <c r="H351" s="116"/>
      <c r="I351" s="116"/>
      <c r="L351" s="170">
        <v>46013</v>
      </c>
      <c r="M351" s="116">
        <v>159.16</v>
      </c>
      <c r="N351" s="116">
        <v>160.5</v>
      </c>
      <c r="O351" s="116">
        <v>154.84</v>
      </c>
      <c r="P351" s="116">
        <v>155.05000000000001</v>
      </c>
      <c r="Q351" s="116">
        <v>159.16</v>
      </c>
      <c r="R351">
        <v>1797245</v>
      </c>
    </row>
    <row r="352" spans="1:18" x14ac:dyDescent="0.25">
      <c r="A352" s="170">
        <v>42522</v>
      </c>
      <c r="B352" s="116">
        <v>1.99087177037316</v>
      </c>
      <c r="C352" s="116">
        <v>1.9417731030051599</v>
      </c>
      <c r="D352" s="116">
        <v>1.9195995112905899</v>
      </c>
      <c r="E352" s="116">
        <v>1.94969224290323</v>
      </c>
      <c r="F352" s="116">
        <v>122.6</v>
      </c>
      <c r="G352">
        <v>522</v>
      </c>
      <c r="H352" s="116"/>
      <c r="I352" s="116"/>
      <c r="L352" s="170">
        <v>46014</v>
      </c>
      <c r="M352" s="116">
        <v>162.49</v>
      </c>
      <c r="N352" s="116">
        <v>163.5</v>
      </c>
      <c r="O352" s="116">
        <v>158.41</v>
      </c>
      <c r="P352" s="116">
        <v>160.25</v>
      </c>
      <c r="Q352" s="116">
        <v>162.49</v>
      </c>
      <c r="R352">
        <v>2542476</v>
      </c>
    </row>
    <row r="353" spans="1:18" x14ac:dyDescent="0.25">
      <c r="A353" s="170">
        <v>42523</v>
      </c>
      <c r="B353" s="116">
        <v>2.0589763734964999</v>
      </c>
      <c r="C353" s="116">
        <v>1.91643185533136</v>
      </c>
      <c r="D353" s="116">
        <v>1.9085127154332999</v>
      </c>
      <c r="E353" s="116">
        <v>2.0114615341081201</v>
      </c>
      <c r="F353" s="116">
        <v>121</v>
      </c>
      <c r="G353">
        <v>1571</v>
      </c>
      <c r="H353" s="116"/>
      <c r="I353" s="116"/>
      <c r="L353" s="170">
        <v>46015</v>
      </c>
      <c r="M353" s="116">
        <v>161.54</v>
      </c>
      <c r="N353" s="116">
        <v>164.4</v>
      </c>
      <c r="O353" s="116">
        <v>160.5</v>
      </c>
      <c r="P353" s="116">
        <v>164</v>
      </c>
      <c r="Q353" s="116">
        <v>161.54</v>
      </c>
      <c r="R353">
        <v>1151022</v>
      </c>
    </row>
    <row r="354" spans="1:18" x14ac:dyDescent="0.25">
      <c r="A354" s="170">
        <v>42524</v>
      </c>
      <c r="B354" s="116">
        <v>1.97978497451587</v>
      </c>
      <c r="C354" s="116">
        <v>1.96869817865858</v>
      </c>
      <c r="D354" s="116">
        <v>1.91643185533136</v>
      </c>
      <c r="E354" s="116">
        <v>1.93227013512749</v>
      </c>
      <c r="F354" s="116">
        <v>124.3</v>
      </c>
      <c r="G354">
        <v>907</v>
      </c>
      <c r="H354" s="116"/>
      <c r="I354" s="116"/>
      <c r="L354" s="170">
        <v>46017</v>
      </c>
      <c r="M354" s="116">
        <v>159.94999999999999</v>
      </c>
      <c r="N354" s="116">
        <v>163.6</v>
      </c>
      <c r="O354" s="116">
        <v>158.65</v>
      </c>
      <c r="P354" s="116">
        <v>162</v>
      </c>
      <c r="Q354" s="116">
        <v>159.94999999999999</v>
      </c>
      <c r="R354">
        <v>878742</v>
      </c>
    </row>
    <row r="355" spans="1:18" x14ac:dyDescent="0.25">
      <c r="A355" s="170">
        <v>42527</v>
      </c>
      <c r="B355" s="116">
        <v>1.93860544704594</v>
      </c>
      <c r="C355" s="116">
        <v>1.9148480273517501</v>
      </c>
      <c r="D355" s="116">
        <v>1.8451595962487899</v>
      </c>
      <c r="E355" s="116">
        <v>1.85783022008569</v>
      </c>
      <c r="F355" s="116">
        <v>120.9</v>
      </c>
      <c r="G355">
        <v>2272</v>
      </c>
      <c r="H355" s="116"/>
      <c r="I355" s="116"/>
      <c r="L355" s="170">
        <v>46020</v>
      </c>
      <c r="M355" s="116">
        <v>155.62</v>
      </c>
      <c r="N355" s="116">
        <v>162.22999999999999</v>
      </c>
      <c r="O355" s="116">
        <v>153.22</v>
      </c>
      <c r="P355" s="116">
        <v>161.05000000000001</v>
      </c>
      <c r="Q355" s="116">
        <v>155.62</v>
      </c>
      <c r="R355">
        <v>1310484</v>
      </c>
    </row>
    <row r="356" spans="1:18" x14ac:dyDescent="0.25">
      <c r="A356" s="170">
        <v>42528</v>
      </c>
      <c r="B356" s="116">
        <v>1.9639466947197399</v>
      </c>
      <c r="C356" s="116">
        <v>1.8863391237187199</v>
      </c>
      <c r="D356" s="116">
        <v>1.86574935998375</v>
      </c>
      <c r="E356" s="116">
        <v>1.9481084149236101</v>
      </c>
      <c r="F356" s="116">
        <v>119.1</v>
      </c>
      <c r="G356">
        <v>3367</v>
      </c>
      <c r="H356" s="116"/>
      <c r="I356" s="116"/>
      <c r="L356" s="170">
        <v>46021</v>
      </c>
      <c r="M356" s="116">
        <v>155.53</v>
      </c>
      <c r="N356" s="116">
        <v>157.59</v>
      </c>
      <c r="O356" s="116">
        <v>154.01</v>
      </c>
      <c r="P356" s="116">
        <v>156.19</v>
      </c>
      <c r="Q356" s="116">
        <v>155.53</v>
      </c>
      <c r="R356">
        <v>809836</v>
      </c>
    </row>
    <row r="357" spans="1:18" x14ac:dyDescent="0.25">
      <c r="A357" s="170">
        <v>42529</v>
      </c>
      <c r="B357" s="116">
        <v>2.18251495590629</v>
      </c>
      <c r="C357" s="116">
        <v>2.0225483299654101</v>
      </c>
      <c r="D357" s="116">
        <v>1.93227013512749</v>
      </c>
      <c r="E357" s="116">
        <v>1.99403942633238</v>
      </c>
      <c r="F357" s="116">
        <v>127.7</v>
      </c>
      <c r="G357">
        <v>14733</v>
      </c>
      <c r="H357" s="116"/>
      <c r="I357" s="116"/>
      <c r="L357" s="170">
        <v>46022</v>
      </c>
      <c r="M357" s="116">
        <v>157.69</v>
      </c>
      <c r="N357" s="116">
        <v>159.30000000000001</v>
      </c>
      <c r="O357" s="116">
        <v>155.22</v>
      </c>
      <c r="P357" s="116">
        <v>155.6</v>
      </c>
      <c r="Q357" s="116">
        <v>157.69</v>
      </c>
      <c r="R357">
        <v>833020</v>
      </c>
    </row>
    <row r="358" spans="1:18" x14ac:dyDescent="0.25">
      <c r="A358" s="170">
        <v>42530</v>
      </c>
      <c r="B358" s="116">
        <v>2.1064912128848801</v>
      </c>
      <c r="C358" s="116">
        <v>1.96949009264839</v>
      </c>
      <c r="D358" s="116">
        <v>1.9552356408318701</v>
      </c>
      <c r="E358" s="116">
        <v>2.1064912128848801</v>
      </c>
      <c r="F358" s="116">
        <v>124.35</v>
      </c>
      <c r="G358">
        <v>2152</v>
      </c>
      <c r="H358" s="116"/>
      <c r="I358" s="116"/>
      <c r="L358" s="170">
        <v>46023</v>
      </c>
      <c r="M358" s="116">
        <v>156.47999999999999</v>
      </c>
      <c r="N358" s="116">
        <v>159.88</v>
      </c>
      <c r="O358" s="116">
        <v>153.4</v>
      </c>
      <c r="P358" s="116">
        <v>153.80000000000001</v>
      </c>
      <c r="Q358" s="116">
        <v>156.47999999999999</v>
      </c>
      <c r="R358">
        <v>704673</v>
      </c>
    </row>
    <row r="359" spans="1:18" x14ac:dyDescent="0.25">
      <c r="A359" s="170">
        <v>42531</v>
      </c>
      <c r="B359" s="116">
        <v>2.0035423942100601</v>
      </c>
      <c r="C359" s="116">
        <v>1.99483134032219</v>
      </c>
      <c r="D359" s="116">
        <v>1.97978497451587</v>
      </c>
      <c r="E359" s="116">
        <v>1.97978497451587</v>
      </c>
      <c r="F359" s="116">
        <v>125.95</v>
      </c>
      <c r="G359">
        <v>998</v>
      </c>
      <c r="H359" s="116"/>
      <c r="I359" s="116"/>
      <c r="L359" s="170">
        <v>46024</v>
      </c>
      <c r="M359" s="116">
        <v>157.66999999999999</v>
      </c>
      <c r="N359" s="116">
        <v>159.35</v>
      </c>
      <c r="O359" s="116">
        <v>155</v>
      </c>
      <c r="P359" s="116">
        <v>155</v>
      </c>
      <c r="Q359" s="116">
        <v>157.66999999999999</v>
      </c>
      <c r="R359">
        <v>820637</v>
      </c>
    </row>
    <row r="360" spans="1:18" x14ac:dyDescent="0.25">
      <c r="A360" s="170">
        <v>42534</v>
      </c>
      <c r="B360" s="116">
        <v>1.9750334905770299</v>
      </c>
      <c r="C360" s="116">
        <v>1.9584032967911</v>
      </c>
      <c r="D360" s="116">
        <v>1.9180156833109701</v>
      </c>
      <c r="E360" s="116">
        <v>1.93227013512749</v>
      </c>
      <c r="F360" s="116">
        <v>123.65</v>
      </c>
      <c r="G360">
        <v>2252</v>
      </c>
      <c r="H360" s="116"/>
      <c r="I360" s="116"/>
      <c r="L360" s="170">
        <v>46027</v>
      </c>
      <c r="M360" s="116">
        <v>157.44</v>
      </c>
      <c r="N360" s="116">
        <v>161.49</v>
      </c>
      <c r="O360" s="116">
        <v>156.81</v>
      </c>
      <c r="P360" s="116">
        <v>158.69</v>
      </c>
      <c r="Q360" s="116">
        <v>157.44</v>
      </c>
      <c r="R360">
        <v>1044877</v>
      </c>
    </row>
    <row r="361" spans="1:18" x14ac:dyDescent="0.25">
      <c r="A361" s="170">
        <v>42535</v>
      </c>
      <c r="B361" s="116">
        <v>2.0114615341081201</v>
      </c>
      <c r="C361" s="116">
        <v>1.9512760708828401</v>
      </c>
      <c r="D361" s="116">
        <v>1.93543779108671</v>
      </c>
      <c r="E361" s="116">
        <v>1.93543779108671</v>
      </c>
      <c r="F361" s="116">
        <v>123.2</v>
      </c>
      <c r="G361">
        <v>999</v>
      </c>
      <c r="H361" s="116"/>
      <c r="I361" s="116"/>
      <c r="L361" s="170">
        <v>46028</v>
      </c>
      <c r="M361" s="116">
        <v>155.87</v>
      </c>
      <c r="N361" s="116">
        <v>157.80000000000001</v>
      </c>
      <c r="O361" s="116">
        <v>154.47999999999999</v>
      </c>
      <c r="P361" s="116">
        <v>157.80000000000001</v>
      </c>
      <c r="Q361" s="116">
        <v>155.87</v>
      </c>
      <c r="R361">
        <v>671458</v>
      </c>
    </row>
    <row r="362" spans="1:18" x14ac:dyDescent="0.25">
      <c r="A362" s="170">
        <v>42536</v>
      </c>
      <c r="B362" s="116">
        <v>2.0431380937003798</v>
      </c>
      <c r="C362" s="116">
        <v>2.0035423942100601</v>
      </c>
      <c r="D362" s="116">
        <v>1.96157095275032</v>
      </c>
      <c r="E362" s="116">
        <v>2.0106696201183198</v>
      </c>
      <c r="F362" s="116">
        <v>126.5</v>
      </c>
      <c r="G362">
        <v>3050</v>
      </c>
      <c r="H362" s="116"/>
      <c r="I362" s="116"/>
      <c r="L362" s="170">
        <v>46029</v>
      </c>
      <c r="M362" s="116">
        <v>163.82</v>
      </c>
      <c r="N362" s="116">
        <v>164.85</v>
      </c>
      <c r="O362" s="116">
        <v>154.19999999999999</v>
      </c>
      <c r="P362" s="116">
        <v>155.80000000000001</v>
      </c>
      <c r="Q362" s="116">
        <v>163.82</v>
      </c>
      <c r="R362">
        <v>2728963</v>
      </c>
    </row>
    <row r="363" spans="1:18" x14ac:dyDescent="0.25">
      <c r="A363" s="170">
        <v>42537</v>
      </c>
      <c r="B363" s="116">
        <v>2.0510572335984398</v>
      </c>
      <c r="C363" s="116">
        <v>2.0090857921387002</v>
      </c>
      <c r="D363" s="116">
        <v>1.9401892750255501</v>
      </c>
      <c r="E363" s="116">
        <v>1.99087177037316</v>
      </c>
      <c r="F363" s="116">
        <v>126.85</v>
      </c>
      <c r="G363">
        <v>2456</v>
      </c>
      <c r="H363" s="116"/>
      <c r="I363" s="116"/>
      <c r="L363" s="170">
        <v>46030</v>
      </c>
      <c r="M363" s="116">
        <v>164.1</v>
      </c>
      <c r="N363" s="116">
        <v>169.4</v>
      </c>
      <c r="O363" s="116">
        <v>161.36000000000001</v>
      </c>
      <c r="P363" s="116">
        <v>163.69999999999999</v>
      </c>
      <c r="Q363" s="116">
        <v>164.1</v>
      </c>
      <c r="R363">
        <v>3340921</v>
      </c>
    </row>
    <row r="364" spans="1:18" x14ac:dyDescent="0.25">
      <c r="A364" s="170">
        <v>42538</v>
      </c>
      <c r="B364" s="116">
        <v>2.06847934137418</v>
      </c>
      <c r="C364" s="116">
        <v>1.98295263047509</v>
      </c>
      <c r="D364" s="116">
        <v>1.9639466947197399</v>
      </c>
      <c r="E364" s="116">
        <v>1.995623254312</v>
      </c>
      <c r="F364" s="116">
        <v>125.2</v>
      </c>
      <c r="G364">
        <v>3784</v>
      </c>
      <c r="H364" s="116"/>
      <c r="I364" s="116"/>
      <c r="L364" s="170">
        <v>46031</v>
      </c>
      <c r="M364" s="116">
        <v>156.41</v>
      </c>
      <c r="N364" s="116">
        <v>164.25</v>
      </c>
      <c r="O364" s="116">
        <v>155.25</v>
      </c>
      <c r="P364" s="116">
        <v>162.1</v>
      </c>
      <c r="Q364" s="116">
        <v>156.41</v>
      </c>
      <c r="R364">
        <v>1627300</v>
      </c>
    </row>
    <row r="365" spans="1:18" x14ac:dyDescent="0.25">
      <c r="A365" s="170">
        <v>42541</v>
      </c>
      <c r="B365" s="116">
        <v>2.0589763734964999</v>
      </c>
      <c r="C365" s="116">
        <v>2.0581844595067</v>
      </c>
      <c r="D365" s="116">
        <v>1.91643185533136</v>
      </c>
      <c r="E365" s="116">
        <v>1.93227013512749</v>
      </c>
      <c r="F365" s="116">
        <v>129.94999999999999</v>
      </c>
      <c r="G365">
        <v>7760</v>
      </c>
      <c r="H365" s="116"/>
      <c r="I365" s="116"/>
      <c r="L365" s="170">
        <v>46034</v>
      </c>
      <c r="M365" s="116">
        <v>155.49</v>
      </c>
      <c r="N365" s="116">
        <v>157.30000000000001</v>
      </c>
      <c r="O365" s="116">
        <v>151.51</v>
      </c>
      <c r="P365" s="116">
        <v>155.4</v>
      </c>
      <c r="Q365" s="116">
        <v>155.49</v>
      </c>
      <c r="R365">
        <v>1466929</v>
      </c>
    </row>
    <row r="366" spans="1:18" x14ac:dyDescent="0.25">
      <c r="A366" s="170">
        <v>42542</v>
      </c>
      <c r="B366" s="116">
        <v>2.0589763734964999</v>
      </c>
      <c r="C366" s="116">
        <v>2.0304674698634702</v>
      </c>
      <c r="D366" s="116">
        <v>1.995623254312</v>
      </c>
      <c r="E366" s="116">
        <v>2.0589763734964999</v>
      </c>
      <c r="F366" s="116">
        <v>128.19999999999999</v>
      </c>
      <c r="G366">
        <v>3221</v>
      </c>
      <c r="H366" s="116"/>
      <c r="I366" s="116"/>
      <c r="L366" s="170">
        <v>46035</v>
      </c>
      <c r="M366" s="116">
        <v>152.9</v>
      </c>
      <c r="N366" s="116">
        <v>158.57</v>
      </c>
      <c r="O366" s="116">
        <v>152</v>
      </c>
      <c r="P366" s="116">
        <v>155.5</v>
      </c>
      <c r="Q366" s="116">
        <v>152.9</v>
      </c>
      <c r="R366">
        <v>653556</v>
      </c>
    </row>
    <row r="367" spans="1:18" x14ac:dyDescent="0.25">
      <c r="A367" s="170">
        <v>42543</v>
      </c>
      <c r="B367" s="116">
        <v>2.02809172789406</v>
      </c>
      <c r="C367" s="116">
        <v>1.9671143506789699</v>
      </c>
      <c r="D367" s="116">
        <v>1.96553052269935</v>
      </c>
      <c r="E367" s="116">
        <v>2.02809172789406</v>
      </c>
      <c r="F367" s="116">
        <v>124.2</v>
      </c>
      <c r="G367">
        <v>5236</v>
      </c>
      <c r="H367" s="116"/>
      <c r="I367" s="116"/>
      <c r="L367" s="170">
        <v>46036</v>
      </c>
      <c r="M367" s="116">
        <v>152.15</v>
      </c>
      <c r="N367" s="116">
        <v>154.19999999999999</v>
      </c>
      <c r="O367" s="116">
        <v>151.12</v>
      </c>
      <c r="P367" s="116">
        <v>152.6</v>
      </c>
      <c r="Q367" s="116">
        <v>152.15</v>
      </c>
      <c r="R367">
        <v>590835</v>
      </c>
    </row>
    <row r="368" spans="1:18" x14ac:dyDescent="0.25">
      <c r="A368" s="170">
        <v>42544</v>
      </c>
      <c r="B368" s="116">
        <v>1.97978497451587</v>
      </c>
      <c r="C368" s="116">
        <v>1.97978497451587</v>
      </c>
      <c r="D368" s="116">
        <v>1.9639466947197399</v>
      </c>
      <c r="E368" s="116">
        <v>1.97186583461781</v>
      </c>
      <c r="F368" s="116">
        <v>125</v>
      </c>
      <c r="G368">
        <v>626</v>
      </c>
      <c r="H368" s="116"/>
      <c r="I368" s="116"/>
      <c r="L368" s="170">
        <v>46038</v>
      </c>
      <c r="M368" s="116">
        <v>150.38999999999999</v>
      </c>
      <c r="N368" s="116">
        <v>153.44999999999999</v>
      </c>
      <c r="O368" s="116">
        <v>149.31</v>
      </c>
      <c r="P368" s="116">
        <v>153</v>
      </c>
      <c r="Q368" s="116">
        <v>150.38999999999999</v>
      </c>
      <c r="R368">
        <v>804427</v>
      </c>
    </row>
    <row r="369" spans="1:18" x14ac:dyDescent="0.25">
      <c r="A369" s="170">
        <v>42545</v>
      </c>
      <c r="B369" s="116">
        <v>1.9599871247707099</v>
      </c>
      <c r="C369" s="116">
        <v>1.9291024791682601</v>
      </c>
      <c r="D369" s="116">
        <v>1.7754711651458299</v>
      </c>
      <c r="E369" s="116">
        <v>1.92435099522942</v>
      </c>
      <c r="F369" s="116">
        <v>121.8</v>
      </c>
      <c r="G369">
        <v>1426</v>
      </c>
      <c r="H369" s="116"/>
      <c r="I369" s="116"/>
      <c r="L369" s="170">
        <v>46041</v>
      </c>
      <c r="M369" s="116">
        <v>146.99</v>
      </c>
      <c r="N369" s="116">
        <v>150.12</v>
      </c>
      <c r="O369" s="116">
        <v>146.32</v>
      </c>
      <c r="P369" s="116">
        <v>149</v>
      </c>
      <c r="Q369" s="116">
        <v>146.99</v>
      </c>
      <c r="R369">
        <v>767751</v>
      </c>
    </row>
    <row r="370" spans="1:18" x14ac:dyDescent="0.25">
      <c r="A370" s="170">
        <v>42548</v>
      </c>
      <c r="B370" s="116">
        <v>2.0890691051091399</v>
      </c>
      <c r="C370" s="116">
        <v>2.0478895776392099</v>
      </c>
      <c r="D370" s="116">
        <v>1.9306863071478799</v>
      </c>
      <c r="E370" s="116">
        <v>1.93147822113768</v>
      </c>
      <c r="F370" s="116">
        <v>129.30000000000001</v>
      </c>
      <c r="G370">
        <v>4386</v>
      </c>
      <c r="H370" s="116"/>
      <c r="I370" s="116"/>
      <c r="L370" s="170">
        <v>46042</v>
      </c>
      <c r="M370" s="116">
        <v>138.13999999999999</v>
      </c>
      <c r="N370" s="116">
        <v>147.34</v>
      </c>
      <c r="O370" s="116">
        <v>136</v>
      </c>
      <c r="P370" s="116">
        <v>147</v>
      </c>
      <c r="Q370" s="116">
        <v>138.13999999999999</v>
      </c>
      <c r="R370">
        <v>1914043</v>
      </c>
    </row>
    <row r="371" spans="1:18" x14ac:dyDescent="0.25">
      <c r="A371" s="170">
        <v>42549</v>
      </c>
      <c r="B371" s="116">
        <v>2.0035423942100601</v>
      </c>
      <c r="C371" s="116">
        <v>1.9750334905770299</v>
      </c>
      <c r="D371" s="116">
        <v>1.9671143506789699</v>
      </c>
      <c r="E371" s="116">
        <v>1.9892879423935399</v>
      </c>
      <c r="F371" s="116">
        <v>124.7</v>
      </c>
      <c r="G371">
        <v>5826</v>
      </c>
      <c r="H371" s="116"/>
      <c r="I371" s="116"/>
      <c r="L371" s="170">
        <v>46043</v>
      </c>
      <c r="M371" s="116">
        <v>134.38</v>
      </c>
      <c r="N371" s="116">
        <v>140.05000000000001</v>
      </c>
      <c r="O371" s="116">
        <v>133.5</v>
      </c>
      <c r="P371" s="116">
        <v>138.1</v>
      </c>
      <c r="Q371" s="116">
        <v>134.38</v>
      </c>
      <c r="R371">
        <v>1876534</v>
      </c>
    </row>
    <row r="372" spans="1:18" x14ac:dyDescent="0.25">
      <c r="A372" s="170">
        <v>42550</v>
      </c>
      <c r="B372" s="116">
        <v>2.0589763734964999</v>
      </c>
      <c r="C372" s="116">
        <v>1.9742415765872201</v>
      </c>
      <c r="D372" s="116">
        <v>1.9195995112905899</v>
      </c>
      <c r="E372" s="116">
        <v>1.9663224366891601</v>
      </c>
      <c r="F372" s="116">
        <v>124.65</v>
      </c>
      <c r="G372">
        <v>8390</v>
      </c>
      <c r="H372" s="116"/>
      <c r="I372" s="116"/>
      <c r="L372" s="170">
        <v>46044</v>
      </c>
      <c r="M372" s="116">
        <v>141.83000000000001</v>
      </c>
      <c r="N372" s="116">
        <v>144.30000000000001</v>
      </c>
      <c r="O372" s="116">
        <v>135.35</v>
      </c>
      <c r="P372" s="116">
        <v>136</v>
      </c>
      <c r="Q372" s="116">
        <v>141.83000000000001</v>
      </c>
      <c r="R372">
        <v>2063668</v>
      </c>
    </row>
    <row r="373" spans="1:18" x14ac:dyDescent="0.25">
      <c r="A373" s="170">
        <v>42551</v>
      </c>
      <c r="B373" s="116">
        <v>2.0510572335984398</v>
      </c>
      <c r="C373" s="116">
        <v>2.02729981390425</v>
      </c>
      <c r="D373" s="116">
        <v>1.9813688024954801</v>
      </c>
      <c r="E373" s="116">
        <v>2.0415542657207602</v>
      </c>
      <c r="F373" s="116">
        <v>128</v>
      </c>
      <c r="G373">
        <v>4170</v>
      </c>
      <c r="H373" s="116"/>
      <c r="I373" s="116"/>
      <c r="L373" s="170">
        <v>46045</v>
      </c>
      <c r="M373" s="116">
        <v>136.22999999999999</v>
      </c>
      <c r="N373" s="116">
        <v>143.72</v>
      </c>
      <c r="O373" s="116">
        <v>134.4</v>
      </c>
      <c r="P373" s="116">
        <v>142.5</v>
      </c>
      <c r="Q373" s="116">
        <v>136.22999999999999</v>
      </c>
      <c r="R373">
        <v>1250485</v>
      </c>
    </row>
    <row r="374" spans="1:18" x14ac:dyDescent="0.25">
      <c r="A374" s="170">
        <v>42552</v>
      </c>
      <c r="B374" s="116">
        <v>2.0581844595067</v>
      </c>
      <c r="C374" s="116">
        <v>1.9782011465362599</v>
      </c>
      <c r="D374" s="116">
        <v>1.96553052269935</v>
      </c>
      <c r="E374" s="116">
        <v>1.9964151683018001</v>
      </c>
      <c r="F374" s="116">
        <v>124.9</v>
      </c>
      <c r="G374">
        <v>2950</v>
      </c>
      <c r="H374" s="116"/>
      <c r="I374" s="116"/>
      <c r="L374" s="170">
        <v>46049</v>
      </c>
      <c r="M374" s="116">
        <v>127.19</v>
      </c>
      <c r="N374" s="116">
        <v>130.9</v>
      </c>
      <c r="O374" s="116">
        <v>122.63</v>
      </c>
      <c r="P374" s="116">
        <v>125.52</v>
      </c>
      <c r="Q374" s="116">
        <v>127.19</v>
      </c>
      <c r="R374">
        <v>5113185</v>
      </c>
    </row>
    <row r="375" spans="1:18" x14ac:dyDescent="0.25">
      <c r="A375" s="170">
        <v>42555</v>
      </c>
      <c r="B375" s="116">
        <v>2.0201725879959902</v>
      </c>
      <c r="C375" s="116">
        <v>1.97661731855664</v>
      </c>
      <c r="D375" s="116">
        <v>1.9481084149236101</v>
      </c>
      <c r="E375" s="116">
        <v>1.97978497451587</v>
      </c>
      <c r="F375" s="116">
        <v>124.8</v>
      </c>
      <c r="G375">
        <v>10630</v>
      </c>
      <c r="H375" s="116"/>
      <c r="I375" s="116"/>
      <c r="L375" s="170">
        <v>46050</v>
      </c>
      <c r="M375" s="116">
        <v>143.49</v>
      </c>
      <c r="N375" s="116">
        <v>145.9</v>
      </c>
      <c r="O375" s="116">
        <v>127</v>
      </c>
      <c r="P375" s="116">
        <v>127</v>
      </c>
      <c r="Q375" s="116">
        <v>143.49</v>
      </c>
      <c r="R375">
        <v>5803232</v>
      </c>
    </row>
    <row r="376" spans="1:18" x14ac:dyDescent="0.25">
      <c r="A376" s="170">
        <v>42556</v>
      </c>
      <c r="B376" s="116">
        <v>2.0431380937003798</v>
      </c>
      <c r="C376" s="116">
        <v>2.0344270398125102</v>
      </c>
      <c r="D376" s="116">
        <v>1.96553052269935</v>
      </c>
      <c r="E376" s="116">
        <v>2.0257159859246401</v>
      </c>
      <c r="F376" s="116">
        <v>128.44999999999999</v>
      </c>
      <c r="G376">
        <v>3020</v>
      </c>
      <c r="H376" s="116"/>
      <c r="I376" s="116"/>
      <c r="L376" s="170">
        <v>46051</v>
      </c>
      <c r="M376" s="116">
        <v>148.75</v>
      </c>
      <c r="N376" s="116">
        <v>149.47999999999999</v>
      </c>
      <c r="O376" s="116">
        <v>141.66</v>
      </c>
      <c r="P376" s="116">
        <v>145</v>
      </c>
      <c r="Q376" s="116">
        <v>148.75</v>
      </c>
      <c r="R376">
        <v>2307280</v>
      </c>
    </row>
    <row r="377" spans="1:18" x14ac:dyDescent="0.25">
      <c r="A377" s="170">
        <v>42558</v>
      </c>
      <c r="B377" s="116">
        <v>2.0589763734964999</v>
      </c>
      <c r="C377" s="116">
        <v>2.05739254551689</v>
      </c>
      <c r="D377" s="116">
        <v>1.995623254312</v>
      </c>
      <c r="E377" s="116">
        <v>1.995623254312</v>
      </c>
      <c r="F377" s="116">
        <v>129.9</v>
      </c>
      <c r="G377">
        <v>3971</v>
      </c>
      <c r="H377" s="116"/>
      <c r="I377" s="116"/>
      <c r="L377" s="170">
        <v>46052</v>
      </c>
      <c r="M377" s="116">
        <v>155.41999999999999</v>
      </c>
      <c r="N377" s="116">
        <v>158</v>
      </c>
      <c r="O377" s="116">
        <v>146</v>
      </c>
      <c r="P377" s="116">
        <v>148.75</v>
      </c>
      <c r="Q377" s="116">
        <v>155.41999999999999</v>
      </c>
      <c r="R377">
        <v>3390637</v>
      </c>
    </row>
    <row r="378" spans="1:18" x14ac:dyDescent="0.25">
      <c r="A378" s="170">
        <v>42559</v>
      </c>
      <c r="B378" s="116">
        <v>2.0827337931906902</v>
      </c>
      <c r="C378" s="116">
        <v>2.0288836418838598</v>
      </c>
      <c r="D378" s="116">
        <v>1.9599871247707099</v>
      </c>
      <c r="E378" s="116">
        <v>1.9599871247707099</v>
      </c>
      <c r="F378" s="116">
        <v>128.1</v>
      </c>
      <c r="G378">
        <v>446</v>
      </c>
      <c r="H378" s="116"/>
      <c r="I378" s="116"/>
      <c r="L378" s="170">
        <v>46054</v>
      </c>
      <c r="M378" s="116">
        <v>146.76</v>
      </c>
      <c r="N378" s="116">
        <v>161.80000000000001</v>
      </c>
      <c r="O378" s="116">
        <v>140.16999999999999</v>
      </c>
      <c r="P378" s="116">
        <v>158</v>
      </c>
      <c r="Q378" s="116">
        <v>146.76</v>
      </c>
      <c r="R378">
        <v>3356960</v>
      </c>
    </row>
    <row r="379" spans="1:18" x14ac:dyDescent="0.25">
      <c r="A379" s="170">
        <v>42562</v>
      </c>
      <c r="B379" s="116">
        <v>2.0811499652110799</v>
      </c>
      <c r="C379" s="116">
        <v>2.0122534480979302</v>
      </c>
      <c r="D379" s="116">
        <v>1.9972070822916099</v>
      </c>
      <c r="E379" s="116">
        <v>2.0811499652110799</v>
      </c>
      <c r="F379" s="116">
        <v>127.05</v>
      </c>
      <c r="G379">
        <v>7810</v>
      </c>
      <c r="H379" s="116"/>
      <c r="I379" s="116"/>
      <c r="L379" s="170">
        <v>46055</v>
      </c>
      <c r="M379" s="116">
        <v>155.41999999999999</v>
      </c>
      <c r="N379" s="116">
        <v>156</v>
      </c>
      <c r="O379" s="116">
        <v>147.75</v>
      </c>
      <c r="P379" s="116">
        <v>148</v>
      </c>
      <c r="Q379" s="116">
        <v>155.41999999999999</v>
      </c>
      <c r="R379">
        <v>3314686</v>
      </c>
    </row>
    <row r="380" spans="1:18" x14ac:dyDescent="0.25">
      <c r="A380" s="170">
        <v>42563</v>
      </c>
      <c r="B380" s="116">
        <v>2.1064912128848801</v>
      </c>
      <c r="C380" s="116">
        <v>2.0882771911193401</v>
      </c>
      <c r="D380" s="116">
        <v>1.995623254312</v>
      </c>
      <c r="E380" s="116">
        <v>1.99799899628141</v>
      </c>
      <c r="F380" s="116">
        <v>131.85</v>
      </c>
      <c r="G380">
        <v>11640</v>
      </c>
      <c r="H380" s="116"/>
      <c r="I380" s="116"/>
      <c r="L380" s="170">
        <v>46056</v>
      </c>
      <c r="M380" s="116">
        <v>152.72</v>
      </c>
      <c r="N380" s="116">
        <v>162.55000000000001</v>
      </c>
      <c r="O380" s="116">
        <v>151.52000000000001</v>
      </c>
      <c r="P380" s="116">
        <v>162</v>
      </c>
      <c r="Q380" s="116">
        <v>152.72</v>
      </c>
      <c r="R380">
        <v>2424456</v>
      </c>
    </row>
    <row r="381" spans="1:18" x14ac:dyDescent="0.25">
      <c r="A381" s="170">
        <v>42564</v>
      </c>
      <c r="B381" s="116">
        <v>2.05739254551689</v>
      </c>
      <c r="C381" s="116">
        <v>2.0257159859246401</v>
      </c>
      <c r="D381" s="116">
        <v>2.0154211040571499</v>
      </c>
      <c r="E381" s="116">
        <v>2.0399704377411498</v>
      </c>
      <c r="F381" s="116">
        <v>127.9</v>
      </c>
      <c r="G381">
        <v>1270</v>
      </c>
      <c r="H381" s="116"/>
      <c r="I381" s="116"/>
      <c r="L381" s="170">
        <v>46057</v>
      </c>
      <c r="M381" s="116">
        <v>152.25</v>
      </c>
      <c r="N381" s="116">
        <v>156.5</v>
      </c>
      <c r="O381" s="116">
        <v>150.24</v>
      </c>
      <c r="P381" s="116">
        <v>152.4</v>
      </c>
      <c r="Q381" s="116">
        <v>152.25</v>
      </c>
      <c r="R381">
        <v>1360657</v>
      </c>
    </row>
    <row r="382" spans="1:18" x14ac:dyDescent="0.25">
      <c r="A382" s="170">
        <v>42565</v>
      </c>
      <c r="B382" s="116">
        <v>2.0748146532926302</v>
      </c>
      <c r="C382" s="116">
        <v>2.0288836418838598</v>
      </c>
      <c r="D382" s="116">
        <v>2.02729981390425</v>
      </c>
      <c r="E382" s="116">
        <v>2.0589763734964999</v>
      </c>
      <c r="F382" s="116">
        <v>128.1</v>
      </c>
      <c r="G382">
        <v>2854</v>
      </c>
      <c r="H382" s="116"/>
      <c r="I382" s="116"/>
      <c r="L382" s="170">
        <v>46058</v>
      </c>
      <c r="M382" s="116">
        <v>150.49</v>
      </c>
      <c r="N382" s="116">
        <v>152.99</v>
      </c>
      <c r="O382" s="116">
        <v>148.5</v>
      </c>
      <c r="P382" s="116">
        <v>151.88999999999999</v>
      </c>
      <c r="Q382" s="116">
        <v>150.49</v>
      </c>
      <c r="R382">
        <v>674406</v>
      </c>
    </row>
    <row r="383" spans="1:18" x14ac:dyDescent="0.25">
      <c r="A383" s="170">
        <v>42566</v>
      </c>
      <c r="B383" s="116">
        <v>2.0668955133945701</v>
      </c>
      <c r="C383" s="116">
        <v>1.9995828242610301</v>
      </c>
      <c r="D383" s="116">
        <v>1.995623254312</v>
      </c>
      <c r="E383" s="116">
        <v>2.06531168541495</v>
      </c>
      <c r="F383" s="116">
        <v>126.25</v>
      </c>
      <c r="G383">
        <v>5335</v>
      </c>
      <c r="H383" s="116"/>
      <c r="I383" s="116"/>
      <c r="L383" s="170">
        <v>46059</v>
      </c>
      <c r="M383" s="116">
        <v>148.66999999999999</v>
      </c>
      <c r="N383" s="116">
        <v>149.94999999999999</v>
      </c>
      <c r="O383" s="116">
        <v>144.79</v>
      </c>
      <c r="P383" s="116">
        <v>149.9</v>
      </c>
      <c r="Q383" s="116">
        <v>148.66999999999999</v>
      </c>
      <c r="R383">
        <v>994400</v>
      </c>
    </row>
    <row r="384" spans="1:18" x14ac:dyDescent="0.25">
      <c r="A384" s="170">
        <v>42569</v>
      </c>
      <c r="B384" s="116">
        <v>2.0257159859246401</v>
      </c>
      <c r="C384" s="116">
        <v>2.0098777061285098</v>
      </c>
      <c r="D384" s="116">
        <v>2.0067100501692798</v>
      </c>
      <c r="E384" s="116">
        <v>2.0067100501692798</v>
      </c>
      <c r="F384" s="116">
        <v>126.9</v>
      </c>
      <c r="G384">
        <v>992</v>
      </c>
      <c r="H384" s="116"/>
      <c r="I384" s="116"/>
      <c r="L384" s="170">
        <v>46062</v>
      </c>
      <c r="M384" s="116">
        <v>151.91999999999999</v>
      </c>
      <c r="N384" s="116">
        <v>154.1</v>
      </c>
      <c r="O384" s="116">
        <v>148.63</v>
      </c>
      <c r="P384" s="116">
        <v>150.55000000000001</v>
      </c>
      <c r="Q384" s="116">
        <v>151.91999999999999</v>
      </c>
      <c r="R384">
        <v>1062414</v>
      </c>
    </row>
    <row r="385" spans="1:18" x14ac:dyDescent="0.25">
      <c r="A385" s="170">
        <v>42570</v>
      </c>
      <c r="B385" s="116">
        <v>2.0193806740061899</v>
      </c>
      <c r="C385" s="116">
        <v>1.97186583461781</v>
      </c>
      <c r="D385" s="116">
        <v>1.9235590812396199</v>
      </c>
      <c r="E385" s="116">
        <v>2.0193806740061899</v>
      </c>
      <c r="F385" s="116">
        <v>124.5</v>
      </c>
      <c r="G385">
        <v>1179</v>
      </c>
      <c r="H385" s="116"/>
      <c r="I385" s="116"/>
      <c r="L385" s="170">
        <v>46063</v>
      </c>
      <c r="M385" s="116">
        <v>150.34</v>
      </c>
      <c r="N385" s="116">
        <v>154.51</v>
      </c>
      <c r="O385" s="116">
        <v>149.79</v>
      </c>
      <c r="P385" s="116">
        <v>152.01</v>
      </c>
      <c r="Q385" s="116">
        <v>150.34</v>
      </c>
      <c r="R385">
        <v>1144197</v>
      </c>
    </row>
    <row r="386" spans="1:18" x14ac:dyDescent="0.25">
      <c r="A386" s="170">
        <v>42571</v>
      </c>
      <c r="B386" s="116">
        <v>1.9837445444649</v>
      </c>
      <c r="C386" s="116">
        <v>1.9774092325464501</v>
      </c>
      <c r="D386" s="116">
        <v>1.95761138280129</v>
      </c>
      <c r="E386" s="116">
        <v>1.9837445444649</v>
      </c>
      <c r="F386" s="116">
        <v>124.85</v>
      </c>
      <c r="G386">
        <v>1602</v>
      </c>
      <c r="H386" s="116"/>
      <c r="I386" s="116"/>
      <c r="L386" s="170">
        <v>46064</v>
      </c>
      <c r="M386" s="116">
        <v>154.13</v>
      </c>
      <c r="N386" s="116">
        <v>161.80000000000001</v>
      </c>
      <c r="O386" s="116">
        <v>149.19999999999999</v>
      </c>
      <c r="P386" s="116">
        <v>151.19999999999999</v>
      </c>
      <c r="Q386" s="116">
        <v>154.13</v>
      </c>
      <c r="R386">
        <v>5098670</v>
      </c>
    </row>
    <row r="387" spans="1:18" x14ac:dyDescent="0.25">
      <c r="A387" s="170">
        <v>42572</v>
      </c>
      <c r="B387" s="116">
        <v>2.0035423942100601</v>
      </c>
      <c r="C387" s="116">
        <v>1.90296931750465</v>
      </c>
      <c r="D387" s="116">
        <v>1.8562463921060799</v>
      </c>
      <c r="E387" s="116">
        <v>1.9639466947197399</v>
      </c>
      <c r="F387" s="116">
        <v>120.15</v>
      </c>
      <c r="G387">
        <v>3118</v>
      </c>
      <c r="H387" s="116"/>
      <c r="I387" s="116"/>
      <c r="L387" s="170">
        <v>46065</v>
      </c>
      <c r="M387" s="116">
        <v>151.31</v>
      </c>
      <c r="N387" s="116">
        <v>154.80000000000001</v>
      </c>
      <c r="O387" s="116">
        <v>150.1</v>
      </c>
      <c r="P387" s="116">
        <v>154.80000000000001</v>
      </c>
      <c r="Q387" s="116">
        <v>151.31</v>
      </c>
      <c r="R387">
        <v>835185</v>
      </c>
    </row>
    <row r="388" spans="1:18" x14ac:dyDescent="0.25">
      <c r="A388" s="170">
        <v>42573</v>
      </c>
      <c r="B388" s="116">
        <v>1.9631547807299401</v>
      </c>
      <c r="C388" s="116">
        <v>1.90534505947407</v>
      </c>
      <c r="D388" s="116">
        <v>1.88475529573911</v>
      </c>
      <c r="E388" s="116">
        <v>1.96077903876052</v>
      </c>
      <c r="F388" s="116">
        <v>120.3</v>
      </c>
      <c r="G388">
        <v>4762</v>
      </c>
      <c r="H388" s="116"/>
      <c r="I388" s="116"/>
      <c r="L388" s="170">
        <v>46066</v>
      </c>
      <c r="M388" s="116">
        <v>151.99</v>
      </c>
      <c r="N388" s="116">
        <v>154.69999999999999</v>
      </c>
      <c r="O388" s="116">
        <v>147.11000000000001</v>
      </c>
      <c r="P388" s="116">
        <v>149.5</v>
      </c>
      <c r="Q388" s="116">
        <v>151.99</v>
      </c>
      <c r="R388">
        <v>1256643</v>
      </c>
    </row>
    <row r="389" spans="1:18" x14ac:dyDescent="0.25">
      <c r="A389" s="170">
        <v>42576</v>
      </c>
      <c r="B389" s="116">
        <v>1.9623628667401301</v>
      </c>
      <c r="C389" s="116">
        <v>1.92435099522942</v>
      </c>
      <c r="D389" s="116">
        <v>1.9180156833109701</v>
      </c>
      <c r="E389" s="116">
        <v>1.9481084149236101</v>
      </c>
      <c r="F389" s="116">
        <v>121.5</v>
      </c>
      <c r="G389">
        <v>4088</v>
      </c>
      <c r="H389" s="116"/>
      <c r="I389" s="116"/>
      <c r="L389" s="170">
        <v>46069</v>
      </c>
      <c r="M389" s="116">
        <v>150.09</v>
      </c>
      <c r="N389" s="116">
        <v>152.5</v>
      </c>
      <c r="O389" s="116">
        <v>149.22999999999999</v>
      </c>
      <c r="P389" s="116">
        <v>151.58000000000001</v>
      </c>
      <c r="Q389" s="116">
        <v>150.09</v>
      </c>
      <c r="R389">
        <v>531881</v>
      </c>
    </row>
    <row r="390" spans="1:18" x14ac:dyDescent="0.25">
      <c r="A390" s="170">
        <v>42577</v>
      </c>
      <c r="B390" s="116">
        <v>1.92435099522942</v>
      </c>
      <c r="C390" s="116">
        <v>1.9195995112905899</v>
      </c>
      <c r="D390" s="116">
        <v>1.9069288874536801</v>
      </c>
      <c r="E390" s="116">
        <v>1.9069288874536801</v>
      </c>
      <c r="F390" s="116">
        <v>121.2</v>
      </c>
      <c r="G390">
        <v>1090</v>
      </c>
      <c r="H390" s="116"/>
      <c r="I390" s="116"/>
      <c r="L390" s="170">
        <v>46070</v>
      </c>
      <c r="M390" s="116">
        <v>149.62</v>
      </c>
      <c r="N390" s="116">
        <v>152.24</v>
      </c>
      <c r="O390" s="116">
        <v>149.01</v>
      </c>
      <c r="P390" s="116">
        <v>149.44999999999999</v>
      </c>
      <c r="Q390" s="116">
        <v>149.62</v>
      </c>
      <c r="R390">
        <v>526015</v>
      </c>
    </row>
    <row r="391" spans="1:18" x14ac:dyDescent="0.25">
      <c r="A391" s="170">
        <v>42578</v>
      </c>
      <c r="B391" s="116">
        <v>2.0589763734964999</v>
      </c>
      <c r="C391" s="116">
        <v>1.96077903876052</v>
      </c>
      <c r="D391" s="116">
        <v>1.9005935755352299</v>
      </c>
      <c r="E391" s="116">
        <v>1.90534505947407</v>
      </c>
      <c r="F391" s="116">
        <v>123.8</v>
      </c>
      <c r="G391">
        <v>5928</v>
      </c>
      <c r="H391" s="116"/>
      <c r="I391" s="116"/>
      <c r="L391" s="170">
        <v>46071</v>
      </c>
      <c r="M391" s="116">
        <v>149.72999999999999</v>
      </c>
      <c r="N391" s="116">
        <v>151.15</v>
      </c>
      <c r="O391" s="116">
        <v>149.33000000000001</v>
      </c>
      <c r="P391" s="116">
        <v>150</v>
      </c>
      <c r="Q391" s="116">
        <v>149.72999999999999</v>
      </c>
      <c r="R391">
        <v>464730</v>
      </c>
    </row>
    <row r="392" spans="1:18" x14ac:dyDescent="0.25">
      <c r="A392" s="170">
        <v>42579</v>
      </c>
      <c r="B392" s="116">
        <v>2.1571737082324902</v>
      </c>
      <c r="C392" s="116">
        <v>2.0518491475882499</v>
      </c>
      <c r="D392" s="116">
        <v>1.97978497451587</v>
      </c>
      <c r="E392" s="116">
        <v>1.9813688024954801</v>
      </c>
      <c r="F392" s="116">
        <v>129.55000000000001</v>
      </c>
      <c r="G392">
        <v>12875</v>
      </c>
      <c r="H392" s="116"/>
      <c r="I392" s="116"/>
      <c r="L392" s="170">
        <v>46072</v>
      </c>
      <c r="M392" s="116">
        <v>147.03</v>
      </c>
      <c r="N392" s="116">
        <v>151.18</v>
      </c>
      <c r="O392" s="116">
        <v>145.25</v>
      </c>
      <c r="P392" s="116">
        <v>150</v>
      </c>
      <c r="Q392" s="116">
        <v>147.03</v>
      </c>
      <c r="R392">
        <v>621132</v>
      </c>
    </row>
    <row r="393" spans="1:18" x14ac:dyDescent="0.25">
      <c r="A393" s="170">
        <v>42580</v>
      </c>
      <c r="B393" s="116">
        <v>2.1540060522732598</v>
      </c>
      <c r="C393" s="116">
        <v>2.0597682874863099</v>
      </c>
      <c r="D393" s="116">
        <v>1.995623254312</v>
      </c>
      <c r="E393" s="116">
        <v>1.995623254312</v>
      </c>
      <c r="F393" s="116">
        <v>130.05000000000001</v>
      </c>
      <c r="G393">
        <v>8046</v>
      </c>
      <c r="H393" s="116"/>
      <c r="I393" s="116"/>
      <c r="L393" s="170">
        <v>46073</v>
      </c>
      <c r="M393" s="116">
        <v>145.46</v>
      </c>
      <c r="N393" s="116">
        <v>149.80000000000001</v>
      </c>
      <c r="O393" s="116">
        <v>145</v>
      </c>
      <c r="P393" s="116">
        <v>147</v>
      </c>
      <c r="Q393" s="116">
        <v>145.46</v>
      </c>
      <c r="R393">
        <v>871714</v>
      </c>
    </row>
    <row r="394" spans="1:18" x14ac:dyDescent="0.25">
      <c r="A394" s="170">
        <v>42583</v>
      </c>
      <c r="B394" s="116">
        <v>2.0732308253130198</v>
      </c>
      <c r="C394" s="116">
        <v>2.0431380937003798</v>
      </c>
      <c r="D394" s="116">
        <v>2.0177968460265698</v>
      </c>
      <c r="E394" s="116">
        <v>2.0447219216799901</v>
      </c>
      <c r="F394" s="116">
        <v>129</v>
      </c>
      <c r="G394">
        <v>3975</v>
      </c>
      <c r="H394" s="116"/>
      <c r="I394" s="116"/>
      <c r="L394" s="170">
        <v>46076</v>
      </c>
      <c r="M394" s="116">
        <v>144.43</v>
      </c>
      <c r="N394" s="116">
        <v>147.4</v>
      </c>
      <c r="O394" s="116">
        <v>142.35</v>
      </c>
      <c r="P394" s="116">
        <v>146.75</v>
      </c>
      <c r="Q394" s="116">
        <v>144.43</v>
      </c>
      <c r="R394">
        <v>626784</v>
      </c>
    </row>
    <row r="395" spans="1:18" x14ac:dyDescent="0.25">
      <c r="A395" s="170">
        <v>42584</v>
      </c>
      <c r="B395" s="116">
        <v>2.0146291900673501</v>
      </c>
      <c r="C395" s="116">
        <v>1.9639466947197399</v>
      </c>
      <c r="D395" s="116">
        <v>1.9568194688114799</v>
      </c>
      <c r="E395" s="116">
        <v>2.0146291900673501</v>
      </c>
      <c r="F395" s="116">
        <v>124</v>
      </c>
      <c r="G395">
        <v>1698</v>
      </c>
      <c r="H395" s="116"/>
      <c r="I395" s="116"/>
      <c r="L395" s="170">
        <v>46077</v>
      </c>
      <c r="M395" s="116">
        <v>144.49</v>
      </c>
      <c r="N395" s="116">
        <v>145.74</v>
      </c>
      <c r="O395" s="116">
        <v>141.62</v>
      </c>
      <c r="P395" s="116">
        <v>143.30000000000001</v>
      </c>
      <c r="Q395" s="116">
        <v>144.49</v>
      </c>
      <c r="R395">
        <v>930441</v>
      </c>
    </row>
    <row r="396" spans="1:18" x14ac:dyDescent="0.25">
      <c r="A396" s="170">
        <v>42585</v>
      </c>
      <c r="B396" s="116">
        <v>1.97978497451587</v>
      </c>
      <c r="C396" s="116">
        <v>1.90534505947407</v>
      </c>
      <c r="D396" s="116">
        <v>1.88475529573911</v>
      </c>
      <c r="E396" s="116">
        <v>1.97978497451587</v>
      </c>
      <c r="F396" s="116">
        <v>120.3</v>
      </c>
      <c r="G396">
        <v>5680</v>
      </c>
      <c r="H396" s="116"/>
      <c r="I396" s="116"/>
      <c r="L396" s="170">
        <v>46078</v>
      </c>
      <c r="M396" s="116">
        <v>143.87</v>
      </c>
      <c r="N396" s="116">
        <v>145.96</v>
      </c>
      <c r="O396" s="116">
        <v>143.12</v>
      </c>
      <c r="P396" s="116">
        <v>144.9</v>
      </c>
      <c r="Q396" s="116">
        <v>143.87</v>
      </c>
      <c r="R396">
        <v>498803</v>
      </c>
    </row>
    <row r="397" spans="1:18" x14ac:dyDescent="0.25">
      <c r="A397" s="170">
        <v>42586</v>
      </c>
      <c r="B397" s="116">
        <v>1.9005935755352299</v>
      </c>
      <c r="C397" s="116">
        <v>1.8602059620551099</v>
      </c>
      <c r="D397" s="116">
        <v>1.8229860045342099</v>
      </c>
      <c r="E397" s="116">
        <v>1.9005935755352299</v>
      </c>
      <c r="F397" s="116">
        <v>117.45</v>
      </c>
      <c r="G397">
        <v>5481</v>
      </c>
      <c r="H397" s="116"/>
      <c r="I397" s="116"/>
      <c r="L397" s="170">
        <v>46079</v>
      </c>
      <c r="M397" s="116">
        <v>146.05000000000001</v>
      </c>
      <c r="N397" s="116">
        <v>148.38</v>
      </c>
      <c r="O397" s="116">
        <v>143.87</v>
      </c>
      <c r="P397" s="116">
        <v>144.30000000000001</v>
      </c>
      <c r="Q397" s="116">
        <v>146.05000000000001</v>
      </c>
      <c r="R397">
        <v>670476</v>
      </c>
    </row>
    <row r="398" spans="1:18" x14ac:dyDescent="0.25">
      <c r="A398" s="170">
        <v>42587</v>
      </c>
      <c r="B398" s="116">
        <v>1.9291024791682601</v>
      </c>
      <c r="C398" s="116">
        <v>1.89821783356581</v>
      </c>
      <c r="D398" s="116">
        <v>1.8855472097289101</v>
      </c>
      <c r="E398" s="116">
        <v>1.9291024791682601</v>
      </c>
      <c r="F398" s="116">
        <v>119.85</v>
      </c>
      <c r="G398">
        <v>274</v>
      </c>
      <c r="H398" s="116"/>
      <c r="I398" s="116"/>
      <c r="L398" s="170">
        <v>46080</v>
      </c>
      <c r="M398" s="116">
        <v>143.38</v>
      </c>
      <c r="N398" s="116">
        <v>147</v>
      </c>
      <c r="O398" s="116">
        <v>143</v>
      </c>
      <c r="P398" s="116">
        <v>145.75</v>
      </c>
      <c r="Q398" s="116">
        <v>143.38</v>
      </c>
      <c r="R398">
        <v>459311</v>
      </c>
    </row>
    <row r="399" spans="1:18" x14ac:dyDescent="0.25">
      <c r="A399" s="170">
        <v>42590</v>
      </c>
      <c r="B399" s="116">
        <v>1.9671143506789699</v>
      </c>
      <c r="C399" s="116">
        <v>1.8633736180143401</v>
      </c>
      <c r="D399" s="116">
        <v>1.81427495064634</v>
      </c>
      <c r="E399" s="116">
        <v>1.81427495064634</v>
      </c>
      <c r="F399" s="116">
        <v>117.65</v>
      </c>
      <c r="G399">
        <v>1218</v>
      </c>
      <c r="H399" s="116"/>
      <c r="I399" s="116"/>
      <c r="L399" s="170">
        <v>46083</v>
      </c>
      <c r="M399" s="116">
        <v>141.61000000000001</v>
      </c>
      <c r="N399" s="116">
        <v>146.88</v>
      </c>
      <c r="O399" s="116">
        <v>135.19999999999999</v>
      </c>
      <c r="P399" s="116">
        <v>135.19999999999999</v>
      </c>
      <c r="Q399" s="116">
        <v>141.61000000000001</v>
      </c>
      <c r="R399">
        <v>1812521</v>
      </c>
    </row>
    <row r="400" spans="1:18" x14ac:dyDescent="0.25">
      <c r="A400" s="170">
        <v>42591</v>
      </c>
      <c r="B400" s="116">
        <v>1.88000381180027</v>
      </c>
      <c r="C400" s="116">
        <v>1.8150668646361501</v>
      </c>
      <c r="D400" s="116">
        <v>1.79526901489099</v>
      </c>
      <c r="E400" s="116">
        <v>1.8380323703405299</v>
      </c>
      <c r="F400" s="116">
        <v>114.6</v>
      </c>
      <c r="G400">
        <v>6259</v>
      </c>
      <c r="H400" s="116"/>
      <c r="I400" s="116"/>
      <c r="L400" s="170">
        <v>46085</v>
      </c>
      <c r="M400" s="116">
        <v>140.69</v>
      </c>
      <c r="N400" s="116">
        <v>144.99</v>
      </c>
      <c r="O400" s="116">
        <v>139.86000000000001</v>
      </c>
      <c r="P400" s="116">
        <v>141</v>
      </c>
      <c r="Q400" s="116">
        <v>140.69</v>
      </c>
      <c r="R400">
        <v>1524797</v>
      </c>
    </row>
    <row r="401" spans="1:18" x14ac:dyDescent="0.25">
      <c r="A401" s="170">
        <v>42592</v>
      </c>
      <c r="B401" s="116">
        <v>1.8095234667075</v>
      </c>
      <c r="C401" s="116">
        <v>1.77388733716622</v>
      </c>
      <c r="D401" s="116">
        <v>1.7422107775739599</v>
      </c>
      <c r="E401" s="116">
        <v>1.80556389675847</v>
      </c>
      <c r="F401" s="116">
        <v>112</v>
      </c>
      <c r="G401">
        <v>6325</v>
      </c>
      <c r="H401" s="116"/>
      <c r="I401" s="116"/>
      <c r="L401" s="170">
        <v>46086</v>
      </c>
      <c r="M401" s="116">
        <v>142.66</v>
      </c>
      <c r="N401" s="116">
        <v>143.9</v>
      </c>
      <c r="O401" s="116">
        <v>140.85</v>
      </c>
      <c r="P401" s="116">
        <v>143.55000000000001</v>
      </c>
      <c r="Q401" s="116">
        <v>142.66</v>
      </c>
      <c r="R401">
        <v>797754</v>
      </c>
    </row>
    <row r="402" spans="1:18" x14ac:dyDescent="0.25">
      <c r="A402" s="170">
        <v>42593</v>
      </c>
      <c r="B402" s="116">
        <v>1.83565662837111</v>
      </c>
      <c r="C402" s="116">
        <v>1.81348303665654</v>
      </c>
      <c r="D402" s="116">
        <v>1.75804905737009</v>
      </c>
      <c r="E402" s="116">
        <v>1.75804905737009</v>
      </c>
      <c r="F402" s="116">
        <v>114.5</v>
      </c>
      <c r="G402">
        <v>4037</v>
      </c>
      <c r="H402" s="116"/>
      <c r="I402" s="116"/>
      <c r="L402" s="170">
        <v>46087</v>
      </c>
      <c r="M402" s="116">
        <v>145.11000000000001</v>
      </c>
      <c r="N402" s="116">
        <v>149.85</v>
      </c>
      <c r="O402" s="116">
        <v>141.99</v>
      </c>
      <c r="P402" s="116">
        <v>143.19</v>
      </c>
      <c r="Q402" s="116">
        <v>145.11000000000001</v>
      </c>
      <c r="R402">
        <v>1373327</v>
      </c>
    </row>
    <row r="403" spans="1:18" x14ac:dyDescent="0.25">
      <c r="A403" s="170">
        <v>42594</v>
      </c>
      <c r="B403" s="116">
        <v>1.8792118978104599</v>
      </c>
      <c r="C403" s="116">
        <v>1.72954015373706</v>
      </c>
      <c r="D403" s="116">
        <v>1.69548785217539</v>
      </c>
      <c r="E403" s="116">
        <v>1.8792118978104599</v>
      </c>
      <c r="F403" s="116">
        <v>109.2</v>
      </c>
      <c r="G403">
        <v>6665</v>
      </c>
      <c r="H403" s="116"/>
      <c r="I403" s="116"/>
      <c r="L403" s="170">
        <v>46090</v>
      </c>
      <c r="M403" s="116">
        <v>140.13</v>
      </c>
      <c r="N403" s="116">
        <v>144</v>
      </c>
      <c r="O403" s="116">
        <v>138.33000000000001</v>
      </c>
      <c r="P403" s="116">
        <v>144</v>
      </c>
      <c r="Q403" s="116">
        <v>140.13</v>
      </c>
      <c r="R403">
        <v>970250</v>
      </c>
    </row>
    <row r="404" spans="1:18" x14ac:dyDescent="0.25">
      <c r="A404" s="170">
        <v>42598</v>
      </c>
      <c r="B404" s="116">
        <v>1.8214021765546</v>
      </c>
      <c r="C404" s="116">
        <v>1.7778469071152501</v>
      </c>
      <c r="D404" s="116">
        <v>1.59966625940882</v>
      </c>
      <c r="E404" s="116">
        <v>1.66301937859333</v>
      </c>
      <c r="F404" s="116">
        <v>112.25</v>
      </c>
      <c r="G404">
        <v>5530</v>
      </c>
      <c r="H404" s="116"/>
      <c r="I404" s="116"/>
      <c r="L404" s="170">
        <v>46091</v>
      </c>
      <c r="M404" s="116">
        <v>146</v>
      </c>
      <c r="N404" s="116">
        <v>146.57</v>
      </c>
      <c r="O404" s="116">
        <v>140.44999999999999</v>
      </c>
      <c r="P404" s="116">
        <v>143.4</v>
      </c>
      <c r="Q404" s="116">
        <v>146</v>
      </c>
      <c r="R404">
        <v>951595</v>
      </c>
    </row>
    <row r="405" spans="1:18" x14ac:dyDescent="0.25">
      <c r="A405" s="170">
        <v>42599</v>
      </c>
      <c r="B405" s="116">
        <v>1.8372404563507301</v>
      </c>
      <c r="C405" s="116">
        <v>1.7604247993395099</v>
      </c>
      <c r="D405" s="116">
        <v>1.7572571433802799</v>
      </c>
      <c r="E405" s="116">
        <v>1.77388733716622</v>
      </c>
      <c r="F405" s="116">
        <v>111.15</v>
      </c>
      <c r="G405">
        <v>5801</v>
      </c>
      <c r="H405" s="116"/>
      <c r="I405" s="116"/>
      <c r="L405" s="170">
        <v>46092</v>
      </c>
      <c r="M405" s="116">
        <v>142.78</v>
      </c>
      <c r="N405" s="116">
        <v>148.76</v>
      </c>
      <c r="O405" s="116">
        <v>142</v>
      </c>
      <c r="P405" s="116">
        <v>146</v>
      </c>
      <c r="Q405" s="116">
        <v>142.78</v>
      </c>
      <c r="R405">
        <v>781095</v>
      </c>
    </row>
    <row r="406" spans="1:18" x14ac:dyDescent="0.25">
      <c r="A406" s="170">
        <v>42600</v>
      </c>
      <c r="B406" s="116">
        <v>1.7897256169623501</v>
      </c>
      <c r="C406" s="116">
        <v>1.7612167133293199</v>
      </c>
      <c r="D406" s="116">
        <v>1.7342916376759001</v>
      </c>
      <c r="E406" s="116">
        <v>1.76200862731912</v>
      </c>
      <c r="F406" s="116">
        <v>111.2</v>
      </c>
      <c r="G406">
        <v>3729</v>
      </c>
      <c r="H406" s="116"/>
      <c r="I406" s="116"/>
      <c r="L406" s="170">
        <v>46093</v>
      </c>
      <c r="M406" s="116">
        <v>143.94999999999999</v>
      </c>
      <c r="N406" s="116">
        <v>146.5</v>
      </c>
      <c r="O406" s="116">
        <v>138.6</v>
      </c>
      <c r="P406" s="116">
        <v>141.65</v>
      </c>
      <c r="Q406" s="116">
        <v>143.94999999999999</v>
      </c>
      <c r="R406">
        <v>1042993</v>
      </c>
    </row>
    <row r="407" spans="1:18" x14ac:dyDescent="0.25">
      <c r="A407" s="170">
        <v>42601</v>
      </c>
      <c r="B407" s="116">
        <v>1.77388733716622</v>
      </c>
      <c r="C407" s="116">
        <v>1.77309542317641</v>
      </c>
      <c r="D407" s="116">
        <v>1.73666737964532</v>
      </c>
      <c r="E407" s="116">
        <v>1.73666737964532</v>
      </c>
      <c r="F407" s="116">
        <v>111.95</v>
      </c>
      <c r="G407">
        <v>522</v>
      </c>
      <c r="H407" s="116"/>
      <c r="I407" s="116"/>
      <c r="L407" s="170">
        <v>46094</v>
      </c>
      <c r="M407" s="116">
        <v>134.59</v>
      </c>
      <c r="N407" s="116">
        <v>144.97999999999999</v>
      </c>
      <c r="O407" s="116">
        <v>133.1</v>
      </c>
      <c r="P407" s="116">
        <v>143</v>
      </c>
      <c r="Q407" s="116">
        <v>134.59</v>
      </c>
      <c r="R407">
        <v>1464429</v>
      </c>
    </row>
    <row r="408" spans="1:18" x14ac:dyDescent="0.25">
      <c r="A408" s="170">
        <v>42604</v>
      </c>
      <c r="B408" s="116">
        <v>1.8530787361468499</v>
      </c>
      <c r="C408" s="116">
        <v>1.8150668646361501</v>
      </c>
      <c r="D408" s="116">
        <v>1.7422107775739599</v>
      </c>
      <c r="E408" s="116">
        <v>1.75804905737009</v>
      </c>
      <c r="F408" s="116">
        <v>114.6</v>
      </c>
      <c r="G408">
        <v>5695</v>
      </c>
      <c r="H408" s="116"/>
      <c r="I408" s="116"/>
      <c r="L408" s="170">
        <v>46097</v>
      </c>
      <c r="M408" s="116">
        <v>130</v>
      </c>
      <c r="N408" s="116">
        <v>136.25</v>
      </c>
      <c r="O408" s="116">
        <v>126.97</v>
      </c>
      <c r="P408" s="116">
        <v>136.25</v>
      </c>
      <c r="Q408" s="116">
        <v>130</v>
      </c>
      <c r="R408">
        <v>2408240</v>
      </c>
    </row>
    <row r="409" spans="1:18" x14ac:dyDescent="0.25">
      <c r="A409" s="170">
        <v>42605</v>
      </c>
      <c r="B409" s="116">
        <v>1.8673331879633699</v>
      </c>
      <c r="C409" s="116">
        <v>1.7960609288808</v>
      </c>
      <c r="D409" s="116">
        <v>1.75408948742106</v>
      </c>
      <c r="E409" s="116">
        <v>1.8673331879633699</v>
      </c>
      <c r="F409" s="116">
        <v>113.4</v>
      </c>
      <c r="G409">
        <v>582</v>
      </c>
      <c r="H409" s="116"/>
      <c r="I409" s="116"/>
      <c r="L409" s="170">
        <v>46098</v>
      </c>
      <c r="M409" s="116">
        <v>127.62</v>
      </c>
      <c r="N409" s="116">
        <v>132.69</v>
      </c>
      <c r="O409" s="116">
        <v>127</v>
      </c>
      <c r="P409" s="116">
        <v>131.1</v>
      </c>
      <c r="Q409" s="116">
        <v>127.62</v>
      </c>
      <c r="R409">
        <v>1169527</v>
      </c>
    </row>
    <row r="410" spans="1:18" x14ac:dyDescent="0.25">
      <c r="A410" s="170">
        <v>42606</v>
      </c>
      <c r="B410" s="116">
        <v>1.8372404563507301</v>
      </c>
      <c r="C410" s="116">
        <v>1.7786388211050601</v>
      </c>
      <c r="D410" s="116">
        <v>1.75804905737009</v>
      </c>
      <c r="E410" s="116">
        <v>1.8039800687788601</v>
      </c>
      <c r="F410" s="116">
        <v>112.3</v>
      </c>
      <c r="G410">
        <v>7602</v>
      </c>
      <c r="H410" s="116"/>
      <c r="I410" s="116"/>
      <c r="L410" s="170">
        <v>46099</v>
      </c>
      <c r="M410" s="116">
        <v>133.08000000000001</v>
      </c>
      <c r="N410" s="116">
        <v>134.30000000000001</v>
      </c>
      <c r="O410" s="116">
        <v>128.19999999999999</v>
      </c>
      <c r="P410" s="116">
        <v>128.19999999999999</v>
      </c>
      <c r="Q410" s="116">
        <v>133.08000000000001</v>
      </c>
      <c r="R410">
        <v>1397605</v>
      </c>
    </row>
    <row r="411" spans="1:18" x14ac:dyDescent="0.25">
      <c r="A411" s="170">
        <v>42607</v>
      </c>
      <c r="B411" s="116">
        <v>1.7897256169623501</v>
      </c>
      <c r="C411" s="116">
        <v>1.7746792511560201</v>
      </c>
      <c r="D411" s="116">
        <v>1.75092183146183</v>
      </c>
      <c r="E411" s="116">
        <v>1.7897256169623501</v>
      </c>
      <c r="F411" s="116">
        <v>112.05</v>
      </c>
      <c r="G411">
        <v>1720</v>
      </c>
      <c r="H411" s="116"/>
      <c r="I411" s="116"/>
      <c r="L411" s="170">
        <v>46100</v>
      </c>
      <c r="M411" s="116">
        <v>126.97</v>
      </c>
      <c r="N411" s="116">
        <v>131</v>
      </c>
      <c r="O411" s="116">
        <v>126</v>
      </c>
      <c r="P411" s="116">
        <v>130</v>
      </c>
      <c r="Q411" s="116">
        <v>126.97</v>
      </c>
      <c r="R411">
        <v>1335525</v>
      </c>
    </row>
    <row r="412" spans="1:18" x14ac:dyDescent="0.25">
      <c r="A412" s="170">
        <v>42608</v>
      </c>
      <c r="B412" s="116">
        <v>1.8214021765546</v>
      </c>
      <c r="C412" s="116">
        <v>1.7778469071152501</v>
      </c>
      <c r="D412" s="116">
        <v>1.77388733716622</v>
      </c>
      <c r="E412" s="116">
        <v>1.80556389675847</v>
      </c>
      <c r="F412" s="116">
        <v>112.25</v>
      </c>
      <c r="G412">
        <v>5759</v>
      </c>
      <c r="H412" s="116"/>
      <c r="I412" s="116"/>
      <c r="L412" s="170">
        <v>46101</v>
      </c>
      <c r="M412" s="116">
        <v>127.38</v>
      </c>
      <c r="N412" s="116">
        <v>130.5</v>
      </c>
      <c r="O412" s="116">
        <v>127</v>
      </c>
      <c r="P412" s="116">
        <v>128.30000000000001</v>
      </c>
      <c r="Q412" s="116">
        <v>127.38</v>
      </c>
      <c r="R412">
        <v>886238</v>
      </c>
    </row>
    <row r="413" spans="1:18" x14ac:dyDescent="0.25">
      <c r="A413" s="170">
        <v>42611</v>
      </c>
      <c r="B413" s="116">
        <v>1.81348303665654</v>
      </c>
      <c r="C413" s="116">
        <v>1.7239967558084199</v>
      </c>
      <c r="D413" s="116">
        <v>1.70261507808365</v>
      </c>
      <c r="E413" s="116">
        <v>1.7905175309521499</v>
      </c>
      <c r="F413" s="116">
        <v>108.85</v>
      </c>
      <c r="G413">
        <v>3393</v>
      </c>
      <c r="H413" s="116"/>
      <c r="I413" s="116"/>
      <c r="L413" s="170">
        <v>46104</v>
      </c>
      <c r="M413" s="116">
        <v>118.29</v>
      </c>
      <c r="N413" s="116">
        <v>126.45</v>
      </c>
      <c r="O413" s="116">
        <v>117.05</v>
      </c>
      <c r="P413" s="116">
        <v>125</v>
      </c>
      <c r="Q413" s="116">
        <v>118.29</v>
      </c>
      <c r="R413">
        <v>1635701</v>
      </c>
    </row>
    <row r="414" spans="1:18" x14ac:dyDescent="0.25">
      <c r="A414" s="170">
        <v>42612</v>
      </c>
      <c r="B414" s="116">
        <v>1.7865579610031199</v>
      </c>
      <c r="C414" s="116">
        <v>1.75804905737009</v>
      </c>
      <c r="D414" s="116">
        <v>1.7422107775739599</v>
      </c>
      <c r="E414" s="116">
        <v>1.7422107775739599</v>
      </c>
      <c r="F414" s="116">
        <v>111</v>
      </c>
      <c r="G414">
        <v>1235</v>
      </c>
      <c r="H414" s="116"/>
      <c r="I414" s="116"/>
      <c r="L414" s="170">
        <v>46105</v>
      </c>
      <c r="M414" s="116">
        <v>121.03</v>
      </c>
      <c r="N414" s="116">
        <v>124.5</v>
      </c>
      <c r="O414" s="116">
        <v>118.3</v>
      </c>
      <c r="P414" s="116">
        <v>122</v>
      </c>
      <c r="Q414" s="116">
        <v>121.03</v>
      </c>
      <c r="R414">
        <v>1810375</v>
      </c>
    </row>
    <row r="415" spans="1:18" x14ac:dyDescent="0.25">
      <c r="A415" s="170">
        <v>42613</v>
      </c>
      <c r="B415" s="116">
        <v>1.7897256169623501</v>
      </c>
      <c r="C415" s="116">
        <v>1.7081584760122901</v>
      </c>
      <c r="D415" s="116">
        <v>1.68044148636907</v>
      </c>
      <c r="E415" s="116">
        <v>1.75804905737009</v>
      </c>
      <c r="F415" s="116">
        <v>107.85</v>
      </c>
      <c r="G415">
        <v>4713</v>
      </c>
      <c r="H415" s="116"/>
      <c r="I415" s="116"/>
      <c r="L415" s="170">
        <v>46106</v>
      </c>
      <c r="M415" s="116">
        <v>130.09</v>
      </c>
      <c r="N415" s="116">
        <v>138.81</v>
      </c>
      <c r="O415" s="116">
        <v>128.4</v>
      </c>
      <c r="P415" s="116">
        <v>131.01</v>
      </c>
      <c r="Q415" s="116">
        <v>130.09</v>
      </c>
      <c r="R415">
        <v>17940511</v>
      </c>
    </row>
    <row r="416" spans="1:18" x14ac:dyDescent="0.25">
      <c r="A416" s="170">
        <v>42614</v>
      </c>
      <c r="B416" s="116">
        <v>1.7263724977778401</v>
      </c>
      <c r="C416" s="116">
        <v>1.6978635941448099</v>
      </c>
      <c r="D416" s="116">
        <v>1.68044148636907</v>
      </c>
      <c r="E416" s="116">
        <v>1.72478866979822</v>
      </c>
      <c r="F416" s="116">
        <v>107.2</v>
      </c>
      <c r="G416">
        <v>4156</v>
      </c>
      <c r="H416" s="116"/>
      <c r="I416" s="116"/>
      <c r="L416" s="170">
        <v>46108</v>
      </c>
      <c r="M416" s="116">
        <v>124.12</v>
      </c>
      <c r="N416" s="116">
        <v>129.76</v>
      </c>
      <c r="O416" s="116">
        <v>123.35</v>
      </c>
      <c r="P416" s="116">
        <v>129.76</v>
      </c>
      <c r="Q416" s="116">
        <v>124.12</v>
      </c>
      <c r="R416">
        <v>2639180</v>
      </c>
    </row>
    <row r="417" spans="1:18" x14ac:dyDescent="0.25">
      <c r="A417" s="170">
        <v>42615</v>
      </c>
      <c r="B417" s="116">
        <v>1.69469593818558</v>
      </c>
      <c r="C417" s="116">
        <v>1.69469593818558</v>
      </c>
      <c r="D417" s="116">
        <v>1.69469593818558</v>
      </c>
      <c r="E417" s="116">
        <v>1.69469593818558</v>
      </c>
      <c r="F417" s="116">
        <v>107</v>
      </c>
      <c r="G417">
        <v>712</v>
      </c>
      <c r="H417" s="116"/>
      <c r="I417" s="116"/>
      <c r="L417" s="170">
        <v>46111</v>
      </c>
      <c r="M417" s="116">
        <v>126.56</v>
      </c>
      <c r="N417" s="116">
        <v>129.4</v>
      </c>
      <c r="O417" s="116">
        <v>122.08</v>
      </c>
      <c r="P417" s="116">
        <v>124.83</v>
      </c>
      <c r="Q417" s="116">
        <v>126.56</v>
      </c>
      <c r="R417">
        <v>3817038</v>
      </c>
    </row>
    <row r="418" spans="1:18" x14ac:dyDescent="0.25">
      <c r="A418" s="170">
        <v>42619</v>
      </c>
      <c r="B418" s="116">
        <v>1.8293213164526601</v>
      </c>
      <c r="C418" s="116">
        <v>1.8111072946871201</v>
      </c>
      <c r="D418" s="116">
        <v>1.66301937859333</v>
      </c>
      <c r="E418" s="116">
        <v>1.6788576583894601</v>
      </c>
      <c r="F418" s="116">
        <v>114.35</v>
      </c>
      <c r="G418">
        <v>8782</v>
      </c>
      <c r="H418" s="116"/>
      <c r="I418" s="116"/>
      <c r="L418" s="170">
        <v>46113</v>
      </c>
      <c r="M418" s="116">
        <v>134.28</v>
      </c>
      <c r="N418" s="116">
        <v>136.57</v>
      </c>
      <c r="O418" s="116">
        <v>128.5</v>
      </c>
      <c r="P418" s="116">
        <v>132.94999999999999</v>
      </c>
      <c r="Q418" s="116">
        <v>134.28</v>
      </c>
      <c r="R418">
        <v>2730189</v>
      </c>
    </row>
    <row r="419" spans="1:18" x14ac:dyDescent="0.25">
      <c r="A419" s="170">
        <v>42620</v>
      </c>
      <c r="B419" s="116">
        <v>1.8467434242284</v>
      </c>
      <c r="C419" s="116">
        <v>1.83565662837111</v>
      </c>
      <c r="D419" s="116">
        <v>1.77388733716622</v>
      </c>
      <c r="E419" s="116">
        <v>1.77388733716622</v>
      </c>
      <c r="F419" s="116">
        <v>115.9</v>
      </c>
      <c r="G419">
        <v>3876</v>
      </c>
      <c r="H419" s="116"/>
      <c r="I419" s="116"/>
      <c r="L419" s="170">
        <v>46114</v>
      </c>
      <c r="M419" s="116">
        <v>134.09</v>
      </c>
      <c r="N419" s="116">
        <v>135.27000000000001</v>
      </c>
      <c r="O419" s="116">
        <v>129.4</v>
      </c>
      <c r="P419" s="116">
        <v>131.5</v>
      </c>
      <c r="Q419" s="116">
        <v>134.09</v>
      </c>
      <c r="R419">
        <v>1255209</v>
      </c>
    </row>
    <row r="420" spans="1:18" x14ac:dyDescent="0.25">
      <c r="A420" s="170">
        <v>42621</v>
      </c>
      <c r="B420" s="116">
        <v>1.8998016615454301</v>
      </c>
      <c r="C420" s="116">
        <v>1.8000204988298301</v>
      </c>
      <c r="D420" s="116">
        <v>1.7905175309521499</v>
      </c>
      <c r="E420" s="116">
        <v>1.83565662837111</v>
      </c>
      <c r="F420" s="116">
        <v>113.65</v>
      </c>
      <c r="G420">
        <v>1997</v>
      </c>
      <c r="H420" s="116"/>
      <c r="I420" s="116"/>
      <c r="L420" s="170">
        <v>46118</v>
      </c>
      <c r="M420" s="116">
        <v>136.07</v>
      </c>
      <c r="N420" s="116">
        <v>136.99</v>
      </c>
      <c r="O420" s="116">
        <v>131.55000000000001</v>
      </c>
      <c r="P420" s="116">
        <v>135.75</v>
      </c>
      <c r="Q420" s="116">
        <v>136.07</v>
      </c>
      <c r="R420">
        <v>1412895</v>
      </c>
    </row>
    <row r="421" spans="1:18" x14ac:dyDescent="0.25">
      <c r="A421" s="170">
        <v>42622</v>
      </c>
      <c r="B421" s="116">
        <v>1.77388733716622</v>
      </c>
      <c r="C421" s="116">
        <v>1.7675520252477701</v>
      </c>
      <c r="D421" s="116">
        <v>1.7643843692885399</v>
      </c>
      <c r="E421" s="116">
        <v>1.76596819726815</v>
      </c>
      <c r="F421" s="116">
        <v>111.6</v>
      </c>
      <c r="G421">
        <v>840</v>
      </c>
      <c r="H421" s="116"/>
      <c r="I421" s="116"/>
      <c r="L421" s="170">
        <v>46119</v>
      </c>
      <c r="M421" s="116">
        <v>136.03</v>
      </c>
      <c r="N421" s="116">
        <v>138.88999999999999</v>
      </c>
      <c r="O421" s="116">
        <v>134.16</v>
      </c>
      <c r="P421" s="116">
        <v>136</v>
      </c>
      <c r="Q421" s="116">
        <v>136.03</v>
      </c>
      <c r="R421">
        <v>1176278</v>
      </c>
    </row>
    <row r="422" spans="1:18" x14ac:dyDescent="0.25">
      <c r="A422" s="170">
        <v>42625</v>
      </c>
      <c r="B422" s="116">
        <v>1.8008124128196299</v>
      </c>
      <c r="C422" s="116">
        <v>1.75171374545164</v>
      </c>
      <c r="D422" s="116">
        <v>1.6788576583894601</v>
      </c>
      <c r="E422" s="116">
        <v>1.6788576583894601</v>
      </c>
      <c r="F422" s="116">
        <v>110.6</v>
      </c>
      <c r="G422">
        <v>2171</v>
      </c>
      <c r="H422" s="116"/>
      <c r="I422" s="116"/>
      <c r="L422" s="170">
        <v>46120</v>
      </c>
      <c r="M422" s="116">
        <v>143.57</v>
      </c>
      <c r="N422" s="116">
        <v>144</v>
      </c>
      <c r="O422" s="116">
        <v>139.1</v>
      </c>
      <c r="P422" s="116">
        <v>141.5</v>
      </c>
      <c r="Q422" s="116">
        <v>143.57</v>
      </c>
      <c r="R422">
        <v>1534593</v>
      </c>
    </row>
    <row r="423" spans="1:18" x14ac:dyDescent="0.25">
      <c r="A423" s="170">
        <v>42627</v>
      </c>
      <c r="B423" s="116">
        <v>1.8665412739735601</v>
      </c>
      <c r="C423" s="116">
        <v>1.8348647143813099</v>
      </c>
      <c r="D423" s="116">
        <v>1.7232048418186099</v>
      </c>
      <c r="E423" s="116">
        <v>1.75171374545164</v>
      </c>
      <c r="F423" s="116">
        <v>115.85</v>
      </c>
      <c r="G423">
        <v>780</v>
      </c>
      <c r="H423" s="116"/>
      <c r="I423" s="116"/>
      <c r="L423" s="170">
        <v>46121</v>
      </c>
      <c r="M423" s="116">
        <v>147.74</v>
      </c>
      <c r="N423" s="116">
        <v>149.99</v>
      </c>
      <c r="O423" s="116">
        <v>142</v>
      </c>
      <c r="P423" s="116">
        <v>143.57</v>
      </c>
      <c r="Q423" s="116">
        <v>147.74</v>
      </c>
      <c r="R423">
        <v>2185743</v>
      </c>
    </row>
    <row r="424" spans="1:18" x14ac:dyDescent="0.25">
      <c r="A424" s="170">
        <v>42628</v>
      </c>
      <c r="B424" s="116">
        <v>1.8998016615454301</v>
      </c>
      <c r="C424" s="116">
        <v>1.87208467190221</v>
      </c>
      <c r="D424" s="116">
        <v>1.79922858484002</v>
      </c>
      <c r="E424" s="116">
        <v>1.79922858484002</v>
      </c>
      <c r="F424" s="116">
        <v>118.2</v>
      </c>
      <c r="G424">
        <v>1468</v>
      </c>
      <c r="H424" s="116"/>
      <c r="I424" s="116"/>
      <c r="L424" s="170">
        <v>46122</v>
      </c>
      <c r="M424" s="116">
        <v>152.69</v>
      </c>
      <c r="N424" s="116">
        <v>154.35</v>
      </c>
      <c r="O424" s="116">
        <v>148.69999999999999</v>
      </c>
      <c r="P424" s="116">
        <v>148.75</v>
      </c>
      <c r="Q424" s="116">
        <v>152.69</v>
      </c>
      <c r="R424">
        <v>2084905</v>
      </c>
    </row>
    <row r="425" spans="1:18" x14ac:dyDescent="0.25">
      <c r="A425" s="170">
        <v>42629</v>
      </c>
      <c r="B425" s="116">
        <v>1.88475529573911</v>
      </c>
      <c r="C425" s="116">
        <v>1.8309051444322799</v>
      </c>
      <c r="D425" s="116">
        <v>1.78497413302351</v>
      </c>
      <c r="E425" s="116">
        <v>1.78497413302351</v>
      </c>
      <c r="F425" s="116">
        <v>115.6</v>
      </c>
      <c r="G425">
        <v>1550</v>
      </c>
      <c r="H425" s="116"/>
      <c r="I425" s="116"/>
      <c r="L425" s="170">
        <v>46125</v>
      </c>
      <c r="M425" s="116">
        <v>150.69</v>
      </c>
      <c r="N425" s="116">
        <v>153.85</v>
      </c>
      <c r="O425" s="116">
        <v>144.27000000000001</v>
      </c>
      <c r="P425" s="116">
        <v>147.97999999999999</v>
      </c>
      <c r="Q425" s="116">
        <v>150.69</v>
      </c>
      <c r="R425">
        <v>2018575</v>
      </c>
    </row>
    <row r="426" spans="1:18" x14ac:dyDescent="0.25">
      <c r="A426" s="170">
        <v>42632</v>
      </c>
      <c r="B426" s="116">
        <v>1.8530787361468499</v>
      </c>
      <c r="C426" s="116">
        <v>1.8111072946871201</v>
      </c>
      <c r="D426" s="116">
        <v>1.7897256169623501</v>
      </c>
      <c r="E426" s="116">
        <v>1.8530787361468499</v>
      </c>
      <c r="F426" s="116">
        <v>114.35</v>
      </c>
      <c r="G426">
        <v>2115</v>
      </c>
      <c r="H426" s="116"/>
      <c r="I426" s="116"/>
      <c r="L426" s="170">
        <v>46127</v>
      </c>
      <c r="M426" s="116">
        <v>153.81</v>
      </c>
      <c r="N426" s="116">
        <v>154.94999999999999</v>
      </c>
      <c r="O426" s="116">
        <v>151.6</v>
      </c>
      <c r="P426" s="116">
        <v>153.44999999999999</v>
      </c>
      <c r="Q426" s="116">
        <v>153.81</v>
      </c>
      <c r="R426">
        <v>1363605</v>
      </c>
    </row>
    <row r="427" spans="1:18" x14ac:dyDescent="0.25">
      <c r="A427" s="170">
        <v>42633</v>
      </c>
      <c r="B427" s="116">
        <v>1.8530787361468499</v>
      </c>
      <c r="C427" s="116">
        <v>1.77626307913564</v>
      </c>
      <c r="D427" s="116">
        <v>1.7453784335331901</v>
      </c>
      <c r="E427" s="116">
        <v>1.8372404563507301</v>
      </c>
      <c r="F427" s="116">
        <v>112.15</v>
      </c>
      <c r="G427">
        <v>1737</v>
      </c>
      <c r="H427" s="116"/>
      <c r="I427" s="116"/>
      <c r="L427" s="170">
        <v>46128</v>
      </c>
      <c r="M427" s="116">
        <v>155.22</v>
      </c>
      <c r="N427" s="116">
        <v>157.19999999999999</v>
      </c>
      <c r="O427" s="116">
        <v>152.4</v>
      </c>
      <c r="P427" s="116">
        <v>154.85</v>
      </c>
      <c r="Q427" s="116">
        <v>155.22</v>
      </c>
      <c r="R427">
        <v>1596687</v>
      </c>
    </row>
    <row r="428" spans="1:18" x14ac:dyDescent="0.25">
      <c r="A428" s="170">
        <v>42634</v>
      </c>
      <c r="B428" s="116">
        <v>1.8332808864016901</v>
      </c>
      <c r="C428" s="116">
        <v>1.8237779185240199</v>
      </c>
      <c r="D428" s="116">
        <v>1.77388733716622</v>
      </c>
      <c r="E428" s="116">
        <v>1.77388733716622</v>
      </c>
      <c r="F428" s="116">
        <v>115.15</v>
      </c>
      <c r="G428">
        <v>2524</v>
      </c>
      <c r="H428" s="116"/>
      <c r="I428" s="116"/>
      <c r="L428" s="170">
        <v>46129</v>
      </c>
      <c r="M428" s="116">
        <v>160.30000000000001</v>
      </c>
      <c r="N428" s="116">
        <v>162.27000000000001</v>
      </c>
      <c r="O428" s="116">
        <v>154.49</v>
      </c>
      <c r="P428" s="116">
        <v>154.5</v>
      </c>
      <c r="Q428" s="116">
        <v>160.30000000000001</v>
      </c>
      <c r="R428">
        <v>3879009</v>
      </c>
    </row>
    <row r="429" spans="1:18" x14ac:dyDescent="0.25">
      <c r="A429" s="170">
        <v>42635</v>
      </c>
      <c r="B429" s="116">
        <v>1.89900974755562</v>
      </c>
      <c r="C429" s="116">
        <v>1.80556389675847</v>
      </c>
      <c r="D429" s="116">
        <v>1.7905175309521499</v>
      </c>
      <c r="E429" s="116">
        <v>1.89900974755562</v>
      </c>
      <c r="F429" s="116">
        <v>114</v>
      </c>
      <c r="G429">
        <v>1702</v>
      </c>
      <c r="H429" s="116"/>
      <c r="I429" s="116"/>
      <c r="L429" s="170">
        <v>46132</v>
      </c>
      <c r="M429" s="116">
        <v>157.12</v>
      </c>
      <c r="N429" s="116">
        <v>161</v>
      </c>
      <c r="O429" s="116">
        <v>156.19999999999999</v>
      </c>
      <c r="P429" s="116">
        <v>160.47999999999999</v>
      </c>
      <c r="Q429" s="116">
        <v>157.12</v>
      </c>
      <c r="R429">
        <v>1658050</v>
      </c>
    </row>
    <row r="430" spans="1:18" x14ac:dyDescent="0.25">
      <c r="A430" s="170">
        <v>42636</v>
      </c>
      <c r="B430" s="116">
        <v>1.97186583461781</v>
      </c>
      <c r="C430" s="116">
        <v>1.89821783356581</v>
      </c>
      <c r="D430" s="116">
        <v>1.84357576826918</v>
      </c>
      <c r="E430" s="116">
        <v>1.8641655320041399</v>
      </c>
      <c r="F430" s="116">
        <v>119.85</v>
      </c>
      <c r="G430">
        <v>6425</v>
      </c>
      <c r="H430" s="116"/>
      <c r="I430" s="116"/>
      <c r="L430" s="170">
        <v>46133</v>
      </c>
      <c r="M430" s="116">
        <v>157.91</v>
      </c>
      <c r="N430" s="116">
        <v>160.21</v>
      </c>
      <c r="O430" s="116">
        <v>156.36000000000001</v>
      </c>
      <c r="P430" s="116">
        <v>157.88999999999999</v>
      </c>
      <c r="Q430" s="116">
        <v>157.91</v>
      </c>
      <c r="R430">
        <v>1456141</v>
      </c>
    </row>
    <row r="431" spans="1:18" x14ac:dyDescent="0.25">
      <c r="A431" s="170">
        <v>42639</v>
      </c>
      <c r="B431" s="116">
        <v>1.8776280698308501</v>
      </c>
      <c r="C431" s="116">
        <v>1.8594140480653001</v>
      </c>
      <c r="D431" s="116">
        <v>1.8594140480653001</v>
      </c>
      <c r="E431" s="116">
        <v>1.8712927579123999</v>
      </c>
      <c r="F431" s="116">
        <v>117.4</v>
      </c>
      <c r="G431">
        <v>1924</v>
      </c>
      <c r="H431" s="116"/>
      <c r="I431" s="116"/>
      <c r="L431" s="170">
        <v>46134</v>
      </c>
      <c r="M431" s="116">
        <v>158.04</v>
      </c>
      <c r="N431" s="116">
        <v>161.79</v>
      </c>
      <c r="O431" s="116">
        <v>157</v>
      </c>
      <c r="P431" s="116">
        <v>157</v>
      </c>
      <c r="Q431" s="116">
        <v>158.04</v>
      </c>
      <c r="R431">
        <v>1582699</v>
      </c>
    </row>
    <row r="432" spans="1:18" x14ac:dyDescent="0.25">
      <c r="A432" s="170">
        <v>42640</v>
      </c>
      <c r="B432" s="116">
        <v>1.93543779108671</v>
      </c>
      <c r="C432" s="116">
        <v>1.8293213164526601</v>
      </c>
      <c r="D432" s="116">
        <v>1.80635581074828</v>
      </c>
      <c r="E432" s="116">
        <v>1.8562463921060799</v>
      </c>
      <c r="F432" s="116">
        <v>115.5</v>
      </c>
      <c r="G432">
        <v>3098</v>
      </c>
      <c r="H432" s="116"/>
      <c r="I432" s="116"/>
      <c r="L432" s="170">
        <v>46135</v>
      </c>
      <c r="M432" s="116">
        <v>158.96</v>
      </c>
      <c r="N432" s="116">
        <v>161.84</v>
      </c>
      <c r="O432" s="116">
        <v>156.85</v>
      </c>
      <c r="P432" s="116">
        <v>158</v>
      </c>
      <c r="Q432" s="116">
        <v>158.96</v>
      </c>
      <c r="R432">
        <v>2572864</v>
      </c>
    </row>
    <row r="433" spans="1:18" x14ac:dyDescent="0.25">
      <c r="A433" s="170">
        <v>42641</v>
      </c>
      <c r="B433" s="116">
        <v>1.89900974755562</v>
      </c>
      <c r="C433" s="116">
        <v>1.8404081123099501</v>
      </c>
      <c r="D433" s="116">
        <v>1.82773748847305</v>
      </c>
      <c r="E433" s="116">
        <v>1.8293213164526601</v>
      </c>
      <c r="F433" s="116">
        <v>116.2</v>
      </c>
      <c r="G433">
        <v>1036</v>
      </c>
      <c r="H433" s="116"/>
      <c r="I433" s="116"/>
      <c r="L433" s="170">
        <v>46136</v>
      </c>
      <c r="M433" s="116">
        <v>154.16</v>
      </c>
      <c r="N433" s="116">
        <v>159.6</v>
      </c>
      <c r="O433" s="116">
        <v>152.5</v>
      </c>
      <c r="P433" s="116">
        <v>159.5</v>
      </c>
      <c r="Q433" s="116">
        <v>154.16</v>
      </c>
      <c r="R433">
        <v>1794702</v>
      </c>
    </row>
    <row r="434" spans="1:18" x14ac:dyDescent="0.25">
      <c r="A434" s="170">
        <v>42642</v>
      </c>
      <c r="B434" s="116">
        <v>1.8039800687788601</v>
      </c>
      <c r="C434" s="116">
        <v>1.69232019621616</v>
      </c>
      <c r="D434" s="116">
        <v>1.66301937859333</v>
      </c>
      <c r="E434" s="116">
        <v>1.7976447568604099</v>
      </c>
      <c r="F434" s="116">
        <v>106.85</v>
      </c>
      <c r="G434">
        <v>3230</v>
      </c>
      <c r="H434" s="116"/>
      <c r="I434" s="116"/>
      <c r="L434" s="170"/>
    </row>
    <row r="435" spans="1:18" x14ac:dyDescent="0.25">
      <c r="A435" s="170">
        <v>42643</v>
      </c>
      <c r="B435" s="116">
        <v>1.80556389675847</v>
      </c>
      <c r="C435" s="116">
        <v>1.7754711651458299</v>
      </c>
      <c r="D435" s="116">
        <v>1.7422107775739599</v>
      </c>
      <c r="E435" s="116">
        <v>1.7556733154006701</v>
      </c>
      <c r="F435" s="116">
        <v>112.1</v>
      </c>
      <c r="G435">
        <v>1745</v>
      </c>
      <c r="H435" s="116"/>
      <c r="I435" s="116"/>
      <c r="L435" s="170"/>
    </row>
    <row r="436" spans="1:18" x14ac:dyDescent="0.25">
      <c r="A436" s="170">
        <v>42646</v>
      </c>
      <c r="B436" s="116">
        <v>1.82061026256479</v>
      </c>
      <c r="C436" s="116">
        <v>1.82061026256479</v>
      </c>
      <c r="D436" s="116">
        <v>1.75171374545164</v>
      </c>
      <c r="E436" s="116">
        <v>1.75171374545164</v>
      </c>
      <c r="F436" s="116">
        <v>114.95</v>
      </c>
      <c r="G436">
        <v>2007</v>
      </c>
      <c r="H436" s="116"/>
      <c r="I436" s="116"/>
      <c r="L436" s="170"/>
    </row>
    <row r="437" spans="1:18" x14ac:dyDescent="0.25">
      <c r="A437" s="170">
        <v>42647</v>
      </c>
      <c r="B437" s="116">
        <v>1.84991108018763</v>
      </c>
      <c r="C437" s="116">
        <v>1.7976447568604099</v>
      </c>
      <c r="D437" s="116">
        <v>1.77388733716622</v>
      </c>
      <c r="E437" s="116">
        <v>1.8214021765546</v>
      </c>
      <c r="F437" s="116">
        <v>113.5</v>
      </c>
      <c r="G437">
        <v>6109</v>
      </c>
      <c r="H437" s="116"/>
      <c r="I437" s="116"/>
      <c r="L437" s="170"/>
    </row>
    <row r="438" spans="1:18" x14ac:dyDescent="0.25">
      <c r="A438" s="170">
        <v>42648</v>
      </c>
      <c r="B438" s="116">
        <v>1.8372404563507301</v>
      </c>
      <c r="C438" s="116">
        <v>1.8269455744832399</v>
      </c>
      <c r="D438" s="116">
        <v>1.75804905737009</v>
      </c>
      <c r="E438" s="116">
        <v>1.75804905737009</v>
      </c>
      <c r="F438" s="116">
        <v>115.35</v>
      </c>
      <c r="G438">
        <v>2694</v>
      </c>
      <c r="H438" s="116"/>
      <c r="I438" s="116"/>
      <c r="L438" s="170"/>
    </row>
    <row r="439" spans="1:18" x14ac:dyDescent="0.25">
      <c r="A439" s="170">
        <v>42649</v>
      </c>
      <c r="B439" s="116">
        <v>1.84991108018763</v>
      </c>
      <c r="C439" s="116">
        <v>1.8047719827686699</v>
      </c>
      <c r="D439" s="116">
        <v>1.7786388211050601</v>
      </c>
      <c r="E439" s="116">
        <v>1.7786388211050601</v>
      </c>
      <c r="F439" s="116">
        <v>113.95</v>
      </c>
      <c r="G439">
        <v>867</v>
      </c>
      <c r="H439" s="116"/>
      <c r="I439" s="116"/>
      <c r="L439" s="170"/>
    </row>
    <row r="440" spans="1:18" x14ac:dyDescent="0.25">
      <c r="A440" s="170">
        <v>42650</v>
      </c>
      <c r="B440" s="116">
        <v>1.7818064770642801</v>
      </c>
      <c r="C440" s="116">
        <v>1.77388733716622</v>
      </c>
      <c r="D440" s="116">
        <v>1.75804905737009</v>
      </c>
      <c r="E440" s="116">
        <v>1.7818064770642801</v>
      </c>
      <c r="F440" s="116">
        <v>112</v>
      </c>
      <c r="G440">
        <v>3565</v>
      </c>
      <c r="H440" s="116"/>
      <c r="I440" s="116"/>
      <c r="L440" s="170"/>
    </row>
    <row r="441" spans="1:18" x14ac:dyDescent="0.25">
      <c r="A441" s="170">
        <v>42653</v>
      </c>
      <c r="B441" s="116">
        <v>1.995623254312</v>
      </c>
      <c r="C441" s="116">
        <v>1.91326419937214</v>
      </c>
      <c r="D441" s="116">
        <v>1.7422107775739599</v>
      </c>
      <c r="E441" s="116">
        <v>1.7422107775739599</v>
      </c>
      <c r="F441" s="116">
        <v>120.8</v>
      </c>
      <c r="G441">
        <v>9718</v>
      </c>
      <c r="H441" s="116"/>
      <c r="I441" s="116"/>
      <c r="L441" s="170"/>
    </row>
    <row r="442" spans="1:18" x14ac:dyDescent="0.25">
      <c r="A442" s="170">
        <v>42656</v>
      </c>
      <c r="B442" s="116">
        <v>1.86891701594298</v>
      </c>
      <c r="C442" s="116">
        <v>1.8372404563507301</v>
      </c>
      <c r="D442" s="116">
        <v>1.8087315527176999</v>
      </c>
      <c r="E442" s="116">
        <v>1.8214021765546</v>
      </c>
      <c r="F442" s="116">
        <v>116</v>
      </c>
      <c r="G442">
        <v>2400</v>
      </c>
      <c r="H442" s="116"/>
      <c r="I442" s="116"/>
      <c r="L442" s="170"/>
    </row>
    <row r="443" spans="1:18" x14ac:dyDescent="0.25">
      <c r="A443" s="170">
        <v>42657</v>
      </c>
      <c r="B443" s="116">
        <v>1.86891701594298</v>
      </c>
      <c r="C443" s="116">
        <v>1.8158587786259499</v>
      </c>
      <c r="D443" s="116">
        <v>1.8071477247380801</v>
      </c>
      <c r="E443" s="116">
        <v>1.86099787604492</v>
      </c>
      <c r="F443" s="116">
        <v>114.65</v>
      </c>
      <c r="G443">
        <v>2500</v>
      </c>
      <c r="H443" s="116"/>
      <c r="I443" s="116"/>
      <c r="L443" s="170"/>
    </row>
    <row r="444" spans="1:18" x14ac:dyDescent="0.25">
      <c r="A444" s="170">
        <v>42660</v>
      </c>
      <c r="B444" s="116">
        <v>1.9085127154332999</v>
      </c>
      <c r="C444" s="116">
        <v>1.83169705842208</v>
      </c>
      <c r="D444" s="116">
        <v>1.82536174650363</v>
      </c>
      <c r="E444" s="116">
        <v>1.86258170402453</v>
      </c>
      <c r="F444" s="116">
        <v>115.65</v>
      </c>
      <c r="G444">
        <v>3815</v>
      </c>
      <c r="H444" s="116"/>
      <c r="I444" s="116"/>
      <c r="L444" s="170"/>
    </row>
    <row r="445" spans="1:18" x14ac:dyDescent="0.25">
      <c r="A445" s="170">
        <v>42661</v>
      </c>
      <c r="B445" s="116">
        <v>1.8214021765546</v>
      </c>
      <c r="C445" s="116">
        <v>1.78101456307448</v>
      </c>
      <c r="D445" s="116">
        <v>1.76200862731912</v>
      </c>
      <c r="E445" s="116">
        <v>1.8087315527176999</v>
      </c>
      <c r="F445" s="116">
        <v>112.45</v>
      </c>
      <c r="G445">
        <v>5640</v>
      </c>
      <c r="H445" s="116"/>
      <c r="I445" s="116"/>
      <c r="L445" s="170"/>
    </row>
    <row r="446" spans="1:18" x14ac:dyDescent="0.25">
      <c r="A446" s="170">
        <v>42662</v>
      </c>
      <c r="B446" s="116">
        <v>1.8926744356371701</v>
      </c>
      <c r="C446" s="116">
        <v>1.8126911226667299</v>
      </c>
      <c r="D446" s="116">
        <v>1.79843667085021</v>
      </c>
      <c r="E446" s="116">
        <v>1.79843667085021</v>
      </c>
      <c r="F446" s="116">
        <v>114.45</v>
      </c>
      <c r="G446">
        <v>2274</v>
      </c>
      <c r="H446" s="116"/>
      <c r="I446" s="116"/>
      <c r="L446" s="170"/>
    </row>
    <row r="447" spans="1:18" x14ac:dyDescent="0.25">
      <c r="A447" s="170">
        <v>42663</v>
      </c>
      <c r="B447" s="116">
        <v>1.93227013512749</v>
      </c>
      <c r="C447" s="116">
        <v>1.85387065013666</v>
      </c>
      <c r="D447" s="116">
        <v>1.8269455744832399</v>
      </c>
      <c r="E447" s="116">
        <v>1.8269455744832399</v>
      </c>
      <c r="F447" s="116">
        <v>117.05</v>
      </c>
      <c r="G447">
        <v>13761</v>
      </c>
      <c r="H447" s="116"/>
      <c r="I447" s="116"/>
      <c r="L447" s="170"/>
    </row>
    <row r="448" spans="1:18" x14ac:dyDescent="0.25">
      <c r="A448" s="170">
        <v>42664</v>
      </c>
      <c r="B448" s="116">
        <v>1.9291024791682601</v>
      </c>
      <c r="C448" s="116">
        <v>1.9013854895250399</v>
      </c>
      <c r="D448" s="116">
        <v>1.89188252164736</v>
      </c>
      <c r="E448" s="116">
        <v>1.89188252164736</v>
      </c>
      <c r="F448" s="116">
        <v>120.05</v>
      </c>
      <c r="G448">
        <v>2181</v>
      </c>
      <c r="H448" s="116"/>
      <c r="I448" s="116"/>
      <c r="L448" s="170"/>
    </row>
    <row r="449" spans="1:12" x14ac:dyDescent="0.25">
      <c r="A449" s="170">
        <v>42667</v>
      </c>
      <c r="B449" s="116">
        <v>1.995623254312</v>
      </c>
      <c r="C449" s="116">
        <v>1.8887148656881401</v>
      </c>
      <c r="D449" s="116">
        <v>1.86970892993279</v>
      </c>
      <c r="E449" s="116">
        <v>1.92039142528039</v>
      </c>
      <c r="F449" s="116">
        <v>119.25</v>
      </c>
      <c r="G449">
        <v>3020</v>
      </c>
      <c r="H449" s="116"/>
      <c r="I449" s="116"/>
      <c r="L449" s="170"/>
    </row>
    <row r="450" spans="1:12" x14ac:dyDescent="0.25">
      <c r="A450" s="170">
        <v>42668</v>
      </c>
      <c r="B450" s="116">
        <v>1.9591952107809001</v>
      </c>
      <c r="C450" s="116">
        <v>1.90296931750465</v>
      </c>
      <c r="D450" s="116">
        <v>1.8887148656881401</v>
      </c>
      <c r="E450" s="116">
        <v>1.93227013512749</v>
      </c>
      <c r="F450" s="116">
        <v>120.15</v>
      </c>
      <c r="G450">
        <v>4731</v>
      </c>
      <c r="H450" s="116"/>
      <c r="I450" s="116"/>
      <c r="L450" s="170"/>
    </row>
    <row r="451" spans="1:12" x14ac:dyDescent="0.25">
      <c r="A451" s="170">
        <v>42669</v>
      </c>
      <c r="B451" s="116">
        <v>1.93227013512749</v>
      </c>
      <c r="C451" s="116">
        <v>1.9005935755352299</v>
      </c>
      <c r="D451" s="116">
        <v>1.9005935755352299</v>
      </c>
      <c r="E451" s="116">
        <v>1.90217740351485</v>
      </c>
      <c r="F451" s="116">
        <v>120</v>
      </c>
      <c r="G451">
        <v>760</v>
      </c>
      <c r="H451" s="116"/>
      <c r="I451" s="116"/>
      <c r="L451" s="170"/>
    </row>
    <row r="452" spans="1:12" x14ac:dyDescent="0.25">
      <c r="A452" s="170">
        <v>42670</v>
      </c>
      <c r="B452" s="116">
        <v>1.93227013512749</v>
      </c>
      <c r="C452" s="116">
        <v>1.8483272522080101</v>
      </c>
      <c r="D452" s="116">
        <v>1.8372404563507301</v>
      </c>
      <c r="E452" s="116">
        <v>1.93227013512749</v>
      </c>
      <c r="F452" s="116">
        <v>116.7</v>
      </c>
      <c r="G452">
        <v>208</v>
      </c>
      <c r="H452" s="116"/>
      <c r="I452" s="116"/>
      <c r="L452" s="170"/>
    </row>
    <row r="453" spans="1:12" x14ac:dyDescent="0.25">
      <c r="A453" s="170">
        <v>42671</v>
      </c>
      <c r="B453" s="116">
        <v>1.9037612314944601</v>
      </c>
      <c r="C453" s="116">
        <v>1.85387065013666</v>
      </c>
      <c r="D453" s="116">
        <v>1.84753533821821</v>
      </c>
      <c r="E453" s="116">
        <v>1.8998016615454301</v>
      </c>
      <c r="F453" s="116">
        <v>117.05</v>
      </c>
      <c r="G453">
        <v>152</v>
      </c>
      <c r="H453" s="116"/>
      <c r="I453" s="116"/>
      <c r="L453" s="170"/>
    </row>
    <row r="454" spans="1:12" x14ac:dyDescent="0.25">
      <c r="A454" s="170">
        <v>42673</v>
      </c>
      <c r="B454" s="116">
        <v>1.946524586944</v>
      </c>
      <c r="C454" s="116">
        <v>1.8792118978104599</v>
      </c>
      <c r="D454" s="116">
        <v>1.87683615584104</v>
      </c>
      <c r="E454" s="116">
        <v>1.946524586944</v>
      </c>
      <c r="F454" s="116">
        <v>118.65</v>
      </c>
      <c r="G454">
        <v>280</v>
      </c>
      <c r="H454" s="116"/>
      <c r="I454" s="116"/>
      <c r="L454" s="170"/>
    </row>
    <row r="455" spans="1:12" x14ac:dyDescent="0.25">
      <c r="A455" s="170">
        <v>42675</v>
      </c>
      <c r="B455" s="116">
        <v>1.8451595962487899</v>
      </c>
      <c r="C455" s="116">
        <v>1.8451595962487899</v>
      </c>
      <c r="D455" s="116">
        <v>1.6788576583894601</v>
      </c>
      <c r="E455" s="116">
        <v>1.78339030504389</v>
      </c>
      <c r="F455" s="116">
        <v>116.5</v>
      </c>
      <c r="G455">
        <v>1730</v>
      </c>
      <c r="H455" s="116"/>
      <c r="I455" s="116"/>
      <c r="L455" s="170"/>
    </row>
    <row r="456" spans="1:12" x14ac:dyDescent="0.25">
      <c r="A456" s="170">
        <v>42676</v>
      </c>
      <c r="B456" s="116">
        <v>1.8491191661978199</v>
      </c>
      <c r="C456" s="116">
        <v>1.8491191661978199</v>
      </c>
      <c r="D456" s="116">
        <v>1.76913585322738</v>
      </c>
      <c r="E456" s="116">
        <v>1.82061026256479</v>
      </c>
      <c r="F456" s="116">
        <v>116.75</v>
      </c>
      <c r="G456">
        <v>1954</v>
      </c>
      <c r="H456" s="116"/>
      <c r="I456" s="116"/>
      <c r="L456" s="170"/>
    </row>
    <row r="457" spans="1:12" x14ac:dyDescent="0.25">
      <c r="A457" s="170">
        <v>42677</v>
      </c>
      <c r="B457" s="116">
        <v>2.0748146532926302</v>
      </c>
      <c r="C457" s="116">
        <v>2.0114615341081201</v>
      </c>
      <c r="D457" s="116">
        <v>1.8214021765546</v>
      </c>
      <c r="E457" s="116">
        <v>1.8530787361468499</v>
      </c>
      <c r="F457" s="116">
        <v>127</v>
      </c>
      <c r="G457">
        <v>10936</v>
      </c>
      <c r="H457" s="116"/>
      <c r="I457" s="116"/>
      <c r="L457" s="170"/>
    </row>
    <row r="458" spans="1:12" x14ac:dyDescent="0.25">
      <c r="A458" s="170">
        <v>42678</v>
      </c>
      <c r="B458" s="116">
        <v>1.9631547807299401</v>
      </c>
      <c r="C458" s="116">
        <v>1.89821783356581</v>
      </c>
      <c r="D458" s="116">
        <v>1.85466256412647</v>
      </c>
      <c r="E458" s="116">
        <v>1.9631547807299401</v>
      </c>
      <c r="F458" s="116">
        <v>119.85</v>
      </c>
      <c r="G458">
        <v>348</v>
      </c>
      <c r="H458" s="116"/>
      <c r="I458" s="116"/>
      <c r="L458" s="170"/>
    </row>
    <row r="459" spans="1:12" x14ac:dyDescent="0.25">
      <c r="A459" s="170">
        <v>42681</v>
      </c>
      <c r="B459" s="116">
        <v>1.9639466947197399</v>
      </c>
      <c r="C459" s="116">
        <v>1.89109060765756</v>
      </c>
      <c r="D459" s="116">
        <v>1.8483272522080101</v>
      </c>
      <c r="E459" s="116">
        <v>1.9639466947197399</v>
      </c>
      <c r="F459" s="116">
        <v>119.4</v>
      </c>
      <c r="G459">
        <v>11065</v>
      </c>
      <c r="H459" s="116"/>
      <c r="I459" s="116"/>
      <c r="L459" s="170"/>
    </row>
    <row r="460" spans="1:12" x14ac:dyDescent="0.25">
      <c r="A460" s="170">
        <v>42682</v>
      </c>
      <c r="B460" s="116">
        <v>1.9005935755352299</v>
      </c>
      <c r="C460" s="116">
        <v>1.82773748847305</v>
      </c>
      <c r="D460" s="116">
        <v>1.7936851869113799</v>
      </c>
      <c r="E460" s="116">
        <v>1.85466256412647</v>
      </c>
      <c r="F460" s="116">
        <v>115.4</v>
      </c>
      <c r="G460">
        <v>5446</v>
      </c>
      <c r="H460" s="116"/>
      <c r="I460" s="116"/>
      <c r="L460" s="170"/>
    </row>
    <row r="461" spans="1:12" x14ac:dyDescent="0.25">
      <c r="A461" s="170">
        <v>42683</v>
      </c>
      <c r="B461" s="116">
        <v>1.9924555983527701</v>
      </c>
      <c r="C461" s="116">
        <v>1.79130944494196</v>
      </c>
      <c r="D461" s="116">
        <v>1.7121180459613199</v>
      </c>
      <c r="E461" s="116">
        <v>1.7121180459613199</v>
      </c>
      <c r="F461" s="116">
        <v>113.1</v>
      </c>
      <c r="G461">
        <v>4170</v>
      </c>
      <c r="H461" s="116"/>
      <c r="I461" s="116"/>
      <c r="L461" s="170"/>
    </row>
    <row r="462" spans="1:12" x14ac:dyDescent="0.25">
      <c r="A462" s="170">
        <v>42684</v>
      </c>
      <c r="B462" s="116">
        <v>1.8530787361468499</v>
      </c>
      <c r="C462" s="116">
        <v>1.83882428433034</v>
      </c>
      <c r="D462" s="116">
        <v>1.8348647143813099</v>
      </c>
      <c r="E462" s="116">
        <v>1.8380323703405299</v>
      </c>
      <c r="F462" s="116">
        <v>116.1</v>
      </c>
      <c r="G462">
        <v>263</v>
      </c>
      <c r="H462" s="116"/>
      <c r="I462" s="116"/>
      <c r="L462" s="170"/>
    </row>
    <row r="463" spans="1:12" x14ac:dyDescent="0.25">
      <c r="A463" s="170">
        <v>42685</v>
      </c>
      <c r="B463" s="116">
        <v>1.9148480273517501</v>
      </c>
      <c r="C463" s="116">
        <v>1.9148480273517501</v>
      </c>
      <c r="D463" s="116">
        <v>1.7897256169623501</v>
      </c>
      <c r="E463" s="116">
        <v>1.7976447568604099</v>
      </c>
      <c r="F463" s="116">
        <v>120.9</v>
      </c>
      <c r="G463">
        <v>1002</v>
      </c>
      <c r="H463" s="116"/>
      <c r="I463" s="116"/>
      <c r="L463" s="170"/>
    </row>
    <row r="464" spans="1:12" x14ac:dyDescent="0.25">
      <c r="A464" s="170">
        <v>42689</v>
      </c>
      <c r="B464" s="116">
        <v>1.77388733716622</v>
      </c>
      <c r="C464" s="116">
        <v>1.74062694959435</v>
      </c>
      <c r="D464" s="116">
        <v>1.6646032065729399</v>
      </c>
      <c r="E464" s="116">
        <v>1.74300269156377</v>
      </c>
      <c r="F464" s="116">
        <v>109.9</v>
      </c>
      <c r="G464">
        <v>2215</v>
      </c>
      <c r="H464" s="116"/>
      <c r="I464" s="116"/>
      <c r="L464" s="170"/>
    </row>
    <row r="465" spans="1:12" x14ac:dyDescent="0.25">
      <c r="A465" s="170">
        <v>42690</v>
      </c>
      <c r="B465" s="116">
        <v>1.7200371858593899</v>
      </c>
      <c r="C465" s="116">
        <v>1.71845335787977</v>
      </c>
      <c r="D465" s="116">
        <v>1.71845335787977</v>
      </c>
      <c r="E465" s="116">
        <v>1.7200371858593899</v>
      </c>
      <c r="F465" s="116">
        <v>108.5</v>
      </c>
      <c r="G465">
        <v>1053</v>
      </c>
      <c r="H465" s="116"/>
      <c r="I465" s="116"/>
      <c r="L465" s="170"/>
    </row>
    <row r="466" spans="1:12" x14ac:dyDescent="0.25">
      <c r="A466" s="170">
        <v>42691</v>
      </c>
      <c r="B466" s="116">
        <v>1.76992776721719</v>
      </c>
      <c r="C466" s="116">
        <v>1.76992776721719</v>
      </c>
      <c r="D466" s="116">
        <v>1.76992776721719</v>
      </c>
      <c r="E466" s="116">
        <v>1.76992776721719</v>
      </c>
      <c r="F466" s="116">
        <v>111.75</v>
      </c>
      <c r="G466">
        <v>2</v>
      </c>
      <c r="H466" s="116"/>
      <c r="I466" s="116"/>
      <c r="L466" s="170"/>
    </row>
    <row r="467" spans="1:12" x14ac:dyDescent="0.25">
      <c r="A467" s="170">
        <v>42692</v>
      </c>
      <c r="B467" s="116">
        <v>1.6638112925831401</v>
      </c>
      <c r="C467" s="116">
        <v>1.62975899102146</v>
      </c>
      <c r="D467" s="116">
        <v>1.6155045392049501</v>
      </c>
      <c r="E467" s="116">
        <v>1.6638112925831401</v>
      </c>
      <c r="F467" s="116">
        <v>102.9</v>
      </c>
      <c r="G467">
        <v>969</v>
      </c>
      <c r="H467" s="116"/>
      <c r="I467" s="116"/>
      <c r="L467" s="170"/>
    </row>
    <row r="468" spans="1:12" x14ac:dyDescent="0.25">
      <c r="A468" s="170">
        <v>42695</v>
      </c>
      <c r="B468" s="116">
        <v>1.71053421798171</v>
      </c>
      <c r="C468" s="116">
        <v>1.6471810987972</v>
      </c>
      <c r="D468" s="116">
        <v>1.6471810987972</v>
      </c>
      <c r="E468" s="116">
        <v>1.71053421798171</v>
      </c>
      <c r="F468" s="116">
        <v>104</v>
      </c>
      <c r="G468">
        <v>400</v>
      </c>
      <c r="H468" s="116"/>
      <c r="I468" s="116"/>
      <c r="L468" s="170"/>
    </row>
    <row r="469" spans="1:12" x14ac:dyDescent="0.25">
      <c r="A469" s="170">
        <v>42696</v>
      </c>
      <c r="B469" s="116">
        <v>1.8047719827686699</v>
      </c>
      <c r="C469" s="116">
        <v>1.8047719827686699</v>
      </c>
      <c r="D469" s="116">
        <v>1.8039800687788601</v>
      </c>
      <c r="E469" s="116">
        <v>1.8047719827686699</v>
      </c>
      <c r="F469" s="116">
        <v>113.95</v>
      </c>
      <c r="G469">
        <v>2</v>
      </c>
      <c r="H469" s="116"/>
      <c r="I469" s="116"/>
      <c r="L469" s="170"/>
    </row>
    <row r="470" spans="1:12" x14ac:dyDescent="0.25">
      <c r="A470" s="170">
        <v>42697</v>
      </c>
      <c r="B470" s="116">
        <v>1.79210135893176</v>
      </c>
      <c r="C470" s="116">
        <v>1.79210135893176</v>
      </c>
      <c r="D470" s="116">
        <v>1.79130944494196</v>
      </c>
      <c r="E470" s="116">
        <v>1.79210135893176</v>
      </c>
      <c r="F470" s="116">
        <v>113.15</v>
      </c>
      <c r="G470">
        <v>2</v>
      </c>
      <c r="H470" s="116"/>
      <c r="I470" s="116"/>
      <c r="L470" s="170"/>
    </row>
    <row r="471" spans="1:12" x14ac:dyDescent="0.25">
      <c r="A471" s="170">
        <v>42698</v>
      </c>
      <c r="B471" s="116">
        <v>1.7414188635841601</v>
      </c>
      <c r="C471" s="116">
        <v>1.7382512076249299</v>
      </c>
      <c r="D471" s="116">
        <v>1.61788028117437</v>
      </c>
      <c r="E471" s="116">
        <v>1.7414188635841601</v>
      </c>
      <c r="F471" s="116">
        <v>109.75</v>
      </c>
      <c r="G471">
        <v>230</v>
      </c>
      <c r="H471" s="116"/>
      <c r="I471" s="116"/>
      <c r="L471" s="170"/>
    </row>
    <row r="472" spans="1:12" x14ac:dyDescent="0.25">
      <c r="A472" s="170">
        <v>42699</v>
      </c>
      <c r="B472" s="116">
        <v>1.7263724977778401</v>
      </c>
      <c r="C472" s="116">
        <v>1.69548785217539</v>
      </c>
      <c r="D472" s="116">
        <v>1.6234236791030101</v>
      </c>
      <c r="E472" s="116">
        <v>1.6234236791030101</v>
      </c>
      <c r="F472" s="116">
        <v>107.05</v>
      </c>
      <c r="G472">
        <v>700</v>
      </c>
      <c r="H472" s="116"/>
      <c r="I472" s="116"/>
      <c r="L472" s="170"/>
    </row>
    <row r="473" spans="1:12" x14ac:dyDescent="0.25">
      <c r="A473" s="170">
        <v>42702</v>
      </c>
      <c r="B473" s="116">
        <v>1.7422107775739599</v>
      </c>
      <c r="C473" s="116">
        <v>1.7018231640938399</v>
      </c>
      <c r="D473" s="116">
        <v>1.66935469051178</v>
      </c>
      <c r="E473" s="116">
        <v>1.6709385184913901</v>
      </c>
      <c r="F473" s="116">
        <v>107.45</v>
      </c>
      <c r="G473">
        <v>7175</v>
      </c>
      <c r="H473" s="116"/>
      <c r="I473" s="116"/>
      <c r="L473" s="170"/>
    </row>
    <row r="474" spans="1:12" x14ac:dyDescent="0.25">
      <c r="A474" s="170">
        <v>42703</v>
      </c>
      <c r="B474" s="116">
        <v>1.7342916376759001</v>
      </c>
      <c r="C474" s="116">
        <v>1.6788576583894601</v>
      </c>
      <c r="D474" s="116">
        <v>1.6788576583894601</v>
      </c>
      <c r="E474" s="116">
        <v>1.7113261319715201</v>
      </c>
      <c r="F474" s="116">
        <v>106</v>
      </c>
      <c r="G474">
        <v>503</v>
      </c>
      <c r="H474" s="116"/>
      <c r="I474" s="116"/>
      <c r="L474" s="170"/>
    </row>
    <row r="475" spans="1:12" x14ac:dyDescent="0.25">
      <c r="A475" s="170">
        <v>42704</v>
      </c>
      <c r="B475" s="116">
        <v>1.7263724977778401</v>
      </c>
      <c r="C475" s="116">
        <v>1.69232019621616</v>
      </c>
      <c r="D475" s="116">
        <v>1.6788576583894601</v>
      </c>
      <c r="E475" s="116">
        <v>1.6788576583894601</v>
      </c>
      <c r="F475" s="116">
        <v>106.85</v>
      </c>
      <c r="G475">
        <v>3163</v>
      </c>
      <c r="H475" s="116"/>
      <c r="I475" s="116"/>
      <c r="L475" s="170"/>
    </row>
    <row r="476" spans="1:12" x14ac:dyDescent="0.25">
      <c r="A476" s="170">
        <v>42705</v>
      </c>
      <c r="B476" s="116">
        <v>1.8150668646361501</v>
      </c>
      <c r="C476" s="116">
        <v>1.68360914232829</v>
      </c>
      <c r="D476" s="116">
        <v>1.6788576583894601</v>
      </c>
      <c r="E476" s="116">
        <v>1.8150668646361501</v>
      </c>
      <c r="F476" s="116">
        <v>106.3</v>
      </c>
      <c r="G476">
        <v>816</v>
      </c>
      <c r="H476" s="116"/>
      <c r="I476" s="116"/>
      <c r="L476" s="170"/>
    </row>
    <row r="477" spans="1:12" x14ac:dyDescent="0.25">
      <c r="A477" s="170">
        <v>42706</v>
      </c>
      <c r="B477" s="116">
        <v>1.69469593818558</v>
      </c>
      <c r="C477" s="116">
        <v>1.69469593818558</v>
      </c>
      <c r="D477" s="116">
        <v>1.6558921526850701</v>
      </c>
      <c r="E477" s="116">
        <v>1.6558921526850701</v>
      </c>
      <c r="F477" s="116">
        <v>107</v>
      </c>
      <c r="G477">
        <v>222</v>
      </c>
      <c r="H477" s="116"/>
      <c r="I477" s="116"/>
      <c r="L477" s="170"/>
    </row>
    <row r="478" spans="1:12" x14ac:dyDescent="0.25">
      <c r="A478" s="170">
        <v>42709</v>
      </c>
      <c r="B478" s="116">
        <v>1.8016043268094399</v>
      </c>
      <c r="C478" s="116">
        <v>1.8016043268094399</v>
      </c>
      <c r="D478" s="116">
        <v>1.6867767982875199</v>
      </c>
      <c r="E478" s="116">
        <v>1.6867767982875199</v>
      </c>
      <c r="F478" s="116">
        <v>113.75</v>
      </c>
      <c r="G478">
        <v>17</v>
      </c>
      <c r="H478" s="116"/>
      <c r="I478" s="116"/>
      <c r="L478" s="170"/>
    </row>
    <row r="479" spans="1:12" x14ac:dyDescent="0.25">
      <c r="A479" s="170">
        <v>42710</v>
      </c>
      <c r="B479" s="116">
        <v>1.7897256169623501</v>
      </c>
      <c r="C479" s="116">
        <v>1.7422107775739599</v>
      </c>
      <c r="D479" s="116">
        <v>1.71053421798171</v>
      </c>
      <c r="E479" s="116">
        <v>1.7897256169623501</v>
      </c>
      <c r="F479" s="116">
        <v>110</v>
      </c>
      <c r="G479">
        <v>1475</v>
      </c>
      <c r="H479" s="116"/>
      <c r="I479" s="116"/>
      <c r="L479" s="170"/>
    </row>
    <row r="480" spans="1:12" x14ac:dyDescent="0.25">
      <c r="A480" s="170">
        <v>42711</v>
      </c>
      <c r="B480" s="116">
        <v>1.7422107775739599</v>
      </c>
      <c r="C480" s="116">
        <v>1.6891525402569401</v>
      </c>
      <c r="D480" s="116">
        <v>1.6828172283384899</v>
      </c>
      <c r="E480" s="116">
        <v>1.7422107775739599</v>
      </c>
      <c r="F480" s="116">
        <v>106.65</v>
      </c>
      <c r="G480">
        <v>623</v>
      </c>
      <c r="H480" s="116"/>
      <c r="I480" s="116"/>
      <c r="L480" s="170"/>
    </row>
    <row r="481" spans="1:12" x14ac:dyDescent="0.25">
      <c r="A481" s="170">
        <v>42712</v>
      </c>
      <c r="B481" s="116">
        <v>1.8998016615454301</v>
      </c>
      <c r="C481" s="116">
        <v>1.71053421798171</v>
      </c>
      <c r="D481" s="116">
        <v>1.69469593818558</v>
      </c>
      <c r="E481" s="116">
        <v>1.69469593818558</v>
      </c>
      <c r="F481" s="116">
        <v>108</v>
      </c>
      <c r="G481">
        <v>5490</v>
      </c>
      <c r="H481" s="116"/>
      <c r="I481" s="116"/>
      <c r="L481" s="170"/>
    </row>
    <row r="482" spans="1:12" x14ac:dyDescent="0.25">
      <c r="A482" s="170">
        <v>42713</v>
      </c>
      <c r="B482" s="116">
        <v>1.7976447568604099</v>
      </c>
      <c r="C482" s="116">
        <v>1.79526901489099</v>
      </c>
      <c r="D482" s="116">
        <v>1.64797301278701</v>
      </c>
      <c r="E482" s="116">
        <v>1.64797301278701</v>
      </c>
      <c r="F482" s="116">
        <v>113.35</v>
      </c>
      <c r="G482">
        <v>2822</v>
      </c>
      <c r="H482" s="116"/>
      <c r="I482" s="116"/>
      <c r="L482" s="170"/>
    </row>
    <row r="483" spans="1:12" x14ac:dyDescent="0.25">
      <c r="A483" s="170">
        <v>42716</v>
      </c>
      <c r="B483" s="116">
        <v>1.9306863071478799</v>
      </c>
      <c r="C483" s="116">
        <v>1.9085127154332999</v>
      </c>
      <c r="D483" s="116">
        <v>1.74379460555358</v>
      </c>
      <c r="E483" s="116">
        <v>1.7897256169623501</v>
      </c>
      <c r="F483" s="116">
        <v>120.5</v>
      </c>
      <c r="G483">
        <v>6628</v>
      </c>
      <c r="H483" s="116"/>
      <c r="I483" s="116"/>
      <c r="L483" s="170"/>
    </row>
    <row r="484" spans="1:12" x14ac:dyDescent="0.25">
      <c r="A484" s="170">
        <v>42717</v>
      </c>
      <c r="B484" s="116">
        <v>2.09065293308876</v>
      </c>
      <c r="C484" s="116">
        <v>2.0486814916290199</v>
      </c>
      <c r="D484" s="116">
        <v>1.90296931750465</v>
      </c>
      <c r="E484" s="116">
        <v>1.94731650093381</v>
      </c>
      <c r="F484" s="116">
        <v>129.35</v>
      </c>
      <c r="G484">
        <v>15794</v>
      </c>
      <c r="H484" s="116"/>
      <c r="I484" s="116"/>
      <c r="L484" s="170"/>
    </row>
    <row r="485" spans="1:12" x14ac:dyDescent="0.25">
      <c r="A485" s="170">
        <v>42718</v>
      </c>
      <c r="B485" s="116">
        <v>2.27912846266267</v>
      </c>
      <c r="C485" s="116">
        <v>1.99799899628141</v>
      </c>
      <c r="D485" s="116">
        <v>1.9481084149236101</v>
      </c>
      <c r="E485" s="116">
        <v>2.1373758584873301</v>
      </c>
      <c r="F485" s="116">
        <v>126.15</v>
      </c>
      <c r="G485">
        <v>11091</v>
      </c>
      <c r="H485" s="116"/>
      <c r="I485" s="116"/>
      <c r="L485" s="170"/>
    </row>
    <row r="486" spans="1:12" x14ac:dyDescent="0.25">
      <c r="A486" s="170">
        <v>42719</v>
      </c>
      <c r="B486" s="116">
        <v>2.2640820968563502</v>
      </c>
      <c r="C486" s="116">
        <v>2.2173591714577698</v>
      </c>
      <c r="D486" s="116">
        <v>1.97186583461781</v>
      </c>
      <c r="E486" s="116">
        <v>1.995623254312</v>
      </c>
      <c r="F486" s="116">
        <v>140</v>
      </c>
      <c r="G486">
        <v>30594</v>
      </c>
      <c r="H486" s="116"/>
      <c r="I486" s="116"/>
      <c r="L486" s="170"/>
    </row>
    <row r="487" spans="1:12" x14ac:dyDescent="0.25">
      <c r="A487" s="170">
        <v>42720</v>
      </c>
      <c r="B487" s="116">
        <v>2.3741581414394299</v>
      </c>
      <c r="C487" s="116">
        <v>2.2110238595393201</v>
      </c>
      <c r="D487" s="116">
        <v>2.171428160049</v>
      </c>
      <c r="E487" s="116">
        <v>2.3123888502345298</v>
      </c>
      <c r="F487" s="116">
        <v>139.6</v>
      </c>
      <c r="G487">
        <v>19682</v>
      </c>
      <c r="H487" s="116"/>
      <c r="I487" s="116"/>
      <c r="L487" s="170"/>
    </row>
    <row r="488" spans="1:12" x14ac:dyDescent="0.25">
      <c r="A488" s="170">
        <v>42723</v>
      </c>
      <c r="B488" s="116">
        <v>2.3044697103364702</v>
      </c>
      <c r="C488" s="116">
        <v>2.2324055372640901</v>
      </c>
      <c r="D488" s="116">
        <v>2.1555898802528799</v>
      </c>
      <c r="E488" s="116">
        <v>2.3044697103364702</v>
      </c>
      <c r="F488" s="116">
        <v>140.94999999999999</v>
      </c>
      <c r="G488">
        <v>164</v>
      </c>
      <c r="H488" s="116"/>
      <c r="I488" s="116"/>
      <c r="L488" s="170"/>
    </row>
    <row r="489" spans="1:12" x14ac:dyDescent="0.25">
      <c r="A489" s="170">
        <v>42724</v>
      </c>
      <c r="B489" s="116">
        <v>2.1555898802528799</v>
      </c>
      <c r="C489" s="116">
        <v>2.14212734242617</v>
      </c>
      <c r="D489" s="116">
        <v>2.1381677724771402</v>
      </c>
      <c r="E489" s="116">
        <v>2.1381677724771402</v>
      </c>
      <c r="F489" s="116">
        <v>135.25</v>
      </c>
      <c r="G489">
        <v>1135</v>
      </c>
      <c r="H489" s="116"/>
      <c r="I489" s="116"/>
      <c r="L489" s="170"/>
    </row>
    <row r="490" spans="1:12" x14ac:dyDescent="0.25">
      <c r="A490" s="170">
        <v>42725</v>
      </c>
      <c r="B490" s="116">
        <v>2.1064912128848801</v>
      </c>
      <c r="C490" s="116">
        <v>2.0447219216799901</v>
      </c>
      <c r="D490" s="116">
        <v>1.9972070822916099</v>
      </c>
      <c r="E490" s="116">
        <v>2.0613521154659198</v>
      </c>
      <c r="F490" s="116">
        <v>129.1</v>
      </c>
      <c r="G490">
        <v>1941</v>
      </c>
      <c r="H490" s="116"/>
      <c r="I490" s="116"/>
      <c r="L490" s="170"/>
    </row>
    <row r="491" spans="1:12" x14ac:dyDescent="0.25">
      <c r="A491" s="170">
        <v>42726</v>
      </c>
      <c r="B491" s="116">
        <v>1.97978497451587</v>
      </c>
      <c r="C491" s="116">
        <v>1.94256501699497</v>
      </c>
      <c r="D491" s="116">
        <v>1.94256501699497</v>
      </c>
      <c r="E491" s="116">
        <v>1.97978497451587</v>
      </c>
      <c r="F491" s="116">
        <v>122.65</v>
      </c>
      <c r="G491">
        <v>2400</v>
      </c>
      <c r="H491" s="116"/>
      <c r="I491" s="116"/>
      <c r="L491" s="170"/>
    </row>
    <row r="492" spans="1:12" x14ac:dyDescent="0.25">
      <c r="A492" s="170">
        <v>42727</v>
      </c>
      <c r="B492" s="116">
        <v>1.91643185533136</v>
      </c>
      <c r="C492" s="116">
        <v>1.90217740351485</v>
      </c>
      <c r="D492" s="116">
        <v>1.9005935755352299</v>
      </c>
      <c r="E492" s="116">
        <v>1.9005935755352299</v>
      </c>
      <c r="F492" s="116">
        <v>120.1</v>
      </c>
      <c r="G492">
        <v>852</v>
      </c>
      <c r="H492" s="116"/>
      <c r="I492" s="116"/>
      <c r="L492" s="170"/>
    </row>
    <row r="493" spans="1:12" x14ac:dyDescent="0.25">
      <c r="A493" s="170">
        <v>42730</v>
      </c>
      <c r="B493" s="116">
        <v>1.97978497451587</v>
      </c>
      <c r="C493" s="116">
        <v>1.86970892993279</v>
      </c>
      <c r="D493" s="116">
        <v>1.86891701594298</v>
      </c>
      <c r="E493" s="116">
        <v>1.9639466947197399</v>
      </c>
      <c r="F493" s="116">
        <v>118.05</v>
      </c>
      <c r="G493">
        <v>1125</v>
      </c>
      <c r="H493" s="116"/>
      <c r="I493" s="116"/>
      <c r="L493" s="170"/>
    </row>
    <row r="494" spans="1:12" x14ac:dyDescent="0.25">
      <c r="A494" s="170">
        <v>42731</v>
      </c>
      <c r="B494" s="116">
        <v>1.9631547807299401</v>
      </c>
      <c r="C494" s="116">
        <v>1.9631547807299401</v>
      </c>
      <c r="D494" s="116">
        <v>1.8530787361468499</v>
      </c>
      <c r="E494" s="116">
        <v>1.94731650093381</v>
      </c>
      <c r="F494" s="116">
        <v>123.95</v>
      </c>
      <c r="G494">
        <v>4049</v>
      </c>
      <c r="H494" s="116"/>
      <c r="I494" s="116"/>
      <c r="L494" s="170"/>
    </row>
    <row r="495" spans="1:12" x14ac:dyDescent="0.25">
      <c r="A495" s="170">
        <v>42732</v>
      </c>
      <c r="B495" s="116">
        <v>2.06056020147612</v>
      </c>
      <c r="C495" s="116">
        <v>2.0589763734964999</v>
      </c>
      <c r="D495" s="116">
        <v>2.0106696201183198</v>
      </c>
      <c r="E495" s="116">
        <v>2.0114615341081201</v>
      </c>
      <c r="F495" s="116">
        <v>130</v>
      </c>
      <c r="G495">
        <v>3279</v>
      </c>
      <c r="H495" s="116"/>
      <c r="I495" s="116"/>
      <c r="L495" s="170"/>
    </row>
    <row r="496" spans="1:12" x14ac:dyDescent="0.25">
      <c r="A496" s="170">
        <v>42733</v>
      </c>
      <c r="B496" s="116">
        <v>2.1619251921713301</v>
      </c>
      <c r="C496" s="116">
        <v>2.03838660976154</v>
      </c>
      <c r="D496" s="116">
        <v>2.0193806740061899</v>
      </c>
      <c r="E496" s="116">
        <v>2.1619251921713301</v>
      </c>
      <c r="F496" s="116">
        <v>128.69999999999999</v>
      </c>
      <c r="G496">
        <v>3339</v>
      </c>
      <c r="H496" s="116"/>
      <c r="I496" s="116"/>
      <c r="L496" s="170"/>
    </row>
    <row r="497" spans="1:12" x14ac:dyDescent="0.25">
      <c r="A497" s="170">
        <v>42734</v>
      </c>
      <c r="B497" s="116">
        <v>2.1159941807625602</v>
      </c>
      <c r="C497" s="116">
        <v>2.1056992988950798</v>
      </c>
      <c r="D497" s="116">
        <v>2.0288836418838598</v>
      </c>
      <c r="E497" s="116">
        <v>2.0431380937003798</v>
      </c>
      <c r="F497" s="116">
        <v>132.94999999999999</v>
      </c>
      <c r="G497">
        <v>1732</v>
      </c>
      <c r="H497" s="116"/>
      <c r="I497" s="116"/>
      <c r="L497" s="170"/>
    </row>
    <row r="498" spans="1:12" x14ac:dyDescent="0.25">
      <c r="A498" s="170">
        <v>42737</v>
      </c>
      <c r="B498" s="116">
        <v>2.1262890626300401</v>
      </c>
      <c r="C498" s="116">
        <v>2.0708550833435999</v>
      </c>
      <c r="D498" s="116">
        <v>2.0193806740061899</v>
      </c>
      <c r="E498" s="116">
        <v>2.1223294926810099</v>
      </c>
      <c r="F498" s="116">
        <v>130.75</v>
      </c>
      <c r="G498">
        <v>380</v>
      </c>
      <c r="H498" s="116"/>
      <c r="I498" s="116"/>
      <c r="L498" s="170"/>
    </row>
    <row r="499" spans="1:12" x14ac:dyDescent="0.25">
      <c r="A499" s="170">
        <v>42738</v>
      </c>
      <c r="B499" s="116">
        <v>2.0748146532926302</v>
      </c>
      <c r="C499" s="116">
        <v>2.0637278574353402</v>
      </c>
      <c r="D499" s="116">
        <v>2.0114615341081201</v>
      </c>
      <c r="E499" s="116">
        <v>2.0114615341081201</v>
      </c>
      <c r="F499" s="116">
        <v>130.30000000000001</v>
      </c>
      <c r="G499">
        <v>1115</v>
      </c>
      <c r="H499" s="116"/>
      <c r="I499" s="116"/>
      <c r="L499" s="170"/>
    </row>
    <row r="500" spans="1:12" x14ac:dyDescent="0.25">
      <c r="A500" s="170">
        <v>42739</v>
      </c>
      <c r="B500" s="116">
        <v>2.0621440294557298</v>
      </c>
      <c r="C500" s="116">
        <v>2.02729981390425</v>
      </c>
      <c r="D500" s="116">
        <v>2.02729981390425</v>
      </c>
      <c r="E500" s="116">
        <v>2.02729981390425</v>
      </c>
      <c r="F500" s="116">
        <v>128</v>
      </c>
      <c r="G500">
        <v>1035</v>
      </c>
      <c r="H500" s="116"/>
      <c r="I500" s="116"/>
      <c r="L500" s="170"/>
    </row>
    <row r="501" spans="1:12" x14ac:dyDescent="0.25">
      <c r="A501" s="170">
        <v>42740</v>
      </c>
      <c r="B501" s="116">
        <v>2.0589763734964999</v>
      </c>
      <c r="C501" s="116">
        <v>2.0415542657207602</v>
      </c>
      <c r="D501" s="116">
        <v>1.9489003289134199</v>
      </c>
      <c r="E501" s="116">
        <v>1.9489003289134199</v>
      </c>
      <c r="F501" s="116">
        <v>128.9</v>
      </c>
      <c r="G501">
        <v>2710</v>
      </c>
      <c r="H501" s="116"/>
      <c r="I501" s="116"/>
      <c r="L501" s="170"/>
    </row>
    <row r="502" spans="1:12" x14ac:dyDescent="0.25">
      <c r="A502" s="170">
        <v>42741</v>
      </c>
      <c r="B502" s="116">
        <v>2.0589763734964999</v>
      </c>
      <c r="C502" s="116">
        <v>2.02729981390425</v>
      </c>
      <c r="D502" s="116">
        <v>1.97978497451587</v>
      </c>
      <c r="E502" s="116">
        <v>2.0589763734964999</v>
      </c>
      <c r="F502" s="116">
        <v>128</v>
      </c>
      <c r="G502">
        <v>825</v>
      </c>
      <c r="H502" s="116"/>
      <c r="I502" s="116"/>
      <c r="L502" s="170"/>
    </row>
    <row r="503" spans="1:12" x14ac:dyDescent="0.25">
      <c r="A503" s="170">
        <v>42744</v>
      </c>
      <c r="B503" s="116">
        <v>2.0257159859246401</v>
      </c>
      <c r="C503" s="116">
        <v>1.99166368436296</v>
      </c>
      <c r="D503" s="116">
        <v>1.9259348232090401</v>
      </c>
      <c r="E503" s="116">
        <v>1.97978497451587</v>
      </c>
      <c r="F503" s="116">
        <v>125.75</v>
      </c>
      <c r="G503">
        <v>5047</v>
      </c>
      <c r="H503" s="116"/>
      <c r="I503" s="116"/>
      <c r="L503" s="170"/>
    </row>
    <row r="504" spans="1:12" x14ac:dyDescent="0.25">
      <c r="A504" s="170">
        <v>42745</v>
      </c>
      <c r="B504" s="116">
        <v>2.09065293308876</v>
      </c>
      <c r="C504" s="116">
        <v>2.0082938781488999</v>
      </c>
      <c r="D504" s="116">
        <v>1.9037612314944601</v>
      </c>
      <c r="E504" s="116">
        <v>1.9037612314944601</v>
      </c>
      <c r="F504" s="116">
        <v>126.8</v>
      </c>
      <c r="G504">
        <v>2601</v>
      </c>
      <c r="H504" s="116"/>
      <c r="I504" s="116"/>
      <c r="L504" s="170"/>
    </row>
    <row r="505" spans="1:12" x14ac:dyDescent="0.25">
      <c r="A505" s="170">
        <v>42746</v>
      </c>
      <c r="B505" s="116">
        <v>2.10173972894605</v>
      </c>
      <c r="C505" s="116">
        <v>2.0898610190989499</v>
      </c>
      <c r="D505" s="116">
        <v>1.93543779108671</v>
      </c>
      <c r="E505" s="116">
        <v>2.0431380937003798</v>
      </c>
      <c r="F505" s="116">
        <v>131.94999999999999</v>
      </c>
      <c r="G505">
        <v>1410</v>
      </c>
      <c r="H505" s="116"/>
      <c r="I505" s="116"/>
      <c r="L505" s="170"/>
    </row>
    <row r="506" spans="1:12" x14ac:dyDescent="0.25">
      <c r="A506" s="170">
        <v>42747</v>
      </c>
      <c r="B506" s="116">
        <v>2.1381677724771402</v>
      </c>
      <c r="C506" s="116">
        <v>2.1270809766198502</v>
      </c>
      <c r="D506" s="116">
        <v>2.0003747382508301</v>
      </c>
      <c r="E506" s="116">
        <v>2.1373758584873301</v>
      </c>
      <c r="F506" s="116">
        <v>134.30000000000001</v>
      </c>
      <c r="G506">
        <v>1360</v>
      </c>
      <c r="H506" s="116"/>
      <c r="I506" s="116"/>
      <c r="L506" s="170"/>
    </row>
    <row r="507" spans="1:12" x14ac:dyDescent="0.25">
      <c r="A507" s="170">
        <v>42748</v>
      </c>
      <c r="B507" s="116">
        <v>2.1856826118655199</v>
      </c>
      <c r="C507" s="116">
        <v>2.0463057496596</v>
      </c>
      <c r="D507" s="116">
        <v>2.03521895380231</v>
      </c>
      <c r="E507" s="116">
        <v>2.1025316429358498</v>
      </c>
      <c r="F507" s="116">
        <v>129.19999999999999</v>
      </c>
      <c r="G507">
        <v>3232</v>
      </c>
      <c r="H507" s="116"/>
      <c r="I507" s="116"/>
      <c r="L507" s="170"/>
    </row>
    <row r="508" spans="1:12" x14ac:dyDescent="0.25">
      <c r="A508" s="170">
        <v>42751</v>
      </c>
      <c r="B508" s="116">
        <v>2.0827337931906902</v>
      </c>
      <c r="C508" s="116">
        <v>2.0122534480979302</v>
      </c>
      <c r="D508" s="116">
        <v>2.0114615341081201</v>
      </c>
      <c r="E508" s="116">
        <v>2.0589763734964999</v>
      </c>
      <c r="F508" s="116">
        <v>127.05</v>
      </c>
      <c r="G508">
        <v>1786</v>
      </c>
      <c r="H508" s="116"/>
      <c r="I508" s="116"/>
      <c r="L508" s="170"/>
    </row>
    <row r="509" spans="1:12" x14ac:dyDescent="0.25">
      <c r="A509" s="170">
        <v>42752</v>
      </c>
      <c r="B509" s="116">
        <v>2.11282652480334</v>
      </c>
      <c r="C509" s="116">
        <v>2.0969882450072101</v>
      </c>
      <c r="D509" s="116">
        <v>2.01304536208773</v>
      </c>
      <c r="E509" s="116">
        <v>2.0589763734964999</v>
      </c>
      <c r="F509" s="116">
        <v>132.4</v>
      </c>
      <c r="G509">
        <v>8026</v>
      </c>
      <c r="H509" s="116"/>
      <c r="I509" s="116"/>
      <c r="L509" s="170"/>
    </row>
    <row r="510" spans="1:12" x14ac:dyDescent="0.25">
      <c r="A510" s="170">
        <v>42753</v>
      </c>
      <c r="B510" s="116">
        <v>2.2015208916616502</v>
      </c>
      <c r="C510" s="116">
        <v>2.1460869123752002</v>
      </c>
      <c r="D510" s="116">
        <v>2.0154211040571499</v>
      </c>
      <c r="E510" s="116">
        <v>2.1064912128848801</v>
      </c>
      <c r="F510" s="116">
        <v>135.5</v>
      </c>
      <c r="G510">
        <v>4491</v>
      </c>
      <c r="H510" s="116"/>
      <c r="I510" s="116"/>
      <c r="L510" s="170"/>
    </row>
    <row r="511" spans="1:12" x14ac:dyDescent="0.25">
      <c r="A511" s="170">
        <v>42754</v>
      </c>
      <c r="B511" s="116">
        <v>2.24903573105003</v>
      </c>
      <c r="C511" s="116">
        <v>2.1112426968237199</v>
      </c>
      <c r="D511" s="116">
        <v>2.0597682874863099</v>
      </c>
      <c r="E511" s="116">
        <v>2.24903573105003</v>
      </c>
      <c r="F511" s="116">
        <v>133.30000000000001</v>
      </c>
      <c r="G511">
        <v>603</v>
      </c>
      <c r="H511" s="116"/>
      <c r="I511" s="116"/>
      <c r="L511" s="170"/>
    </row>
    <row r="512" spans="1:12" x14ac:dyDescent="0.25">
      <c r="A512" s="170">
        <v>42755</v>
      </c>
      <c r="B512" s="116">
        <v>2.1136184387931398</v>
      </c>
      <c r="C512" s="116">
        <v>2.06531168541495</v>
      </c>
      <c r="D512" s="116">
        <v>2.0447219216799901</v>
      </c>
      <c r="E512" s="116">
        <v>2.0447219216799901</v>
      </c>
      <c r="F512" s="116">
        <v>130.4</v>
      </c>
      <c r="G512">
        <v>401</v>
      </c>
      <c r="H512" s="116"/>
      <c r="I512" s="116"/>
      <c r="L512" s="170"/>
    </row>
    <row r="513" spans="1:12" x14ac:dyDescent="0.25">
      <c r="A513" s="170">
        <v>42758</v>
      </c>
      <c r="B513" s="116">
        <v>2.1674685900999702</v>
      </c>
      <c r="C513" s="116">
        <v>2.0961963310174001</v>
      </c>
      <c r="D513" s="116">
        <v>1.995623254312</v>
      </c>
      <c r="E513" s="116">
        <v>1.995623254312</v>
      </c>
      <c r="F513" s="116">
        <v>132.35</v>
      </c>
      <c r="G513">
        <v>1652</v>
      </c>
      <c r="H513" s="116"/>
      <c r="I513" s="116"/>
      <c r="L513" s="170"/>
    </row>
    <row r="514" spans="1:12" x14ac:dyDescent="0.25">
      <c r="A514" s="170">
        <v>42759</v>
      </c>
      <c r="B514" s="116">
        <v>2.1856826118655199</v>
      </c>
      <c r="C514" s="116">
        <v>2.1547979662630699</v>
      </c>
      <c r="D514" s="116">
        <v>2.09065293308876</v>
      </c>
      <c r="E514" s="116">
        <v>2.09778015899701</v>
      </c>
      <c r="F514" s="116">
        <v>136.05000000000001</v>
      </c>
      <c r="G514">
        <v>1505</v>
      </c>
      <c r="H514" s="116"/>
      <c r="I514" s="116"/>
      <c r="L514" s="170"/>
    </row>
    <row r="515" spans="1:12" x14ac:dyDescent="0.25">
      <c r="A515" s="170">
        <v>42760</v>
      </c>
      <c r="B515" s="116">
        <v>2.2141915154985501</v>
      </c>
      <c r="C515" s="116">
        <v>2.1183699227319801</v>
      </c>
      <c r="D515" s="116">
        <v>2.1072831268746901</v>
      </c>
      <c r="E515" s="116">
        <v>2.1540060522732598</v>
      </c>
      <c r="F515" s="116">
        <v>133.75</v>
      </c>
      <c r="G515">
        <v>2813</v>
      </c>
      <c r="H515" s="116"/>
      <c r="I515" s="116"/>
      <c r="L515" s="170"/>
    </row>
    <row r="516" spans="1:12" x14ac:dyDescent="0.25">
      <c r="A516" s="170">
        <v>42762</v>
      </c>
      <c r="B516" s="116">
        <v>2.1223294926810099</v>
      </c>
      <c r="C516" s="116">
        <v>2.1215375786911999</v>
      </c>
      <c r="D516" s="116">
        <v>2.01304536208773</v>
      </c>
      <c r="E516" s="116">
        <v>2.0922367610683699</v>
      </c>
      <c r="F516" s="116">
        <v>133.94999999999999</v>
      </c>
      <c r="G516">
        <v>8204</v>
      </c>
      <c r="H516" s="116"/>
      <c r="I516" s="116"/>
      <c r="L516" s="170"/>
    </row>
    <row r="517" spans="1:12" x14ac:dyDescent="0.25">
      <c r="A517" s="170">
        <v>42765</v>
      </c>
      <c r="B517" s="116">
        <v>2.1001559009664299</v>
      </c>
      <c r="C517" s="116">
        <v>2.1001559009664299</v>
      </c>
      <c r="D517" s="116">
        <v>2.0447219216799901</v>
      </c>
      <c r="E517" s="116">
        <v>2.0447219216799901</v>
      </c>
      <c r="F517" s="116">
        <v>132.6</v>
      </c>
      <c r="G517">
        <v>1243</v>
      </c>
      <c r="H517" s="116"/>
      <c r="I517" s="116"/>
      <c r="L517" s="170"/>
    </row>
    <row r="518" spans="1:12" x14ac:dyDescent="0.25">
      <c r="A518" s="170">
        <v>42766</v>
      </c>
      <c r="B518" s="116">
        <v>2.0866933631397302</v>
      </c>
      <c r="C518" s="116">
        <v>2.0866933631397302</v>
      </c>
      <c r="D518" s="116">
        <v>1.995623254312</v>
      </c>
      <c r="E518" s="116">
        <v>2.0589763734964999</v>
      </c>
      <c r="F518" s="116">
        <v>131.75</v>
      </c>
      <c r="G518">
        <v>4448</v>
      </c>
      <c r="H518" s="116"/>
      <c r="I518" s="116"/>
      <c r="L518" s="170"/>
    </row>
    <row r="519" spans="1:12" x14ac:dyDescent="0.25">
      <c r="A519" s="170">
        <v>42767</v>
      </c>
      <c r="B519" s="116">
        <v>2.1334162885382999</v>
      </c>
      <c r="C519" s="116">
        <v>1.9964151683018001</v>
      </c>
      <c r="D519" s="116">
        <v>1.9964151683018001</v>
      </c>
      <c r="E519" s="116">
        <v>2.0866933631397302</v>
      </c>
      <c r="F519" s="116">
        <v>126.05</v>
      </c>
      <c r="G519">
        <v>2099</v>
      </c>
      <c r="H519" s="116"/>
      <c r="I519" s="116"/>
      <c r="L519" s="170"/>
    </row>
    <row r="520" spans="1:12" x14ac:dyDescent="0.25">
      <c r="A520" s="170">
        <v>42768</v>
      </c>
      <c r="B520" s="116">
        <v>2.0748146532926302</v>
      </c>
      <c r="C520" s="116">
        <v>2.0740227393028201</v>
      </c>
      <c r="D520" s="116">
        <v>1.9995828242610301</v>
      </c>
      <c r="E520" s="116">
        <v>2.00591813617948</v>
      </c>
      <c r="F520" s="116">
        <v>130.94999999999999</v>
      </c>
      <c r="G520">
        <v>447</v>
      </c>
      <c r="H520" s="116"/>
      <c r="I520" s="116"/>
      <c r="L520" s="170"/>
    </row>
    <row r="521" spans="1:12" x14ac:dyDescent="0.25">
      <c r="A521" s="170">
        <v>42769</v>
      </c>
      <c r="B521" s="116">
        <v>2.1064912128848801</v>
      </c>
      <c r="C521" s="116">
        <v>2.1056992988950798</v>
      </c>
      <c r="D521" s="116">
        <v>2.0114615341081201</v>
      </c>
      <c r="E521" s="116">
        <v>2.0740227393028201</v>
      </c>
      <c r="F521" s="116">
        <v>132.94999999999999</v>
      </c>
      <c r="G521">
        <v>122</v>
      </c>
      <c r="H521" s="116"/>
      <c r="I521" s="116"/>
      <c r="L521" s="170"/>
    </row>
    <row r="522" spans="1:12" x14ac:dyDescent="0.25">
      <c r="A522" s="170">
        <v>42772</v>
      </c>
      <c r="B522" s="116">
        <v>2.1381677724771402</v>
      </c>
      <c r="C522" s="116">
        <v>2.1152022667727501</v>
      </c>
      <c r="D522" s="116">
        <v>2.0154211040571499</v>
      </c>
      <c r="E522" s="116">
        <v>2.1381677724771402</v>
      </c>
      <c r="F522" s="116">
        <v>133.55000000000001</v>
      </c>
      <c r="G522">
        <v>3661</v>
      </c>
      <c r="H522" s="116"/>
      <c r="I522" s="116"/>
      <c r="L522" s="170"/>
    </row>
    <row r="523" spans="1:12" x14ac:dyDescent="0.25">
      <c r="A523" s="170">
        <v>42773</v>
      </c>
      <c r="B523" s="116">
        <v>2.0668955133945701</v>
      </c>
      <c r="C523" s="116">
        <v>2.0629359434455399</v>
      </c>
      <c r="D523" s="116">
        <v>2.06056020147612</v>
      </c>
      <c r="E523" s="116">
        <v>2.0668955133945701</v>
      </c>
      <c r="F523" s="116">
        <v>130.25</v>
      </c>
      <c r="G523">
        <v>145</v>
      </c>
      <c r="H523" s="116"/>
      <c r="I523" s="116"/>
      <c r="L523" s="170"/>
    </row>
    <row r="524" spans="1:12" x14ac:dyDescent="0.25">
      <c r="A524" s="170">
        <v>42774</v>
      </c>
      <c r="B524" s="116">
        <v>2.0589763734964999</v>
      </c>
      <c r="C524" s="116">
        <v>2.04947340561883</v>
      </c>
      <c r="D524" s="116">
        <v>2.0122534480979302</v>
      </c>
      <c r="E524" s="116">
        <v>2.0431380937003798</v>
      </c>
      <c r="F524" s="116">
        <v>129.4</v>
      </c>
      <c r="G524">
        <v>1781</v>
      </c>
      <c r="H524" s="116"/>
      <c r="I524" s="116"/>
      <c r="L524" s="170"/>
    </row>
    <row r="525" spans="1:12" x14ac:dyDescent="0.25">
      <c r="A525" s="170">
        <v>42775</v>
      </c>
      <c r="B525" s="116">
        <v>2.0431380937003798</v>
      </c>
      <c r="C525" s="116">
        <v>2.0114615341081201</v>
      </c>
      <c r="D525" s="116">
        <v>2.0114615341081201</v>
      </c>
      <c r="E525" s="116">
        <v>2.0431380937003798</v>
      </c>
      <c r="F525" s="116">
        <v>127</v>
      </c>
      <c r="G525">
        <v>590</v>
      </c>
      <c r="H525" s="116"/>
      <c r="I525" s="116"/>
      <c r="L525" s="170"/>
    </row>
    <row r="526" spans="1:12" x14ac:dyDescent="0.25">
      <c r="A526" s="170">
        <v>42776</v>
      </c>
      <c r="B526" s="116">
        <v>2.1120346108135299</v>
      </c>
      <c r="C526" s="116">
        <v>2.1088669548543</v>
      </c>
      <c r="D526" s="116">
        <v>1.9481084149236101</v>
      </c>
      <c r="E526" s="116">
        <v>1.9481084149236101</v>
      </c>
      <c r="F526" s="116">
        <v>133.15</v>
      </c>
      <c r="G526">
        <v>3289</v>
      </c>
      <c r="H526" s="116"/>
      <c r="I526" s="116"/>
      <c r="L526" s="170"/>
    </row>
    <row r="527" spans="1:12" x14ac:dyDescent="0.25">
      <c r="A527" s="170">
        <v>42779</v>
      </c>
      <c r="B527" s="116">
        <v>2.2141915154985501</v>
      </c>
      <c r="C527" s="116">
        <v>2.1373758584873301</v>
      </c>
      <c r="D527" s="116">
        <v>2.1088669548543</v>
      </c>
      <c r="E527" s="116">
        <v>2.1381677724771402</v>
      </c>
      <c r="F527" s="116">
        <v>134.94999999999999</v>
      </c>
      <c r="G527">
        <v>8574</v>
      </c>
      <c r="H527" s="116"/>
      <c r="I527" s="116"/>
      <c r="L527" s="170"/>
    </row>
    <row r="528" spans="1:12" x14ac:dyDescent="0.25">
      <c r="A528" s="170">
        <v>42780</v>
      </c>
      <c r="B528" s="116">
        <v>2.1381677724771402</v>
      </c>
      <c r="C528" s="116">
        <v>2.03601086779212</v>
      </c>
      <c r="D528" s="116">
        <v>2.0312593838532802</v>
      </c>
      <c r="E528" s="116">
        <v>2.1381677724771402</v>
      </c>
      <c r="F528" s="116">
        <v>128.55000000000001</v>
      </c>
      <c r="G528">
        <v>1588</v>
      </c>
      <c r="H528" s="116"/>
      <c r="I528" s="116"/>
      <c r="L528" s="170"/>
    </row>
    <row r="529" spans="1:12" x14ac:dyDescent="0.25">
      <c r="A529" s="170">
        <v>42781</v>
      </c>
      <c r="B529" s="116">
        <v>2.1365839444975299</v>
      </c>
      <c r="C529" s="116">
        <v>1.98770411441393</v>
      </c>
      <c r="D529" s="116">
        <v>1.9734496625974201</v>
      </c>
      <c r="E529" s="116">
        <v>2.1365839444975299</v>
      </c>
      <c r="F529" s="116">
        <v>125.5</v>
      </c>
      <c r="G529">
        <v>454</v>
      </c>
      <c r="H529" s="116"/>
      <c r="I529" s="116"/>
      <c r="L529" s="170"/>
    </row>
    <row r="530" spans="1:12" x14ac:dyDescent="0.25">
      <c r="A530" s="170">
        <v>42782</v>
      </c>
      <c r="B530" s="116">
        <v>2.0748146532926302</v>
      </c>
      <c r="C530" s="116">
        <v>2.0645197714251502</v>
      </c>
      <c r="D530" s="116">
        <v>1.9639466947197399</v>
      </c>
      <c r="E530" s="116">
        <v>2.0114615341081201</v>
      </c>
      <c r="F530" s="116">
        <v>130.35</v>
      </c>
      <c r="G530">
        <v>760</v>
      </c>
      <c r="H530" s="116"/>
      <c r="I530" s="116"/>
      <c r="L530" s="170"/>
    </row>
    <row r="531" spans="1:12" x14ac:dyDescent="0.25">
      <c r="A531" s="170">
        <v>42783</v>
      </c>
      <c r="B531" s="116">
        <v>2.1674685900999702</v>
      </c>
      <c r="C531" s="116">
        <v>2.1397516004567501</v>
      </c>
      <c r="D531" s="116">
        <v>2.09065293308876</v>
      </c>
      <c r="E531" s="116">
        <v>2.1064912128848801</v>
      </c>
      <c r="F531" s="116">
        <v>135.1</v>
      </c>
      <c r="G531">
        <v>14543</v>
      </c>
      <c r="H531" s="116"/>
      <c r="I531" s="116"/>
      <c r="L531" s="170"/>
    </row>
    <row r="532" spans="1:12" x14ac:dyDescent="0.25">
      <c r="A532" s="170">
        <v>42786</v>
      </c>
      <c r="B532" s="116">
        <v>2.2173591714577698</v>
      </c>
      <c r="C532" s="116">
        <v>2.1809311279266801</v>
      </c>
      <c r="D532" s="116">
        <v>2.0589763734964999</v>
      </c>
      <c r="E532" s="116">
        <v>2.0589763734964999</v>
      </c>
      <c r="F532" s="116">
        <v>137.69999999999999</v>
      </c>
      <c r="G532">
        <v>3332</v>
      </c>
      <c r="H532" s="116"/>
      <c r="I532" s="116"/>
      <c r="L532" s="170"/>
    </row>
    <row r="533" spans="1:12" x14ac:dyDescent="0.25">
      <c r="A533" s="170">
        <v>42787</v>
      </c>
      <c r="B533" s="116">
        <v>2.2173591714577698</v>
      </c>
      <c r="C533" s="116">
        <v>2.0922367610683699</v>
      </c>
      <c r="D533" s="116">
        <v>2.07639848127224</v>
      </c>
      <c r="E533" s="116">
        <v>2.2173591714577698</v>
      </c>
      <c r="F533" s="116">
        <v>132.1</v>
      </c>
      <c r="G533">
        <v>860</v>
      </c>
      <c r="H533" s="116"/>
      <c r="I533" s="116"/>
      <c r="L533" s="170"/>
    </row>
    <row r="534" spans="1:12" x14ac:dyDescent="0.25">
      <c r="A534" s="170">
        <v>42788</v>
      </c>
      <c r="B534" s="116">
        <v>2.1381677724771402</v>
      </c>
      <c r="C534" s="116">
        <v>2.1381677724771402</v>
      </c>
      <c r="D534" s="116">
        <v>2.09065293308876</v>
      </c>
      <c r="E534" s="116">
        <v>2.0938205890479802</v>
      </c>
      <c r="F534" s="116">
        <v>135</v>
      </c>
      <c r="G534">
        <v>1245</v>
      </c>
      <c r="H534" s="116"/>
      <c r="I534" s="116"/>
      <c r="L534" s="170"/>
    </row>
    <row r="535" spans="1:12" x14ac:dyDescent="0.25">
      <c r="A535" s="170">
        <v>42789</v>
      </c>
      <c r="B535" s="116">
        <v>2.1365839444975299</v>
      </c>
      <c r="C535" s="116">
        <v>2.0621440294557298</v>
      </c>
      <c r="D535" s="116">
        <v>2.0597682874863099</v>
      </c>
      <c r="E535" s="116">
        <v>2.06056020147612</v>
      </c>
      <c r="F535" s="116">
        <v>130.19999999999999</v>
      </c>
      <c r="G535">
        <v>518</v>
      </c>
      <c r="H535" s="116"/>
      <c r="I535" s="116"/>
      <c r="L535" s="170"/>
    </row>
    <row r="536" spans="1:12" x14ac:dyDescent="0.25">
      <c r="A536" s="170">
        <v>42793</v>
      </c>
      <c r="B536" s="116">
        <v>2.1223294926810099</v>
      </c>
      <c r="C536" s="116">
        <v>2.0748146532926302</v>
      </c>
      <c r="D536" s="116">
        <v>2.07164699733341</v>
      </c>
      <c r="E536" s="116">
        <v>2.07164699733341</v>
      </c>
      <c r="F536" s="116">
        <v>131</v>
      </c>
      <c r="G536">
        <v>424</v>
      </c>
      <c r="H536" s="116"/>
      <c r="I536" s="116"/>
      <c r="L536" s="170"/>
    </row>
    <row r="537" spans="1:12" x14ac:dyDescent="0.25">
      <c r="A537" s="170">
        <v>42794</v>
      </c>
      <c r="B537" s="116">
        <v>2.1381677724771402</v>
      </c>
      <c r="C537" s="116">
        <v>2.1223294926810099</v>
      </c>
      <c r="D537" s="116">
        <v>2.0589763734964999</v>
      </c>
      <c r="E537" s="116">
        <v>2.0589763734964999</v>
      </c>
      <c r="F537" s="116">
        <v>134</v>
      </c>
      <c r="G537">
        <v>1963</v>
      </c>
      <c r="H537" s="116"/>
      <c r="I537" s="116"/>
      <c r="L537" s="170"/>
    </row>
    <row r="538" spans="1:12" x14ac:dyDescent="0.25">
      <c r="A538" s="170">
        <v>42795</v>
      </c>
      <c r="B538" s="116">
        <v>2.15321413828346</v>
      </c>
      <c r="C538" s="116">
        <v>2.09065293308876</v>
      </c>
      <c r="D538" s="116">
        <v>2.0288836418838598</v>
      </c>
      <c r="E538" s="116">
        <v>2.09065293308876</v>
      </c>
      <c r="F538" s="116">
        <v>132</v>
      </c>
      <c r="G538">
        <v>2305</v>
      </c>
      <c r="H538" s="116"/>
      <c r="I538" s="116"/>
      <c r="L538" s="170"/>
    </row>
    <row r="539" spans="1:12" x14ac:dyDescent="0.25">
      <c r="A539" s="170">
        <v>42796</v>
      </c>
      <c r="B539" s="116">
        <v>2.1064912128848801</v>
      </c>
      <c r="C539" s="116">
        <v>2.0922367610683699</v>
      </c>
      <c r="D539" s="116">
        <v>2.0177968460265698</v>
      </c>
      <c r="E539" s="116">
        <v>2.0589763734964999</v>
      </c>
      <c r="F539" s="116">
        <v>132.1</v>
      </c>
      <c r="G539">
        <v>1954</v>
      </c>
      <c r="H539" s="116"/>
      <c r="I539" s="116"/>
      <c r="L539" s="170"/>
    </row>
    <row r="540" spans="1:12" x14ac:dyDescent="0.25">
      <c r="A540" s="170">
        <v>42797</v>
      </c>
      <c r="B540" s="116">
        <v>2.1967694077228099</v>
      </c>
      <c r="C540" s="116">
        <v>2.1967694077228099</v>
      </c>
      <c r="D540" s="116">
        <v>2.0748146532926302</v>
      </c>
      <c r="E540" s="116">
        <v>2.0748146532926302</v>
      </c>
      <c r="F540" s="116">
        <v>138.69999999999999</v>
      </c>
      <c r="G540">
        <v>32436</v>
      </c>
      <c r="H540" s="116"/>
      <c r="I540" s="116"/>
      <c r="L540" s="170"/>
    </row>
    <row r="541" spans="1:12" x14ac:dyDescent="0.25">
      <c r="A541" s="170">
        <v>42800</v>
      </c>
      <c r="B541" s="116">
        <v>2.3060535383160801</v>
      </c>
      <c r="C541" s="116">
        <v>2.3060535383160801</v>
      </c>
      <c r="D541" s="116">
        <v>2.3060535383160801</v>
      </c>
      <c r="E541" s="116">
        <v>2.3060535383160801</v>
      </c>
      <c r="F541" s="116">
        <v>145.6</v>
      </c>
      <c r="G541">
        <v>13365</v>
      </c>
      <c r="H541" s="116"/>
      <c r="I541" s="116"/>
      <c r="L541" s="170"/>
    </row>
    <row r="542" spans="1:12" x14ac:dyDescent="0.25">
      <c r="A542" s="170">
        <v>42801</v>
      </c>
      <c r="B542" s="116">
        <v>2.4185053248685802</v>
      </c>
      <c r="C542" s="116">
        <v>2.3131807642243398</v>
      </c>
      <c r="D542" s="116">
        <v>2.2577467849379</v>
      </c>
      <c r="E542" s="116">
        <v>2.3915802492151701</v>
      </c>
      <c r="F542" s="116">
        <v>146.05000000000001</v>
      </c>
      <c r="G542">
        <v>11616</v>
      </c>
      <c r="H542" s="116"/>
      <c r="I542" s="116"/>
      <c r="L542" s="170"/>
    </row>
    <row r="543" spans="1:12" x14ac:dyDescent="0.25">
      <c r="A543" s="170">
        <v>42802</v>
      </c>
      <c r="B543" s="116">
        <v>2.3020939683670498</v>
      </c>
      <c r="C543" s="116">
        <v>2.2062723756004798</v>
      </c>
      <c r="D543" s="116">
        <v>2.2031047196412601</v>
      </c>
      <c r="E543" s="116">
        <v>2.2252783113558401</v>
      </c>
      <c r="F543" s="116">
        <v>139.30000000000001</v>
      </c>
      <c r="G543">
        <v>5247</v>
      </c>
      <c r="H543" s="116"/>
      <c r="I543" s="116"/>
      <c r="L543" s="170"/>
    </row>
    <row r="544" spans="1:12" x14ac:dyDescent="0.25">
      <c r="A544" s="170">
        <v>42803</v>
      </c>
      <c r="B544" s="116">
        <v>2.2522033870092502</v>
      </c>
      <c r="C544" s="116">
        <v>2.20231280565145</v>
      </c>
      <c r="D544" s="116">
        <v>2.20231280565145</v>
      </c>
      <c r="E544" s="116">
        <v>2.2173591714577698</v>
      </c>
      <c r="F544" s="116">
        <v>139.05000000000001</v>
      </c>
      <c r="G544">
        <v>1350</v>
      </c>
      <c r="H544" s="116"/>
      <c r="I544" s="116"/>
      <c r="L544" s="170"/>
    </row>
    <row r="545" spans="1:12" x14ac:dyDescent="0.25">
      <c r="A545" s="170">
        <v>42804</v>
      </c>
      <c r="B545" s="116">
        <v>2.2965505704384102</v>
      </c>
      <c r="C545" s="116">
        <v>2.2015208916616502</v>
      </c>
      <c r="D545" s="116">
        <v>2.1239133206606202</v>
      </c>
      <c r="E545" s="116">
        <v>2.27912846266267</v>
      </c>
      <c r="F545" s="116">
        <v>139</v>
      </c>
      <c r="G545">
        <v>3751</v>
      </c>
      <c r="H545" s="116"/>
      <c r="I545" s="116"/>
      <c r="L545" s="170"/>
    </row>
    <row r="546" spans="1:12" x14ac:dyDescent="0.25">
      <c r="A546" s="170">
        <v>42808</v>
      </c>
      <c r="B546" s="116">
        <v>2.2965505704384102</v>
      </c>
      <c r="C546" s="116">
        <v>2.2419085051417702</v>
      </c>
      <c r="D546" s="116">
        <v>2.2331974512539001</v>
      </c>
      <c r="E546" s="116">
        <v>2.2965505704384102</v>
      </c>
      <c r="F546" s="116">
        <v>141.55000000000001</v>
      </c>
      <c r="G546">
        <v>2262</v>
      </c>
      <c r="H546" s="116"/>
      <c r="I546" s="116"/>
      <c r="L546" s="170"/>
    </row>
    <row r="547" spans="1:12" x14ac:dyDescent="0.25">
      <c r="A547" s="170">
        <v>42809</v>
      </c>
      <c r="B547" s="116">
        <v>2.2965505704384102</v>
      </c>
      <c r="C547" s="116">
        <v>2.2403246771621599</v>
      </c>
      <c r="D547" s="116">
        <v>2.2205268274169998</v>
      </c>
      <c r="E547" s="116">
        <v>2.2807122906422799</v>
      </c>
      <c r="F547" s="116">
        <v>141.44999999999999</v>
      </c>
      <c r="G547">
        <v>2006</v>
      </c>
      <c r="H547" s="116"/>
      <c r="I547" s="116"/>
      <c r="L547" s="170"/>
    </row>
    <row r="548" spans="1:12" x14ac:dyDescent="0.25">
      <c r="A548" s="170">
        <v>42810</v>
      </c>
      <c r="B548" s="116">
        <v>2.3519845497248499</v>
      </c>
      <c r="C548" s="116">
        <v>2.34960880775543</v>
      </c>
      <c r="D548" s="116">
        <v>2.2015208916616502</v>
      </c>
      <c r="E548" s="116">
        <v>2.20231280565145</v>
      </c>
      <c r="F548" s="116">
        <v>148.35</v>
      </c>
      <c r="G548">
        <v>8503</v>
      </c>
      <c r="H548" s="116"/>
      <c r="I548" s="116"/>
      <c r="L548" s="170"/>
    </row>
    <row r="549" spans="1:12" x14ac:dyDescent="0.25">
      <c r="A549" s="170">
        <v>42811</v>
      </c>
      <c r="B549" s="116">
        <v>2.46681207824677</v>
      </c>
      <c r="C549" s="116">
        <v>2.46681207824677</v>
      </c>
      <c r="D549" s="116">
        <v>2.3282271300306601</v>
      </c>
      <c r="E549" s="116">
        <v>2.42325680880742</v>
      </c>
      <c r="F549" s="116">
        <v>155.75</v>
      </c>
      <c r="G549">
        <v>13428</v>
      </c>
      <c r="H549" s="116"/>
      <c r="I549" s="116"/>
      <c r="L549" s="170"/>
    </row>
    <row r="550" spans="1:12" x14ac:dyDescent="0.25">
      <c r="A550" s="170">
        <v>42814</v>
      </c>
      <c r="B550" s="116">
        <v>2.5895587466667598</v>
      </c>
      <c r="C550" s="116">
        <v>2.5895587466667598</v>
      </c>
      <c r="D550" s="116">
        <v>2.4549333683996801</v>
      </c>
      <c r="E550" s="116">
        <v>2.5658013269725699</v>
      </c>
      <c r="F550" s="116">
        <v>163.5</v>
      </c>
      <c r="G550">
        <v>17668</v>
      </c>
      <c r="H550" s="116"/>
      <c r="I550" s="116"/>
      <c r="L550" s="170"/>
    </row>
    <row r="551" spans="1:12" x14ac:dyDescent="0.25">
      <c r="A551" s="170">
        <v>42815</v>
      </c>
      <c r="B551" s="116">
        <v>2.71864072700519</v>
      </c>
      <c r="C551" s="116">
        <v>2.6449927259532</v>
      </c>
      <c r="D551" s="116">
        <v>2.6133161663609501</v>
      </c>
      <c r="E551" s="116">
        <v>2.6133161663609501</v>
      </c>
      <c r="F551" s="116">
        <v>167</v>
      </c>
      <c r="G551">
        <v>18998</v>
      </c>
      <c r="H551" s="116"/>
      <c r="I551" s="116"/>
      <c r="L551" s="170"/>
    </row>
    <row r="552" spans="1:12" x14ac:dyDescent="0.25">
      <c r="A552" s="170">
        <v>42816</v>
      </c>
      <c r="B552" s="116">
        <v>2.7772423622508602</v>
      </c>
      <c r="C552" s="116">
        <v>2.5689689829317901</v>
      </c>
      <c r="D552" s="116">
        <v>2.5341247673803098</v>
      </c>
      <c r="E552" s="116">
        <v>2.6766692855454499</v>
      </c>
      <c r="F552" s="116">
        <v>162.19999999999999</v>
      </c>
      <c r="G552">
        <v>7911</v>
      </c>
      <c r="H552" s="116"/>
      <c r="I552" s="116"/>
      <c r="L552" s="170"/>
    </row>
    <row r="553" spans="1:12" x14ac:dyDescent="0.25">
      <c r="A553" s="170">
        <v>42817</v>
      </c>
      <c r="B553" s="116">
        <v>2.69725904928042</v>
      </c>
      <c r="C553" s="116">
        <v>2.69646713529061</v>
      </c>
      <c r="D553" s="116">
        <v>2.5341247673803098</v>
      </c>
      <c r="E553" s="116">
        <v>2.64420081196339</v>
      </c>
      <c r="F553" s="116">
        <v>170.25</v>
      </c>
      <c r="G553">
        <v>73604</v>
      </c>
      <c r="H553" s="116"/>
      <c r="I553" s="116"/>
      <c r="L553" s="170"/>
    </row>
    <row r="554" spans="1:12" x14ac:dyDescent="0.25">
      <c r="A554" s="170">
        <v>42818</v>
      </c>
      <c r="B554" s="116">
        <v>2.8310925135576901</v>
      </c>
      <c r="C554" s="116">
        <v>2.8310925135576901</v>
      </c>
      <c r="D554" s="116">
        <v>2.7637798244241498</v>
      </c>
      <c r="E554" s="116">
        <v>2.8192138037105998</v>
      </c>
      <c r="F554" s="116">
        <v>178.75</v>
      </c>
      <c r="G554">
        <v>22160</v>
      </c>
      <c r="H554" s="116"/>
      <c r="I554" s="116"/>
      <c r="L554" s="170"/>
    </row>
    <row r="555" spans="1:12" x14ac:dyDescent="0.25">
      <c r="A555" s="170">
        <v>42821</v>
      </c>
      <c r="B555" s="116">
        <v>2.9720532037432199</v>
      </c>
      <c r="C555" s="116">
        <v>2.9720532037432199</v>
      </c>
      <c r="D555" s="116">
        <v>2.9720532037432199</v>
      </c>
      <c r="E555" s="116">
        <v>2.9720532037432199</v>
      </c>
      <c r="F555" s="116">
        <v>187.65</v>
      </c>
      <c r="G555">
        <v>18379</v>
      </c>
      <c r="H555" s="116"/>
      <c r="I555" s="116"/>
      <c r="L555" s="170"/>
    </row>
    <row r="556" spans="1:12" x14ac:dyDescent="0.25">
      <c r="A556" s="170">
        <v>42822</v>
      </c>
      <c r="B556" s="116">
        <v>2.99185105348838</v>
      </c>
      <c r="C556" s="116">
        <v>2.99185105348838</v>
      </c>
      <c r="D556" s="116">
        <v>2.99185105348838</v>
      </c>
      <c r="E556" s="116">
        <v>2.99185105348838</v>
      </c>
      <c r="F556" s="116">
        <v>188.9</v>
      </c>
      <c r="G556">
        <v>4442</v>
      </c>
      <c r="H556" s="116"/>
      <c r="I556" s="116"/>
      <c r="L556" s="170"/>
    </row>
    <row r="557" spans="1:12" x14ac:dyDescent="0.25">
      <c r="A557" s="170">
        <v>42823</v>
      </c>
      <c r="B557" s="116">
        <v>2.99185105348838</v>
      </c>
      <c r="C557" s="116">
        <v>2.99185105348838</v>
      </c>
      <c r="D557" s="116">
        <v>2.99185105348838</v>
      </c>
      <c r="E557" s="116">
        <v>2.99185105348838</v>
      </c>
      <c r="F557" s="116">
        <v>188.9</v>
      </c>
      <c r="G557">
        <v>2855</v>
      </c>
      <c r="H557" s="116"/>
      <c r="I557" s="116"/>
      <c r="L557" s="170"/>
    </row>
    <row r="558" spans="1:12" x14ac:dyDescent="0.25">
      <c r="A558" s="170">
        <v>42824</v>
      </c>
      <c r="B558" s="116">
        <v>2.99185105348838</v>
      </c>
      <c r="C558" s="116">
        <v>2.99185105348838</v>
      </c>
      <c r="D558" s="116">
        <v>2.99185105348838</v>
      </c>
      <c r="E558" s="116">
        <v>2.99185105348838</v>
      </c>
      <c r="F558" s="116">
        <v>188.9</v>
      </c>
      <c r="G558">
        <v>9785</v>
      </c>
      <c r="H558" s="116"/>
      <c r="I558" s="116"/>
      <c r="L558" s="170"/>
    </row>
    <row r="559" spans="1:12" x14ac:dyDescent="0.25">
      <c r="A559" s="170">
        <v>42825</v>
      </c>
      <c r="B559" s="116">
        <v>2.99185105348838</v>
      </c>
      <c r="C559" s="116">
        <v>2.99185105348838</v>
      </c>
      <c r="D559" s="116">
        <v>2.99185105348838</v>
      </c>
      <c r="E559" s="116">
        <v>2.99185105348838</v>
      </c>
      <c r="F559" s="116">
        <v>188.9</v>
      </c>
      <c r="G559">
        <v>1700</v>
      </c>
      <c r="H559" s="116"/>
      <c r="I559" s="116"/>
      <c r="L559" s="170"/>
    </row>
    <row r="560" spans="1:12" x14ac:dyDescent="0.25">
      <c r="A560" s="170">
        <v>42828</v>
      </c>
      <c r="B560" s="116">
        <v>3.1407308835719698</v>
      </c>
      <c r="C560" s="116">
        <v>3.1407308835719698</v>
      </c>
      <c r="D560" s="116">
        <v>3.0726262804486302</v>
      </c>
      <c r="E560" s="116">
        <v>3.1343955716535201</v>
      </c>
      <c r="F560" s="116">
        <v>198.3</v>
      </c>
      <c r="G560">
        <v>21633</v>
      </c>
      <c r="H560" s="116"/>
      <c r="I560" s="116"/>
      <c r="L560" s="170"/>
    </row>
    <row r="561" spans="1:12" x14ac:dyDescent="0.25">
      <c r="A561" s="170">
        <v>42830</v>
      </c>
      <c r="B561" s="116">
        <v>3.2975298535536299</v>
      </c>
      <c r="C561" s="116">
        <v>3.2713966918900201</v>
      </c>
      <c r="D561" s="116">
        <v>3.0409497208563701</v>
      </c>
      <c r="E561" s="116">
        <v>3.2975298535536299</v>
      </c>
      <c r="F561" s="116">
        <v>206.55</v>
      </c>
      <c r="G561">
        <v>52930</v>
      </c>
      <c r="H561" s="116"/>
      <c r="I561" s="116"/>
      <c r="L561" s="170"/>
    </row>
    <row r="562" spans="1:12" x14ac:dyDescent="0.25">
      <c r="A562" s="170">
        <v>42831</v>
      </c>
      <c r="B562" s="116">
        <v>3.4036463281876799</v>
      </c>
      <c r="C562" s="116">
        <v>3.3046570794618901</v>
      </c>
      <c r="D562" s="116">
        <v>3.1343955716535201</v>
      </c>
      <c r="E562" s="116">
        <v>3.3260387571866601</v>
      </c>
      <c r="F562" s="116">
        <v>208.65</v>
      </c>
      <c r="G562">
        <v>23150</v>
      </c>
      <c r="H562" s="116"/>
      <c r="I562" s="116"/>
      <c r="L562" s="170"/>
    </row>
    <row r="563" spans="1:12" x14ac:dyDescent="0.25">
      <c r="A563" s="170">
        <v>42832</v>
      </c>
      <c r="B563" s="116">
        <v>3.3260387571866601</v>
      </c>
      <c r="C563" s="116">
        <v>3.15894490533752</v>
      </c>
      <c r="D563" s="116">
        <v>3.13993896958217</v>
      </c>
      <c r="E563" s="116">
        <v>3.3260387571866601</v>
      </c>
      <c r="F563" s="116">
        <v>199.45</v>
      </c>
      <c r="G563">
        <v>17094</v>
      </c>
      <c r="H563" s="116"/>
      <c r="I563" s="116"/>
      <c r="L563" s="170"/>
    </row>
    <row r="564" spans="1:12" x14ac:dyDescent="0.25">
      <c r="A564" s="170">
        <v>42835</v>
      </c>
      <c r="B564" s="116">
        <v>3.3102004773905298</v>
      </c>
      <c r="C564" s="116">
        <v>3.26189372401234</v>
      </c>
      <c r="D564" s="116">
        <v>3.0425335488359901</v>
      </c>
      <c r="E564" s="116">
        <v>3.2943621975944102</v>
      </c>
      <c r="F564" s="116">
        <v>205.95</v>
      </c>
      <c r="G564">
        <v>12336</v>
      </c>
      <c r="H564" s="116"/>
      <c r="I564" s="116"/>
      <c r="L564" s="170"/>
    </row>
    <row r="565" spans="1:12" x14ac:dyDescent="0.25">
      <c r="A565" s="170">
        <v>42836</v>
      </c>
      <c r="B565" s="116">
        <v>3.2626856380021501</v>
      </c>
      <c r="C565" s="116">
        <v>3.1676559592253901</v>
      </c>
      <c r="D565" s="116">
        <v>3.1423147115515899</v>
      </c>
      <c r="E565" s="116">
        <v>3.1423147115515899</v>
      </c>
      <c r="F565" s="116">
        <v>200</v>
      </c>
      <c r="G565">
        <v>2603</v>
      </c>
      <c r="H565" s="116"/>
      <c r="I565" s="116"/>
      <c r="L565" s="170"/>
    </row>
    <row r="566" spans="1:12" x14ac:dyDescent="0.25">
      <c r="A566" s="170">
        <v>42837</v>
      </c>
      <c r="B566" s="116">
        <v>3.30940856340073</v>
      </c>
      <c r="C566" s="116">
        <v>3.1676559592253901</v>
      </c>
      <c r="D566" s="116">
        <v>3.1518176794292598</v>
      </c>
      <c r="E566" s="116">
        <v>3.1676559592253901</v>
      </c>
      <c r="F566" s="116">
        <v>200</v>
      </c>
      <c r="G566">
        <v>8291</v>
      </c>
      <c r="H566" s="116"/>
      <c r="I566" s="116"/>
      <c r="L566" s="170"/>
    </row>
    <row r="567" spans="1:12" x14ac:dyDescent="0.25">
      <c r="A567" s="170">
        <v>42838</v>
      </c>
      <c r="B567" s="116">
        <v>3.2468473582060202</v>
      </c>
      <c r="C567" s="116">
        <v>3.0306548389888901</v>
      </c>
      <c r="D567" s="116">
        <v>3.0092731612641201</v>
      </c>
      <c r="E567" s="116">
        <v>3.1676559592253901</v>
      </c>
      <c r="F567" s="116">
        <v>191.35</v>
      </c>
      <c r="G567">
        <v>2033</v>
      </c>
      <c r="H567" s="116"/>
      <c r="I567" s="116"/>
      <c r="L567" s="170"/>
    </row>
    <row r="568" spans="1:12" x14ac:dyDescent="0.25">
      <c r="A568" s="170">
        <v>42842</v>
      </c>
      <c r="B568" s="116">
        <v>3.1819104110418999</v>
      </c>
      <c r="C568" s="116">
        <v>3.169239787205</v>
      </c>
      <c r="D568" s="116">
        <v>2.8833588368849101</v>
      </c>
      <c r="E568" s="116">
        <v>2.93008176228349</v>
      </c>
      <c r="F568" s="116">
        <v>200.1</v>
      </c>
      <c r="G568">
        <v>18415</v>
      </c>
      <c r="H568" s="116"/>
      <c r="I568" s="116"/>
      <c r="L568" s="170"/>
    </row>
    <row r="569" spans="1:12" x14ac:dyDescent="0.25">
      <c r="A569" s="170">
        <v>42843</v>
      </c>
      <c r="B569" s="116">
        <v>3.32762258516627</v>
      </c>
      <c r="C569" s="116">
        <v>3.02194378510102</v>
      </c>
      <c r="D569" s="116">
        <v>3.01085698924373</v>
      </c>
      <c r="E569" s="116">
        <v>3.32762258516627</v>
      </c>
      <c r="F569" s="116">
        <v>190.8</v>
      </c>
      <c r="G569">
        <v>8369</v>
      </c>
      <c r="H569" s="116"/>
      <c r="I569" s="116"/>
      <c r="L569" s="170"/>
    </row>
    <row r="570" spans="1:12" x14ac:dyDescent="0.25">
      <c r="A570" s="170">
        <v>42844</v>
      </c>
      <c r="B570" s="116">
        <v>3.1201411198370099</v>
      </c>
      <c r="C570" s="116">
        <v>3.0266952690398599</v>
      </c>
      <c r="D570" s="116">
        <v>2.8984052026912299</v>
      </c>
      <c r="E570" s="116">
        <v>2.8984052026912299</v>
      </c>
      <c r="F570" s="116">
        <v>191.1</v>
      </c>
      <c r="G570">
        <v>2331</v>
      </c>
      <c r="H570" s="116"/>
      <c r="I570" s="116"/>
      <c r="L570" s="170"/>
    </row>
    <row r="571" spans="1:12" x14ac:dyDescent="0.25">
      <c r="A571" s="170">
        <v>42845</v>
      </c>
      <c r="B571" s="116">
        <v>3.1272683457452701</v>
      </c>
      <c r="C571" s="116">
        <v>3.0947998721632102</v>
      </c>
      <c r="D571" s="116">
        <v>3.0567880006524999</v>
      </c>
      <c r="E571" s="116">
        <v>3.0567880006524999</v>
      </c>
      <c r="F571" s="116">
        <v>195.4</v>
      </c>
      <c r="G571">
        <v>3728</v>
      </c>
      <c r="H571" s="116"/>
      <c r="I571" s="116"/>
      <c r="L571" s="170"/>
    </row>
    <row r="572" spans="1:12" x14ac:dyDescent="0.25">
      <c r="A572" s="170">
        <v>42846</v>
      </c>
      <c r="B572" s="116">
        <v>3.2492231001754401</v>
      </c>
      <c r="C572" s="116">
        <v>3.2492231001754401</v>
      </c>
      <c r="D572" s="116">
        <v>3.0884645602447498</v>
      </c>
      <c r="E572" s="116">
        <v>3.0884645602447498</v>
      </c>
      <c r="F572" s="116">
        <v>205.15</v>
      </c>
      <c r="G572">
        <v>31304</v>
      </c>
      <c r="H572" s="116"/>
      <c r="I572" s="116"/>
      <c r="L572" s="170"/>
    </row>
    <row r="573" spans="1:12" x14ac:dyDescent="0.25">
      <c r="A573" s="170">
        <v>42849</v>
      </c>
      <c r="B573" s="116">
        <v>3.2492231001754401</v>
      </c>
      <c r="C573" s="116">
        <v>3.1486500234700401</v>
      </c>
      <c r="D573" s="116">
        <v>3.12806025973507</v>
      </c>
      <c r="E573" s="116">
        <v>3.2492231001754401</v>
      </c>
      <c r="F573" s="116">
        <v>198.8</v>
      </c>
      <c r="G573">
        <v>6476</v>
      </c>
      <c r="H573" s="116"/>
      <c r="I573" s="116"/>
      <c r="L573" s="170"/>
    </row>
    <row r="574" spans="1:12" x14ac:dyDescent="0.25">
      <c r="A574" s="170">
        <v>42850</v>
      </c>
      <c r="B574" s="116">
        <v>3.30544899345169</v>
      </c>
      <c r="C574" s="116">
        <v>3.30544899345169</v>
      </c>
      <c r="D574" s="116">
        <v>3.2468473582060202</v>
      </c>
      <c r="E574" s="116">
        <v>3.2808996597676998</v>
      </c>
      <c r="F574" s="116">
        <v>208.7</v>
      </c>
      <c r="G574">
        <v>37300</v>
      </c>
      <c r="H574" s="116"/>
      <c r="I574" s="116"/>
      <c r="L574" s="170"/>
    </row>
    <row r="575" spans="1:12" x14ac:dyDescent="0.25">
      <c r="A575" s="170">
        <v>42851</v>
      </c>
      <c r="B575" s="116">
        <v>3.4701671033314101</v>
      </c>
      <c r="C575" s="116">
        <v>3.4630398774231601</v>
      </c>
      <c r="D575" s="116">
        <v>3.4004786722284601</v>
      </c>
      <c r="E575" s="116">
        <v>3.4004786722284601</v>
      </c>
      <c r="F575" s="116">
        <v>218.65</v>
      </c>
      <c r="G575">
        <v>37834</v>
      </c>
      <c r="H575" s="116"/>
      <c r="I575" s="116"/>
      <c r="L575" s="170"/>
    </row>
    <row r="576" spans="1:12" x14ac:dyDescent="0.25">
      <c r="A576" s="170">
        <v>42852</v>
      </c>
      <c r="B576" s="116">
        <v>3.5319363945363098</v>
      </c>
      <c r="C576" s="116">
        <v>3.2904026276453702</v>
      </c>
      <c r="D576" s="116">
        <v>3.2904026276453702</v>
      </c>
      <c r="E576" s="116">
        <v>3.4844215551479301</v>
      </c>
      <c r="F576" s="116">
        <v>207.75</v>
      </c>
      <c r="G576">
        <v>16905</v>
      </c>
      <c r="H576" s="116"/>
      <c r="I576" s="116"/>
      <c r="L576" s="170"/>
    </row>
    <row r="577" spans="1:18" x14ac:dyDescent="0.25">
      <c r="A577" s="170">
        <v>42853</v>
      </c>
      <c r="B577" s="116">
        <v>3.3102004773905298</v>
      </c>
      <c r="C577" s="116">
        <v>3.2452635302264099</v>
      </c>
      <c r="D577" s="116">
        <v>3.1549853353884898</v>
      </c>
      <c r="E577" s="116">
        <v>3.2904026276453702</v>
      </c>
      <c r="F577" s="116">
        <v>204.9</v>
      </c>
      <c r="G577">
        <v>10828</v>
      </c>
      <c r="H577" s="116"/>
      <c r="I577" s="116"/>
      <c r="L577" s="170"/>
    </row>
    <row r="578" spans="1:18" x14ac:dyDescent="0.25">
      <c r="A578" s="170">
        <v>42857</v>
      </c>
      <c r="B578" s="116">
        <v>3.2642694659817599</v>
      </c>
      <c r="C578" s="116">
        <v>3.25476649810409</v>
      </c>
      <c r="D578" s="116">
        <v>3.0837130763059202</v>
      </c>
      <c r="E578" s="116">
        <v>3.2230899385118299</v>
      </c>
      <c r="F578" s="116">
        <v>205.5</v>
      </c>
      <c r="G578">
        <v>5488</v>
      </c>
      <c r="H578" s="116"/>
      <c r="I578" s="116"/>
      <c r="L578" s="170"/>
    </row>
    <row r="579" spans="1:18" x14ac:dyDescent="0.25">
      <c r="A579" s="170">
        <v>42858</v>
      </c>
      <c r="B579" s="116">
        <v>3.2642694659817599</v>
      </c>
      <c r="C579" s="116">
        <v>3.23576056234874</v>
      </c>
      <c r="D579" s="116">
        <v>3.1043028400408801</v>
      </c>
      <c r="E579" s="116">
        <v>3.18349423902152</v>
      </c>
      <c r="F579" s="116">
        <v>204.3</v>
      </c>
      <c r="G579">
        <v>6967</v>
      </c>
      <c r="H579" s="116"/>
      <c r="I579" s="116"/>
      <c r="L579" s="170"/>
    </row>
    <row r="580" spans="1:18" x14ac:dyDescent="0.25">
      <c r="A580" s="170">
        <v>42859</v>
      </c>
      <c r="B580" s="116">
        <v>3.2927783696147901</v>
      </c>
      <c r="C580" s="116">
        <v>3.1415227975617799</v>
      </c>
      <c r="D580" s="116">
        <v>3.11697346387778</v>
      </c>
      <c r="E580" s="116">
        <v>3.11697346387778</v>
      </c>
      <c r="F580" s="116">
        <v>198.35</v>
      </c>
      <c r="G580">
        <v>1027</v>
      </c>
      <c r="H580" s="116"/>
      <c r="I580" s="116"/>
      <c r="L580" s="170"/>
    </row>
    <row r="581" spans="1:18" x14ac:dyDescent="0.25">
      <c r="A581" s="170">
        <v>42860</v>
      </c>
      <c r="B581" s="116">
        <v>3.1676559592253901</v>
      </c>
      <c r="C581" s="116">
        <v>3.07341819443843</v>
      </c>
      <c r="D581" s="116">
        <v>3.0726262804486302</v>
      </c>
      <c r="E581" s="116">
        <v>3.1676559592253901</v>
      </c>
      <c r="F581" s="116">
        <v>194.05</v>
      </c>
      <c r="G581">
        <v>2311</v>
      </c>
      <c r="H581" s="116"/>
      <c r="I581" s="116"/>
      <c r="L581" s="170"/>
    </row>
    <row r="582" spans="1:18" x14ac:dyDescent="0.25">
      <c r="A582" s="170">
        <v>42863</v>
      </c>
      <c r="B582" s="116">
        <v>3.1929972068991899</v>
      </c>
      <c r="C582" s="116">
        <v>3.0884645602447498</v>
      </c>
      <c r="D582" s="116">
        <v>3.0805454203466902</v>
      </c>
      <c r="E582" s="116">
        <v>3.0884645602447498</v>
      </c>
      <c r="F582" s="116">
        <v>195</v>
      </c>
      <c r="G582">
        <v>1774</v>
      </c>
      <c r="H582" s="116"/>
      <c r="I582" s="116"/>
      <c r="L582" s="170"/>
    </row>
    <row r="583" spans="1:18" x14ac:dyDescent="0.25">
      <c r="A583" s="170">
        <v>42864</v>
      </c>
      <c r="B583" s="116">
        <v>3.22150611053222</v>
      </c>
      <c r="C583" s="116">
        <v>3.1906214649297699</v>
      </c>
      <c r="D583" s="116">
        <v>3.0884645602447498</v>
      </c>
      <c r="E583" s="116">
        <v>3.0884645602447498</v>
      </c>
      <c r="F583" s="116">
        <v>201.45</v>
      </c>
      <c r="G583">
        <v>5115</v>
      </c>
      <c r="H583" s="116"/>
      <c r="I583" s="116"/>
      <c r="L583" s="170"/>
    </row>
    <row r="584" spans="1:18" x14ac:dyDescent="0.25">
      <c r="A584" s="170">
        <v>42865</v>
      </c>
      <c r="B584" s="116">
        <v>3.3102004773905298</v>
      </c>
      <c r="C584" s="116">
        <v>3.1858699809909399</v>
      </c>
      <c r="D584" s="116">
        <v>3.0963837001428201</v>
      </c>
      <c r="E584" s="116">
        <v>3.3102004773905298</v>
      </c>
      <c r="F584" s="116">
        <v>201.15</v>
      </c>
      <c r="G584">
        <v>3903</v>
      </c>
      <c r="H584" s="116"/>
      <c r="I584" s="116"/>
      <c r="L584" s="170">
        <v>42864</v>
      </c>
      <c r="M584" s="116">
        <v>558.71</v>
      </c>
      <c r="N584" s="116">
        <v>570.68999999999994</v>
      </c>
      <c r="O584" s="116">
        <v>556.41000000000008</v>
      </c>
      <c r="P584" s="116">
        <v>570.4</v>
      </c>
      <c r="Q584" s="116">
        <v>2793.55</v>
      </c>
      <c r="R584">
        <v>85188</v>
      </c>
    </row>
    <row r="585" spans="1:18" x14ac:dyDescent="0.25">
      <c r="A585" s="170">
        <v>42866</v>
      </c>
      <c r="B585" s="116">
        <v>3.32524684319685</v>
      </c>
      <c r="C585" s="116">
        <v>3.2476392721958298</v>
      </c>
      <c r="D585" s="116">
        <v>3.1043028400408801</v>
      </c>
      <c r="E585" s="116">
        <v>3.32524684319685</v>
      </c>
      <c r="F585" s="116">
        <v>205.05</v>
      </c>
      <c r="G585">
        <v>7318</v>
      </c>
      <c r="H585" s="116"/>
      <c r="I585" s="116"/>
      <c r="L585" s="170">
        <v>42865</v>
      </c>
      <c r="M585" s="116">
        <v>560.98</v>
      </c>
      <c r="N585" s="116">
        <v>573.6</v>
      </c>
      <c r="O585" s="116">
        <v>556.02</v>
      </c>
      <c r="P585" s="116">
        <v>556.02</v>
      </c>
      <c r="Q585" s="116">
        <v>2804.9</v>
      </c>
      <c r="R585">
        <v>152608</v>
      </c>
    </row>
    <row r="586" spans="1:18" x14ac:dyDescent="0.25">
      <c r="A586" s="170">
        <v>42867</v>
      </c>
      <c r="B586" s="116">
        <v>3.2468473582060202</v>
      </c>
      <c r="C586" s="116">
        <v>3.19933251881764</v>
      </c>
      <c r="D586" s="116">
        <v>3.1676559592253901</v>
      </c>
      <c r="E586" s="116">
        <v>3.2072516587157098</v>
      </c>
      <c r="F586" s="116">
        <v>202</v>
      </c>
      <c r="G586">
        <v>1337</v>
      </c>
      <c r="H586" s="116"/>
      <c r="I586" s="116"/>
      <c r="L586" s="170">
        <v>42866</v>
      </c>
      <c r="M586" s="116">
        <v>548.1</v>
      </c>
      <c r="N586" s="116">
        <v>566.58999999999992</v>
      </c>
      <c r="O586" s="116">
        <v>544</v>
      </c>
      <c r="P586" s="116">
        <v>561.49</v>
      </c>
      <c r="Q586" s="116">
        <v>2740.5</v>
      </c>
      <c r="R586">
        <v>111819</v>
      </c>
    </row>
    <row r="587" spans="1:18" x14ac:dyDescent="0.25">
      <c r="A587" s="170">
        <v>42870</v>
      </c>
      <c r="B587" s="116">
        <v>3.3260387571866601</v>
      </c>
      <c r="C587" s="116">
        <v>3.1486500234700401</v>
      </c>
      <c r="D587" s="116">
        <v>3.0979675281224299</v>
      </c>
      <c r="E587" s="116">
        <v>3.2626856380021501</v>
      </c>
      <c r="F587" s="116">
        <v>198.8</v>
      </c>
      <c r="G587">
        <v>10035</v>
      </c>
      <c r="H587" s="116"/>
      <c r="I587" s="116"/>
      <c r="L587" s="170">
        <v>42867</v>
      </c>
      <c r="M587" s="116">
        <v>532.16999999999996</v>
      </c>
      <c r="N587" s="116">
        <v>550.71</v>
      </c>
      <c r="O587" s="116">
        <v>527</v>
      </c>
      <c r="P587" s="116">
        <v>548.1</v>
      </c>
      <c r="Q587" s="116">
        <v>2660.85</v>
      </c>
      <c r="R587">
        <v>119282</v>
      </c>
    </row>
    <row r="588" spans="1:18" x14ac:dyDescent="0.25">
      <c r="A588" s="170">
        <v>42871</v>
      </c>
      <c r="B588" s="116">
        <v>3.30544899345169</v>
      </c>
      <c r="C588" s="116">
        <v>3.28406731572692</v>
      </c>
      <c r="D588" s="116">
        <v>3.1518176794292598</v>
      </c>
      <c r="E588" s="116">
        <v>3.1518176794292598</v>
      </c>
      <c r="F588" s="116">
        <v>207.35</v>
      </c>
      <c r="G588">
        <v>5458</v>
      </c>
      <c r="H588" s="116"/>
      <c r="I588" s="116"/>
      <c r="L588" s="170">
        <v>42870</v>
      </c>
      <c r="M588" s="116">
        <v>556.46</v>
      </c>
      <c r="N588" s="116">
        <v>561.58000000000004</v>
      </c>
      <c r="O588" s="116">
        <v>537.99</v>
      </c>
      <c r="P588" s="116">
        <v>537.99</v>
      </c>
      <c r="Q588" s="116">
        <v>2782.3</v>
      </c>
      <c r="R588">
        <v>179276</v>
      </c>
    </row>
    <row r="589" spans="1:18" x14ac:dyDescent="0.25">
      <c r="A589" s="170">
        <v>42872</v>
      </c>
      <c r="B589" s="116">
        <v>3.35771531677891</v>
      </c>
      <c r="C589" s="116">
        <v>3.2777320038084699</v>
      </c>
      <c r="D589" s="116">
        <v>3.1676559592253901</v>
      </c>
      <c r="E589" s="116">
        <v>3.18349423902152</v>
      </c>
      <c r="F589" s="116">
        <v>206.95</v>
      </c>
      <c r="G589">
        <v>2533</v>
      </c>
      <c r="H589" s="116"/>
      <c r="I589" s="116"/>
      <c r="L589" s="170">
        <v>42871</v>
      </c>
      <c r="M589" s="116">
        <v>553.08999999999992</v>
      </c>
      <c r="N589" s="116">
        <v>560</v>
      </c>
      <c r="O589" s="116">
        <v>546.4</v>
      </c>
      <c r="P589" s="116">
        <v>558.79999999999995</v>
      </c>
      <c r="Q589" s="116">
        <v>2765.45</v>
      </c>
      <c r="R589">
        <v>71294</v>
      </c>
    </row>
    <row r="590" spans="1:18" x14ac:dyDescent="0.25">
      <c r="A590" s="170">
        <v>42873</v>
      </c>
      <c r="B590" s="116">
        <v>3.4408662857085801</v>
      </c>
      <c r="C590" s="116">
        <v>3.4408662857085801</v>
      </c>
      <c r="D590" s="116">
        <v>3.1676559592253901</v>
      </c>
      <c r="E590" s="116">
        <v>3.2468473582060202</v>
      </c>
      <c r="F590" s="116">
        <v>217.25</v>
      </c>
      <c r="G590">
        <v>14176</v>
      </c>
      <c r="H590" s="116"/>
      <c r="I590" s="116"/>
      <c r="L590" s="170">
        <v>42872</v>
      </c>
      <c r="M590" s="116">
        <v>551.79</v>
      </c>
      <c r="N590" s="116">
        <v>559.29999999999995</v>
      </c>
      <c r="O590" s="116">
        <v>547.61</v>
      </c>
      <c r="P590" s="116">
        <v>555.4</v>
      </c>
      <c r="Q590" s="116">
        <v>2758.95</v>
      </c>
      <c r="R590">
        <v>109124</v>
      </c>
    </row>
    <row r="591" spans="1:18" x14ac:dyDescent="0.25">
      <c r="A591" s="170">
        <v>42874</v>
      </c>
      <c r="B591" s="116">
        <v>3.61271162149656</v>
      </c>
      <c r="C591" s="116">
        <v>3.61271162149656</v>
      </c>
      <c r="D591" s="116">
        <v>3.61271162149656</v>
      </c>
      <c r="E591" s="116">
        <v>3.61271162149656</v>
      </c>
      <c r="F591" s="116">
        <v>228.1</v>
      </c>
      <c r="G591">
        <v>4169</v>
      </c>
      <c r="H591" s="116"/>
      <c r="I591" s="116"/>
      <c r="L591" s="170">
        <v>42873</v>
      </c>
      <c r="M591" s="116">
        <v>534.23</v>
      </c>
      <c r="N591" s="116">
        <v>552.47</v>
      </c>
      <c r="O591" s="116">
        <v>529.79999999999995</v>
      </c>
      <c r="P591" s="116">
        <v>545</v>
      </c>
      <c r="Q591" s="116">
        <v>2671.15</v>
      </c>
      <c r="R591">
        <v>107200</v>
      </c>
    </row>
    <row r="592" spans="1:18" x14ac:dyDescent="0.25">
      <c r="A592" s="170">
        <v>42877</v>
      </c>
      <c r="B592" s="116">
        <v>3.7932680111724002</v>
      </c>
      <c r="C592" s="116">
        <v>3.7924760971825999</v>
      </c>
      <c r="D592" s="116">
        <v>3.6515154069970701</v>
      </c>
      <c r="E592" s="116">
        <v>3.7837650432947298</v>
      </c>
      <c r="F592" s="116">
        <v>239.45</v>
      </c>
      <c r="G592">
        <v>24819</v>
      </c>
      <c r="H592" s="116"/>
      <c r="I592" s="116"/>
      <c r="L592" s="170">
        <v>42874</v>
      </c>
      <c r="M592" s="116">
        <v>523.91000000000008</v>
      </c>
      <c r="N592" s="116">
        <v>542.79999999999995</v>
      </c>
      <c r="O592" s="116">
        <v>514</v>
      </c>
      <c r="P592" s="116">
        <v>531.41999999999996</v>
      </c>
      <c r="Q592" s="116">
        <v>2619.5500000000002</v>
      </c>
      <c r="R592">
        <v>118052</v>
      </c>
    </row>
    <row r="593" spans="1:18" x14ac:dyDescent="0.25">
      <c r="A593" s="170">
        <v>42878</v>
      </c>
      <c r="B593" s="116">
        <v>3.9112631956535502</v>
      </c>
      <c r="C593" s="116">
        <v>3.6673536867932</v>
      </c>
      <c r="D593" s="116">
        <v>3.6032086536188799</v>
      </c>
      <c r="E593" s="116">
        <v>3.80118715107047</v>
      </c>
      <c r="F593" s="116">
        <v>231.55</v>
      </c>
      <c r="G593">
        <v>14093</v>
      </c>
      <c r="H593" s="116"/>
      <c r="I593" s="116"/>
      <c r="L593" s="170">
        <v>42877</v>
      </c>
      <c r="M593" s="116">
        <v>505.57</v>
      </c>
      <c r="N593" s="116">
        <v>530.20000000000005</v>
      </c>
      <c r="O593" s="116">
        <v>501.6</v>
      </c>
      <c r="P593" s="116">
        <v>526.74</v>
      </c>
      <c r="Q593" s="116">
        <v>2527.85</v>
      </c>
      <c r="R593">
        <v>91727</v>
      </c>
    </row>
    <row r="594" spans="1:18" x14ac:dyDescent="0.25">
      <c r="A594" s="170">
        <v>42879</v>
      </c>
      <c r="B594" s="116">
        <v>3.8502858184384601</v>
      </c>
      <c r="C594" s="116">
        <v>3.6911111064873898</v>
      </c>
      <c r="D594" s="116">
        <v>3.6428043531092</v>
      </c>
      <c r="E594" s="116">
        <v>3.7219957520898301</v>
      </c>
      <c r="F594" s="116">
        <v>233.05</v>
      </c>
      <c r="G594">
        <v>9501</v>
      </c>
      <c r="H594" s="116"/>
      <c r="I594" s="116"/>
      <c r="L594" s="170">
        <v>42878</v>
      </c>
      <c r="M594" s="116">
        <v>517.9</v>
      </c>
      <c r="N594" s="116">
        <v>534.79999999999995</v>
      </c>
      <c r="O594" s="116">
        <v>489.03999999999996</v>
      </c>
      <c r="P594" s="116">
        <v>510</v>
      </c>
      <c r="Q594" s="116">
        <v>2589.5</v>
      </c>
      <c r="R594">
        <v>203719</v>
      </c>
    </row>
    <row r="595" spans="1:18" x14ac:dyDescent="0.25">
      <c r="A595" s="170">
        <v>42880</v>
      </c>
      <c r="B595" s="116">
        <v>3.7219957520898301</v>
      </c>
      <c r="C595" s="116">
        <v>3.6356771272009398</v>
      </c>
      <c r="D595" s="116">
        <v>3.6111277935169399</v>
      </c>
      <c r="E595" s="116">
        <v>3.7219957520898301</v>
      </c>
      <c r="F595" s="116">
        <v>229.55</v>
      </c>
      <c r="G595">
        <v>7685</v>
      </c>
      <c r="H595" s="116"/>
      <c r="I595" s="116"/>
      <c r="L595" s="170">
        <v>42879</v>
      </c>
      <c r="M595" s="116">
        <v>514.72</v>
      </c>
      <c r="N595" s="116">
        <v>527.99</v>
      </c>
      <c r="O595" s="116">
        <v>505.41</v>
      </c>
      <c r="P595" s="116">
        <v>519.99</v>
      </c>
      <c r="Q595" s="116">
        <v>2573.6</v>
      </c>
      <c r="R595">
        <v>105887</v>
      </c>
    </row>
    <row r="596" spans="1:18" x14ac:dyDescent="0.25">
      <c r="A596" s="170">
        <v>42881</v>
      </c>
      <c r="B596" s="116">
        <v>3.8170254308665901</v>
      </c>
      <c r="C596" s="116">
        <v>3.8170254308665901</v>
      </c>
      <c r="D596" s="116">
        <v>3.7219957520898301</v>
      </c>
      <c r="E596" s="116">
        <v>3.7853488712743402</v>
      </c>
      <c r="F596" s="116">
        <v>241</v>
      </c>
      <c r="G596">
        <v>15344</v>
      </c>
      <c r="H596" s="116"/>
      <c r="I596" s="116"/>
      <c r="L596" s="170">
        <v>42880</v>
      </c>
      <c r="M596" s="116">
        <v>528.23</v>
      </c>
      <c r="N596" s="116">
        <v>531.77</v>
      </c>
      <c r="O596" s="116">
        <v>516.01</v>
      </c>
      <c r="P596" s="116">
        <v>519.79999999999995</v>
      </c>
      <c r="Q596" s="116">
        <v>2641.15</v>
      </c>
      <c r="R596">
        <v>84294</v>
      </c>
    </row>
    <row r="597" spans="1:18" x14ac:dyDescent="0.25">
      <c r="A597" s="170">
        <v>42884</v>
      </c>
      <c r="B597" s="116">
        <v>4.00787670240992</v>
      </c>
      <c r="C597" s="116">
        <v>4.0070847884201202</v>
      </c>
      <c r="D597" s="116">
        <v>3.9199742495414198</v>
      </c>
      <c r="E597" s="116">
        <v>3.9437316692356101</v>
      </c>
      <c r="F597" s="116">
        <v>253</v>
      </c>
      <c r="G597">
        <v>14599</v>
      </c>
      <c r="H597" s="116"/>
      <c r="I597" s="116"/>
      <c r="L597" s="170">
        <v>42881</v>
      </c>
      <c r="M597" s="116">
        <v>526.27</v>
      </c>
      <c r="N597" s="116">
        <v>534.01</v>
      </c>
      <c r="O597" s="116">
        <v>514.04</v>
      </c>
      <c r="P597" s="116">
        <v>527.88</v>
      </c>
      <c r="Q597" s="116">
        <v>2631.35</v>
      </c>
      <c r="R597">
        <v>118527</v>
      </c>
    </row>
    <row r="598" spans="1:18" x14ac:dyDescent="0.25">
      <c r="A598" s="170">
        <v>42885</v>
      </c>
      <c r="B598" s="116">
        <v>3.95956994903174</v>
      </c>
      <c r="C598" s="116">
        <v>3.80831437697872</v>
      </c>
      <c r="D598" s="116">
        <v>3.8067305489991101</v>
      </c>
      <c r="E598" s="116">
        <v>3.95956994903174</v>
      </c>
      <c r="F598" s="116">
        <v>240.45</v>
      </c>
      <c r="G598">
        <v>8061</v>
      </c>
      <c r="H598" s="116"/>
      <c r="I598" s="116"/>
      <c r="L598" s="170">
        <v>42884</v>
      </c>
      <c r="M598" s="116">
        <v>524</v>
      </c>
      <c r="N598" s="116">
        <v>532.11</v>
      </c>
      <c r="O598" s="116">
        <v>518</v>
      </c>
      <c r="P598" s="116">
        <v>522</v>
      </c>
      <c r="Q598" s="116">
        <v>2620</v>
      </c>
      <c r="R598">
        <v>62984</v>
      </c>
    </row>
    <row r="599" spans="1:18" x14ac:dyDescent="0.25">
      <c r="A599" s="170">
        <v>42886</v>
      </c>
      <c r="B599" s="116">
        <v>3.93818827130697</v>
      </c>
      <c r="C599" s="116">
        <v>3.8391990225811701</v>
      </c>
      <c r="D599" s="116">
        <v>3.6182550194252001</v>
      </c>
      <c r="E599" s="116">
        <v>3.6182550194252001</v>
      </c>
      <c r="F599" s="116">
        <v>242.4</v>
      </c>
      <c r="G599">
        <v>10803</v>
      </c>
      <c r="H599" s="116"/>
      <c r="I599" s="116"/>
      <c r="L599" s="170">
        <v>42885</v>
      </c>
      <c r="M599" s="116">
        <v>545.54</v>
      </c>
      <c r="N599" s="116">
        <v>547.58000000000004</v>
      </c>
      <c r="O599" s="116">
        <v>521</v>
      </c>
      <c r="P599" s="116">
        <v>522.96</v>
      </c>
      <c r="Q599" s="116">
        <v>2727.7</v>
      </c>
      <c r="R599">
        <v>124961</v>
      </c>
    </row>
    <row r="600" spans="1:18" x14ac:dyDescent="0.25">
      <c r="A600" s="170">
        <v>42887</v>
      </c>
      <c r="B600" s="116">
        <v>4.0308422081143096</v>
      </c>
      <c r="C600" s="116">
        <v>4.0308422081143096</v>
      </c>
      <c r="D600" s="116">
        <v>3.73862594587577</v>
      </c>
      <c r="E600" s="116">
        <v>3.73862594587577</v>
      </c>
      <c r="F600" s="116">
        <v>254.5</v>
      </c>
      <c r="G600">
        <v>15170</v>
      </c>
      <c r="H600" s="116"/>
      <c r="I600" s="116"/>
      <c r="L600" s="170">
        <v>42886</v>
      </c>
      <c r="M600" s="116">
        <v>542.75</v>
      </c>
      <c r="N600" s="116">
        <v>550.4</v>
      </c>
      <c r="O600" s="116">
        <v>533.72</v>
      </c>
      <c r="P600" s="116">
        <v>546.79999999999995</v>
      </c>
      <c r="Q600" s="116">
        <v>2713.75</v>
      </c>
      <c r="R600">
        <v>170189</v>
      </c>
    </row>
    <row r="601" spans="1:18" x14ac:dyDescent="0.25">
      <c r="A601" s="170">
        <v>42888</v>
      </c>
      <c r="B601" s="116">
        <v>4.2288207055658997</v>
      </c>
      <c r="C601" s="116">
        <v>4.2042713718818998</v>
      </c>
      <c r="D601" s="116">
        <v>4.0070847884201202</v>
      </c>
      <c r="E601" s="116">
        <v>4.2288207055658997</v>
      </c>
      <c r="F601" s="116">
        <v>265.45</v>
      </c>
      <c r="G601">
        <v>10261</v>
      </c>
      <c r="H601" s="116"/>
      <c r="I601" s="116"/>
      <c r="L601" s="170">
        <v>42887</v>
      </c>
      <c r="M601" s="116">
        <v>549.08999999999992</v>
      </c>
      <c r="N601" s="116">
        <v>551.79999999999995</v>
      </c>
      <c r="O601" s="116">
        <v>535.75</v>
      </c>
      <c r="P601" s="116">
        <v>539.01</v>
      </c>
      <c r="Q601" s="116">
        <v>2745.45</v>
      </c>
      <c r="R601">
        <v>94569</v>
      </c>
    </row>
    <row r="602" spans="1:18" x14ac:dyDescent="0.25">
      <c r="A602" s="170">
        <v>42891</v>
      </c>
      <c r="B602" s="116">
        <v>4.35552694393491</v>
      </c>
      <c r="C602" s="116">
        <v>4.1868492641061597</v>
      </c>
      <c r="D602" s="116">
        <v>4.12587188689107</v>
      </c>
      <c r="E602" s="116">
        <v>4.3547350299451004</v>
      </c>
      <c r="F602" s="116">
        <v>264.35000000000002</v>
      </c>
      <c r="G602">
        <v>5440</v>
      </c>
      <c r="H602" s="116"/>
      <c r="I602" s="116"/>
      <c r="L602" s="170">
        <v>42888</v>
      </c>
      <c r="M602" s="116">
        <v>545.31999999999994</v>
      </c>
      <c r="N602" s="116">
        <v>552.99</v>
      </c>
      <c r="O602" s="116">
        <v>544</v>
      </c>
      <c r="P602" s="116">
        <v>552.79999999999995</v>
      </c>
      <c r="Q602" s="116">
        <v>2726.6</v>
      </c>
      <c r="R602">
        <v>48890</v>
      </c>
    </row>
    <row r="603" spans="1:18" x14ac:dyDescent="0.25">
      <c r="A603" s="170">
        <v>42892</v>
      </c>
      <c r="B603" s="116">
        <v>4.35552694393491</v>
      </c>
      <c r="C603" s="116">
        <v>4.2185258236984096</v>
      </c>
      <c r="D603" s="116">
        <v>4.1179527469930104</v>
      </c>
      <c r="E603" s="116">
        <v>4.3476078040368504</v>
      </c>
      <c r="F603" s="116">
        <v>266.35000000000002</v>
      </c>
      <c r="G603">
        <v>5511</v>
      </c>
      <c r="H603" s="116"/>
      <c r="I603" s="116"/>
      <c r="L603" s="170">
        <v>42891</v>
      </c>
      <c r="M603" s="116">
        <v>556.99</v>
      </c>
      <c r="N603" s="116">
        <v>560</v>
      </c>
      <c r="O603" s="116">
        <v>547</v>
      </c>
      <c r="P603" s="116">
        <v>550.4</v>
      </c>
      <c r="Q603" s="116">
        <v>2784.95</v>
      </c>
      <c r="R603">
        <v>99492</v>
      </c>
    </row>
    <row r="604" spans="1:18" x14ac:dyDescent="0.25">
      <c r="A604" s="170">
        <v>42893</v>
      </c>
      <c r="B604" s="116">
        <v>4.3072201905567198</v>
      </c>
      <c r="C604" s="116">
        <v>4.1440859086566197</v>
      </c>
      <c r="D604" s="116">
        <v>4.0094605303895401</v>
      </c>
      <c r="E604" s="116">
        <v>4.1813058661775102</v>
      </c>
      <c r="F604" s="116">
        <v>261.64999999999998</v>
      </c>
      <c r="G604">
        <v>8047</v>
      </c>
      <c r="H604" s="116"/>
      <c r="I604" s="116"/>
      <c r="L604" s="170">
        <v>42892</v>
      </c>
      <c r="M604" s="116">
        <v>553.81999999999994</v>
      </c>
      <c r="N604" s="116">
        <v>559.96</v>
      </c>
      <c r="O604" s="116">
        <v>546.79999999999995</v>
      </c>
      <c r="P604" s="116">
        <v>555.4</v>
      </c>
      <c r="Q604" s="116">
        <v>2769.1</v>
      </c>
      <c r="R604">
        <v>46533</v>
      </c>
    </row>
    <row r="605" spans="1:18" x14ac:dyDescent="0.25">
      <c r="A605" s="170">
        <v>42894</v>
      </c>
      <c r="B605" s="116">
        <v>4.2446589853620198</v>
      </c>
      <c r="C605" s="116">
        <v>4.23040453354551</v>
      </c>
      <c r="D605" s="116">
        <v>3.94531549721522</v>
      </c>
      <c r="E605" s="116">
        <v>4.1512131345648697</v>
      </c>
      <c r="F605" s="116">
        <v>267.10000000000002</v>
      </c>
      <c r="G605">
        <v>4928</v>
      </c>
      <c r="H605" s="116"/>
      <c r="I605" s="116"/>
      <c r="L605" s="170">
        <v>42893</v>
      </c>
      <c r="M605" s="116">
        <v>581.65</v>
      </c>
      <c r="N605" s="116">
        <v>589.41000000000008</v>
      </c>
      <c r="O605" s="116">
        <v>553.16999999999996</v>
      </c>
      <c r="P605" s="116">
        <v>554.4</v>
      </c>
      <c r="Q605" s="116">
        <v>2908.25</v>
      </c>
      <c r="R605">
        <v>375804</v>
      </c>
    </row>
    <row r="606" spans="1:18" x14ac:dyDescent="0.25">
      <c r="A606" s="170">
        <v>42895</v>
      </c>
      <c r="B606" s="116">
        <v>4.4149204931703903</v>
      </c>
      <c r="C606" s="116">
        <v>4.1971441459736401</v>
      </c>
      <c r="D606" s="116">
        <v>4.1337910267891296</v>
      </c>
      <c r="E606" s="116">
        <v>4.4149204931703903</v>
      </c>
      <c r="F606" s="116">
        <v>265</v>
      </c>
      <c r="G606">
        <v>3458</v>
      </c>
      <c r="H606" s="116"/>
      <c r="I606" s="116"/>
      <c r="L606" s="170">
        <v>42894</v>
      </c>
      <c r="M606" s="116">
        <v>580.01</v>
      </c>
      <c r="N606" s="116">
        <v>588.01</v>
      </c>
      <c r="O606" s="116">
        <v>574</v>
      </c>
      <c r="P606" s="116">
        <v>587.6</v>
      </c>
      <c r="Q606" s="116">
        <v>2900.05</v>
      </c>
      <c r="R606">
        <v>152775</v>
      </c>
    </row>
    <row r="607" spans="1:18" x14ac:dyDescent="0.25">
      <c r="A607" s="170">
        <v>42898</v>
      </c>
      <c r="B607" s="116">
        <v>4.3238503843426601</v>
      </c>
      <c r="C607" s="116">
        <v>4.2098147698105404</v>
      </c>
      <c r="D607" s="116">
        <v>4.2050632858717103</v>
      </c>
      <c r="E607" s="116">
        <v>4.2604972651581496</v>
      </c>
      <c r="F607" s="116">
        <v>265.8</v>
      </c>
      <c r="G607">
        <v>5484</v>
      </c>
      <c r="H607" s="116"/>
      <c r="I607" s="116"/>
      <c r="L607" s="170">
        <v>42895</v>
      </c>
      <c r="M607" s="116">
        <v>597.89</v>
      </c>
      <c r="N607" s="116">
        <v>602</v>
      </c>
      <c r="O607" s="116">
        <v>574.22</v>
      </c>
      <c r="P607" s="116">
        <v>581.76</v>
      </c>
      <c r="Q607" s="116">
        <v>2989.45</v>
      </c>
      <c r="R607">
        <v>199674</v>
      </c>
    </row>
    <row r="608" spans="1:18" x14ac:dyDescent="0.25">
      <c r="A608" s="170">
        <v>42899</v>
      </c>
      <c r="B608" s="116">
        <v>4.35552694393491</v>
      </c>
      <c r="C608" s="116">
        <v>4.2296126195556996</v>
      </c>
      <c r="D608" s="116">
        <v>4.1377505967381696</v>
      </c>
      <c r="E608" s="116">
        <v>4.2288207055658997</v>
      </c>
      <c r="F608" s="116">
        <v>267.05</v>
      </c>
      <c r="G608">
        <v>6862</v>
      </c>
      <c r="H608" s="116"/>
      <c r="I608" s="116"/>
      <c r="L608" s="170">
        <v>42898</v>
      </c>
      <c r="M608" s="116">
        <v>604.96</v>
      </c>
      <c r="N608" s="116">
        <v>615.20000000000005</v>
      </c>
      <c r="O608" s="116">
        <v>597.38</v>
      </c>
      <c r="P608" s="116">
        <v>597.4</v>
      </c>
      <c r="Q608" s="116">
        <v>3024.8</v>
      </c>
      <c r="R608">
        <v>299499</v>
      </c>
    </row>
    <row r="609" spans="1:18" x14ac:dyDescent="0.25">
      <c r="A609" s="170">
        <v>42900</v>
      </c>
      <c r="B609" s="116">
        <v>4.3531512019654901</v>
      </c>
      <c r="C609" s="116">
        <v>4.2581215231887297</v>
      </c>
      <c r="D609" s="116">
        <v>4.1337910267891296</v>
      </c>
      <c r="E609" s="116">
        <v>4.3531512019654901</v>
      </c>
      <c r="F609" s="116">
        <v>268.85000000000002</v>
      </c>
      <c r="G609">
        <v>2820</v>
      </c>
      <c r="H609" s="116"/>
      <c r="I609" s="116"/>
      <c r="L609" s="170">
        <v>42899</v>
      </c>
      <c r="M609" s="116">
        <v>610.93999999999994</v>
      </c>
      <c r="N609" s="116">
        <v>619</v>
      </c>
      <c r="O609" s="116">
        <v>604.1</v>
      </c>
      <c r="P609" s="116">
        <v>604.79999999999995</v>
      </c>
      <c r="Q609" s="116">
        <v>3054.7</v>
      </c>
      <c r="R609">
        <v>150189</v>
      </c>
    </row>
    <row r="610" spans="1:18" x14ac:dyDescent="0.25">
      <c r="A610" s="170">
        <v>42901</v>
      </c>
      <c r="B610" s="116">
        <v>4.28187894288292</v>
      </c>
      <c r="C610" s="116">
        <v>4.2034794578920902</v>
      </c>
      <c r="D610" s="116">
        <v>4.1496293065852603</v>
      </c>
      <c r="E610" s="116">
        <v>4.1496293065852603</v>
      </c>
      <c r="F610" s="116">
        <v>265.39999999999998</v>
      </c>
      <c r="G610">
        <v>1322</v>
      </c>
      <c r="H610" s="116"/>
      <c r="I610" s="116"/>
      <c r="L610" s="170">
        <v>42900</v>
      </c>
      <c r="M610" s="116">
        <v>613.04</v>
      </c>
      <c r="N610" s="116">
        <v>616</v>
      </c>
      <c r="O610" s="116">
        <v>604.70000000000005</v>
      </c>
      <c r="P610" s="116">
        <v>611.22</v>
      </c>
      <c r="Q610" s="116">
        <v>3065.2</v>
      </c>
      <c r="R610">
        <v>84799</v>
      </c>
    </row>
    <row r="611" spans="1:18" x14ac:dyDescent="0.25">
      <c r="A611" s="170">
        <v>42902</v>
      </c>
      <c r="B611" s="116">
        <v>4.2755436309644699</v>
      </c>
      <c r="C611" s="116">
        <v>4.16625950037119</v>
      </c>
      <c r="D611" s="116">
        <v>4.1654675863813901</v>
      </c>
      <c r="E611" s="116">
        <v>4.2755436309644699</v>
      </c>
      <c r="F611" s="116">
        <v>263.05</v>
      </c>
      <c r="G611">
        <v>3591</v>
      </c>
      <c r="H611" s="116"/>
      <c r="I611" s="116"/>
      <c r="L611" s="170">
        <v>42901</v>
      </c>
      <c r="M611" s="116">
        <v>624.38</v>
      </c>
      <c r="N611" s="116">
        <v>629.79999999999995</v>
      </c>
      <c r="O611" s="116">
        <v>612.22</v>
      </c>
      <c r="P611" s="116">
        <v>614.79999999999995</v>
      </c>
      <c r="Q611" s="116">
        <v>3121.9</v>
      </c>
      <c r="R611">
        <v>158480</v>
      </c>
    </row>
    <row r="612" spans="1:18" x14ac:dyDescent="0.25">
      <c r="A612" s="170">
        <v>42905</v>
      </c>
      <c r="B612" s="116">
        <v>4.28425468485234</v>
      </c>
      <c r="C612" s="116">
        <v>4.2256530496066702</v>
      </c>
      <c r="D612" s="116">
        <v>4.0553915417983104</v>
      </c>
      <c r="E612" s="116">
        <v>4.1179527469930104</v>
      </c>
      <c r="F612" s="116">
        <v>266.8</v>
      </c>
      <c r="G612">
        <v>1985</v>
      </c>
      <c r="H612" s="116"/>
      <c r="I612" s="116"/>
      <c r="L612" s="170">
        <v>42902</v>
      </c>
      <c r="M612" s="116">
        <v>628.24</v>
      </c>
      <c r="N612" s="116">
        <v>632.91999999999996</v>
      </c>
      <c r="O612" s="116">
        <v>624.4</v>
      </c>
      <c r="P612" s="116">
        <v>628</v>
      </c>
      <c r="Q612" s="116">
        <v>3141.2</v>
      </c>
      <c r="R612">
        <v>102674</v>
      </c>
    </row>
    <row r="613" spans="1:18" x14ac:dyDescent="0.25">
      <c r="A613" s="170">
        <v>42906</v>
      </c>
      <c r="B613" s="116">
        <v>4.2129824257697699</v>
      </c>
      <c r="C613" s="116">
        <v>4.1179527469930104</v>
      </c>
      <c r="D613" s="116">
        <v>4.1179527469930104</v>
      </c>
      <c r="E613" s="116">
        <v>4.1813058661775102</v>
      </c>
      <c r="F613" s="116">
        <v>260</v>
      </c>
      <c r="G613">
        <v>4518</v>
      </c>
      <c r="H613" s="116"/>
      <c r="I613" s="116"/>
      <c r="L613" s="170">
        <v>42905</v>
      </c>
      <c r="M613" s="116">
        <v>627.27</v>
      </c>
      <c r="N613" s="116">
        <v>634</v>
      </c>
      <c r="O613" s="116">
        <v>623.41000000000008</v>
      </c>
      <c r="P613" s="116">
        <v>634</v>
      </c>
      <c r="Q613" s="116">
        <v>3136.35</v>
      </c>
      <c r="R613">
        <v>73387</v>
      </c>
    </row>
    <row r="614" spans="1:18" x14ac:dyDescent="0.25">
      <c r="A614" s="170">
        <v>42907</v>
      </c>
      <c r="B614" s="116">
        <v>4.3238503843426601</v>
      </c>
      <c r="C614" s="116">
        <v>4.3238503843426601</v>
      </c>
      <c r="D614" s="116">
        <v>4.1179527469930104</v>
      </c>
      <c r="E614" s="116">
        <v>4.1179527469930104</v>
      </c>
      <c r="F614" s="116">
        <v>273</v>
      </c>
      <c r="G614">
        <v>8014</v>
      </c>
      <c r="H614" s="116"/>
      <c r="I614" s="116"/>
      <c r="L614" s="170">
        <v>42906</v>
      </c>
      <c r="M614" s="116">
        <v>639.93999999999994</v>
      </c>
      <c r="N614" s="116">
        <v>643.6</v>
      </c>
      <c r="O614" s="116">
        <v>624.01</v>
      </c>
      <c r="P614" s="116">
        <v>629</v>
      </c>
      <c r="Q614" s="116">
        <v>3199.7</v>
      </c>
      <c r="R614">
        <v>160263</v>
      </c>
    </row>
    <row r="615" spans="1:18" x14ac:dyDescent="0.25">
      <c r="A615" s="170">
        <v>42908</v>
      </c>
      <c r="B615" s="116">
        <v>4.5400429035597902</v>
      </c>
      <c r="C615" s="116">
        <v>4.5400429035597902</v>
      </c>
      <c r="D615" s="116">
        <v>4.35552694393491</v>
      </c>
      <c r="E615" s="116">
        <v>4.35552694393491</v>
      </c>
      <c r="F615" s="116">
        <v>286.64999999999998</v>
      </c>
      <c r="G615">
        <v>6937</v>
      </c>
      <c r="H615" s="116"/>
      <c r="I615" s="116"/>
      <c r="L615" s="170">
        <v>42907</v>
      </c>
      <c r="M615" s="116">
        <v>651.93999999999994</v>
      </c>
      <c r="N615" s="116">
        <v>660</v>
      </c>
      <c r="O615" s="116">
        <v>638</v>
      </c>
      <c r="P615" s="116">
        <v>639.79999999999995</v>
      </c>
      <c r="Q615" s="116">
        <v>3259.7</v>
      </c>
      <c r="R615">
        <v>238946</v>
      </c>
    </row>
    <row r="616" spans="1:18" x14ac:dyDescent="0.25">
      <c r="A616" s="170">
        <v>42909</v>
      </c>
      <c r="B616" s="116">
        <v>4.7499001108584702</v>
      </c>
      <c r="C616" s="116">
        <v>4.4505566227116704</v>
      </c>
      <c r="D616" s="116">
        <v>4.3784924496392899</v>
      </c>
      <c r="E616" s="116">
        <v>4.7499001108584702</v>
      </c>
      <c r="F616" s="116">
        <v>281</v>
      </c>
      <c r="G616">
        <v>8976</v>
      </c>
      <c r="H616" s="116"/>
      <c r="I616" s="116"/>
      <c r="L616" s="170">
        <v>42908</v>
      </c>
      <c r="M616" s="116">
        <v>650.95000000000005</v>
      </c>
      <c r="N616" s="116">
        <v>666</v>
      </c>
      <c r="O616" s="116">
        <v>646</v>
      </c>
      <c r="P616" s="116">
        <v>658.38</v>
      </c>
      <c r="Q616" s="116">
        <v>3254.75</v>
      </c>
      <c r="R616">
        <v>225633</v>
      </c>
    </row>
    <row r="617" spans="1:18" x14ac:dyDescent="0.25">
      <c r="A617" s="170">
        <v>42913</v>
      </c>
      <c r="B617" s="116">
        <v>4.6730844538472596</v>
      </c>
      <c r="C617" s="116">
        <v>4.6730844538472596</v>
      </c>
      <c r="D617" s="116">
        <v>4.4323426009461304</v>
      </c>
      <c r="E617" s="116">
        <v>4.6532866041021004</v>
      </c>
      <c r="F617" s="116">
        <v>295.05</v>
      </c>
      <c r="G617">
        <v>14416</v>
      </c>
      <c r="H617" s="116"/>
      <c r="I617" s="116"/>
      <c r="L617" s="170">
        <v>42909</v>
      </c>
      <c r="M617" s="116">
        <v>636.49</v>
      </c>
      <c r="N617" s="116">
        <v>658</v>
      </c>
      <c r="O617" s="116">
        <v>618.66000000000008</v>
      </c>
      <c r="P617" s="116">
        <v>656.12</v>
      </c>
      <c r="Q617" s="116">
        <v>3182.45</v>
      </c>
      <c r="R617">
        <v>396557</v>
      </c>
    </row>
    <row r="618" spans="1:18" x14ac:dyDescent="0.25">
      <c r="A618" s="170">
        <v>42914</v>
      </c>
      <c r="B618" s="116">
        <v>4.9066990808401298</v>
      </c>
      <c r="C618" s="116">
        <v>4.8964041989726503</v>
      </c>
      <c r="D618" s="116">
        <v>4.7514839388380796</v>
      </c>
      <c r="E618" s="116">
        <v>4.7514839388380796</v>
      </c>
      <c r="F618" s="116">
        <v>309.14999999999998</v>
      </c>
      <c r="G618">
        <v>28837</v>
      </c>
      <c r="H618" s="116"/>
      <c r="I618" s="116"/>
      <c r="L618" s="170">
        <v>42913</v>
      </c>
      <c r="M618" s="116">
        <v>613.25</v>
      </c>
      <c r="N618" s="116">
        <v>635.39</v>
      </c>
      <c r="O618" s="116">
        <v>609.01</v>
      </c>
      <c r="P618" s="116">
        <v>632.01</v>
      </c>
      <c r="Q618" s="116">
        <v>3066.25</v>
      </c>
      <c r="R618">
        <v>147605</v>
      </c>
    </row>
    <row r="619" spans="1:18" x14ac:dyDescent="0.25">
      <c r="A619" s="170">
        <v>42915</v>
      </c>
      <c r="B619" s="116">
        <v>5.1411056218228097</v>
      </c>
      <c r="C619" s="116">
        <v>4.7000095295006696</v>
      </c>
      <c r="D619" s="116">
        <v>4.6517027761224803</v>
      </c>
      <c r="E619" s="116">
        <v>5.06033039486256</v>
      </c>
      <c r="F619" s="116">
        <v>296.75</v>
      </c>
      <c r="G619">
        <v>37089</v>
      </c>
      <c r="H619" s="116"/>
      <c r="I619" s="116"/>
      <c r="L619" s="170">
        <v>42914</v>
      </c>
      <c r="M619" s="116">
        <v>621.87</v>
      </c>
      <c r="N619" s="116">
        <v>625</v>
      </c>
      <c r="O619" s="116">
        <v>600</v>
      </c>
      <c r="P619" s="116">
        <v>607</v>
      </c>
      <c r="Q619" s="116">
        <v>3109.35</v>
      </c>
      <c r="R619">
        <v>187811</v>
      </c>
    </row>
    <row r="620" spans="1:18" x14ac:dyDescent="0.25">
      <c r="A620" s="170">
        <v>42916</v>
      </c>
      <c r="B620" s="116">
        <v>4.8544327575129103</v>
      </c>
      <c r="C620" s="116">
        <v>4.6105232486525596</v>
      </c>
      <c r="D620" s="116">
        <v>4.4656029885179898</v>
      </c>
      <c r="E620" s="116">
        <v>4.67229253985745</v>
      </c>
      <c r="F620" s="116">
        <v>291.10000000000002</v>
      </c>
      <c r="G620">
        <v>12745</v>
      </c>
      <c r="H620" s="116"/>
      <c r="I620" s="116"/>
      <c r="L620" s="170">
        <v>42915</v>
      </c>
      <c r="M620" s="116">
        <v>638.78</v>
      </c>
      <c r="N620" s="116">
        <v>641.6</v>
      </c>
      <c r="O620" s="116">
        <v>624.4</v>
      </c>
      <c r="P620" s="116">
        <v>627.74</v>
      </c>
      <c r="Q620" s="116">
        <v>3193.9</v>
      </c>
      <c r="R620">
        <v>208776</v>
      </c>
    </row>
    <row r="621" spans="1:18" x14ac:dyDescent="0.25">
      <c r="A621" s="170">
        <v>42919</v>
      </c>
      <c r="B621" s="116">
        <v>4.8409702196862003</v>
      </c>
      <c r="C621" s="116">
        <v>4.8409702196862003</v>
      </c>
      <c r="D621" s="116">
        <v>4.69446613157203</v>
      </c>
      <c r="E621" s="116">
        <v>4.69446613157203</v>
      </c>
      <c r="F621" s="116">
        <v>305.64999999999998</v>
      </c>
      <c r="G621">
        <v>10108</v>
      </c>
      <c r="H621" s="116"/>
      <c r="I621" s="116"/>
      <c r="L621" s="170">
        <v>42916</v>
      </c>
      <c r="M621" s="116">
        <v>646.51</v>
      </c>
      <c r="N621" s="116">
        <v>648.18000000000006</v>
      </c>
      <c r="O621" s="116">
        <v>627.93999999999994</v>
      </c>
      <c r="P621" s="116">
        <v>633</v>
      </c>
      <c r="Q621" s="116">
        <v>3232.55</v>
      </c>
      <c r="R621">
        <v>174848</v>
      </c>
    </row>
    <row r="622" spans="1:18" x14ac:dyDescent="0.25">
      <c r="A622" s="170">
        <v>42920</v>
      </c>
      <c r="B622" s="116">
        <v>5.08250398657714</v>
      </c>
      <c r="C622" s="116">
        <v>5.0167751254232096</v>
      </c>
      <c r="D622" s="116">
        <v>4.9732198559838601</v>
      </c>
      <c r="E622" s="116">
        <v>5.0207346953722398</v>
      </c>
      <c r="F622" s="116">
        <v>316.75</v>
      </c>
      <c r="G622">
        <v>27913</v>
      </c>
      <c r="H622" s="116"/>
      <c r="I622" s="116"/>
      <c r="L622" s="170">
        <v>42919</v>
      </c>
      <c r="M622" s="116">
        <v>643.81000000000006</v>
      </c>
      <c r="N622" s="116">
        <v>649.79999999999995</v>
      </c>
      <c r="O622" s="116">
        <v>640</v>
      </c>
      <c r="P622" s="116">
        <v>645.4</v>
      </c>
      <c r="Q622" s="116">
        <v>3219.05</v>
      </c>
      <c r="R622">
        <v>95066</v>
      </c>
    </row>
    <row r="623" spans="1:18" x14ac:dyDescent="0.25">
      <c r="A623" s="170">
        <v>42921</v>
      </c>
      <c r="B623" s="116">
        <v>5.0666657067810101</v>
      </c>
      <c r="C623" s="116">
        <v>4.7665303046444096</v>
      </c>
      <c r="D623" s="116">
        <v>4.7665303046444096</v>
      </c>
      <c r="E623" s="116">
        <v>5.0666657067810101</v>
      </c>
      <c r="F623" s="116">
        <v>300.95</v>
      </c>
      <c r="G623">
        <v>12154</v>
      </c>
      <c r="H623" s="116"/>
      <c r="I623" s="116"/>
      <c r="L623" s="170">
        <v>42920</v>
      </c>
      <c r="M623" s="116">
        <v>640.28</v>
      </c>
      <c r="N623" s="116">
        <v>651.18000000000006</v>
      </c>
      <c r="O623" s="116">
        <v>637</v>
      </c>
      <c r="P623" s="116">
        <v>644</v>
      </c>
      <c r="Q623" s="116">
        <v>3201.4</v>
      </c>
      <c r="R623">
        <v>86806</v>
      </c>
    </row>
    <row r="624" spans="1:18" x14ac:dyDescent="0.25">
      <c r="A624" s="170">
        <v>42922</v>
      </c>
      <c r="B624" s="116">
        <v>5.0041045015863101</v>
      </c>
      <c r="C624" s="116">
        <v>4.6905065616229997</v>
      </c>
      <c r="D624" s="116">
        <v>4.5297480216923098</v>
      </c>
      <c r="E624" s="116">
        <v>5.0041045015863101</v>
      </c>
      <c r="F624" s="116">
        <v>296.14999999999998</v>
      </c>
      <c r="G624">
        <v>41110</v>
      </c>
      <c r="H624" s="116"/>
      <c r="I624" s="116"/>
      <c r="L624" s="170">
        <v>42921</v>
      </c>
      <c r="M624" s="116">
        <v>646.14</v>
      </c>
      <c r="N624" s="116">
        <v>655.74</v>
      </c>
      <c r="O624" s="116">
        <v>636.4</v>
      </c>
      <c r="P624" s="116">
        <v>643.4</v>
      </c>
      <c r="Q624" s="116">
        <v>3230.7</v>
      </c>
      <c r="R624">
        <v>137463</v>
      </c>
    </row>
    <row r="625" spans="1:18" x14ac:dyDescent="0.25">
      <c r="A625" s="170">
        <v>42923</v>
      </c>
      <c r="B625" s="116">
        <v>4.7039690994496999</v>
      </c>
      <c r="C625" s="116">
        <v>4.5772628610806896</v>
      </c>
      <c r="D625" s="116">
        <v>4.4584757626097398</v>
      </c>
      <c r="E625" s="116">
        <v>4.6905065616229997</v>
      </c>
      <c r="F625" s="116">
        <v>289</v>
      </c>
      <c r="G625">
        <v>25083</v>
      </c>
      <c r="H625" s="116"/>
      <c r="I625" s="116"/>
      <c r="L625" s="170">
        <v>42922</v>
      </c>
      <c r="M625" s="116">
        <v>644.93999999999994</v>
      </c>
      <c r="N625" s="116">
        <v>653.99</v>
      </c>
      <c r="O625" s="116">
        <v>642</v>
      </c>
      <c r="P625" s="116">
        <v>646</v>
      </c>
      <c r="Q625" s="116">
        <v>3224.7</v>
      </c>
      <c r="R625">
        <v>72483</v>
      </c>
    </row>
    <row r="626" spans="1:18" x14ac:dyDescent="0.25">
      <c r="A626" s="170">
        <v>42926</v>
      </c>
      <c r="B626" s="116">
        <v>4.5614245812845597</v>
      </c>
      <c r="C626" s="116">
        <v>4.3483997180266503</v>
      </c>
      <c r="D626" s="116">
        <v>4.3483997180266503</v>
      </c>
      <c r="E626" s="116">
        <v>4.35552694393491</v>
      </c>
      <c r="F626" s="116">
        <v>274.55</v>
      </c>
      <c r="G626">
        <v>7419</v>
      </c>
      <c r="H626" s="116"/>
      <c r="I626" s="116"/>
      <c r="L626" s="170">
        <v>42923</v>
      </c>
      <c r="M626" s="116">
        <v>650.61</v>
      </c>
      <c r="N626" s="116">
        <v>656.72</v>
      </c>
      <c r="O626" s="116">
        <v>643.36</v>
      </c>
      <c r="P626" s="116">
        <v>644.4</v>
      </c>
      <c r="Q626" s="116">
        <v>3253.05</v>
      </c>
      <c r="R626">
        <v>97341</v>
      </c>
    </row>
    <row r="627" spans="1:18" x14ac:dyDescent="0.25">
      <c r="A627" s="170">
        <v>42927</v>
      </c>
      <c r="B627" s="116">
        <v>4.1314152848197203</v>
      </c>
      <c r="C627" s="116">
        <v>4.1314152848197203</v>
      </c>
      <c r="D627" s="116">
        <v>4.1314152848197203</v>
      </c>
      <c r="E627" s="116">
        <v>4.1314152848197203</v>
      </c>
      <c r="F627" s="116">
        <v>260.85000000000002</v>
      </c>
      <c r="G627">
        <v>8444</v>
      </c>
      <c r="H627" s="116"/>
      <c r="I627" s="116"/>
      <c r="L627" s="170">
        <v>42926</v>
      </c>
      <c r="M627" s="116">
        <v>648.91000000000008</v>
      </c>
      <c r="N627" s="116">
        <v>656.48</v>
      </c>
      <c r="O627" s="116">
        <v>602.02</v>
      </c>
      <c r="P627" s="116">
        <v>640</v>
      </c>
      <c r="Q627" s="116">
        <v>3244.55</v>
      </c>
      <c r="R627">
        <v>27690</v>
      </c>
    </row>
    <row r="628" spans="1:18" x14ac:dyDescent="0.25">
      <c r="A628" s="170">
        <v>42928</v>
      </c>
      <c r="B628" s="116">
        <v>4.2747517169746603</v>
      </c>
      <c r="C628" s="116">
        <v>4.2113985977901596</v>
      </c>
      <c r="D628" s="116">
        <v>3.9445235832254202</v>
      </c>
      <c r="E628" s="116">
        <v>3.9445235832254202</v>
      </c>
      <c r="F628" s="116">
        <v>265.89999999999998</v>
      </c>
      <c r="G628">
        <v>14385</v>
      </c>
      <c r="H628" s="116"/>
      <c r="I628" s="116"/>
      <c r="L628" s="170">
        <v>42927</v>
      </c>
      <c r="M628" s="116">
        <v>642.20000000000005</v>
      </c>
      <c r="N628" s="116">
        <v>653.99</v>
      </c>
      <c r="O628" s="116">
        <v>640</v>
      </c>
      <c r="P628" s="116">
        <v>651.78</v>
      </c>
      <c r="Q628" s="116">
        <v>3211</v>
      </c>
      <c r="R628">
        <v>54935</v>
      </c>
    </row>
    <row r="629" spans="1:18" x14ac:dyDescent="0.25">
      <c r="A629" s="170">
        <v>42929</v>
      </c>
      <c r="B629" s="116">
        <v>4.1971441459736401</v>
      </c>
      <c r="C629" s="116">
        <v>4.0379694340225596</v>
      </c>
      <c r="D629" s="116">
        <v>4.0070847884201202</v>
      </c>
      <c r="E629" s="116">
        <v>4.0387613480123701</v>
      </c>
      <c r="F629" s="116">
        <v>254.95</v>
      </c>
      <c r="G629">
        <v>5680</v>
      </c>
      <c r="H629" s="116"/>
      <c r="I629" s="116"/>
      <c r="L629" s="170">
        <v>42928</v>
      </c>
      <c r="M629" s="116">
        <v>640.31000000000006</v>
      </c>
      <c r="N629" s="116">
        <v>647.89</v>
      </c>
      <c r="O629" s="116">
        <v>637.56000000000006</v>
      </c>
      <c r="P629" s="116">
        <v>644.4</v>
      </c>
      <c r="Q629" s="116">
        <v>3201.55</v>
      </c>
      <c r="R629">
        <v>66837</v>
      </c>
    </row>
    <row r="630" spans="1:18" x14ac:dyDescent="0.25">
      <c r="A630" s="170">
        <v>42930</v>
      </c>
      <c r="B630" s="116">
        <v>4.1179527469930104</v>
      </c>
      <c r="C630" s="116">
        <v>4.0284664661448897</v>
      </c>
      <c r="D630" s="116">
        <v>3.8692917541938101</v>
      </c>
      <c r="E630" s="116">
        <v>4.1179527469930104</v>
      </c>
      <c r="F630" s="116">
        <v>254.35</v>
      </c>
      <c r="G630">
        <v>12783</v>
      </c>
      <c r="H630" s="116"/>
      <c r="I630" s="116"/>
      <c r="L630" s="170">
        <v>42929</v>
      </c>
      <c r="M630" s="116">
        <v>641.20000000000005</v>
      </c>
      <c r="N630" s="116">
        <v>647.78</v>
      </c>
      <c r="O630" s="116">
        <v>638.11</v>
      </c>
      <c r="P630" s="116">
        <v>644</v>
      </c>
      <c r="Q630" s="116">
        <v>3206</v>
      </c>
      <c r="R630">
        <v>72431</v>
      </c>
    </row>
    <row r="631" spans="1:18" x14ac:dyDescent="0.25">
      <c r="A631" s="170">
        <v>42933</v>
      </c>
      <c r="B631" s="116">
        <v>4.1013225532070701</v>
      </c>
      <c r="C631" s="116">
        <v>3.8328637106627199</v>
      </c>
      <c r="D631" s="116">
        <v>3.8273203127340798</v>
      </c>
      <c r="E631" s="116">
        <v>4.0989468112376501</v>
      </c>
      <c r="F631" s="116">
        <v>242</v>
      </c>
      <c r="G631">
        <v>4181</v>
      </c>
      <c r="H631" s="116"/>
      <c r="I631" s="116"/>
      <c r="L631" s="170">
        <v>42930</v>
      </c>
      <c r="M631" s="116">
        <v>641.21</v>
      </c>
      <c r="N631" s="116">
        <v>649</v>
      </c>
      <c r="O631" s="116">
        <v>637</v>
      </c>
      <c r="P631" s="116">
        <v>640</v>
      </c>
      <c r="Q631" s="116">
        <v>3206.05</v>
      </c>
      <c r="R631">
        <v>105990</v>
      </c>
    </row>
    <row r="632" spans="1:18" x14ac:dyDescent="0.25">
      <c r="A632" s="170">
        <v>42934</v>
      </c>
      <c r="B632" s="116">
        <v>4.0245068961958603</v>
      </c>
      <c r="C632" s="116">
        <v>3.8772108940918799</v>
      </c>
      <c r="D632" s="116">
        <v>3.6586426329053299</v>
      </c>
      <c r="E632" s="116">
        <v>3.8803785500511001</v>
      </c>
      <c r="F632" s="116">
        <v>244.8</v>
      </c>
      <c r="G632">
        <v>14232</v>
      </c>
      <c r="H632" s="116"/>
      <c r="I632" s="116"/>
      <c r="L632" s="170">
        <v>42933</v>
      </c>
      <c r="M632" s="116">
        <v>638.98</v>
      </c>
      <c r="N632" s="116">
        <v>645.81000000000006</v>
      </c>
      <c r="O632" s="116">
        <v>637</v>
      </c>
      <c r="P632" s="116">
        <v>644</v>
      </c>
      <c r="Q632" s="116">
        <v>3194.9</v>
      </c>
      <c r="R632">
        <v>77932</v>
      </c>
    </row>
    <row r="633" spans="1:18" x14ac:dyDescent="0.25">
      <c r="A633" s="170">
        <v>42935</v>
      </c>
      <c r="B633" s="116">
        <v>4.0229230682162402</v>
      </c>
      <c r="C633" s="116">
        <v>4.0062928744303097</v>
      </c>
      <c r="D633" s="116">
        <v>3.95956994903174</v>
      </c>
      <c r="E633" s="116">
        <v>3.95956994903174</v>
      </c>
      <c r="F633" s="116">
        <v>252.95</v>
      </c>
      <c r="G633">
        <v>2128</v>
      </c>
      <c r="H633" s="116"/>
      <c r="I633" s="116"/>
      <c r="L633" s="170">
        <v>42934</v>
      </c>
      <c r="M633" s="116">
        <v>632.26</v>
      </c>
      <c r="N633" s="116">
        <v>650.56999999999994</v>
      </c>
      <c r="O633" s="116">
        <v>628.81999999999994</v>
      </c>
      <c r="P633" s="116">
        <v>637.96</v>
      </c>
      <c r="Q633" s="116">
        <v>3161.3</v>
      </c>
      <c r="R633">
        <v>174482</v>
      </c>
    </row>
    <row r="634" spans="1:18" x14ac:dyDescent="0.25">
      <c r="A634" s="170">
        <v>42936</v>
      </c>
      <c r="B634" s="116">
        <v>4.0545996278084999</v>
      </c>
      <c r="C634" s="116">
        <v>3.9199742495414198</v>
      </c>
      <c r="D634" s="116">
        <v>3.8843381200001299</v>
      </c>
      <c r="E634" s="116">
        <v>4.0229230682162402</v>
      </c>
      <c r="F634" s="116">
        <v>247.5</v>
      </c>
      <c r="G634">
        <v>1015</v>
      </c>
      <c r="H634" s="116"/>
      <c r="I634" s="116"/>
      <c r="L634" s="170">
        <v>42935</v>
      </c>
      <c r="M634" s="116">
        <v>636.6</v>
      </c>
      <c r="N634" s="116">
        <v>638.04999999999995</v>
      </c>
      <c r="O634" s="116">
        <v>624.39</v>
      </c>
      <c r="P634" s="116">
        <v>633.20000000000005</v>
      </c>
      <c r="Q634" s="116">
        <v>3183</v>
      </c>
      <c r="R634">
        <v>84597</v>
      </c>
    </row>
    <row r="635" spans="1:18" x14ac:dyDescent="0.25">
      <c r="A635" s="170">
        <v>42937</v>
      </c>
      <c r="B635" s="116">
        <v>4.0181715842774102</v>
      </c>
      <c r="C635" s="116">
        <v>3.9587780350419299</v>
      </c>
      <c r="D635" s="116">
        <v>3.9437316692356101</v>
      </c>
      <c r="E635" s="116">
        <v>4.0181715842774102</v>
      </c>
      <c r="F635" s="116">
        <v>249.95</v>
      </c>
      <c r="G635">
        <v>1632</v>
      </c>
      <c r="H635" s="116"/>
      <c r="I635" s="116"/>
      <c r="L635" s="170">
        <v>42936</v>
      </c>
      <c r="M635" s="116">
        <v>643.43000000000006</v>
      </c>
      <c r="N635" s="116">
        <v>646.58000000000004</v>
      </c>
      <c r="O635" s="116">
        <v>636</v>
      </c>
      <c r="P635" s="116">
        <v>638.96</v>
      </c>
      <c r="Q635" s="116">
        <v>3217.15</v>
      </c>
      <c r="R635">
        <v>113440</v>
      </c>
    </row>
    <row r="636" spans="1:18" x14ac:dyDescent="0.25">
      <c r="A636" s="170">
        <v>42940</v>
      </c>
      <c r="B636" s="116">
        <v>4.1559646185037096</v>
      </c>
      <c r="C636" s="116">
        <v>4.0989468112376501</v>
      </c>
      <c r="D636" s="116">
        <v>3.95956994903174</v>
      </c>
      <c r="E636" s="116">
        <v>3.95956994903174</v>
      </c>
      <c r="F636" s="116">
        <v>258.8</v>
      </c>
      <c r="G636">
        <v>9795</v>
      </c>
      <c r="H636" s="116"/>
      <c r="I636" s="116"/>
      <c r="L636" s="170">
        <v>42937</v>
      </c>
      <c r="M636" s="116">
        <v>628.99</v>
      </c>
      <c r="N636" s="116">
        <v>647.81999999999994</v>
      </c>
      <c r="O636" s="116">
        <v>625.73</v>
      </c>
      <c r="P636" s="116">
        <v>646.4</v>
      </c>
      <c r="Q636" s="116">
        <v>3144.95</v>
      </c>
      <c r="R636">
        <v>280666</v>
      </c>
    </row>
    <row r="637" spans="1:18" x14ac:dyDescent="0.25">
      <c r="A637" s="170">
        <v>42941</v>
      </c>
      <c r="B637" s="116">
        <v>4.3032606206076904</v>
      </c>
      <c r="C637" s="116">
        <v>4.0395532620021797</v>
      </c>
      <c r="D637" s="116">
        <v>3.9389801852967699</v>
      </c>
      <c r="E637" s="116">
        <v>4.1337910267891296</v>
      </c>
      <c r="F637" s="116">
        <v>255.05</v>
      </c>
      <c r="G637">
        <v>6487</v>
      </c>
      <c r="H637" s="116"/>
      <c r="I637" s="116"/>
      <c r="L637" s="170">
        <v>42940</v>
      </c>
      <c r="M637" s="116">
        <v>611.56999999999994</v>
      </c>
      <c r="N637" s="116">
        <v>633.28</v>
      </c>
      <c r="O637" s="116">
        <v>608</v>
      </c>
      <c r="P637" s="116">
        <v>629.99</v>
      </c>
      <c r="Q637" s="116">
        <v>3057.85</v>
      </c>
      <c r="R637">
        <v>158894</v>
      </c>
    </row>
    <row r="638" spans="1:18" x14ac:dyDescent="0.25">
      <c r="A638" s="170">
        <v>42942</v>
      </c>
      <c r="B638" s="116">
        <v>4.1171608330031999</v>
      </c>
      <c r="C638" s="116">
        <v>4.1171608330031999</v>
      </c>
      <c r="D638" s="116">
        <v>3.9912465086239899</v>
      </c>
      <c r="E638" s="116">
        <v>3.9912465086239899</v>
      </c>
      <c r="F638" s="116">
        <v>259.95</v>
      </c>
      <c r="G638">
        <v>603</v>
      </c>
      <c r="H638" s="116"/>
      <c r="I638" s="116"/>
      <c r="L638" s="170">
        <v>42941</v>
      </c>
      <c r="M638" s="116">
        <v>617.37</v>
      </c>
      <c r="N638" s="116">
        <v>621.4</v>
      </c>
      <c r="O638" s="116">
        <v>607.93000000000006</v>
      </c>
      <c r="P638" s="116">
        <v>608</v>
      </c>
      <c r="Q638" s="116">
        <v>3086.85</v>
      </c>
      <c r="R638">
        <v>100114</v>
      </c>
    </row>
    <row r="639" spans="1:18" x14ac:dyDescent="0.25">
      <c r="A639" s="170">
        <v>42943</v>
      </c>
      <c r="B639" s="116">
        <v>4.11478509103378</v>
      </c>
      <c r="C639" s="116">
        <v>3.9643214329705798</v>
      </c>
      <c r="D639" s="116">
        <v>3.95956994903174</v>
      </c>
      <c r="E639" s="116">
        <v>4.1100336070949401</v>
      </c>
      <c r="F639" s="116">
        <v>250.3</v>
      </c>
      <c r="G639">
        <v>3240</v>
      </c>
      <c r="H639" s="116"/>
      <c r="I639" s="116"/>
      <c r="L639" s="170">
        <v>42942</v>
      </c>
      <c r="M639" s="116">
        <v>609.9</v>
      </c>
      <c r="N639" s="116">
        <v>618.6</v>
      </c>
      <c r="O639" s="116">
        <v>607</v>
      </c>
      <c r="P639" s="116">
        <v>617.4</v>
      </c>
      <c r="Q639" s="116">
        <v>3049.5</v>
      </c>
      <c r="R639">
        <v>85282</v>
      </c>
    </row>
    <row r="640" spans="1:18" x14ac:dyDescent="0.25">
      <c r="A640" s="170">
        <v>42944</v>
      </c>
      <c r="B640" s="116">
        <v>3.95956994903174</v>
      </c>
      <c r="C640" s="116">
        <v>3.9120551096433598</v>
      </c>
      <c r="D640" s="116">
        <v>3.7805973873354999</v>
      </c>
      <c r="E640" s="116">
        <v>3.8803785500511001</v>
      </c>
      <c r="F640" s="116">
        <v>247</v>
      </c>
      <c r="G640">
        <v>8270</v>
      </c>
      <c r="H640" s="116"/>
      <c r="I640" s="116"/>
      <c r="L640" s="170">
        <v>42943</v>
      </c>
      <c r="M640" s="116">
        <v>623.02</v>
      </c>
      <c r="N640" s="116">
        <v>631</v>
      </c>
      <c r="O640" s="116">
        <v>608.02</v>
      </c>
      <c r="P640" s="116">
        <v>614.95000000000005</v>
      </c>
      <c r="Q640" s="116">
        <v>3115.1</v>
      </c>
      <c r="R640">
        <v>164132</v>
      </c>
    </row>
    <row r="641" spans="1:18" x14ac:dyDescent="0.25">
      <c r="A641" s="170">
        <v>42947</v>
      </c>
      <c r="B641" s="116">
        <v>3.9120551096433598</v>
      </c>
      <c r="C641" s="116">
        <v>3.82256882879524</v>
      </c>
      <c r="D641" s="116">
        <v>3.7695105914782099</v>
      </c>
      <c r="E641" s="116">
        <v>3.9120551096433598</v>
      </c>
      <c r="F641" s="116">
        <v>241.35</v>
      </c>
      <c r="G641">
        <v>3105</v>
      </c>
      <c r="H641" s="116"/>
      <c r="I641" s="116"/>
      <c r="L641" s="170">
        <v>42944</v>
      </c>
      <c r="M641" s="116">
        <v>621.45000000000005</v>
      </c>
      <c r="N641" s="116">
        <v>627.35</v>
      </c>
      <c r="O641" s="116">
        <v>616.93999999999994</v>
      </c>
      <c r="P641" s="116">
        <v>622</v>
      </c>
      <c r="Q641" s="116">
        <v>3107.25</v>
      </c>
      <c r="R641">
        <v>50491</v>
      </c>
    </row>
    <row r="642" spans="1:18" x14ac:dyDescent="0.25">
      <c r="A642" s="170">
        <v>42948</v>
      </c>
      <c r="B642" s="116">
        <v>3.8463262484894298</v>
      </c>
      <c r="C642" s="116">
        <v>3.6586426329053299</v>
      </c>
      <c r="D642" s="116">
        <v>3.63171755725191</v>
      </c>
      <c r="E642" s="116">
        <v>3.8463262484894298</v>
      </c>
      <c r="F642" s="116">
        <v>231</v>
      </c>
      <c r="G642">
        <v>7311</v>
      </c>
      <c r="H642" s="116"/>
      <c r="I642" s="116"/>
      <c r="L642" s="170">
        <v>42947</v>
      </c>
      <c r="M642" s="116">
        <v>617.78</v>
      </c>
      <c r="N642" s="116">
        <v>625.93999999999994</v>
      </c>
      <c r="O642" s="116">
        <v>608.61</v>
      </c>
      <c r="P642" s="116">
        <v>621.4</v>
      </c>
      <c r="Q642" s="116">
        <v>3088.9</v>
      </c>
      <c r="R642">
        <v>55737</v>
      </c>
    </row>
    <row r="643" spans="1:18" x14ac:dyDescent="0.25">
      <c r="A643" s="170">
        <v>42949</v>
      </c>
      <c r="B643" s="116">
        <v>3.7219957520898301</v>
      </c>
      <c r="C643" s="116">
        <v>3.6325094712417201</v>
      </c>
      <c r="D643" s="116">
        <v>3.4907568670663802</v>
      </c>
      <c r="E643" s="116">
        <v>3.4907568670663802</v>
      </c>
      <c r="F643" s="116">
        <v>229.35</v>
      </c>
      <c r="G643">
        <v>3327</v>
      </c>
      <c r="H643" s="116"/>
      <c r="I643" s="116"/>
      <c r="L643" s="170">
        <v>42948</v>
      </c>
      <c r="M643" s="116">
        <v>617.37</v>
      </c>
      <c r="N643" s="116">
        <v>625.79999999999995</v>
      </c>
      <c r="O643" s="116">
        <v>613</v>
      </c>
      <c r="P643" s="116">
        <v>622.38</v>
      </c>
      <c r="Q643" s="116">
        <v>3086.85</v>
      </c>
      <c r="R643">
        <v>61977</v>
      </c>
    </row>
    <row r="644" spans="1:18" x14ac:dyDescent="0.25">
      <c r="A644" s="170">
        <v>42950</v>
      </c>
      <c r="B644" s="116">
        <v>3.6325094712417201</v>
      </c>
      <c r="C644" s="116">
        <v>3.4852134691377401</v>
      </c>
      <c r="D644" s="116">
        <v>3.4511611675760601</v>
      </c>
      <c r="E644" s="116">
        <v>3.6325094712417201</v>
      </c>
      <c r="F644" s="116">
        <v>220.05</v>
      </c>
      <c r="G644">
        <v>15432</v>
      </c>
      <c r="H644" s="116"/>
      <c r="I644" s="116"/>
      <c r="L644" s="170">
        <v>42949</v>
      </c>
      <c r="M644" s="116">
        <v>614.62</v>
      </c>
      <c r="N644" s="116">
        <v>620.97</v>
      </c>
      <c r="O644" s="116">
        <v>610.61</v>
      </c>
      <c r="P644" s="116">
        <v>619.79</v>
      </c>
      <c r="Q644" s="116">
        <v>3073.1</v>
      </c>
      <c r="R644">
        <v>44420</v>
      </c>
    </row>
    <row r="645" spans="1:18" x14ac:dyDescent="0.25">
      <c r="A645" s="170">
        <v>42951</v>
      </c>
      <c r="B645" s="116">
        <v>3.6594345468951301</v>
      </c>
      <c r="C645" s="116">
        <v>3.54935850231205</v>
      </c>
      <c r="D645" s="116">
        <v>3.3482123489012401</v>
      </c>
      <c r="E645" s="116">
        <v>3.6594345468951301</v>
      </c>
      <c r="F645" s="116">
        <v>224.1</v>
      </c>
      <c r="G645">
        <v>9404</v>
      </c>
      <c r="H645" s="116"/>
      <c r="I645" s="116"/>
      <c r="L645" s="170">
        <v>42950</v>
      </c>
      <c r="M645" s="116">
        <v>598.38</v>
      </c>
      <c r="N645" s="116">
        <v>613.66999999999996</v>
      </c>
      <c r="O645" s="116">
        <v>594.52</v>
      </c>
      <c r="P645" s="116">
        <v>611</v>
      </c>
      <c r="Q645" s="116">
        <v>2991.9</v>
      </c>
      <c r="R645">
        <v>96050</v>
      </c>
    </row>
    <row r="646" spans="1:18" x14ac:dyDescent="0.25">
      <c r="A646" s="170">
        <v>42954</v>
      </c>
      <c r="B646" s="116">
        <v>3.8487019904588502</v>
      </c>
      <c r="C646" s="116">
        <v>3.7742620754170502</v>
      </c>
      <c r="D646" s="116">
        <v>3.5952895137208198</v>
      </c>
      <c r="E646" s="116">
        <v>3.6428043531092</v>
      </c>
      <c r="F646" s="116">
        <v>238.3</v>
      </c>
      <c r="G646">
        <v>7379</v>
      </c>
      <c r="H646" s="116"/>
      <c r="I646" s="116"/>
      <c r="L646" s="170">
        <v>42951</v>
      </c>
      <c r="M646" s="116">
        <v>595.79999999999995</v>
      </c>
      <c r="N646" s="116">
        <v>601.79999999999995</v>
      </c>
      <c r="O646" s="116">
        <v>586.73</v>
      </c>
      <c r="P646" s="116">
        <v>594.20000000000005</v>
      </c>
      <c r="Q646" s="116">
        <v>2979</v>
      </c>
      <c r="R646">
        <v>126778</v>
      </c>
    </row>
    <row r="647" spans="1:18" x14ac:dyDescent="0.25">
      <c r="A647" s="170">
        <v>42955</v>
      </c>
      <c r="B647" s="116">
        <v>3.893049173888</v>
      </c>
      <c r="C647" s="116">
        <v>3.73466637592673</v>
      </c>
      <c r="D647" s="116">
        <v>3.5636129541285602</v>
      </c>
      <c r="E647" s="116">
        <v>3.7219957520898301</v>
      </c>
      <c r="F647" s="116">
        <v>235.8</v>
      </c>
      <c r="G647">
        <v>4766</v>
      </c>
      <c r="H647" s="116"/>
      <c r="I647" s="116"/>
      <c r="L647" s="170">
        <v>42954</v>
      </c>
      <c r="M647" s="116">
        <v>589.03</v>
      </c>
      <c r="N647" s="116">
        <v>600.20000000000005</v>
      </c>
      <c r="O647" s="116">
        <v>579</v>
      </c>
      <c r="P647" s="116">
        <v>600</v>
      </c>
      <c r="Q647" s="116">
        <v>2945.15</v>
      </c>
      <c r="R647">
        <v>198091</v>
      </c>
    </row>
    <row r="648" spans="1:18" x14ac:dyDescent="0.25">
      <c r="A648" s="170">
        <v>42956</v>
      </c>
      <c r="B648" s="116">
        <v>3.7061574722937101</v>
      </c>
      <c r="C648" s="116">
        <v>3.53510405049553</v>
      </c>
      <c r="D648" s="116">
        <v>3.5065951468625101</v>
      </c>
      <c r="E648" s="116">
        <v>3.5992490836698501</v>
      </c>
      <c r="F648" s="116">
        <v>223.2</v>
      </c>
      <c r="G648">
        <v>1991</v>
      </c>
      <c r="H648" s="116"/>
      <c r="I648" s="116"/>
      <c r="L648" s="170">
        <v>42955</v>
      </c>
      <c r="M648" s="116">
        <v>584.29999999999995</v>
      </c>
      <c r="N648" s="116">
        <v>593.88</v>
      </c>
      <c r="O648" s="116">
        <v>580.56000000000006</v>
      </c>
      <c r="P648" s="116">
        <v>593</v>
      </c>
      <c r="Q648" s="116">
        <v>2921.5</v>
      </c>
      <c r="R648">
        <v>74213</v>
      </c>
    </row>
    <row r="649" spans="1:18" x14ac:dyDescent="0.25">
      <c r="A649" s="170">
        <v>42957</v>
      </c>
      <c r="B649" s="116">
        <v>3.5002598349440599</v>
      </c>
      <c r="C649" s="116">
        <v>3.39414336031001</v>
      </c>
      <c r="D649" s="116">
        <v>3.19933251881764</v>
      </c>
      <c r="E649" s="116">
        <v>3.5002598349440599</v>
      </c>
      <c r="F649" s="116">
        <v>214.3</v>
      </c>
      <c r="G649">
        <v>6852</v>
      </c>
      <c r="H649" s="116"/>
      <c r="I649" s="116"/>
      <c r="L649" s="170">
        <v>42956</v>
      </c>
      <c r="M649" s="116">
        <v>571.99</v>
      </c>
      <c r="N649" s="116">
        <v>589</v>
      </c>
      <c r="O649" s="116">
        <v>566.1</v>
      </c>
      <c r="P649" s="116">
        <v>583.20000000000005</v>
      </c>
      <c r="Q649" s="116">
        <v>2859.95</v>
      </c>
      <c r="R649">
        <v>90168</v>
      </c>
    </row>
    <row r="650" spans="1:18" x14ac:dyDescent="0.25">
      <c r="A650" s="170">
        <v>42958</v>
      </c>
      <c r="B650" s="116">
        <v>3.6903191924975798</v>
      </c>
      <c r="C650" s="116">
        <v>3.4804619851988998</v>
      </c>
      <c r="D650" s="116">
        <v>3.1716155291744199</v>
      </c>
      <c r="E650" s="116">
        <v>3.2579341540633102</v>
      </c>
      <c r="F650" s="116">
        <v>219.75</v>
      </c>
      <c r="G650">
        <v>3389</v>
      </c>
      <c r="H650" s="116"/>
      <c r="I650" s="116"/>
      <c r="L650" s="170">
        <v>42957</v>
      </c>
      <c r="M650" s="116">
        <v>566.47</v>
      </c>
      <c r="N650" s="116">
        <v>582</v>
      </c>
      <c r="O650" s="116">
        <v>554.20000000000005</v>
      </c>
      <c r="P650" s="116">
        <v>571.79999999999995</v>
      </c>
      <c r="Q650" s="116">
        <v>2832.35</v>
      </c>
      <c r="R650">
        <v>114047</v>
      </c>
    </row>
    <row r="651" spans="1:18" x14ac:dyDescent="0.25">
      <c r="A651" s="170">
        <v>42961</v>
      </c>
      <c r="B651" s="116">
        <v>3.4844215551479301</v>
      </c>
      <c r="C651" s="116">
        <v>3.3458366069318202</v>
      </c>
      <c r="D651" s="116">
        <v>3.3260387571866601</v>
      </c>
      <c r="E651" s="116">
        <v>3.4844215551479301</v>
      </c>
      <c r="F651" s="116">
        <v>211.25</v>
      </c>
      <c r="G651">
        <v>1237</v>
      </c>
      <c r="H651" s="116"/>
      <c r="I651" s="116"/>
      <c r="L651" s="170">
        <v>42958</v>
      </c>
      <c r="M651" s="116">
        <v>576.46</v>
      </c>
      <c r="N651" s="116">
        <v>579.16999999999996</v>
      </c>
      <c r="O651" s="116">
        <v>550.66000000000008</v>
      </c>
      <c r="P651" s="116">
        <v>560</v>
      </c>
      <c r="Q651" s="116">
        <v>2882.3</v>
      </c>
      <c r="R651">
        <v>93810</v>
      </c>
    </row>
    <row r="652" spans="1:18" x14ac:dyDescent="0.25">
      <c r="A652" s="170">
        <v>42963</v>
      </c>
      <c r="B652" s="116">
        <v>3.4844215551479301</v>
      </c>
      <c r="C652" s="116">
        <v>3.4844215551479301</v>
      </c>
      <c r="D652" s="116">
        <v>3.42106843596342</v>
      </c>
      <c r="E652" s="116">
        <v>3.4844215551479301</v>
      </c>
      <c r="F652" s="116">
        <v>220</v>
      </c>
      <c r="G652">
        <v>3941</v>
      </c>
      <c r="H652" s="116"/>
      <c r="I652" s="116"/>
      <c r="L652" s="170">
        <v>42961</v>
      </c>
      <c r="M652" s="116">
        <v>586.12</v>
      </c>
      <c r="N652" s="116">
        <v>593.20000000000005</v>
      </c>
      <c r="O652" s="116">
        <v>580.31999999999994</v>
      </c>
      <c r="P652" s="116">
        <v>584</v>
      </c>
      <c r="Q652" s="116">
        <v>2930.6</v>
      </c>
      <c r="R652">
        <v>46468</v>
      </c>
    </row>
    <row r="653" spans="1:18" x14ac:dyDescent="0.25">
      <c r="A653" s="170">
        <v>42964</v>
      </c>
      <c r="B653" s="116">
        <v>3.5636129541285602</v>
      </c>
      <c r="C653" s="116">
        <v>3.51689002872999</v>
      </c>
      <c r="D653" s="116">
        <v>3.4844215551479301</v>
      </c>
      <c r="E653" s="116">
        <v>3.4844215551479301</v>
      </c>
      <c r="F653" s="116">
        <v>222.05</v>
      </c>
      <c r="G653">
        <v>458</v>
      </c>
      <c r="H653" s="116"/>
      <c r="I653" s="116"/>
      <c r="L653" s="170">
        <v>42963</v>
      </c>
      <c r="M653" s="116">
        <v>593.77</v>
      </c>
      <c r="N653" s="116">
        <v>596.01</v>
      </c>
      <c r="O653" s="116">
        <v>575</v>
      </c>
      <c r="P653" s="116">
        <v>590</v>
      </c>
      <c r="Q653" s="116">
        <v>2968.85</v>
      </c>
      <c r="R653">
        <v>55456</v>
      </c>
    </row>
    <row r="654" spans="1:18" x14ac:dyDescent="0.25">
      <c r="A654" s="170">
        <v>42965</v>
      </c>
      <c r="B654" s="116">
        <v>3.7695105914782099</v>
      </c>
      <c r="C654" s="116">
        <v>3.4400743717187701</v>
      </c>
      <c r="D654" s="116">
        <v>3.2816915737575001</v>
      </c>
      <c r="E654" s="116">
        <v>3.5240172546382502</v>
      </c>
      <c r="F654" s="116">
        <v>217.2</v>
      </c>
      <c r="G654">
        <v>3247</v>
      </c>
      <c r="H654" s="116"/>
      <c r="I654" s="116"/>
      <c r="L654" s="170">
        <v>42964</v>
      </c>
      <c r="M654" s="116">
        <v>591.91999999999996</v>
      </c>
      <c r="N654" s="116">
        <v>603.58999999999992</v>
      </c>
      <c r="O654" s="116">
        <v>588.21</v>
      </c>
      <c r="P654" s="116">
        <v>595.99</v>
      </c>
      <c r="Q654" s="116">
        <v>2959.6</v>
      </c>
      <c r="R654">
        <v>62866</v>
      </c>
    </row>
    <row r="655" spans="1:18" x14ac:dyDescent="0.25">
      <c r="A655" s="170">
        <v>42968</v>
      </c>
      <c r="B655" s="116">
        <v>3.7837650432947298</v>
      </c>
      <c r="C655" s="116">
        <v>3.7813893013253099</v>
      </c>
      <c r="D655" s="116">
        <v>3.4844215551479301</v>
      </c>
      <c r="E655" s="116">
        <v>3.4844215551479301</v>
      </c>
      <c r="F655" s="116">
        <v>238.75</v>
      </c>
      <c r="G655">
        <v>4729</v>
      </c>
      <c r="H655" s="116"/>
      <c r="I655" s="116"/>
      <c r="L655" s="170">
        <v>42965</v>
      </c>
      <c r="M655" s="116">
        <v>579.62</v>
      </c>
      <c r="N655" s="116">
        <v>587.79999999999995</v>
      </c>
      <c r="O655" s="116">
        <v>576.08000000000004</v>
      </c>
      <c r="P655" s="116">
        <v>587.79999999999995</v>
      </c>
      <c r="Q655" s="116">
        <v>2898.1</v>
      </c>
      <c r="R655">
        <v>51603</v>
      </c>
    </row>
    <row r="656" spans="1:18" x14ac:dyDescent="0.25">
      <c r="A656" s="170">
        <v>42969</v>
      </c>
      <c r="B656" s="116">
        <v>4.0387613480123701</v>
      </c>
      <c r="C656" s="116">
        <v>3.78930844122337</v>
      </c>
      <c r="D656" s="116">
        <v>3.57945123392469</v>
      </c>
      <c r="E656" s="116">
        <v>3.80118715107047</v>
      </c>
      <c r="F656" s="116">
        <v>239.25</v>
      </c>
      <c r="G656">
        <v>2603</v>
      </c>
      <c r="H656" s="116"/>
      <c r="I656" s="116"/>
      <c r="L656" s="170">
        <v>42968</v>
      </c>
      <c r="M656" s="116">
        <v>558.71</v>
      </c>
      <c r="N656" s="116">
        <v>585.41999999999996</v>
      </c>
      <c r="O656" s="116">
        <v>555</v>
      </c>
      <c r="P656" s="116">
        <v>578.01</v>
      </c>
      <c r="Q656" s="116">
        <v>2793.55</v>
      </c>
      <c r="R656">
        <v>80958</v>
      </c>
    </row>
    <row r="657" spans="1:18" x14ac:dyDescent="0.25">
      <c r="A657" s="170">
        <v>42970</v>
      </c>
      <c r="B657" s="116">
        <v>3.97540822882786</v>
      </c>
      <c r="C657" s="116">
        <v>3.7536723116820898</v>
      </c>
      <c r="D657" s="116">
        <v>3.7219957520898301</v>
      </c>
      <c r="E657" s="116">
        <v>3.7536723116820898</v>
      </c>
      <c r="F657" s="116">
        <v>237</v>
      </c>
      <c r="G657">
        <v>1632</v>
      </c>
      <c r="H657" s="116"/>
      <c r="I657" s="116"/>
      <c r="L657" s="170">
        <v>42969</v>
      </c>
      <c r="M657" s="116">
        <v>540.73</v>
      </c>
      <c r="N657" s="116">
        <v>566.38</v>
      </c>
      <c r="O657" s="116">
        <v>539.06000000000006</v>
      </c>
      <c r="P657" s="116">
        <v>558.46</v>
      </c>
      <c r="Q657" s="116">
        <v>2703.65</v>
      </c>
      <c r="R657">
        <v>176107</v>
      </c>
    </row>
    <row r="658" spans="1:18" x14ac:dyDescent="0.25">
      <c r="A658" s="170">
        <v>42971</v>
      </c>
      <c r="B658" s="116">
        <v>4.0371775200327598</v>
      </c>
      <c r="C658" s="116">
        <v>3.9983737345322501</v>
      </c>
      <c r="D658" s="116">
        <v>3.6903191924975798</v>
      </c>
      <c r="E658" s="116">
        <v>3.7536723116820898</v>
      </c>
      <c r="F658" s="116">
        <v>252.45</v>
      </c>
      <c r="G658">
        <v>6209</v>
      </c>
      <c r="H658" s="116"/>
      <c r="I658" s="116"/>
      <c r="L658" s="170">
        <v>42970</v>
      </c>
      <c r="M658" s="116">
        <v>557.04999999999995</v>
      </c>
      <c r="N658" s="116">
        <v>561</v>
      </c>
      <c r="O658" s="116">
        <v>534.4</v>
      </c>
      <c r="P658" s="116">
        <v>546.6</v>
      </c>
      <c r="Q658" s="116">
        <v>2785.25</v>
      </c>
      <c r="R658">
        <v>243266</v>
      </c>
    </row>
    <row r="659" spans="1:18" x14ac:dyDescent="0.25">
      <c r="A659" s="170">
        <v>42975</v>
      </c>
      <c r="B659" s="116">
        <v>4.1971441459736401</v>
      </c>
      <c r="C659" s="116">
        <v>4.1092416931051403</v>
      </c>
      <c r="D659" s="116">
        <v>3.8803785500511001</v>
      </c>
      <c r="E659" s="116">
        <v>4.1971441459736401</v>
      </c>
      <c r="F659" s="116">
        <v>259.45</v>
      </c>
      <c r="G659">
        <v>8296</v>
      </c>
      <c r="H659" s="116"/>
      <c r="I659" s="116"/>
      <c r="L659" s="170">
        <v>42971</v>
      </c>
      <c r="M659" s="116">
        <v>554.43000000000006</v>
      </c>
      <c r="N659" s="116">
        <v>563.89</v>
      </c>
      <c r="O659" s="116">
        <v>551.95000000000005</v>
      </c>
      <c r="P659" s="116">
        <v>560</v>
      </c>
      <c r="Q659" s="116">
        <v>2772.15</v>
      </c>
      <c r="R659">
        <v>90312</v>
      </c>
    </row>
    <row r="660" spans="1:18" x14ac:dyDescent="0.25">
      <c r="A660" s="170">
        <v>42976</v>
      </c>
      <c r="B660" s="116">
        <v>4.1496293065852603</v>
      </c>
      <c r="C660" s="116">
        <v>3.9920384226137999</v>
      </c>
      <c r="D660" s="116">
        <v>3.8962168298472299</v>
      </c>
      <c r="E660" s="116">
        <v>4.0585591977575302</v>
      </c>
      <c r="F660" s="116">
        <v>252.05</v>
      </c>
      <c r="G660">
        <v>2531</v>
      </c>
      <c r="H660" s="116"/>
      <c r="I660" s="116"/>
      <c r="L660" s="170">
        <v>42975</v>
      </c>
      <c r="M660" s="116">
        <v>556.01</v>
      </c>
      <c r="N660" s="116">
        <v>558.43000000000006</v>
      </c>
      <c r="O660" s="116">
        <v>551</v>
      </c>
      <c r="P660" s="116">
        <v>554</v>
      </c>
      <c r="Q660" s="116">
        <v>2780.05</v>
      </c>
      <c r="R660">
        <v>67007</v>
      </c>
    </row>
    <row r="661" spans="1:18" x14ac:dyDescent="0.25">
      <c r="A661" s="170">
        <v>42977</v>
      </c>
      <c r="B661" s="116">
        <v>4.1100336070949401</v>
      </c>
      <c r="C661" s="116">
        <v>4.04113708998179</v>
      </c>
      <c r="D661" s="116">
        <v>3.9936222505934098</v>
      </c>
      <c r="E661" s="116">
        <v>4.1021144671968797</v>
      </c>
      <c r="F661" s="116">
        <v>255.15</v>
      </c>
      <c r="G661">
        <v>1823</v>
      </c>
      <c r="H661" s="116"/>
      <c r="I661" s="116"/>
      <c r="L661" s="170">
        <v>42976</v>
      </c>
      <c r="M661" s="116">
        <v>539.28</v>
      </c>
      <c r="N661" s="116">
        <v>555.6</v>
      </c>
      <c r="O661" s="116">
        <v>536.20000000000005</v>
      </c>
      <c r="P661" s="116">
        <v>551.20000000000005</v>
      </c>
      <c r="Q661" s="116">
        <v>2696.4</v>
      </c>
      <c r="R661">
        <v>91661</v>
      </c>
    </row>
    <row r="662" spans="1:18" x14ac:dyDescent="0.25">
      <c r="A662" s="170">
        <v>42978</v>
      </c>
      <c r="B662" s="116">
        <v>4.4450132247830298</v>
      </c>
      <c r="C662" s="116">
        <v>4.4450132247830298</v>
      </c>
      <c r="D662" s="116">
        <v>3.97540822882786</v>
      </c>
      <c r="E662" s="116">
        <v>3.9912465086239899</v>
      </c>
      <c r="F662" s="116">
        <v>280.64999999999998</v>
      </c>
      <c r="G662">
        <v>14058</v>
      </c>
      <c r="H662" s="116"/>
      <c r="I662" s="116"/>
      <c r="L662" s="170">
        <v>42977</v>
      </c>
      <c r="M662" s="116">
        <v>559.89</v>
      </c>
      <c r="N662" s="116">
        <v>564</v>
      </c>
      <c r="O662" s="116">
        <v>542</v>
      </c>
      <c r="P662" s="116">
        <v>542</v>
      </c>
      <c r="Q662" s="116">
        <v>2799.45</v>
      </c>
      <c r="R662">
        <v>106658</v>
      </c>
    </row>
    <row r="663" spans="1:18" x14ac:dyDescent="0.25">
      <c r="A663" s="170">
        <v>42979</v>
      </c>
      <c r="B663" s="116">
        <v>4.5297480216923098</v>
      </c>
      <c r="C663" s="116">
        <v>4.4648110745281899</v>
      </c>
      <c r="D663" s="116">
        <v>4.2763355449542804</v>
      </c>
      <c r="E663" s="116">
        <v>4.4347183429155503</v>
      </c>
      <c r="F663" s="116">
        <v>281.89999999999998</v>
      </c>
      <c r="G663">
        <v>10689</v>
      </c>
      <c r="H663" s="116"/>
      <c r="I663" s="116"/>
      <c r="L663" s="170">
        <v>42978</v>
      </c>
      <c r="M663" s="116">
        <v>573.11</v>
      </c>
      <c r="N663" s="116">
        <v>575.24</v>
      </c>
      <c r="O663" s="116">
        <v>553.56999999999994</v>
      </c>
      <c r="P663" s="116">
        <v>561.6</v>
      </c>
      <c r="Q663" s="116">
        <v>2865.55</v>
      </c>
      <c r="R663">
        <v>130457</v>
      </c>
    </row>
    <row r="664" spans="1:18" x14ac:dyDescent="0.25">
      <c r="A664" s="170">
        <v>42982</v>
      </c>
      <c r="B664" s="116">
        <v>4.4347183429155503</v>
      </c>
      <c r="C664" s="116">
        <v>4.2422832433925999</v>
      </c>
      <c r="D664" s="116">
        <v>4.2422832433925999</v>
      </c>
      <c r="E664" s="116">
        <v>4.3309776102509101</v>
      </c>
      <c r="F664" s="116">
        <v>267.85000000000002</v>
      </c>
      <c r="G664">
        <v>2960</v>
      </c>
      <c r="H664" s="116"/>
      <c r="I664" s="116"/>
      <c r="L664" s="170">
        <v>42979</v>
      </c>
      <c r="M664" s="116">
        <v>575.74</v>
      </c>
      <c r="N664" s="116">
        <v>579.18000000000006</v>
      </c>
      <c r="O664" s="116">
        <v>568.38</v>
      </c>
      <c r="P664" s="116">
        <v>572</v>
      </c>
      <c r="Q664" s="116">
        <v>2878.7</v>
      </c>
      <c r="R664">
        <v>75201</v>
      </c>
    </row>
    <row r="665" spans="1:18" x14ac:dyDescent="0.25">
      <c r="A665" s="170">
        <v>42983</v>
      </c>
      <c r="B665" s="116">
        <v>4.4505566227116704</v>
      </c>
      <c r="C665" s="116">
        <v>4.2676244910664103</v>
      </c>
      <c r="D665" s="116">
        <v>4.0387613480123701</v>
      </c>
      <c r="E665" s="116">
        <v>4.2422832433925999</v>
      </c>
      <c r="F665" s="116">
        <v>269.45</v>
      </c>
      <c r="G665">
        <v>2697</v>
      </c>
      <c r="H665" s="116"/>
      <c r="I665" s="116"/>
      <c r="L665" s="170">
        <v>42982</v>
      </c>
      <c r="M665" s="116">
        <v>564.08999999999992</v>
      </c>
      <c r="N665" s="116">
        <v>576.58999999999992</v>
      </c>
      <c r="O665" s="116">
        <v>560.20000000000005</v>
      </c>
      <c r="P665" s="116">
        <v>570.02</v>
      </c>
      <c r="Q665" s="116">
        <v>2820.45</v>
      </c>
      <c r="R665">
        <v>46953</v>
      </c>
    </row>
    <row r="666" spans="1:18" x14ac:dyDescent="0.25">
      <c r="A666" s="170">
        <v>42984</v>
      </c>
      <c r="B666" s="116">
        <v>4.4339264289257398</v>
      </c>
      <c r="C666" s="116">
        <v>4.1733867262794497</v>
      </c>
      <c r="D666" s="116">
        <v>4.1195365749726198</v>
      </c>
      <c r="E666" s="116">
        <v>4.4339264289257398</v>
      </c>
      <c r="F666" s="116">
        <v>263.5</v>
      </c>
      <c r="G666">
        <v>2481</v>
      </c>
      <c r="H666" s="116"/>
      <c r="I666" s="116"/>
      <c r="L666" s="170">
        <v>42983</v>
      </c>
      <c r="M666" s="116">
        <v>573.52</v>
      </c>
      <c r="N666" s="116">
        <v>577.4</v>
      </c>
      <c r="O666" s="116">
        <v>560.4</v>
      </c>
      <c r="P666" s="116">
        <v>560.4</v>
      </c>
      <c r="Q666" s="116">
        <v>2867.6</v>
      </c>
      <c r="R666">
        <v>65494</v>
      </c>
    </row>
    <row r="667" spans="1:18" x14ac:dyDescent="0.25">
      <c r="A667" s="170">
        <v>42985</v>
      </c>
      <c r="B667" s="116">
        <v>4.2763355449542804</v>
      </c>
      <c r="C667" s="116">
        <v>4.2684164050562101</v>
      </c>
      <c r="D667" s="116">
        <v>4.1337910267891296</v>
      </c>
      <c r="E667" s="116">
        <v>4.1733867262794497</v>
      </c>
      <c r="F667" s="116">
        <v>269.5</v>
      </c>
      <c r="G667">
        <v>1221</v>
      </c>
      <c r="H667" s="116"/>
      <c r="I667" s="116"/>
      <c r="L667" s="170">
        <v>42984</v>
      </c>
      <c r="M667" s="116">
        <v>577.95000000000005</v>
      </c>
      <c r="N667" s="116">
        <v>582.6</v>
      </c>
      <c r="O667" s="116">
        <v>567</v>
      </c>
      <c r="P667" s="116">
        <v>569</v>
      </c>
      <c r="Q667" s="116">
        <v>2889.75</v>
      </c>
      <c r="R667">
        <v>100276</v>
      </c>
    </row>
    <row r="668" spans="1:18" x14ac:dyDescent="0.25">
      <c r="A668" s="170">
        <v>42986</v>
      </c>
      <c r="B668" s="116">
        <v>4.4188800631194196</v>
      </c>
      <c r="C668" s="116">
        <v>4.3974983853946501</v>
      </c>
      <c r="D668" s="116">
        <v>4.1337910267891296</v>
      </c>
      <c r="E668" s="116">
        <v>4.1337910267891296</v>
      </c>
      <c r="F668" s="116">
        <v>277.64999999999998</v>
      </c>
      <c r="G668">
        <v>2493</v>
      </c>
      <c r="H668" s="116"/>
      <c r="I668" s="116"/>
      <c r="L668" s="170">
        <v>42985</v>
      </c>
      <c r="M668" s="116">
        <v>577.33999999999992</v>
      </c>
      <c r="N668" s="116">
        <v>586.4</v>
      </c>
      <c r="O668" s="116">
        <v>575.23</v>
      </c>
      <c r="P668" s="116">
        <v>575.23</v>
      </c>
      <c r="Q668" s="116">
        <v>2886.7</v>
      </c>
      <c r="R668">
        <v>64612</v>
      </c>
    </row>
    <row r="669" spans="1:18" x14ac:dyDescent="0.25">
      <c r="A669" s="170">
        <v>42989</v>
      </c>
      <c r="B669" s="116">
        <v>4.6168585605710097</v>
      </c>
      <c r="C669" s="116">
        <v>4.5614245812845597</v>
      </c>
      <c r="D669" s="116">
        <v>4.4220477190786402</v>
      </c>
      <c r="E669" s="116">
        <v>4.4220477190786402</v>
      </c>
      <c r="F669" s="116">
        <v>288</v>
      </c>
      <c r="G669">
        <v>5651</v>
      </c>
      <c r="H669" s="116"/>
      <c r="I669" s="116"/>
      <c r="L669" s="170">
        <v>42986</v>
      </c>
      <c r="M669" s="116">
        <v>572.25</v>
      </c>
      <c r="N669" s="116">
        <v>589.89</v>
      </c>
      <c r="O669" s="116">
        <v>568.29999999999995</v>
      </c>
      <c r="P669" s="116">
        <v>578</v>
      </c>
      <c r="Q669" s="116">
        <v>2861.25</v>
      </c>
      <c r="R669">
        <v>97655</v>
      </c>
    </row>
    <row r="670" spans="1:18" x14ac:dyDescent="0.25">
      <c r="A670" s="170">
        <v>42990</v>
      </c>
      <c r="B670" s="116">
        <v>4.5978526248156504</v>
      </c>
      <c r="C670" s="116">
        <v>4.4363021708951598</v>
      </c>
      <c r="D670" s="116">
        <v>4.35552694393491</v>
      </c>
      <c r="E670" s="116">
        <v>4.35552694393491</v>
      </c>
      <c r="F670" s="116">
        <v>280.10000000000002</v>
      </c>
      <c r="G670">
        <v>2420</v>
      </c>
      <c r="H670" s="116"/>
      <c r="I670" s="116"/>
      <c r="L670" s="170">
        <v>42989</v>
      </c>
      <c r="M670" s="116">
        <v>568.38</v>
      </c>
      <c r="N670" s="116">
        <v>582</v>
      </c>
      <c r="O670" s="116">
        <v>566</v>
      </c>
      <c r="P670" s="116">
        <v>573.01</v>
      </c>
      <c r="Q670" s="116">
        <v>2841.9</v>
      </c>
      <c r="R670">
        <v>66112</v>
      </c>
    </row>
    <row r="671" spans="1:18" x14ac:dyDescent="0.25">
      <c r="A671" s="170">
        <v>42991</v>
      </c>
      <c r="B671" s="116">
        <v>4.3571107719145203</v>
      </c>
      <c r="C671" s="116">
        <v>4.2636649211173703</v>
      </c>
      <c r="D671" s="116">
        <v>4.23278027551493</v>
      </c>
      <c r="E671" s="116">
        <v>4.3571107719145203</v>
      </c>
      <c r="F671" s="116">
        <v>269.2</v>
      </c>
      <c r="G671">
        <v>2698</v>
      </c>
      <c r="H671" s="116"/>
      <c r="I671" s="116"/>
      <c r="L671" s="170">
        <v>42990</v>
      </c>
      <c r="M671" s="116">
        <v>568.5</v>
      </c>
      <c r="N671" s="116">
        <v>575.6</v>
      </c>
      <c r="O671" s="116">
        <v>564.4</v>
      </c>
      <c r="P671" s="116">
        <v>569.02</v>
      </c>
      <c r="Q671" s="116">
        <v>2842.5</v>
      </c>
      <c r="R671">
        <v>43540</v>
      </c>
    </row>
    <row r="672" spans="1:18" x14ac:dyDescent="0.25">
      <c r="A672" s="170">
        <v>42992</v>
      </c>
      <c r="B672" s="116">
        <v>4.4347183429155503</v>
      </c>
      <c r="C672" s="116">
        <v>4.2565376952091203</v>
      </c>
      <c r="D672" s="116">
        <v>4.2129824257697699</v>
      </c>
      <c r="E672" s="116">
        <v>4.2129824257697699</v>
      </c>
      <c r="F672" s="116">
        <v>268.75</v>
      </c>
      <c r="G672">
        <v>1138</v>
      </c>
      <c r="H672" s="116"/>
      <c r="I672" s="116"/>
      <c r="L672" s="170">
        <v>42991</v>
      </c>
      <c r="M672" s="116">
        <v>561.54</v>
      </c>
      <c r="N672" s="116">
        <v>577.20000000000005</v>
      </c>
      <c r="O672" s="116">
        <v>560</v>
      </c>
      <c r="P672" s="116">
        <v>570.79999999999995</v>
      </c>
      <c r="Q672" s="116">
        <v>2807.7</v>
      </c>
      <c r="R672">
        <v>36607</v>
      </c>
    </row>
    <row r="673" spans="1:18" x14ac:dyDescent="0.25">
      <c r="A673" s="170">
        <v>42993</v>
      </c>
      <c r="B673" s="116">
        <v>4.2763355449542804</v>
      </c>
      <c r="C673" s="116">
        <v>4.1298314568401002</v>
      </c>
      <c r="D673" s="116">
        <v>4.0443047459410204</v>
      </c>
      <c r="E673" s="116">
        <v>4.2763355449542804</v>
      </c>
      <c r="F673" s="116">
        <v>260.75</v>
      </c>
      <c r="G673">
        <v>2960</v>
      </c>
      <c r="H673" s="116"/>
      <c r="I673" s="116"/>
      <c r="L673" s="170">
        <v>42992</v>
      </c>
      <c r="M673" s="116">
        <v>560.73</v>
      </c>
      <c r="N673" s="116">
        <v>565.56999999999994</v>
      </c>
      <c r="O673" s="116">
        <v>551</v>
      </c>
      <c r="P673" s="116">
        <v>561</v>
      </c>
      <c r="Q673" s="116">
        <v>2803.65</v>
      </c>
      <c r="R673">
        <v>58425</v>
      </c>
    </row>
    <row r="674" spans="1:18" x14ac:dyDescent="0.25">
      <c r="A674" s="170">
        <v>42996</v>
      </c>
      <c r="B674" s="116">
        <v>4.1179527469930104</v>
      </c>
      <c r="C674" s="116">
        <v>4.0862761874007498</v>
      </c>
      <c r="D674" s="116">
        <v>4.0229230682162402</v>
      </c>
      <c r="E674" s="116">
        <v>4.1179527469930104</v>
      </c>
      <c r="F674" s="116">
        <v>258</v>
      </c>
      <c r="G674">
        <v>3561</v>
      </c>
      <c r="H674" s="116"/>
      <c r="I674" s="116"/>
      <c r="L674" s="170">
        <v>42993</v>
      </c>
      <c r="M674" s="116">
        <v>558.89</v>
      </c>
      <c r="N674" s="116">
        <v>564</v>
      </c>
      <c r="O674" s="116">
        <v>554.76</v>
      </c>
      <c r="P674" s="116">
        <v>556.02</v>
      </c>
      <c r="Q674" s="116">
        <v>2794.45</v>
      </c>
      <c r="R674">
        <v>38562</v>
      </c>
    </row>
    <row r="675" spans="1:18" x14ac:dyDescent="0.25">
      <c r="A675" s="170">
        <v>42997</v>
      </c>
      <c r="B675" s="116">
        <v>4.1971441459736401</v>
      </c>
      <c r="C675" s="116">
        <v>4.1971441459736401</v>
      </c>
      <c r="D675" s="116">
        <v>4.0086686163997296</v>
      </c>
      <c r="E675" s="116">
        <v>4.0862761874007498</v>
      </c>
      <c r="F675" s="116">
        <v>265</v>
      </c>
      <c r="G675">
        <v>2657</v>
      </c>
      <c r="H675" s="116"/>
      <c r="I675" s="116"/>
      <c r="L675" s="170">
        <v>42996</v>
      </c>
      <c r="M675" s="116">
        <v>563.96</v>
      </c>
      <c r="N675" s="116">
        <v>567.5</v>
      </c>
      <c r="O675" s="116">
        <v>560</v>
      </c>
      <c r="P675" s="116">
        <v>560</v>
      </c>
      <c r="Q675" s="116">
        <v>2819.8</v>
      </c>
      <c r="R675">
        <v>43073</v>
      </c>
    </row>
    <row r="676" spans="1:18" x14ac:dyDescent="0.25">
      <c r="A676" s="170">
        <v>42998</v>
      </c>
      <c r="B676" s="116">
        <v>4.1971441459736401</v>
      </c>
      <c r="C676" s="116">
        <v>4.0648945096759803</v>
      </c>
      <c r="D676" s="116">
        <v>3.9872869386749601</v>
      </c>
      <c r="E676" s="116">
        <v>4.1955603179940297</v>
      </c>
      <c r="F676" s="116">
        <v>256.64999999999998</v>
      </c>
      <c r="G676">
        <v>990</v>
      </c>
      <c r="H676" s="116"/>
      <c r="I676" s="116"/>
      <c r="L676" s="170">
        <v>42997</v>
      </c>
      <c r="M676" s="116">
        <v>575.87</v>
      </c>
      <c r="N676" s="116">
        <v>578.9</v>
      </c>
      <c r="O676" s="116">
        <v>560.52</v>
      </c>
      <c r="P676" s="116">
        <v>563.96</v>
      </c>
      <c r="Q676" s="116">
        <v>2879.35</v>
      </c>
      <c r="R676">
        <v>99863</v>
      </c>
    </row>
    <row r="677" spans="1:18" x14ac:dyDescent="0.25">
      <c r="A677" s="170">
        <v>42999</v>
      </c>
      <c r="B677" s="116">
        <v>4.1971441459736401</v>
      </c>
      <c r="C677" s="116">
        <v>4.0720217355842401</v>
      </c>
      <c r="D677" s="116">
        <v>3.9912465086239899</v>
      </c>
      <c r="E677" s="116">
        <v>4.1337910267891296</v>
      </c>
      <c r="F677" s="116">
        <v>257.10000000000002</v>
      </c>
      <c r="G677">
        <v>1708</v>
      </c>
      <c r="H677" s="116"/>
      <c r="I677" s="116"/>
      <c r="L677" s="170">
        <v>42998</v>
      </c>
      <c r="M677" s="116">
        <v>565.54999999999995</v>
      </c>
      <c r="N677" s="116">
        <v>577.6</v>
      </c>
      <c r="O677" s="116">
        <v>563.72</v>
      </c>
      <c r="P677" s="116">
        <v>577.6</v>
      </c>
      <c r="Q677" s="116">
        <v>2827.75</v>
      </c>
      <c r="R677">
        <v>56793</v>
      </c>
    </row>
    <row r="678" spans="1:18" x14ac:dyDescent="0.25">
      <c r="A678" s="170">
        <v>43000</v>
      </c>
      <c r="B678" s="116">
        <v>4.1179527469930104</v>
      </c>
      <c r="C678" s="116">
        <v>4.0403451759919804</v>
      </c>
      <c r="D678" s="116">
        <v>4.0070847884201202</v>
      </c>
      <c r="E678" s="116">
        <v>4.0704379076046298</v>
      </c>
      <c r="F678" s="116">
        <v>255.1</v>
      </c>
      <c r="G678">
        <v>1008</v>
      </c>
      <c r="H678" s="116"/>
      <c r="I678" s="116"/>
      <c r="L678" s="170">
        <v>42999</v>
      </c>
      <c r="M678" s="116">
        <v>559.29999999999995</v>
      </c>
      <c r="N678" s="116">
        <v>566.79</v>
      </c>
      <c r="O678" s="116">
        <v>550.99</v>
      </c>
      <c r="P678" s="116">
        <v>566.79</v>
      </c>
      <c r="Q678" s="116">
        <v>2796.5</v>
      </c>
      <c r="R678">
        <v>79295</v>
      </c>
    </row>
    <row r="679" spans="1:18" x14ac:dyDescent="0.25">
      <c r="A679" s="170">
        <v>43003</v>
      </c>
      <c r="B679" s="116">
        <v>3.9833273687259299</v>
      </c>
      <c r="C679" s="116">
        <v>3.9278933894394799</v>
      </c>
      <c r="D679" s="116">
        <v>3.8384071085913698</v>
      </c>
      <c r="E679" s="116">
        <v>3.8391990225811701</v>
      </c>
      <c r="F679" s="116">
        <v>248</v>
      </c>
      <c r="G679">
        <v>801</v>
      </c>
      <c r="H679" s="116"/>
      <c r="I679" s="116"/>
      <c r="L679" s="170">
        <v>43000</v>
      </c>
      <c r="M679" s="116">
        <v>531.63</v>
      </c>
      <c r="N679" s="116">
        <v>557.16000000000008</v>
      </c>
      <c r="O679" s="116">
        <v>529</v>
      </c>
      <c r="P679" s="116">
        <v>557.16000000000008</v>
      </c>
      <c r="Q679" s="116">
        <v>2658.15</v>
      </c>
      <c r="R679">
        <v>149738</v>
      </c>
    </row>
    <row r="680" spans="1:18" x14ac:dyDescent="0.25">
      <c r="A680" s="170">
        <v>43004</v>
      </c>
      <c r="B680" s="116">
        <v>4.1211204029522301</v>
      </c>
      <c r="C680" s="116">
        <v>3.9627376049909602</v>
      </c>
      <c r="D680" s="116">
        <v>3.80118715107047</v>
      </c>
      <c r="E680" s="116">
        <v>3.80118715107047</v>
      </c>
      <c r="F680" s="116">
        <v>250.2</v>
      </c>
      <c r="G680">
        <v>1696</v>
      </c>
      <c r="H680" s="116"/>
      <c r="I680" s="116"/>
      <c r="L680" s="170">
        <v>43003</v>
      </c>
      <c r="M680" s="116">
        <v>517.56000000000006</v>
      </c>
      <c r="N680" s="116">
        <v>533.06999999999994</v>
      </c>
      <c r="O680" s="116">
        <v>508.18</v>
      </c>
      <c r="P680" s="116">
        <v>532</v>
      </c>
      <c r="Q680" s="116">
        <v>2587.8000000000002</v>
      </c>
      <c r="R680">
        <v>133484</v>
      </c>
    </row>
    <row r="681" spans="1:18" x14ac:dyDescent="0.25">
      <c r="A681" s="170">
        <v>43005</v>
      </c>
      <c r="B681" s="116">
        <v>4.0387613480123701</v>
      </c>
      <c r="C681" s="116">
        <v>3.7663429355189901</v>
      </c>
      <c r="D681" s="116">
        <v>3.7663429355189901</v>
      </c>
      <c r="E681" s="116">
        <v>4.0387613480123701</v>
      </c>
      <c r="F681" s="116">
        <v>237.8</v>
      </c>
      <c r="G681">
        <v>753</v>
      </c>
      <c r="H681" s="116"/>
      <c r="I681" s="116"/>
      <c r="L681" s="170">
        <v>43004</v>
      </c>
      <c r="M681" s="116">
        <v>530.66999999999996</v>
      </c>
      <c r="N681" s="116">
        <v>538.64</v>
      </c>
      <c r="O681" s="116">
        <v>516.41000000000008</v>
      </c>
      <c r="P681" s="116">
        <v>520</v>
      </c>
      <c r="Q681" s="116">
        <v>2653.35</v>
      </c>
      <c r="R681">
        <v>129450</v>
      </c>
    </row>
    <row r="682" spans="1:18" x14ac:dyDescent="0.25">
      <c r="A682" s="170">
        <v>43006</v>
      </c>
      <c r="B682" s="116">
        <v>3.80118715107047</v>
      </c>
      <c r="C682" s="116">
        <v>3.80118715107047</v>
      </c>
      <c r="D682" s="116">
        <v>3.6269660733130702</v>
      </c>
      <c r="E682" s="116">
        <v>3.7219957520898301</v>
      </c>
      <c r="F682" s="116">
        <v>240</v>
      </c>
      <c r="G682">
        <v>1140</v>
      </c>
      <c r="H682" s="116"/>
      <c r="I682" s="116"/>
      <c r="L682" s="170">
        <v>43005</v>
      </c>
      <c r="M682" s="116">
        <v>519.9</v>
      </c>
      <c r="N682" s="116">
        <v>539.6</v>
      </c>
      <c r="O682" s="116">
        <v>517.08000000000004</v>
      </c>
      <c r="P682" s="116">
        <v>537.01</v>
      </c>
      <c r="Q682" s="116">
        <v>2599.5</v>
      </c>
      <c r="R682">
        <v>96210</v>
      </c>
    </row>
    <row r="683" spans="1:18" x14ac:dyDescent="0.25">
      <c r="A683" s="170">
        <v>43007</v>
      </c>
      <c r="B683" s="116">
        <v>3.9912465086239899</v>
      </c>
      <c r="C683" s="116">
        <v>3.7338744619369302</v>
      </c>
      <c r="D683" s="116">
        <v>3.6586426329053299</v>
      </c>
      <c r="E683" s="116">
        <v>3.8170254308665901</v>
      </c>
      <c r="F683" s="116">
        <v>235.75</v>
      </c>
      <c r="G683">
        <v>867</v>
      </c>
      <c r="H683" s="116"/>
      <c r="I683" s="116"/>
      <c r="L683" s="170">
        <v>43006</v>
      </c>
      <c r="M683" s="116">
        <v>526.58000000000004</v>
      </c>
      <c r="N683" s="116">
        <v>532</v>
      </c>
      <c r="O683" s="116">
        <v>512.96</v>
      </c>
      <c r="P683" s="116">
        <v>520</v>
      </c>
      <c r="Q683" s="116">
        <v>2632.9</v>
      </c>
      <c r="R683">
        <v>104158</v>
      </c>
    </row>
    <row r="684" spans="1:18" x14ac:dyDescent="0.25">
      <c r="A684" s="170">
        <v>43011</v>
      </c>
      <c r="B684" s="116">
        <v>3.73783403188596</v>
      </c>
      <c r="C684" s="116">
        <v>3.7014059883548698</v>
      </c>
      <c r="D684" s="116">
        <v>3.5636129541285602</v>
      </c>
      <c r="E684" s="116">
        <v>3.6428043531092</v>
      </c>
      <c r="F684" s="116">
        <v>233.7</v>
      </c>
      <c r="G684">
        <v>7020</v>
      </c>
      <c r="H684" s="116"/>
      <c r="I684" s="116"/>
      <c r="L684" s="170">
        <v>43007</v>
      </c>
      <c r="M684" s="116">
        <v>530.91000000000008</v>
      </c>
      <c r="N684" s="116">
        <v>537</v>
      </c>
      <c r="O684" s="116">
        <v>528.13</v>
      </c>
      <c r="P684" s="116">
        <v>530</v>
      </c>
      <c r="Q684" s="116">
        <v>2654.55</v>
      </c>
      <c r="R684">
        <v>76546</v>
      </c>
    </row>
    <row r="685" spans="1:18" x14ac:dyDescent="0.25">
      <c r="A685" s="170">
        <v>43012</v>
      </c>
      <c r="B685" s="116">
        <v>3.6903191924975798</v>
      </c>
      <c r="C685" s="116">
        <v>3.5184738567095999</v>
      </c>
      <c r="D685" s="116">
        <v>3.51689002872999</v>
      </c>
      <c r="E685" s="116">
        <v>3.6111277935169399</v>
      </c>
      <c r="F685" s="116">
        <v>222.15</v>
      </c>
      <c r="G685">
        <v>1315</v>
      </c>
      <c r="H685" s="116"/>
      <c r="I685" s="116"/>
      <c r="L685" s="170">
        <v>43011</v>
      </c>
      <c r="M685" s="116">
        <v>527.86</v>
      </c>
      <c r="N685" s="116">
        <v>538</v>
      </c>
      <c r="O685" s="116">
        <v>525.11</v>
      </c>
      <c r="P685" s="116">
        <v>537.58000000000004</v>
      </c>
      <c r="Q685" s="116">
        <v>2639.3</v>
      </c>
      <c r="R685">
        <v>81026</v>
      </c>
    </row>
    <row r="686" spans="1:18" x14ac:dyDescent="0.25">
      <c r="A686" s="170">
        <v>43013</v>
      </c>
      <c r="B686" s="116">
        <v>3.6934868484568</v>
      </c>
      <c r="C686" s="116">
        <v>3.6412205251295902</v>
      </c>
      <c r="D686" s="116">
        <v>3.4369067157595499</v>
      </c>
      <c r="E686" s="116">
        <v>3.6934868484568</v>
      </c>
      <c r="F686" s="116">
        <v>229.9</v>
      </c>
      <c r="G686">
        <v>3199</v>
      </c>
      <c r="H686" s="116"/>
      <c r="I686" s="116"/>
      <c r="L686" s="170">
        <v>43012</v>
      </c>
      <c r="M686" s="116">
        <v>525.04999999999995</v>
      </c>
      <c r="N686" s="116">
        <v>534.4</v>
      </c>
      <c r="O686" s="116">
        <v>522.21</v>
      </c>
      <c r="P686" s="116">
        <v>530.4</v>
      </c>
      <c r="Q686" s="116">
        <v>2625.25</v>
      </c>
      <c r="R686">
        <v>78909</v>
      </c>
    </row>
    <row r="687" spans="1:18" x14ac:dyDescent="0.25">
      <c r="A687" s="170">
        <v>43014</v>
      </c>
      <c r="B687" s="116">
        <v>3.70457364431409</v>
      </c>
      <c r="C687" s="116">
        <v>3.5952895137208198</v>
      </c>
      <c r="D687" s="116">
        <v>3.5636129541285602</v>
      </c>
      <c r="E687" s="116">
        <v>3.6412205251295902</v>
      </c>
      <c r="F687" s="116">
        <v>227</v>
      </c>
      <c r="G687">
        <v>600</v>
      </c>
      <c r="H687" s="116"/>
      <c r="I687" s="116"/>
      <c r="L687" s="170">
        <v>43013</v>
      </c>
      <c r="M687" s="116">
        <v>523.39</v>
      </c>
      <c r="N687" s="116">
        <v>532.25</v>
      </c>
      <c r="O687" s="116">
        <v>521.26</v>
      </c>
      <c r="P687" s="116">
        <v>528.74</v>
      </c>
      <c r="Q687" s="116">
        <v>2616.9499999999998</v>
      </c>
      <c r="R687">
        <v>57982</v>
      </c>
    </row>
    <row r="688" spans="1:18" x14ac:dyDescent="0.25">
      <c r="A688" s="170">
        <v>43017</v>
      </c>
      <c r="B688" s="116">
        <v>3.7750539894068602</v>
      </c>
      <c r="C688" s="116">
        <v>3.7750539894068602</v>
      </c>
      <c r="D688" s="116">
        <v>3.6285499012926801</v>
      </c>
      <c r="E688" s="116">
        <v>3.6428043531092</v>
      </c>
      <c r="F688" s="116">
        <v>238.35</v>
      </c>
      <c r="G688">
        <v>7061</v>
      </c>
      <c r="H688" s="116"/>
      <c r="I688" s="116"/>
      <c r="L688" s="170">
        <v>43014</v>
      </c>
      <c r="M688" s="116">
        <v>529.14</v>
      </c>
      <c r="N688" s="116">
        <v>534.20000000000005</v>
      </c>
      <c r="O688" s="116">
        <v>523.22</v>
      </c>
      <c r="P688" s="116">
        <v>525.20000000000005</v>
      </c>
      <c r="Q688" s="116">
        <v>2645.7</v>
      </c>
      <c r="R688">
        <v>91713</v>
      </c>
    </row>
    <row r="689" spans="1:18" x14ac:dyDescent="0.25">
      <c r="A689" s="170">
        <v>43018</v>
      </c>
      <c r="B689" s="116">
        <v>3.9635295189807702</v>
      </c>
      <c r="C689" s="116">
        <v>3.85345347439769</v>
      </c>
      <c r="D689" s="116">
        <v>3.80118715107047</v>
      </c>
      <c r="E689" s="116">
        <v>3.95956994903174</v>
      </c>
      <c r="F689" s="116">
        <v>243.3</v>
      </c>
      <c r="G689">
        <v>5005</v>
      </c>
      <c r="H689" s="116"/>
      <c r="I689" s="116"/>
      <c r="L689" s="170">
        <v>43017</v>
      </c>
      <c r="M689" s="116">
        <v>533.33999999999992</v>
      </c>
      <c r="N689" s="116">
        <v>536.79999999999995</v>
      </c>
      <c r="O689" s="116">
        <v>527.06999999999994</v>
      </c>
      <c r="P689" s="116">
        <v>530.79999999999995</v>
      </c>
      <c r="Q689" s="116">
        <v>2666.7</v>
      </c>
      <c r="R689">
        <v>47881</v>
      </c>
    </row>
    <row r="690" spans="1:18" x14ac:dyDescent="0.25">
      <c r="A690" s="170">
        <v>43019</v>
      </c>
      <c r="B690" s="116">
        <v>3.9849111967055402</v>
      </c>
      <c r="C690" s="116">
        <v>3.87483515212246</v>
      </c>
      <c r="D690" s="116">
        <v>3.6903191924975798</v>
      </c>
      <c r="E690" s="116">
        <v>3.73783403188596</v>
      </c>
      <c r="F690" s="116">
        <v>244.65</v>
      </c>
      <c r="G690">
        <v>3382</v>
      </c>
      <c r="H690" s="116"/>
      <c r="I690" s="116"/>
      <c r="L690" s="170">
        <v>43018</v>
      </c>
      <c r="M690" s="116">
        <v>524.87</v>
      </c>
      <c r="N690" s="116">
        <v>538</v>
      </c>
      <c r="O690" s="116">
        <v>522.65</v>
      </c>
      <c r="P690" s="116">
        <v>538</v>
      </c>
      <c r="Q690" s="116">
        <v>2624.35</v>
      </c>
      <c r="R690">
        <v>82057</v>
      </c>
    </row>
    <row r="691" spans="1:18" x14ac:dyDescent="0.25">
      <c r="A691" s="170">
        <v>43020</v>
      </c>
      <c r="B691" s="116">
        <v>4.0680621656352098</v>
      </c>
      <c r="C691" s="116">
        <v>4.0680621656352098</v>
      </c>
      <c r="D691" s="116">
        <v>4.0680621656352098</v>
      </c>
      <c r="E691" s="116">
        <v>4.0680621656352098</v>
      </c>
      <c r="F691" s="116">
        <v>256.85000000000002</v>
      </c>
      <c r="G691">
        <v>1349</v>
      </c>
      <c r="H691" s="116"/>
      <c r="I691" s="116"/>
      <c r="L691" s="170">
        <v>43019</v>
      </c>
      <c r="M691" s="116">
        <v>510.66</v>
      </c>
      <c r="N691" s="116">
        <v>531.4</v>
      </c>
      <c r="O691" s="116">
        <v>507.21000000000004</v>
      </c>
      <c r="P691" s="116">
        <v>528.79999999999995</v>
      </c>
      <c r="Q691" s="116">
        <v>2553.3000000000002</v>
      </c>
      <c r="R691">
        <v>124553</v>
      </c>
    </row>
    <row r="692" spans="1:18" x14ac:dyDescent="0.25">
      <c r="A692" s="170">
        <v>43021</v>
      </c>
      <c r="B692" s="116">
        <v>4.27079214702563</v>
      </c>
      <c r="C692" s="116">
        <v>4.27079214702563</v>
      </c>
      <c r="D692" s="116">
        <v>4.27079214702563</v>
      </c>
      <c r="E692" s="116">
        <v>4.27079214702563</v>
      </c>
      <c r="F692" s="116">
        <v>269.64999999999998</v>
      </c>
      <c r="G692">
        <v>8625</v>
      </c>
      <c r="H692" s="116"/>
      <c r="I692" s="116"/>
      <c r="L692" s="170">
        <v>43020</v>
      </c>
      <c r="M692" s="116">
        <v>526</v>
      </c>
      <c r="N692" s="116">
        <v>529.45000000000005</v>
      </c>
      <c r="O692" s="116">
        <v>510.9</v>
      </c>
      <c r="P692" s="116">
        <v>516</v>
      </c>
      <c r="Q692" s="116">
        <v>526</v>
      </c>
      <c r="R692">
        <v>651990</v>
      </c>
    </row>
    <row r="693" spans="1:18" x14ac:dyDescent="0.25">
      <c r="A693" s="170">
        <v>43024</v>
      </c>
      <c r="B693" s="116">
        <v>4.4838170102835404</v>
      </c>
      <c r="C693" s="116">
        <v>4.4838170102835404</v>
      </c>
      <c r="D693" s="116">
        <v>4.4838170102835404</v>
      </c>
      <c r="E693" s="116">
        <v>4.4838170102835404</v>
      </c>
      <c r="F693" s="116">
        <v>283.10000000000002</v>
      </c>
      <c r="G693">
        <v>2870</v>
      </c>
      <c r="H693" s="116"/>
      <c r="I693" s="116"/>
      <c r="L693" s="170">
        <v>43021</v>
      </c>
      <c r="M693" s="116">
        <v>558.75</v>
      </c>
      <c r="N693" s="116">
        <v>562</v>
      </c>
      <c r="O693" s="116">
        <v>527</v>
      </c>
      <c r="P693" s="116">
        <v>530</v>
      </c>
      <c r="Q693" s="116">
        <v>558.75</v>
      </c>
      <c r="R693">
        <v>1585443</v>
      </c>
    </row>
    <row r="694" spans="1:18" x14ac:dyDescent="0.25">
      <c r="A694" s="170">
        <v>43025</v>
      </c>
      <c r="B694" s="116">
        <v>4.7079286693987399</v>
      </c>
      <c r="C694" s="116">
        <v>4.7079286693987399</v>
      </c>
      <c r="D694" s="116">
        <v>4.7079286693987399</v>
      </c>
      <c r="E694" s="116">
        <v>4.7079286693987399</v>
      </c>
      <c r="F694" s="116">
        <v>297.25</v>
      </c>
      <c r="G694">
        <v>919</v>
      </c>
      <c r="H694" s="116"/>
      <c r="I694" s="116"/>
      <c r="L694" s="170">
        <v>43024</v>
      </c>
      <c r="M694" s="116">
        <v>549.4</v>
      </c>
      <c r="N694" s="116">
        <v>564.70000000000005</v>
      </c>
      <c r="O694" s="116">
        <v>545.65</v>
      </c>
      <c r="P694" s="116">
        <v>562</v>
      </c>
      <c r="Q694" s="116">
        <v>549.4</v>
      </c>
      <c r="R694">
        <v>876239</v>
      </c>
    </row>
    <row r="695" spans="1:18" x14ac:dyDescent="0.25">
      <c r="A695" s="170">
        <v>43026</v>
      </c>
      <c r="B695" s="116">
        <v>4.9431271243712196</v>
      </c>
      <c r="C695" s="116">
        <v>4.9431271243712196</v>
      </c>
      <c r="D695" s="116">
        <v>4.7514839388380796</v>
      </c>
      <c r="E695" s="116">
        <v>4.9431271243712196</v>
      </c>
      <c r="F695" s="116">
        <v>312.10000000000002</v>
      </c>
      <c r="G695">
        <v>41775</v>
      </c>
      <c r="H695" s="116"/>
      <c r="I695" s="116"/>
      <c r="L695" s="170">
        <v>43025</v>
      </c>
      <c r="M695" s="116">
        <v>551.5</v>
      </c>
      <c r="N695" s="116">
        <v>554.75</v>
      </c>
      <c r="O695" s="116">
        <v>545</v>
      </c>
      <c r="P695" s="116">
        <v>551</v>
      </c>
      <c r="Q695" s="116">
        <v>551.5</v>
      </c>
      <c r="R695">
        <v>428851</v>
      </c>
    </row>
    <row r="696" spans="1:18" x14ac:dyDescent="0.25">
      <c r="A696" s="170">
        <v>43027</v>
      </c>
      <c r="B696" s="116">
        <v>5.1902042891907998</v>
      </c>
      <c r="C696" s="116">
        <v>5.0737929326892699</v>
      </c>
      <c r="D696" s="116">
        <v>5.03815680314798</v>
      </c>
      <c r="E696" s="116">
        <v>5.1822851492927402</v>
      </c>
      <c r="F696" s="116">
        <v>320.35000000000002</v>
      </c>
      <c r="G696">
        <v>10158</v>
      </c>
      <c r="H696" s="116"/>
      <c r="I696" s="116"/>
      <c r="L696" s="170">
        <v>43026</v>
      </c>
      <c r="M696" s="116">
        <v>540.70000000000005</v>
      </c>
      <c r="N696" s="116">
        <v>552</v>
      </c>
      <c r="O696" s="116">
        <v>539.20000000000005</v>
      </c>
      <c r="P696" s="116">
        <v>550.79999999999995</v>
      </c>
      <c r="Q696" s="116">
        <v>540.70000000000005</v>
      </c>
      <c r="R696">
        <v>505344</v>
      </c>
    </row>
    <row r="697" spans="1:18" x14ac:dyDescent="0.25">
      <c r="A697" s="170">
        <v>43031</v>
      </c>
      <c r="B697" s="116">
        <v>5.3216620114986499</v>
      </c>
      <c r="C697" s="116">
        <v>4.8203804559512404</v>
      </c>
      <c r="D697" s="116">
        <v>4.8203804559512404</v>
      </c>
      <c r="E697" s="116">
        <v>5.2899854519064</v>
      </c>
      <c r="F697" s="116">
        <v>304.35000000000002</v>
      </c>
      <c r="G697">
        <v>9826</v>
      </c>
      <c r="H697" s="116"/>
      <c r="I697" s="116"/>
      <c r="L697" s="170">
        <v>43027</v>
      </c>
      <c r="M697" s="116">
        <v>537.15</v>
      </c>
      <c r="N697" s="116">
        <v>544.6</v>
      </c>
      <c r="O697" s="116">
        <v>532.25</v>
      </c>
      <c r="P697" s="116">
        <v>541</v>
      </c>
      <c r="Q697" s="116">
        <v>537.15</v>
      </c>
      <c r="R697">
        <v>134995</v>
      </c>
    </row>
    <row r="698" spans="1:18" x14ac:dyDescent="0.25">
      <c r="A698" s="170">
        <v>43032</v>
      </c>
      <c r="B698" s="116">
        <v>4.7514839388380796</v>
      </c>
      <c r="C698" s="116">
        <v>4.5796386030501104</v>
      </c>
      <c r="D698" s="116">
        <v>4.5796386030501104</v>
      </c>
      <c r="E698" s="116">
        <v>4.7514839388380796</v>
      </c>
      <c r="F698" s="116">
        <v>289.14999999999998</v>
      </c>
      <c r="G698">
        <v>9730</v>
      </c>
      <c r="H698" s="116"/>
      <c r="I698" s="116"/>
      <c r="L698" s="170">
        <v>43031</v>
      </c>
      <c r="M698" s="116">
        <v>537.85</v>
      </c>
      <c r="N698" s="116">
        <v>545.4</v>
      </c>
      <c r="O698" s="116">
        <v>533.4</v>
      </c>
      <c r="P698" s="116">
        <v>537</v>
      </c>
      <c r="Q698" s="116">
        <v>537.85</v>
      </c>
      <c r="R698">
        <v>439606</v>
      </c>
    </row>
    <row r="699" spans="1:18" x14ac:dyDescent="0.25">
      <c r="A699" s="170">
        <v>43033</v>
      </c>
      <c r="B699" s="116">
        <v>4.8085017461041399</v>
      </c>
      <c r="C699" s="116">
        <v>4.4521404506912896</v>
      </c>
      <c r="D699" s="116">
        <v>4.3713652237310399</v>
      </c>
      <c r="E699" s="116">
        <v>4.8085017461041399</v>
      </c>
      <c r="F699" s="116">
        <v>281.10000000000002</v>
      </c>
      <c r="G699">
        <v>6943</v>
      </c>
      <c r="H699" s="116"/>
      <c r="I699" s="116"/>
      <c r="L699" s="170">
        <v>43032</v>
      </c>
      <c r="M699" s="116">
        <v>538.9</v>
      </c>
      <c r="N699" s="116">
        <v>555.79999999999995</v>
      </c>
      <c r="O699" s="116">
        <v>534</v>
      </c>
      <c r="P699" s="116">
        <v>540.95000000000005</v>
      </c>
      <c r="Q699" s="116">
        <v>538.9</v>
      </c>
      <c r="R699">
        <v>1735326</v>
      </c>
    </row>
    <row r="700" spans="1:18" x14ac:dyDescent="0.25">
      <c r="A700" s="170">
        <v>43034</v>
      </c>
      <c r="B700" s="116">
        <v>4.67229253985745</v>
      </c>
      <c r="C700" s="116">
        <v>4.6271534424384901</v>
      </c>
      <c r="D700" s="116">
        <v>4.4030417833232898</v>
      </c>
      <c r="E700" s="116">
        <v>4.4030417833232898</v>
      </c>
      <c r="F700" s="116">
        <v>292.14999999999998</v>
      </c>
      <c r="G700">
        <v>5512</v>
      </c>
      <c r="H700" s="116"/>
      <c r="I700" s="116"/>
      <c r="L700" s="170">
        <v>43033</v>
      </c>
      <c r="M700" s="116">
        <v>503.1</v>
      </c>
      <c r="N700" s="116">
        <v>539.85</v>
      </c>
      <c r="O700" s="116">
        <v>496.85</v>
      </c>
      <c r="P700" s="116">
        <v>534</v>
      </c>
      <c r="Q700" s="116">
        <v>503.1</v>
      </c>
      <c r="R700">
        <v>1993043</v>
      </c>
    </row>
    <row r="701" spans="1:18" x14ac:dyDescent="0.25">
      <c r="A701" s="170">
        <v>43035</v>
      </c>
      <c r="B701" s="116">
        <v>4.8203804559512404</v>
      </c>
      <c r="C701" s="116">
        <v>4.6786278517759001</v>
      </c>
      <c r="D701" s="116">
        <v>4.5376671615903703</v>
      </c>
      <c r="E701" s="116">
        <v>4.8203804559512404</v>
      </c>
      <c r="F701" s="116">
        <v>295.39999999999998</v>
      </c>
      <c r="G701">
        <v>5314</v>
      </c>
      <c r="H701" s="116"/>
      <c r="I701" s="116"/>
      <c r="L701" s="170">
        <v>43034</v>
      </c>
      <c r="M701" s="116">
        <v>498.55</v>
      </c>
      <c r="N701" s="116">
        <v>507.95</v>
      </c>
      <c r="O701" s="116">
        <v>480.1</v>
      </c>
      <c r="P701" s="116">
        <v>501</v>
      </c>
      <c r="Q701" s="116">
        <v>498.55</v>
      </c>
      <c r="R701">
        <v>1518657</v>
      </c>
    </row>
    <row r="702" spans="1:18" x14ac:dyDescent="0.25">
      <c r="A702" s="170">
        <v>43038</v>
      </c>
      <c r="B702" s="116">
        <v>4.9122424787687704</v>
      </c>
      <c r="C702" s="116">
        <v>4.4758978703854799</v>
      </c>
      <c r="D702" s="116">
        <v>4.4450132247830298</v>
      </c>
      <c r="E702" s="116">
        <v>4.6406159802652001</v>
      </c>
      <c r="F702" s="116">
        <v>282.60000000000002</v>
      </c>
      <c r="G702">
        <v>17527</v>
      </c>
      <c r="H702" s="116"/>
      <c r="I702" s="116"/>
      <c r="L702" s="170">
        <v>43035</v>
      </c>
      <c r="M702" s="116">
        <v>495.7</v>
      </c>
      <c r="N702" s="116">
        <v>509.35</v>
      </c>
      <c r="O702" s="116">
        <v>493.1</v>
      </c>
      <c r="P702" s="116">
        <v>504</v>
      </c>
      <c r="Q702" s="116">
        <v>495.7</v>
      </c>
      <c r="R702">
        <v>847741</v>
      </c>
    </row>
    <row r="703" spans="1:18" x14ac:dyDescent="0.25">
      <c r="A703" s="170">
        <v>43039</v>
      </c>
      <c r="B703" s="116">
        <v>4.6564542600613201</v>
      </c>
      <c r="C703" s="116">
        <v>4.46956255846702</v>
      </c>
      <c r="D703" s="116">
        <v>4.3713652237310399</v>
      </c>
      <c r="E703" s="116">
        <v>4.5931011408768203</v>
      </c>
      <c r="F703" s="116">
        <v>282.2</v>
      </c>
      <c r="G703">
        <v>11784</v>
      </c>
      <c r="H703" s="116"/>
      <c r="I703" s="116"/>
      <c r="L703" s="170">
        <v>43038</v>
      </c>
      <c r="M703" s="116">
        <v>488.75</v>
      </c>
      <c r="N703" s="116">
        <v>502.5</v>
      </c>
      <c r="O703" s="116">
        <v>486.5</v>
      </c>
      <c r="P703" s="116">
        <v>496</v>
      </c>
      <c r="Q703" s="116">
        <v>488.75</v>
      </c>
      <c r="R703">
        <v>674251</v>
      </c>
    </row>
    <row r="704" spans="1:18" x14ac:dyDescent="0.25">
      <c r="A704" s="170">
        <v>43040</v>
      </c>
      <c r="B704" s="116">
        <v>4.6406159802652001</v>
      </c>
      <c r="C704" s="116">
        <v>4.45134853670148</v>
      </c>
      <c r="D704" s="116">
        <v>4.35552694393491</v>
      </c>
      <c r="E704" s="116">
        <v>4.35552694393491</v>
      </c>
      <c r="F704" s="116">
        <v>281.05</v>
      </c>
      <c r="G704">
        <v>22616</v>
      </c>
      <c r="H704" s="116"/>
      <c r="I704" s="116"/>
      <c r="L704" s="170">
        <v>43039</v>
      </c>
      <c r="M704" s="116">
        <v>480.15</v>
      </c>
      <c r="N704" s="116">
        <v>495.15</v>
      </c>
      <c r="O704" s="116">
        <v>478</v>
      </c>
      <c r="P704" s="116">
        <v>493.9</v>
      </c>
      <c r="Q704" s="116">
        <v>480.15</v>
      </c>
      <c r="R704">
        <v>917182</v>
      </c>
    </row>
    <row r="705" spans="1:18" x14ac:dyDescent="0.25">
      <c r="A705" s="170">
        <v>43041</v>
      </c>
      <c r="B705" s="116">
        <v>4.6738763678370603</v>
      </c>
      <c r="C705" s="116">
        <v>4.6651653139491902</v>
      </c>
      <c r="D705" s="116">
        <v>4.4663949025078002</v>
      </c>
      <c r="E705" s="116">
        <v>4.5915173128972002</v>
      </c>
      <c r="F705" s="116">
        <v>294.55</v>
      </c>
      <c r="G705">
        <v>10160</v>
      </c>
      <c r="H705" s="116"/>
      <c r="I705" s="116"/>
      <c r="L705" s="170">
        <v>43040</v>
      </c>
      <c r="M705" s="116">
        <v>470.9</v>
      </c>
      <c r="N705" s="116">
        <v>485.85</v>
      </c>
      <c r="O705" s="116">
        <v>469.65</v>
      </c>
      <c r="P705" s="116">
        <v>484.8</v>
      </c>
      <c r="Q705" s="116">
        <v>470.9</v>
      </c>
      <c r="R705">
        <v>943274</v>
      </c>
    </row>
    <row r="706" spans="1:18" x14ac:dyDescent="0.25">
      <c r="A706" s="170">
        <v>43042</v>
      </c>
      <c r="B706" s="116">
        <v>4.8940284570032304</v>
      </c>
      <c r="C706" s="116">
        <v>4.6247777004690702</v>
      </c>
      <c r="D706" s="116">
        <v>4.5297480216923098</v>
      </c>
      <c r="E706" s="116">
        <v>4.8940284570032304</v>
      </c>
      <c r="F706" s="116">
        <v>292</v>
      </c>
      <c r="G706">
        <v>7185</v>
      </c>
      <c r="H706" s="116"/>
      <c r="I706" s="116"/>
      <c r="L706" s="170">
        <v>43041</v>
      </c>
      <c r="M706" s="116">
        <v>472.6</v>
      </c>
      <c r="N706" s="116">
        <v>482.8</v>
      </c>
      <c r="O706" s="116">
        <v>465.25</v>
      </c>
      <c r="P706" s="116">
        <v>472</v>
      </c>
      <c r="Q706" s="116">
        <v>472.6</v>
      </c>
      <c r="R706">
        <v>1274760</v>
      </c>
    </row>
    <row r="707" spans="1:18" x14ac:dyDescent="0.25">
      <c r="A707" s="170">
        <v>43045</v>
      </c>
      <c r="B707" s="116">
        <v>4.7514839388380796</v>
      </c>
      <c r="C707" s="116">
        <v>4.6643733999593904</v>
      </c>
      <c r="D707" s="116">
        <v>4.6247777004690702</v>
      </c>
      <c r="E707" s="116">
        <v>4.6247777004690702</v>
      </c>
      <c r="F707" s="116">
        <v>294.5</v>
      </c>
      <c r="G707">
        <v>5682</v>
      </c>
      <c r="H707" s="116"/>
      <c r="I707" s="116"/>
      <c r="L707" s="170">
        <v>43042</v>
      </c>
      <c r="M707" s="116">
        <v>467.35</v>
      </c>
      <c r="N707" s="116">
        <v>477.5</v>
      </c>
      <c r="O707" s="116">
        <v>464.8</v>
      </c>
      <c r="P707" s="116">
        <v>471.1</v>
      </c>
      <c r="Q707" s="116">
        <v>467.35</v>
      </c>
      <c r="R707">
        <v>720847</v>
      </c>
    </row>
    <row r="708" spans="1:18" x14ac:dyDescent="0.25">
      <c r="A708" s="170">
        <v>43046</v>
      </c>
      <c r="B708" s="116">
        <v>4.67229253985745</v>
      </c>
      <c r="C708" s="116">
        <v>4.4980714621000502</v>
      </c>
      <c r="D708" s="116">
        <v>4.4743140424058598</v>
      </c>
      <c r="E708" s="116">
        <v>4.6643733999593904</v>
      </c>
      <c r="F708" s="116">
        <v>284</v>
      </c>
      <c r="G708">
        <v>940</v>
      </c>
      <c r="H708" s="116"/>
      <c r="I708" s="116"/>
      <c r="L708" s="170">
        <v>43045</v>
      </c>
      <c r="M708" s="116">
        <v>456.15</v>
      </c>
      <c r="N708" s="116">
        <v>470</v>
      </c>
      <c r="O708" s="116">
        <v>454.95</v>
      </c>
      <c r="P708" s="116">
        <v>468</v>
      </c>
      <c r="Q708" s="116">
        <v>456.15</v>
      </c>
      <c r="R708">
        <v>760577</v>
      </c>
    </row>
    <row r="709" spans="1:18" x14ac:dyDescent="0.25">
      <c r="A709" s="170">
        <v>43047</v>
      </c>
      <c r="B709" s="116">
        <v>4.7198073792458297</v>
      </c>
      <c r="C709" s="116">
        <v>4.4988633760898598</v>
      </c>
      <c r="D709" s="116">
        <v>4.4663949025078002</v>
      </c>
      <c r="E709" s="116">
        <v>4.7182235512662203</v>
      </c>
      <c r="F709" s="116">
        <v>284.05</v>
      </c>
      <c r="G709">
        <v>5488</v>
      </c>
      <c r="H709" s="116"/>
      <c r="I709" s="116"/>
      <c r="L709" s="170">
        <v>43046</v>
      </c>
      <c r="M709" s="116">
        <v>456.2</v>
      </c>
      <c r="N709" s="116">
        <v>471.9</v>
      </c>
      <c r="O709" s="116">
        <v>452.35</v>
      </c>
      <c r="P709" s="116">
        <v>456.6</v>
      </c>
      <c r="Q709" s="116">
        <v>456.2</v>
      </c>
      <c r="R709">
        <v>936897</v>
      </c>
    </row>
    <row r="710" spans="1:18" x14ac:dyDescent="0.25">
      <c r="A710" s="170">
        <v>43048</v>
      </c>
      <c r="B710" s="116">
        <v>4.72376694919486</v>
      </c>
      <c r="C710" s="116">
        <v>4.72376694919486</v>
      </c>
      <c r="D710" s="116">
        <v>4.72376694919486</v>
      </c>
      <c r="E710" s="116">
        <v>4.72376694919486</v>
      </c>
      <c r="F710" s="116">
        <v>298.25</v>
      </c>
      <c r="G710">
        <v>1356</v>
      </c>
      <c r="H710" s="116"/>
      <c r="I710" s="116"/>
      <c r="L710" s="170">
        <v>43047</v>
      </c>
      <c r="M710" s="116">
        <v>453.4</v>
      </c>
      <c r="N710" s="116">
        <v>463.75</v>
      </c>
      <c r="O710" s="116">
        <v>443.1</v>
      </c>
      <c r="P710" s="116">
        <v>458.9</v>
      </c>
      <c r="Q710" s="116">
        <v>453.4</v>
      </c>
      <c r="R710">
        <v>607491</v>
      </c>
    </row>
    <row r="711" spans="1:18" x14ac:dyDescent="0.25">
      <c r="A711" s="170">
        <v>43049</v>
      </c>
      <c r="B711" s="116">
        <v>4.9597573181571502</v>
      </c>
      <c r="C711" s="116">
        <v>4.9597573181571502</v>
      </c>
      <c r="D711" s="116">
        <v>4.9597573181571502</v>
      </c>
      <c r="E711" s="116">
        <v>4.9597573181571502</v>
      </c>
      <c r="F711" s="116">
        <v>313.14999999999998</v>
      </c>
      <c r="G711">
        <v>4786</v>
      </c>
      <c r="H711" s="116"/>
      <c r="I711" s="116"/>
      <c r="L711" s="170">
        <v>43048</v>
      </c>
      <c r="M711" s="116">
        <v>459.9</v>
      </c>
      <c r="N711" s="116">
        <v>465</v>
      </c>
      <c r="O711" s="116">
        <v>453</v>
      </c>
      <c r="P711" s="116">
        <v>455.9</v>
      </c>
      <c r="Q711" s="116">
        <v>459.9</v>
      </c>
      <c r="R711">
        <v>581753</v>
      </c>
    </row>
    <row r="712" spans="1:18" x14ac:dyDescent="0.25">
      <c r="A712" s="170">
        <v>43052</v>
      </c>
      <c r="B712" s="116">
        <v>5.20762639696654</v>
      </c>
      <c r="C712" s="116">
        <v>5.19653960110925</v>
      </c>
      <c r="D712" s="116">
        <v>5.1474409337412599</v>
      </c>
      <c r="E712" s="116">
        <v>5.20762639696654</v>
      </c>
      <c r="F712" s="116">
        <v>328.1</v>
      </c>
      <c r="G712">
        <v>82852</v>
      </c>
      <c r="H712" s="116"/>
      <c r="I712" s="116"/>
      <c r="L712" s="170">
        <v>43049</v>
      </c>
      <c r="M712" s="116">
        <v>462.4</v>
      </c>
      <c r="N712" s="116">
        <v>469.8</v>
      </c>
      <c r="O712" s="116">
        <v>457.2</v>
      </c>
      <c r="P712" s="116">
        <v>459</v>
      </c>
      <c r="Q712" s="116">
        <v>462.4</v>
      </c>
      <c r="R712">
        <v>597558</v>
      </c>
    </row>
    <row r="713" spans="1:18" x14ac:dyDescent="0.25">
      <c r="A713" s="170">
        <v>43053</v>
      </c>
      <c r="B713" s="116">
        <v>5.3058237317025299</v>
      </c>
      <c r="C713" s="116">
        <v>5.0532031689543002</v>
      </c>
      <c r="D713" s="116">
        <v>4.9898500497698004</v>
      </c>
      <c r="E713" s="116">
        <v>5.3058237317025299</v>
      </c>
      <c r="F713" s="116">
        <v>319.05</v>
      </c>
      <c r="G713">
        <v>11652</v>
      </c>
      <c r="H713" s="116"/>
      <c r="I713" s="116"/>
      <c r="L713" s="170">
        <v>43052</v>
      </c>
      <c r="M713" s="116">
        <v>453.05</v>
      </c>
      <c r="N713" s="116">
        <v>467</v>
      </c>
      <c r="O713" s="116">
        <v>452</v>
      </c>
      <c r="P713" s="116">
        <v>463.3</v>
      </c>
      <c r="Q713" s="116">
        <v>453.05</v>
      </c>
      <c r="R713">
        <v>449400</v>
      </c>
    </row>
    <row r="714" spans="1:18" x14ac:dyDescent="0.25">
      <c r="A714" s="170">
        <v>43054</v>
      </c>
      <c r="B714" s="116">
        <v>4.9257050165954803</v>
      </c>
      <c r="C714" s="116">
        <v>4.8932365430134199</v>
      </c>
      <c r="D714" s="116">
        <v>4.8306753378187199</v>
      </c>
      <c r="E714" s="116">
        <v>4.8306753378187199</v>
      </c>
      <c r="F714" s="116">
        <v>308.95</v>
      </c>
      <c r="G714">
        <v>8281</v>
      </c>
      <c r="H714" s="116"/>
      <c r="I714" s="116"/>
      <c r="L714" s="170">
        <v>43053</v>
      </c>
      <c r="M714" s="116">
        <v>453.55</v>
      </c>
      <c r="N714" s="116">
        <v>460.75</v>
      </c>
      <c r="O714" s="116">
        <v>451.2</v>
      </c>
      <c r="P714" s="116">
        <v>454.8</v>
      </c>
      <c r="Q714" s="116">
        <v>453.55</v>
      </c>
      <c r="R714">
        <v>406922</v>
      </c>
    </row>
    <row r="715" spans="1:18" x14ac:dyDescent="0.25">
      <c r="A715" s="170">
        <v>43055</v>
      </c>
      <c r="B715" s="116">
        <v>5.1236835140470696</v>
      </c>
      <c r="C715" s="116">
        <v>5.1023018363223001</v>
      </c>
      <c r="D715" s="116">
        <v>4.6881308196535798</v>
      </c>
      <c r="E715" s="116">
        <v>4.8148370580225901</v>
      </c>
      <c r="F715" s="116">
        <v>322.14999999999998</v>
      </c>
      <c r="G715">
        <v>13353</v>
      </c>
      <c r="H715" s="116"/>
      <c r="I715" s="116"/>
      <c r="L715" s="170">
        <v>43054</v>
      </c>
      <c r="M715" s="116">
        <v>437.9</v>
      </c>
      <c r="N715" s="116">
        <v>455</v>
      </c>
      <c r="O715" s="116">
        <v>434.4</v>
      </c>
      <c r="P715" s="116">
        <v>452.7</v>
      </c>
      <c r="Q715" s="116">
        <v>437.9</v>
      </c>
      <c r="R715">
        <v>467724</v>
      </c>
    </row>
    <row r="716" spans="1:18" x14ac:dyDescent="0.25">
      <c r="A716" s="170">
        <v>43056</v>
      </c>
      <c r="B716" s="116">
        <v>5.3572981410399398</v>
      </c>
      <c r="C716" s="116">
        <v>5.3572981410399398</v>
      </c>
      <c r="D716" s="116">
        <v>4.9898500497698004</v>
      </c>
      <c r="E716" s="116">
        <v>5.15377624565971</v>
      </c>
      <c r="F716" s="116">
        <v>338.25</v>
      </c>
      <c r="G716">
        <v>17075</v>
      </c>
      <c r="H716" s="116"/>
      <c r="I716" s="116"/>
      <c r="L716" s="170">
        <v>43055</v>
      </c>
      <c r="M716" s="116">
        <v>451.55</v>
      </c>
      <c r="N716" s="116">
        <v>460</v>
      </c>
      <c r="O716" s="116">
        <v>430.85</v>
      </c>
      <c r="P716" s="116">
        <v>439.6</v>
      </c>
      <c r="Q716" s="116">
        <v>451.55</v>
      </c>
      <c r="R716">
        <v>685076</v>
      </c>
    </row>
    <row r="717" spans="1:18" x14ac:dyDescent="0.25">
      <c r="A717" s="170">
        <v>43059</v>
      </c>
      <c r="B717" s="116">
        <v>5.6249650695944897</v>
      </c>
      <c r="C717" s="116">
        <v>5.6249650695944897</v>
      </c>
      <c r="D717" s="116">
        <v>5.4562873897657296</v>
      </c>
      <c r="E717" s="116">
        <v>5.6059591338391304</v>
      </c>
      <c r="F717" s="116">
        <v>355.15</v>
      </c>
      <c r="G717">
        <v>30547</v>
      </c>
      <c r="H717" s="116"/>
      <c r="I717" s="116"/>
      <c r="L717" s="170">
        <v>43056</v>
      </c>
      <c r="M717" s="116">
        <v>479</v>
      </c>
      <c r="N717" s="116">
        <v>482.2</v>
      </c>
      <c r="O717" s="116">
        <v>461.1</v>
      </c>
      <c r="P717" s="116">
        <v>472.6</v>
      </c>
      <c r="Q717" s="116">
        <v>479</v>
      </c>
      <c r="R717">
        <v>1472164</v>
      </c>
    </row>
    <row r="718" spans="1:18" x14ac:dyDescent="0.25">
      <c r="A718" s="170">
        <v>43060</v>
      </c>
      <c r="B718" s="116">
        <v>5.9060945359757397</v>
      </c>
      <c r="C718" s="116">
        <v>5.8744179763834801</v>
      </c>
      <c r="D718" s="116">
        <v>5.58457745611436</v>
      </c>
      <c r="E718" s="116">
        <v>5.8443252447708396</v>
      </c>
      <c r="F718" s="116">
        <v>370.9</v>
      </c>
      <c r="G718">
        <v>41919</v>
      </c>
      <c r="H718" s="116"/>
      <c r="I718" s="116"/>
      <c r="L718" s="170">
        <v>43059</v>
      </c>
      <c r="M718" s="116">
        <v>472.9</v>
      </c>
      <c r="N718" s="116">
        <v>481.9</v>
      </c>
      <c r="O718" s="116">
        <v>462.65</v>
      </c>
      <c r="P718" s="116">
        <v>479</v>
      </c>
      <c r="Q718" s="116">
        <v>472.9</v>
      </c>
      <c r="R718">
        <v>666400</v>
      </c>
    </row>
    <row r="719" spans="1:18" x14ac:dyDescent="0.25">
      <c r="A719" s="170">
        <v>43061</v>
      </c>
      <c r="B719" s="116">
        <v>6.0027080427321096</v>
      </c>
      <c r="C719" s="116">
        <v>5.8617473525465797</v>
      </c>
      <c r="D719" s="116">
        <v>5.6225893276250698</v>
      </c>
      <c r="E719" s="116">
        <v>6.0027080427321096</v>
      </c>
      <c r="F719" s="116">
        <v>370.1</v>
      </c>
      <c r="G719">
        <v>10211</v>
      </c>
      <c r="H719" s="116"/>
      <c r="I719" s="116"/>
      <c r="L719" s="170">
        <v>43060</v>
      </c>
      <c r="M719" s="116">
        <v>462.45</v>
      </c>
      <c r="N719" s="116">
        <v>477.25</v>
      </c>
      <c r="O719" s="116">
        <v>460.1</v>
      </c>
      <c r="P719" s="116">
        <v>472.9</v>
      </c>
      <c r="Q719" s="116">
        <v>462.45</v>
      </c>
      <c r="R719">
        <v>490249</v>
      </c>
    </row>
    <row r="720" spans="1:18" x14ac:dyDescent="0.25">
      <c r="A720" s="170">
        <v>43062</v>
      </c>
      <c r="B720" s="116">
        <v>5.9068864499655396</v>
      </c>
      <c r="C720" s="116">
        <v>5.6598092851459603</v>
      </c>
      <c r="D720" s="116">
        <v>5.5909127680328101</v>
      </c>
      <c r="E720" s="116">
        <v>5.8601635245669703</v>
      </c>
      <c r="F720" s="116">
        <v>357.35</v>
      </c>
      <c r="G720">
        <v>10145</v>
      </c>
      <c r="H720" s="116"/>
      <c r="I720" s="116"/>
      <c r="L720" s="170">
        <v>43061</v>
      </c>
      <c r="M720" s="116">
        <v>464.5</v>
      </c>
      <c r="N720" s="116">
        <v>469.2</v>
      </c>
      <c r="O720" s="116">
        <v>456.2</v>
      </c>
      <c r="P720" s="116">
        <v>462.5</v>
      </c>
      <c r="Q720" s="116">
        <v>464.5</v>
      </c>
      <c r="R720">
        <v>410746</v>
      </c>
    </row>
    <row r="721" spans="1:18" x14ac:dyDescent="0.25">
      <c r="A721" s="170">
        <v>43063</v>
      </c>
      <c r="B721" s="116">
        <v>5.8403656748218102</v>
      </c>
      <c r="C721" s="116">
        <v>5.7643419318004003</v>
      </c>
      <c r="D721" s="116">
        <v>5.6384276074211899</v>
      </c>
      <c r="E721" s="116">
        <v>5.6811909628707404</v>
      </c>
      <c r="F721" s="116">
        <v>363.95</v>
      </c>
      <c r="G721">
        <v>4157</v>
      </c>
      <c r="H721" s="116"/>
      <c r="I721" s="116"/>
      <c r="L721" s="170">
        <v>43062</v>
      </c>
      <c r="M721" s="116">
        <v>460.8</v>
      </c>
      <c r="N721" s="116">
        <v>467.15</v>
      </c>
      <c r="O721" s="116">
        <v>456.75</v>
      </c>
      <c r="P721" s="116">
        <v>464.5</v>
      </c>
      <c r="Q721" s="116">
        <v>460.8</v>
      </c>
      <c r="R721">
        <v>289736</v>
      </c>
    </row>
    <row r="722" spans="1:18" x14ac:dyDescent="0.25">
      <c r="A722" s="170">
        <v>43066</v>
      </c>
      <c r="B722" s="116">
        <v>6.0502228821204902</v>
      </c>
      <c r="C722" s="116">
        <v>5.6415952633804203</v>
      </c>
      <c r="D722" s="116">
        <v>5.5909127680328101</v>
      </c>
      <c r="E722" s="116">
        <v>5.8482848147198796</v>
      </c>
      <c r="F722" s="116">
        <v>356.2</v>
      </c>
      <c r="G722">
        <v>22336</v>
      </c>
      <c r="H722" s="116"/>
      <c r="I722" s="116"/>
      <c r="L722" s="170">
        <v>43063</v>
      </c>
      <c r="M722" s="116">
        <v>458.65</v>
      </c>
      <c r="N722" s="116">
        <v>463.85</v>
      </c>
      <c r="O722" s="116">
        <v>455.9</v>
      </c>
      <c r="P722" s="116">
        <v>460.05</v>
      </c>
      <c r="Q722" s="116">
        <v>458.65</v>
      </c>
      <c r="R722">
        <v>222022</v>
      </c>
    </row>
    <row r="723" spans="1:18" x14ac:dyDescent="0.25">
      <c r="A723" s="170">
        <v>43067</v>
      </c>
      <c r="B723" s="116">
        <v>5.7651338457902099</v>
      </c>
      <c r="C723" s="116">
        <v>5.5782421441959098</v>
      </c>
      <c r="D723" s="116">
        <v>5.5117213690521796</v>
      </c>
      <c r="E723" s="116">
        <v>5.6701041670134504</v>
      </c>
      <c r="F723" s="116">
        <v>352.2</v>
      </c>
      <c r="G723">
        <v>8172</v>
      </c>
      <c r="H723" s="116"/>
      <c r="I723" s="116"/>
      <c r="L723" s="170">
        <v>43066</v>
      </c>
      <c r="M723" s="116">
        <v>473.7</v>
      </c>
      <c r="N723" s="116">
        <v>476</v>
      </c>
      <c r="O723" s="116">
        <v>455</v>
      </c>
      <c r="P723" s="116">
        <v>456.3</v>
      </c>
      <c r="Q723" s="116">
        <v>473.7</v>
      </c>
      <c r="R723">
        <v>735389</v>
      </c>
    </row>
    <row r="724" spans="1:18" x14ac:dyDescent="0.25">
      <c r="A724" s="170">
        <v>43068</v>
      </c>
      <c r="B724" s="116">
        <v>5.7651338457902099</v>
      </c>
      <c r="C724" s="116">
        <v>5.7089079525139601</v>
      </c>
      <c r="D724" s="116">
        <v>5.5117213690521796</v>
      </c>
      <c r="E724" s="116">
        <v>5.5117213690521796</v>
      </c>
      <c r="F724" s="116">
        <v>360.45</v>
      </c>
      <c r="G724">
        <v>12067</v>
      </c>
      <c r="H724" s="116"/>
      <c r="I724" s="116"/>
      <c r="L724" s="170">
        <v>43067</v>
      </c>
      <c r="M724" s="116">
        <v>483.5</v>
      </c>
      <c r="N724" s="116">
        <v>489.95</v>
      </c>
      <c r="O724" s="116">
        <v>473.95</v>
      </c>
      <c r="P724" s="116">
        <v>473.95</v>
      </c>
      <c r="Q724" s="116">
        <v>483.5</v>
      </c>
      <c r="R724">
        <v>1198682</v>
      </c>
    </row>
    <row r="725" spans="1:18" x14ac:dyDescent="0.25">
      <c r="A725" s="170">
        <v>43069</v>
      </c>
      <c r="B725" s="116">
        <v>5.8205678250766502</v>
      </c>
      <c r="C725" s="116">
        <v>5.6859424468095696</v>
      </c>
      <c r="D725" s="116">
        <v>5.6542658872173197</v>
      </c>
      <c r="E725" s="116">
        <v>5.7714691577086601</v>
      </c>
      <c r="F725" s="116">
        <v>359</v>
      </c>
      <c r="G725">
        <v>3452</v>
      </c>
      <c r="H725" s="116"/>
      <c r="I725" s="116"/>
      <c r="L725" s="170">
        <v>43068</v>
      </c>
      <c r="M725" s="116">
        <v>490.45</v>
      </c>
      <c r="N725" s="116">
        <v>492.6</v>
      </c>
      <c r="O725" s="116">
        <v>478.1</v>
      </c>
      <c r="P725" s="116">
        <v>483.5</v>
      </c>
      <c r="Q725" s="116">
        <v>490.45</v>
      </c>
      <c r="R725">
        <v>824447</v>
      </c>
    </row>
    <row r="726" spans="1:18" x14ac:dyDescent="0.25">
      <c r="A726" s="170">
        <v>43070</v>
      </c>
      <c r="B726" s="116">
        <v>5.9702395691500501</v>
      </c>
      <c r="C726" s="116">
        <v>5.96152851526218</v>
      </c>
      <c r="D726" s="116">
        <v>5.5909127680328101</v>
      </c>
      <c r="E726" s="116">
        <v>5.8110648571989802</v>
      </c>
      <c r="F726" s="116">
        <v>376.4</v>
      </c>
      <c r="G726">
        <v>23754</v>
      </c>
      <c r="H726" s="116"/>
      <c r="I726" s="116"/>
      <c r="L726" s="170">
        <v>43069</v>
      </c>
      <c r="M726" s="116">
        <v>483.55</v>
      </c>
      <c r="N726" s="116">
        <v>495</v>
      </c>
      <c r="O726" s="116">
        <v>481</v>
      </c>
      <c r="P726" s="116">
        <v>488</v>
      </c>
      <c r="Q726" s="116">
        <v>483.55</v>
      </c>
      <c r="R726">
        <v>754189</v>
      </c>
    </row>
    <row r="727" spans="1:18" x14ac:dyDescent="0.25">
      <c r="A727" s="170">
        <v>43073</v>
      </c>
      <c r="B727" s="116">
        <v>6.2149409920002103</v>
      </c>
      <c r="C727" s="116">
        <v>5.8910481701694204</v>
      </c>
      <c r="D727" s="116">
        <v>5.7477117380144698</v>
      </c>
      <c r="E727" s="116">
        <v>6.1452525608972604</v>
      </c>
      <c r="F727" s="116">
        <v>371.95</v>
      </c>
      <c r="G727">
        <v>11484</v>
      </c>
      <c r="H727" s="116"/>
      <c r="I727" s="116"/>
      <c r="L727" s="170">
        <v>43070</v>
      </c>
      <c r="M727" s="116">
        <v>467.05</v>
      </c>
      <c r="N727" s="116">
        <v>491</v>
      </c>
      <c r="O727" s="116">
        <v>464.25</v>
      </c>
      <c r="P727" s="116">
        <v>484</v>
      </c>
      <c r="Q727" s="116">
        <v>467.05</v>
      </c>
      <c r="R727">
        <v>507775</v>
      </c>
    </row>
    <row r="728" spans="1:18" x14ac:dyDescent="0.25">
      <c r="A728" s="170">
        <v>43074</v>
      </c>
      <c r="B728" s="116">
        <v>6.0977377215088797</v>
      </c>
      <c r="C728" s="116">
        <v>5.7714691577086601</v>
      </c>
      <c r="D728" s="116">
        <v>5.7492955659940801</v>
      </c>
      <c r="E728" s="116">
        <v>6.0977377215088797</v>
      </c>
      <c r="F728" s="116">
        <v>364.4</v>
      </c>
      <c r="G728">
        <v>8687</v>
      </c>
      <c r="H728" s="116"/>
      <c r="I728" s="116"/>
      <c r="L728" s="170">
        <v>43073</v>
      </c>
      <c r="M728" s="116">
        <v>458.8</v>
      </c>
      <c r="N728" s="116">
        <v>471.25</v>
      </c>
      <c r="O728" s="116">
        <v>451.85</v>
      </c>
      <c r="P728" s="116">
        <v>467</v>
      </c>
      <c r="Q728" s="116">
        <v>458.8</v>
      </c>
      <c r="R728">
        <v>352122</v>
      </c>
    </row>
    <row r="729" spans="1:18" x14ac:dyDescent="0.25">
      <c r="A729" s="170">
        <v>43075</v>
      </c>
      <c r="B729" s="116">
        <v>5.9694476551602502</v>
      </c>
      <c r="C729" s="116">
        <v>5.7445440820552403</v>
      </c>
      <c r="D729" s="116">
        <v>5.6701041670134504</v>
      </c>
      <c r="E729" s="116">
        <v>5.7888912654844003</v>
      </c>
      <c r="F729" s="116">
        <v>362.7</v>
      </c>
      <c r="G729">
        <v>8187</v>
      </c>
      <c r="H729" s="116"/>
      <c r="I729" s="116"/>
      <c r="L729" s="170">
        <v>43074</v>
      </c>
      <c r="M729" s="116">
        <v>464.15</v>
      </c>
      <c r="N729" s="116">
        <v>468</v>
      </c>
      <c r="O729" s="116">
        <v>451.2</v>
      </c>
      <c r="P729" s="116">
        <v>459.5</v>
      </c>
      <c r="Q729" s="116">
        <v>464.15</v>
      </c>
      <c r="R729">
        <v>483178</v>
      </c>
    </row>
    <row r="730" spans="1:18" x14ac:dyDescent="0.25">
      <c r="A730" s="170">
        <v>43076</v>
      </c>
      <c r="B730" s="116">
        <v>5.8902562561796099</v>
      </c>
      <c r="C730" s="116">
        <v>5.7081160385241496</v>
      </c>
      <c r="D730" s="116">
        <v>5.5671553483386198</v>
      </c>
      <c r="E730" s="116">
        <v>5.5671553483386198</v>
      </c>
      <c r="F730" s="116">
        <v>360.4</v>
      </c>
      <c r="G730">
        <v>2792</v>
      </c>
      <c r="H730" s="116"/>
      <c r="I730" s="116"/>
      <c r="L730" s="170">
        <v>43075</v>
      </c>
      <c r="M730" s="116">
        <v>457.95</v>
      </c>
      <c r="N730" s="116">
        <v>472.5</v>
      </c>
      <c r="O730" s="116">
        <v>455.4</v>
      </c>
      <c r="P730" s="116">
        <v>463.8</v>
      </c>
      <c r="Q730" s="116">
        <v>457.95</v>
      </c>
      <c r="R730">
        <v>428913</v>
      </c>
    </row>
    <row r="731" spans="1:18" x14ac:dyDescent="0.25">
      <c r="A731" s="170">
        <v>43077</v>
      </c>
      <c r="B731" s="116">
        <v>5.9393549235476097</v>
      </c>
      <c r="C731" s="116">
        <v>5.8221516530562702</v>
      </c>
      <c r="D731" s="116">
        <v>5.5750744882366901</v>
      </c>
      <c r="E731" s="116">
        <v>5.5750744882366901</v>
      </c>
      <c r="F731" s="116">
        <v>367.6</v>
      </c>
      <c r="G731">
        <v>5561</v>
      </c>
      <c r="H731" s="116"/>
      <c r="I731" s="116"/>
      <c r="L731" s="170">
        <v>43076</v>
      </c>
      <c r="M731" s="116">
        <v>485.6</v>
      </c>
      <c r="N731" s="116">
        <v>489</v>
      </c>
      <c r="O731" s="116">
        <v>458.65</v>
      </c>
      <c r="P731" s="116">
        <v>458.65</v>
      </c>
      <c r="Q731" s="116">
        <v>485.6</v>
      </c>
      <c r="R731">
        <v>1123851</v>
      </c>
    </row>
    <row r="732" spans="1:18" x14ac:dyDescent="0.25">
      <c r="A732" s="170">
        <v>43080</v>
      </c>
      <c r="B732" s="116">
        <v>5.9314357836495404</v>
      </c>
      <c r="C732" s="116">
        <v>5.7968104053824598</v>
      </c>
      <c r="D732" s="116">
        <v>5.7651338457902099</v>
      </c>
      <c r="E732" s="116">
        <v>5.7651338457902099</v>
      </c>
      <c r="F732" s="116">
        <v>366</v>
      </c>
      <c r="G732">
        <v>5865</v>
      </c>
      <c r="H732" s="116"/>
      <c r="I732" s="116"/>
      <c r="L732" s="170">
        <v>43077</v>
      </c>
      <c r="M732" s="116">
        <v>481.35</v>
      </c>
      <c r="N732" s="116">
        <v>490.5</v>
      </c>
      <c r="O732" s="116">
        <v>478.2</v>
      </c>
      <c r="P732" s="116">
        <v>482.7</v>
      </c>
      <c r="Q732" s="116">
        <v>481.35</v>
      </c>
      <c r="R732">
        <v>487848</v>
      </c>
    </row>
    <row r="733" spans="1:18" x14ac:dyDescent="0.25">
      <c r="A733" s="170">
        <v>43081</v>
      </c>
      <c r="B733" s="116">
        <v>5.9235166437514799</v>
      </c>
      <c r="C733" s="116">
        <v>5.8110648571989802</v>
      </c>
      <c r="D733" s="116">
        <v>5.7390006841265997</v>
      </c>
      <c r="E733" s="116">
        <v>5.7390006841265997</v>
      </c>
      <c r="F733" s="116">
        <v>366.9</v>
      </c>
      <c r="G733">
        <v>2777</v>
      </c>
      <c r="H733" s="116"/>
      <c r="I733" s="116"/>
      <c r="L733" s="170">
        <v>43080</v>
      </c>
      <c r="M733" s="116">
        <v>484.95</v>
      </c>
      <c r="N733" s="116">
        <v>492</v>
      </c>
      <c r="O733" s="116">
        <v>480.75</v>
      </c>
      <c r="P733" s="116">
        <v>483.1</v>
      </c>
      <c r="Q733" s="116">
        <v>484.95</v>
      </c>
      <c r="R733">
        <v>505196</v>
      </c>
    </row>
    <row r="734" spans="1:18" x14ac:dyDescent="0.25">
      <c r="A734" s="170">
        <v>43082</v>
      </c>
      <c r="B734" s="116">
        <v>5.9140136758738002</v>
      </c>
      <c r="C734" s="116">
        <v>5.7912670074538202</v>
      </c>
      <c r="D734" s="116">
        <v>5.6463467473192601</v>
      </c>
      <c r="E734" s="116">
        <v>5.8126486851785897</v>
      </c>
      <c r="F734" s="116">
        <v>365.65</v>
      </c>
      <c r="G734">
        <v>2025</v>
      </c>
      <c r="H734" s="116"/>
      <c r="I734" s="116"/>
      <c r="L734" s="170">
        <v>43081</v>
      </c>
      <c r="M734" s="116">
        <v>466.55</v>
      </c>
      <c r="N734" s="116">
        <v>487.5</v>
      </c>
      <c r="O734" s="116">
        <v>465</v>
      </c>
      <c r="P734" s="116">
        <v>487.5</v>
      </c>
      <c r="Q734" s="116">
        <v>466.55</v>
      </c>
      <c r="R734">
        <v>716498</v>
      </c>
    </row>
    <row r="735" spans="1:18" x14ac:dyDescent="0.25">
      <c r="A735" s="170">
        <v>43083</v>
      </c>
      <c r="B735" s="116">
        <v>5.7825559535659501</v>
      </c>
      <c r="C735" s="116">
        <v>5.5378545307157898</v>
      </c>
      <c r="D735" s="116">
        <v>5.4958830892560497</v>
      </c>
      <c r="E735" s="116">
        <v>5.7825559535659501</v>
      </c>
      <c r="F735" s="116">
        <v>349.65</v>
      </c>
      <c r="G735">
        <v>4560</v>
      </c>
      <c r="H735" s="116"/>
      <c r="I735" s="116"/>
      <c r="L735" s="170">
        <v>43082</v>
      </c>
      <c r="M735" s="116">
        <v>463.65</v>
      </c>
      <c r="N735" s="116">
        <v>471.7</v>
      </c>
      <c r="O735" s="116">
        <v>460.6</v>
      </c>
      <c r="P735" s="116">
        <v>466.55</v>
      </c>
      <c r="Q735" s="116">
        <v>463.65</v>
      </c>
      <c r="R735">
        <v>407558</v>
      </c>
    </row>
    <row r="736" spans="1:18" x14ac:dyDescent="0.25">
      <c r="A736" s="170">
        <v>43084</v>
      </c>
      <c r="B736" s="116">
        <v>5.8174001691174304</v>
      </c>
      <c r="C736" s="116">
        <v>5.6566416291867396</v>
      </c>
      <c r="D736" s="116">
        <v>5.5038022291541102</v>
      </c>
      <c r="E736" s="116">
        <v>5.5038022291541102</v>
      </c>
      <c r="F736" s="116">
        <v>357.15</v>
      </c>
      <c r="G736">
        <v>1394</v>
      </c>
      <c r="H736" s="116"/>
      <c r="I736" s="116"/>
      <c r="L736" s="170">
        <v>43083</v>
      </c>
      <c r="M736" s="116">
        <v>460.45</v>
      </c>
      <c r="N736" s="116">
        <v>468.9</v>
      </c>
      <c r="O736" s="116">
        <v>450</v>
      </c>
      <c r="P736" s="116">
        <v>465.55</v>
      </c>
      <c r="Q736" s="116">
        <v>460.45</v>
      </c>
      <c r="R736">
        <v>589800</v>
      </c>
    </row>
    <row r="737" spans="1:18" x14ac:dyDescent="0.25">
      <c r="A737" s="170">
        <v>43087</v>
      </c>
      <c r="B737" s="116">
        <v>5.9377710955679897</v>
      </c>
      <c r="C737" s="116">
        <v>5.7698853297290498</v>
      </c>
      <c r="D737" s="116">
        <v>5.1252673420266799</v>
      </c>
      <c r="E737" s="116">
        <v>5.1252673420266799</v>
      </c>
      <c r="F737" s="116">
        <v>364.3</v>
      </c>
      <c r="G737">
        <v>9472</v>
      </c>
      <c r="H737" s="116"/>
      <c r="I737" s="116"/>
      <c r="L737" s="170">
        <v>43084</v>
      </c>
      <c r="M737" s="116">
        <v>467.6</v>
      </c>
      <c r="N737" s="116">
        <v>473.55</v>
      </c>
      <c r="O737" s="116">
        <v>464</v>
      </c>
      <c r="P737" s="116">
        <v>465.7</v>
      </c>
      <c r="Q737" s="116">
        <v>467.6</v>
      </c>
      <c r="R737">
        <v>440017</v>
      </c>
    </row>
    <row r="738" spans="1:18" x14ac:dyDescent="0.25">
      <c r="A738" s="170">
        <v>43088</v>
      </c>
      <c r="B738" s="116">
        <v>5.9377710955679897</v>
      </c>
      <c r="C738" s="116">
        <v>5.8340303629033601</v>
      </c>
      <c r="D738" s="116">
        <v>5.6701041670134504</v>
      </c>
      <c r="E738" s="116">
        <v>5.6859424468095696</v>
      </c>
      <c r="F738" s="116">
        <v>368.35</v>
      </c>
      <c r="G738">
        <v>4495</v>
      </c>
      <c r="H738" s="116"/>
      <c r="I738" s="116"/>
      <c r="L738" s="170">
        <v>43087</v>
      </c>
      <c r="M738" s="116">
        <v>474.05</v>
      </c>
      <c r="N738" s="116">
        <v>478.85</v>
      </c>
      <c r="O738" s="116">
        <v>450.1</v>
      </c>
      <c r="P738" s="116">
        <v>465.65</v>
      </c>
      <c r="Q738" s="116">
        <v>474.05</v>
      </c>
      <c r="R738">
        <v>663767</v>
      </c>
    </row>
    <row r="739" spans="1:18" x14ac:dyDescent="0.25">
      <c r="A739" s="170">
        <v>43089</v>
      </c>
      <c r="B739" s="116">
        <v>5.8340303629033601</v>
      </c>
      <c r="C739" s="116">
        <v>5.6796071348911203</v>
      </c>
      <c r="D739" s="116">
        <v>5.6225893276250698</v>
      </c>
      <c r="E739" s="116">
        <v>5.8340303629033601</v>
      </c>
      <c r="F739" s="116">
        <v>358.6</v>
      </c>
      <c r="G739">
        <v>3893</v>
      </c>
      <c r="H739" s="116"/>
      <c r="I739" s="116"/>
      <c r="L739" s="170">
        <v>43088</v>
      </c>
      <c r="M739" s="116">
        <v>480.4</v>
      </c>
      <c r="N739" s="116">
        <v>483.95</v>
      </c>
      <c r="O739" s="116">
        <v>468</v>
      </c>
      <c r="P739" s="116">
        <v>478.7</v>
      </c>
      <c r="Q739" s="116">
        <v>480.4</v>
      </c>
      <c r="R739">
        <v>462414</v>
      </c>
    </row>
    <row r="740" spans="1:18" x14ac:dyDescent="0.25">
      <c r="A740" s="170">
        <v>43090</v>
      </c>
      <c r="B740" s="116">
        <v>5.8482848147198796</v>
      </c>
      <c r="C740" s="116">
        <v>5.8237354810358797</v>
      </c>
      <c r="D740" s="116">
        <v>5.57349066025707</v>
      </c>
      <c r="E740" s="116">
        <v>5.57349066025707</v>
      </c>
      <c r="F740" s="116">
        <v>367.7</v>
      </c>
      <c r="G740">
        <v>3047</v>
      </c>
      <c r="H740" s="116"/>
      <c r="I740" s="116"/>
      <c r="L740" s="170">
        <v>43089</v>
      </c>
      <c r="M740" s="116">
        <v>474.75</v>
      </c>
      <c r="N740" s="116">
        <v>484.5</v>
      </c>
      <c r="O740" s="116">
        <v>472.85</v>
      </c>
      <c r="P740" s="116">
        <v>482</v>
      </c>
      <c r="Q740" s="116">
        <v>474.75</v>
      </c>
      <c r="R740">
        <v>375545</v>
      </c>
    </row>
    <row r="741" spans="1:18" x14ac:dyDescent="0.25">
      <c r="A741" s="170">
        <v>43091</v>
      </c>
      <c r="B741" s="116">
        <v>6.4057922635435398</v>
      </c>
      <c r="C741" s="116">
        <v>6.4057922635435398</v>
      </c>
      <c r="D741" s="116">
        <v>5.8284869649747204</v>
      </c>
      <c r="E741" s="116">
        <v>5.8284869649747204</v>
      </c>
      <c r="F741" s="116">
        <v>404.45</v>
      </c>
      <c r="G741">
        <v>17524</v>
      </c>
      <c r="H741" s="116"/>
      <c r="I741" s="116"/>
      <c r="L741" s="170">
        <v>43090</v>
      </c>
      <c r="M741" s="116">
        <v>509.3</v>
      </c>
      <c r="N741" s="116">
        <v>512.45000000000005</v>
      </c>
      <c r="O741" s="116">
        <v>473.05</v>
      </c>
      <c r="P741" s="116">
        <v>475</v>
      </c>
      <c r="Q741" s="116">
        <v>509.3</v>
      </c>
      <c r="R741">
        <v>2541975</v>
      </c>
    </row>
    <row r="742" spans="1:18" x14ac:dyDescent="0.25">
      <c r="A742" s="170">
        <v>43095</v>
      </c>
      <c r="B742" s="116">
        <v>7.0456587673070699</v>
      </c>
      <c r="C742" s="116">
        <v>7.0456587673070699</v>
      </c>
      <c r="D742" s="116">
        <v>6.5728861153926799</v>
      </c>
      <c r="E742" s="116">
        <v>6.8658942916210304</v>
      </c>
      <c r="F742" s="116">
        <v>444.85</v>
      </c>
      <c r="G742">
        <v>30343</v>
      </c>
      <c r="H742" s="116"/>
      <c r="I742" s="116"/>
      <c r="L742" s="170">
        <v>43091</v>
      </c>
      <c r="M742" s="116">
        <v>495.65</v>
      </c>
      <c r="N742" s="116">
        <v>510</v>
      </c>
      <c r="O742" s="116">
        <v>492</v>
      </c>
      <c r="P742" s="116">
        <v>510</v>
      </c>
      <c r="Q742" s="116">
        <v>495.65</v>
      </c>
      <c r="R742">
        <v>1544002</v>
      </c>
    </row>
    <row r="743" spans="1:18" x14ac:dyDescent="0.25">
      <c r="A743" s="170">
        <v>43096</v>
      </c>
      <c r="B743" s="116">
        <v>7.5706977425486803</v>
      </c>
      <c r="C743" s="116">
        <v>7.1691973497168604</v>
      </c>
      <c r="D743" s="116">
        <v>7.0955493486648704</v>
      </c>
      <c r="E743" s="116">
        <v>7.5706977425486803</v>
      </c>
      <c r="F743" s="116">
        <v>452.65</v>
      </c>
      <c r="G743">
        <v>28629</v>
      </c>
      <c r="H743" s="116"/>
      <c r="I743" s="116"/>
      <c r="L743" s="170">
        <v>43095</v>
      </c>
      <c r="M743" s="116">
        <v>500.75</v>
      </c>
      <c r="N743" s="116">
        <v>505</v>
      </c>
      <c r="O743" s="116">
        <v>496.2</v>
      </c>
      <c r="P743" s="116">
        <v>502</v>
      </c>
      <c r="Q743" s="116">
        <v>500.75</v>
      </c>
      <c r="R743">
        <v>713925</v>
      </c>
    </row>
    <row r="744" spans="1:18" x14ac:dyDescent="0.25">
      <c r="A744" s="170">
        <v>43097</v>
      </c>
      <c r="B744" s="116">
        <v>7.3972685787810901</v>
      </c>
      <c r="C744" s="116">
        <v>7.1953305113804698</v>
      </c>
      <c r="D744" s="116">
        <v>7.0955493486648704</v>
      </c>
      <c r="E744" s="116">
        <v>7.3489618254028999</v>
      </c>
      <c r="F744" s="116">
        <v>454.3</v>
      </c>
      <c r="G744">
        <v>8864</v>
      </c>
      <c r="H744" s="116"/>
      <c r="I744" s="116"/>
      <c r="L744" s="170">
        <v>43096</v>
      </c>
      <c r="M744" s="116">
        <v>489.45</v>
      </c>
      <c r="N744" s="116">
        <v>504.45</v>
      </c>
      <c r="O744" s="116">
        <v>484</v>
      </c>
      <c r="P744" s="116">
        <v>500.75</v>
      </c>
      <c r="Q744" s="116">
        <v>489.45</v>
      </c>
      <c r="R744">
        <v>662942</v>
      </c>
    </row>
    <row r="745" spans="1:18" x14ac:dyDescent="0.25">
      <c r="A745" s="170">
        <v>43098</v>
      </c>
      <c r="B745" s="116">
        <v>7.31728526581065</v>
      </c>
      <c r="C745" s="116">
        <v>7.2087930492071797</v>
      </c>
      <c r="D745" s="116">
        <v>7.0480345092764898</v>
      </c>
      <c r="E745" s="116">
        <v>7.1905790274416299</v>
      </c>
      <c r="F745" s="116">
        <v>455.15</v>
      </c>
      <c r="G745">
        <v>9761</v>
      </c>
      <c r="H745" s="116"/>
      <c r="I745" s="116"/>
      <c r="L745" s="170">
        <v>43097</v>
      </c>
      <c r="M745" s="116">
        <v>474.8</v>
      </c>
      <c r="N745" s="116">
        <v>493</v>
      </c>
      <c r="O745" s="116">
        <v>472.75</v>
      </c>
      <c r="P745" s="116">
        <v>493</v>
      </c>
      <c r="Q745" s="116">
        <v>474.8</v>
      </c>
      <c r="R745">
        <v>1639257</v>
      </c>
    </row>
    <row r="746" spans="1:18" x14ac:dyDescent="0.25">
      <c r="A746" s="170">
        <v>43101</v>
      </c>
      <c r="B746" s="116">
        <v>7.4915063435680498</v>
      </c>
      <c r="C746" s="116">
        <v>7.3893494388830296</v>
      </c>
      <c r="D746" s="116">
        <v>7.2064173072377598</v>
      </c>
      <c r="E746" s="116">
        <v>7.2222555870338896</v>
      </c>
      <c r="F746" s="116">
        <v>466.55</v>
      </c>
      <c r="G746">
        <v>8845</v>
      </c>
      <c r="H746" s="116"/>
      <c r="I746" s="116"/>
      <c r="L746" s="170">
        <v>43098</v>
      </c>
      <c r="M746" s="116">
        <v>472.85</v>
      </c>
      <c r="N746" s="116">
        <v>477.9</v>
      </c>
      <c r="O746" s="116">
        <v>469</v>
      </c>
      <c r="P746" s="116">
        <v>474.8</v>
      </c>
      <c r="Q746" s="116">
        <v>472.85</v>
      </c>
      <c r="R746">
        <v>655927</v>
      </c>
    </row>
    <row r="747" spans="1:18" x14ac:dyDescent="0.25">
      <c r="A747" s="170">
        <v>43102</v>
      </c>
      <c r="B747" s="116">
        <v>7.4693327518534698</v>
      </c>
      <c r="C747" s="116">
        <v>7.4036038906995403</v>
      </c>
      <c r="D747" s="116">
        <v>7.2230475010236903</v>
      </c>
      <c r="E747" s="116">
        <v>7.4693327518534698</v>
      </c>
      <c r="F747" s="116">
        <v>467.45</v>
      </c>
      <c r="G747">
        <v>5369</v>
      </c>
      <c r="H747" s="116"/>
      <c r="I747" s="116"/>
      <c r="L747" s="170">
        <v>43101</v>
      </c>
      <c r="M747" s="116">
        <v>477.4</v>
      </c>
      <c r="N747" s="116">
        <v>485.85</v>
      </c>
      <c r="O747" s="116">
        <v>472</v>
      </c>
      <c r="P747" s="116">
        <v>472</v>
      </c>
      <c r="Q747" s="116">
        <v>477.4</v>
      </c>
      <c r="R747">
        <v>895567</v>
      </c>
    </row>
    <row r="748" spans="1:18" x14ac:dyDescent="0.25">
      <c r="A748" s="170">
        <v>43103</v>
      </c>
      <c r="B748" s="116">
        <v>7.7734277239391103</v>
      </c>
      <c r="C748" s="116">
        <v>7.6791899591521497</v>
      </c>
      <c r="D748" s="116">
        <v>7.4123149445874104</v>
      </c>
      <c r="E748" s="116">
        <v>7.4123149445874104</v>
      </c>
      <c r="F748" s="116">
        <v>484.85</v>
      </c>
      <c r="G748">
        <v>19598</v>
      </c>
      <c r="H748" s="116"/>
      <c r="I748" s="116"/>
      <c r="L748" s="170">
        <v>43102</v>
      </c>
      <c r="M748" s="116">
        <v>473.65</v>
      </c>
      <c r="N748" s="116">
        <v>480.75</v>
      </c>
      <c r="O748" s="116">
        <v>471.05</v>
      </c>
      <c r="P748" s="116">
        <v>479.85</v>
      </c>
      <c r="Q748" s="116">
        <v>473.65</v>
      </c>
      <c r="R748">
        <v>609496</v>
      </c>
    </row>
    <row r="749" spans="1:18" x14ac:dyDescent="0.25">
      <c r="A749" s="170">
        <v>43104</v>
      </c>
      <c r="B749" s="116">
        <v>8.0624763302184199</v>
      </c>
      <c r="C749" s="116">
        <v>8.0624763302184199</v>
      </c>
      <c r="D749" s="116">
        <v>7.8874633384712203</v>
      </c>
      <c r="E749" s="116">
        <v>8.0624763302184199</v>
      </c>
      <c r="F749" s="116">
        <v>509.05</v>
      </c>
      <c r="G749">
        <v>17120</v>
      </c>
      <c r="H749" s="116"/>
      <c r="I749" s="116"/>
      <c r="L749" s="170">
        <v>43103</v>
      </c>
      <c r="M749" s="116">
        <v>476.4</v>
      </c>
      <c r="N749" s="116">
        <v>482.2</v>
      </c>
      <c r="O749" s="116">
        <v>473.65</v>
      </c>
      <c r="P749" s="116">
        <v>473.65</v>
      </c>
      <c r="Q749" s="116">
        <v>476.4</v>
      </c>
      <c r="R749">
        <v>410061</v>
      </c>
    </row>
    <row r="750" spans="1:18" x14ac:dyDescent="0.25">
      <c r="A750" s="170">
        <v>43105</v>
      </c>
      <c r="B750" s="116">
        <v>8.4655605510298493</v>
      </c>
      <c r="C750" s="116">
        <v>8.3942882919472801</v>
      </c>
      <c r="D750" s="116">
        <v>8.0616844162286192</v>
      </c>
      <c r="E750" s="116">
        <v>8.4655605510298493</v>
      </c>
      <c r="F750" s="116">
        <v>530</v>
      </c>
      <c r="G750">
        <v>25259</v>
      </c>
      <c r="H750" s="116"/>
      <c r="I750" s="116"/>
      <c r="L750" s="170">
        <v>43104</v>
      </c>
      <c r="M750" s="116">
        <v>469.3</v>
      </c>
      <c r="N750" s="116">
        <v>479.95</v>
      </c>
      <c r="O750" s="116">
        <v>467</v>
      </c>
      <c r="P750" s="116">
        <v>476.4</v>
      </c>
      <c r="Q750" s="116">
        <v>469.3</v>
      </c>
      <c r="R750">
        <v>1489442</v>
      </c>
    </row>
    <row r="751" spans="1:18" x14ac:dyDescent="0.25">
      <c r="A751" s="170">
        <v>43108</v>
      </c>
      <c r="B751" s="116">
        <v>8.7870776308912308</v>
      </c>
      <c r="C751" s="116">
        <v>8.6762096723183397</v>
      </c>
      <c r="D751" s="116">
        <v>8.5312894121837797</v>
      </c>
      <c r="E751" s="116">
        <v>8.5312894121837797</v>
      </c>
      <c r="F751" s="116">
        <v>547.79999999999995</v>
      </c>
      <c r="G751">
        <v>14092</v>
      </c>
      <c r="H751" s="116"/>
      <c r="I751" s="116"/>
      <c r="L751" s="170">
        <v>43105</v>
      </c>
      <c r="M751" s="116">
        <v>470.25</v>
      </c>
      <c r="N751" s="116">
        <v>477.55</v>
      </c>
      <c r="O751" s="116">
        <v>469.25</v>
      </c>
      <c r="P751" s="116">
        <v>472</v>
      </c>
      <c r="Q751" s="116">
        <v>470.25</v>
      </c>
      <c r="R751">
        <v>1087932</v>
      </c>
    </row>
    <row r="752" spans="1:18" x14ac:dyDescent="0.25">
      <c r="A752" s="170">
        <v>43109</v>
      </c>
      <c r="B752" s="116">
        <v>8.8670609438616701</v>
      </c>
      <c r="C752" s="116">
        <v>8.5099077344590093</v>
      </c>
      <c r="D752" s="116">
        <v>8.2596629136802004</v>
      </c>
      <c r="E752" s="116">
        <v>8.8670609438616701</v>
      </c>
      <c r="F752" s="116">
        <v>537.29999999999995</v>
      </c>
      <c r="G752">
        <v>9853</v>
      </c>
      <c r="H752" s="116"/>
      <c r="I752" s="116"/>
      <c r="L752" s="170">
        <v>43108</v>
      </c>
      <c r="M752" s="116">
        <v>479.4</v>
      </c>
      <c r="N752" s="116">
        <v>481.9</v>
      </c>
      <c r="O752" s="116">
        <v>469.9</v>
      </c>
      <c r="P752" s="116">
        <v>471</v>
      </c>
      <c r="Q752" s="116">
        <v>479.4</v>
      </c>
      <c r="R752">
        <v>1217920</v>
      </c>
    </row>
    <row r="753" spans="1:18" x14ac:dyDescent="0.25">
      <c r="A753" s="170">
        <v>43110</v>
      </c>
      <c r="B753" s="116">
        <v>8.7585687272582007</v>
      </c>
      <c r="C753" s="116">
        <v>8.4037912598249598</v>
      </c>
      <c r="D753" s="116">
        <v>8.2683739675680705</v>
      </c>
      <c r="E753" s="116">
        <v>8.5209945303162993</v>
      </c>
      <c r="F753" s="116">
        <v>530.6</v>
      </c>
      <c r="G753">
        <v>7338</v>
      </c>
      <c r="H753" s="116"/>
      <c r="I753" s="116"/>
      <c r="L753" s="170">
        <v>43109</v>
      </c>
      <c r="M753" s="116">
        <v>479.7</v>
      </c>
      <c r="N753" s="116">
        <v>483.6</v>
      </c>
      <c r="O753" s="116">
        <v>475.1</v>
      </c>
      <c r="P753" s="116">
        <v>483.6</v>
      </c>
      <c r="Q753" s="116">
        <v>479.7</v>
      </c>
      <c r="R753">
        <v>1489090</v>
      </c>
    </row>
    <row r="754" spans="1:18" x14ac:dyDescent="0.25">
      <c r="A754" s="170">
        <v>43111</v>
      </c>
      <c r="B754" s="116">
        <v>8.7094700598902097</v>
      </c>
      <c r="C754" s="116">
        <v>8.3491491945283194</v>
      </c>
      <c r="D754" s="116">
        <v>8.2596629136802004</v>
      </c>
      <c r="E754" s="116">
        <v>8.3942882919472801</v>
      </c>
      <c r="F754" s="116">
        <v>527.15</v>
      </c>
      <c r="G754">
        <v>9018</v>
      </c>
      <c r="H754" s="116"/>
      <c r="I754" s="116"/>
      <c r="L754" s="170">
        <v>43110</v>
      </c>
      <c r="M754" s="116">
        <v>480.35</v>
      </c>
      <c r="N754" s="116">
        <v>482</v>
      </c>
      <c r="O754" s="116">
        <v>473.25</v>
      </c>
      <c r="P754" s="116">
        <v>480.95</v>
      </c>
      <c r="Q754" s="116">
        <v>480.35</v>
      </c>
      <c r="R754">
        <v>449033</v>
      </c>
    </row>
    <row r="755" spans="1:18" x14ac:dyDescent="0.25">
      <c r="A755" s="170">
        <v>43112</v>
      </c>
      <c r="B755" s="116">
        <v>8.6160242090930605</v>
      </c>
      <c r="C755" s="116">
        <v>8.3602359903856094</v>
      </c>
      <c r="D755" s="116">
        <v>8.3150968929666504</v>
      </c>
      <c r="E755" s="116">
        <v>8.5526710899085501</v>
      </c>
      <c r="F755" s="116">
        <v>527.85</v>
      </c>
      <c r="G755">
        <v>5243</v>
      </c>
      <c r="H755" s="116"/>
      <c r="I755" s="116"/>
      <c r="L755" s="170">
        <v>43111</v>
      </c>
      <c r="M755" s="116">
        <v>484.45</v>
      </c>
      <c r="N755" s="116">
        <v>493.35</v>
      </c>
      <c r="O755" s="116">
        <v>480.1</v>
      </c>
      <c r="P755" s="116">
        <v>484</v>
      </c>
      <c r="Q755" s="116">
        <v>484.45</v>
      </c>
      <c r="R755">
        <v>1656369</v>
      </c>
    </row>
    <row r="756" spans="1:18" x14ac:dyDescent="0.25">
      <c r="A756" s="170">
        <v>43115</v>
      </c>
      <c r="B756" s="116">
        <v>8.7775746630135494</v>
      </c>
      <c r="C756" s="116">
        <v>8.7775746630135494</v>
      </c>
      <c r="D756" s="116">
        <v>8.4259648515395398</v>
      </c>
      <c r="E756" s="116">
        <v>8.4734796909279204</v>
      </c>
      <c r="F756" s="116">
        <v>554.20000000000005</v>
      </c>
      <c r="G756">
        <v>20410</v>
      </c>
      <c r="H756" s="116"/>
      <c r="I756" s="116"/>
      <c r="L756" s="170">
        <v>43112</v>
      </c>
      <c r="M756" s="116">
        <v>481.25</v>
      </c>
      <c r="N756" s="116">
        <v>488.7</v>
      </c>
      <c r="O756" s="116">
        <v>473</v>
      </c>
      <c r="P756" s="116">
        <v>488.7</v>
      </c>
      <c r="Q756" s="116">
        <v>481.25</v>
      </c>
      <c r="R756">
        <v>616812</v>
      </c>
    </row>
    <row r="757" spans="1:18" x14ac:dyDescent="0.25">
      <c r="A757" s="170">
        <v>43116</v>
      </c>
      <c r="B757" s="116">
        <v>8.8512226640655491</v>
      </c>
      <c r="C757" s="116">
        <v>8.3388543126608408</v>
      </c>
      <c r="D757" s="116">
        <v>8.3388543126608408</v>
      </c>
      <c r="E757" s="116">
        <v>8.8512226640655491</v>
      </c>
      <c r="F757" s="116">
        <v>526.5</v>
      </c>
      <c r="G757">
        <v>12069</v>
      </c>
      <c r="H757" s="116"/>
      <c r="I757" s="116"/>
      <c r="L757" s="170">
        <v>43115</v>
      </c>
      <c r="M757" s="116">
        <v>482.3</v>
      </c>
      <c r="N757" s="116">
        <v>486.55</v>
      </c>
      <c r="O757" s="116">
        <v>478.75</v>
      </c>
      <c r="P757" s="116">
        <v>483</v>
      </c>
      <c r="Q757" s="116">
        <v>482.3</v>
      </c>
      <c r="R757">
        <v>432761</v>
      </c>
    </row>
    <row r="758" spans="1:18" x14ac:dyDescent="0.25">
      <c r="A758" s="170">
        <v>43117</v>
      </c>
      <c r="B758" s="116">
        <v>8.4956532826425004</v>
      </c>
      <c r="C758" s="116">
        <v>8.3317270867525792</v>
      </c>
      <c r="D758" s="116">
        <v>7.9223075540226997</v>
      </c>
      <c r="E758" s="116">
        <v>8.2351135799962094</v>
      </c>
      <c r="F758" s="116">
        <v>526.04999999999995</v>
      </c>
      <c r="G758">
        <v>12955</v>
      </c>
      <c r="H758" s="116"/>
      <c r="I758" s="116"/>
      <c r="L758" s="170">
        <v>43116</v>
      </c>
      <c r="M758" s="116">
        <v>476.45</v>
      </c>
      <c r="N758" s="116">
        <v>485.65</v>
      </c>
      <c r="O758" s="116">
        <v>467.25</v>
      </c>
      <c r="P758" s="116">
        <v>485.65</v>
      </c>
      <c r="Q758" s="116">
        <v>476.45</v>
      </c>
      <c r="R758">
        <v>947076</v>
      </c>
    </row>
    <row r="759" spans="1:18" x14ac:dyDescent="0.25">
      <c r="A759" s="170">
        <v>43118</v>
      </c>
      <c r="B759" s="116">
        <v>8.3950802059370897</v>
      </c>
      <c r="C759" s="116">
        <v>7.9151803281144399</v>
      </c>
      <c r="D759" s="116">
        <v>7.9151803281144399</v>
      </c>
      <c r="E759" s="116">
        <v>8.3942882919472801</v>
      </c>
      <c r="F759" s="116">
        <v>499.75</v>
      </c>
      <c r="G759">
        <v>6963</v>
      </c>
      <c r="H759" s="116"/>
      <c r="I759" s="116"/>
      <c r="L759" s="170">
        <v>43117</v>
      </c>
      <c r="M759" s="116">
        <v>471.4</v>
      </c>
      <c r="N759" s="116">
        <v>475</v>
      </c>
      <c r="O759" s="116">
        <v>464</v>
      </c>
      <c r="P759" s="116">
        <v>474.1</v>
      </c>
      <c r="Q759" s="116">
        <v>471.4</v>
      </c>
      <c r="R759">
        <v>435160</v>
      </c>
    </row>
    <row r="760" spans="1:18" x14ac:dyDescent="0.25">
      <c r="A760" s="170">
        <v>43119</v>
      </c>
      <c r="B760" s="116">
        <v>7.7607571001022002</v>
      </c>
      <c r="C760" s="116">
        <v>7.5738653985079099</v>
      </c>
      <c r="D760" s="116">
        <v>7.5200152472010702</v>
      </c>
      <c r="E760" s="116">
        <v>7.6039581301205503</v>
      </c>
      <c r="F760" s="116">
        <v>478.2</v>
      </c>
      <c r="G760">
        <v>10105</v>
      </c>
      <c r="H760" s="116"/>
      <c r="I760" s="116"/>
      <c r="L760" s="170">
        <v>43118</v>
      </c>
      <c r="M760" s="116">
        <v>462.75</v>
      </c>
      <c r="N760" s="116">
        <v>476</v>
      </c>
      <c r="O760" s="116">
        <v>457.15</v>
      </c>
      <c r="P760" s="116">
        <v>472</v>
      </c>
      <c r="Q760" s="116">
        <v>462.75</v>
      </c>
      <c r="R760">
        <v>673146</v>
      </c>
    </row>
    <row r="761" spans="1:18" x14ac:dyDescent="0.25">
      <c r="A761" s="170">
        <v>43122</v>
      </c>
      <c r="B761" s="116">
        <v>7.8716250586750904</v>
      </c>
      <c r="C761" s="116">
        <v>7.7306643684895597</v>
      </c>
      <c r="D761" s="116">
        <v>7.5231829031602997</v>
      </c>
      <c r="E761" s="116">
        <v>7.5231829031602997</v>
      </c>
      <c r="F761" s="116">
        <v>488.1</v>
      </c>
      <c r="G761">
        <v>6952</v>
      </c>
      <c r="H761" s="116"/>
      <c r="I761" s="116"/>
      <c r="L761" s="170">
        <v>43119</v>
      </c>
      <c r="M761" s="116">
        <v>474.55</v>
      </c>
      <c r="N761" s="116">
        <v>480</v>
      </c>
      <c r="O761" s="116">
        <v>461.7</v>
      </c>
      <c r="P761" s="116">
        <v>462.5</v>
      </c>
      <c r="Q761" s="116">
        <v>474.55</v>
      </c>
      <c r="R761">
        <v>590778</v>
      </c>
    </row>
    <row r="762" spans="1:18" x14ac:dyDescent="0.25">
      <c r="A762" s="170">
        <v>43123</v>
      </c>
      <c r="B762" s="116">
        <v>7.8557867788789704</v>
      </c>
      <c r="C762" s="116">
        <v>7.6229640658758999</v>
      </c>
      <c r="D762" s="116">
        <v>7.4495349021083097</v>
      </c>
      <c r="E762" s="116">
        <v>7.5311020430583602</v>
      </c>
      <c r="F762" s="116">
        <v>481.3</v>
      </c>
      <c r="G762">
        <v>3902</v>
      </c>
      <c r="H762" s="116"/>
      <c r="I762" s="116"/>
      <c r="L762" s="170">
        <v>43122</v>
      </c>
      <c r="M762" s="116">
        <v>485.1</v>
      </c>
      <c r="N762" s="116">
        <v>486.2</v>
      </c>
      <c r="O762" s="116">
        <v>472</v>
      </c>
      <c r="P762" s="116">
        <v>477.45</v>
      </c>
      <c r="Q762" s="116">
        <v>485.1</v>
      </c>
      <c r="R762">
        <v>877341</v>
      </c>
    </row>
    <row r="763" spans="1:18" x14ac:dyDescent="0.25">
      <c r="A763" s="170">
        <v>43124</v>
      </c>
      <c r="B763" s="116">
        <v>7.9175560700838599</v>
      </c>
      <c r="C763" s="116">
        <v>7.6071257860797701</v>
      </c>
      <c r="D763" s="116">
        <v>7.3727192450970902</v>
      </c>
      <c r="E763" s="116">
        <v>7.3727192450970902</v>
      </c>
      <c r="F763" s="116">
        <v>480.3</v>
      </c>
      <c r="G763">
        <v>7374</v>
      </c>
      <c r="H763" s="116"/>
      <c r="I763" s="116"/>
      <c r="L763" s="170">
        <v>43123</v>
      </c>
      <c r="M763" s="116">
        <v>460.4</v>
      </c>
      <c r="N763" s="116">
        <v>505.45</v>
      </c>
      <c r="O763" s="116">
        <v>457</v>
      </c>
      <c r="P763" s="116">
        <v>488.7</v>
      </c>
      <c r="Q763" s="116">
        <v>460.4</v>
      </c>
      <c r="R763">
        <v>5272087</v>
      </c>
    </row>
    <row r="764" spans="1:18" x14ac:dyDescent="0.25">
      <c r="A764" s="170">
        <v>43125</v>
      </c>
      <c r="B764" s="116">
        <v>7.9872445011868196</v>
      </c>
      <c r="C764" s="116">
        <v>7.9484407156863099</v>
      </c>
      <c r="D764" s="116">
        <v>7.3180771798004596</v>
      </c>
      <c r="E764" s="116">
        <v>7.8716250586750904</v>
      </c>
      <c r="F764" s="116">
        <v>501.85</v>
      </c>
      <c r="G764">
        <v>11859</v>
      </c>
      <c r="H764" s="116"/>
      <c r="I764" s="116"/>
      <c r="L764" s="170">
        <v>43124</v>
      </c>
      <c r="M764" s="116">
        <v>443.6</v>
      </c>
      <c r="N764" s="116">
        <v>464</v>
      </c>
      <c r="O764" s="116">
        <v>441</v>
      </c>
      <c r="P764" s="116">
        <v>461</v>
      </c>
      <c r="Q764" s="116">
        <v>443.6</v>
      </c>
      <c r="R764">
        <v>1849506</v>
      </c>
    </row>
    <row r="765" spans="1:18" x14ac:dyDescent="0.25">
      <c r="A765" s="170">
        <v>43129</v>
      </c>
      <c r="B765" s="116">
        <v>8.3451896245792891</v>
      </c>
      <c r="C765" s="116">
        <v>8.3451896245792891</v>
      </c>
      <c r="D765" s="116">
        <v>8.3451896245792891</v>
      </c>
      <c r="E765" s="116">
        <v>8.3451896245792891</v>
      </c>
      <c r="F765" s="116">
        <v>526.9</v>
      </c>
      <c r="G765">
        <v>7291</v>
      </c>
      <c r="H765" s="116"/>
      <c r="I765" s="116"/>
      <c r="L765" s="170">
        <v>43125</v>
      </c>
      <c r="M765" s="116">
        <v>442.35</v>
      </c>
      <c r="N765" s="116">
        <v>452.8</v>
      </c>
      <c r="O765" s="116">
        <v>437.45</v>
      </c>
      <c r="P765" s="116">
        <v>444</v>
      </c>
      <c r="Q765" s="116">
        <v>442.35</v>
      </c>
      <c r="R765">
        <v>1296243</v>
      </c>
    </row>
    <row r="766" spans="1:18" x14ac:dyDescent="0.25">
      <c r="A766" s="170">
        <v>43130</v>
      </c>
      <c r="B766" s="116">
        <v>8.7617363832174302</v>
      </c>
      <c r="C766" s="116">
        <v>8.7617363832174302</v>
      </c>
      <c r="D766" s="116">
        <v>8.3942882919472801</v>
      </c>
      <c r="E766" s="116">
        <v>8.7617363832174302</v>
      </c>
      <c r="F766" s="116">
        <v>553.20000000000005</v>
      </c>
      <c r="G766">
        <v>56996</v>
      </c>
      <c r="H766" s="116"/>
      <c r="I766" s="116"/>
      <c r="L766" s="170">
        <v>43129</v>
      </c>
      <c r="M766" s="116">
        <v>461.6</v>
      </c>
      <c r="N766" s="116">
        <v>469.9</v>
      </c>
      <c r="O766" s="116">
        <v>448</v>
      </c>
      <c r="P766" s="116">
        <v>448</v>
      </c>
      <c r="Q766" s="116">
        <v>461.6</v>
      </c>
      <c r="R766">
        <v>2534456</v>
      </c>
    </row>
    <row r="767" spans="1:18" x14ac:dyDescent="0.25">
      <c r="A767" s="170">
        <v>43131</v>
      </c>
      <c r="B767" s="116">
        <v>8.9668421065772694</v>
      </c>
      <c r="C767" s="116">
        <v>8.5352489821328099</v>
      </c>
      <c r="D767" s="116">
        <v>8.4758554328973403</v>
      </c>
      <c r="E767" s="116">
        <v>8.9668421065772694</v>
      </c>
      <c r="F767" s="116">
        <v>538.9</v>
      </c>
      <c r="G767">
        <v>12009</v>
      </c>
      <c r="H767" s="116"/>
      <c r="I767" s="116"/>
      <c r="L767" s="170">
        <v>43130</v>
      </c>
      <c r="M767" s="116">
        <v>450.05</v>
      </c>
      <c r="N767" s="116">
        <v>463.05</v>
      </c>
      <c r="O767" s="116">
        <v>448.65</v>
      </c>
      <c r="P767" s="116">
        <v>462</v>
      </c>
      <c r="Q767" s="116">
        <v>450.05</v>
      </c>
      <c r="R767">
        <v>702018</v>
      </c>
    </row>
    <row r="768" spans="1:18" x14ac:dyDescent="0.25">
      <c r="A768" s="170">
        <v>43132</v>
      </c>
      <c r="B768" s="116">
        <v>8.8615175459330295</v>
      </c>
      <c r="C768" s="116">
        <v>8.5130753904182406</v>
      </c>
      <c r="D768" s="116">
        <v>8.42992442148857</v>
      </c>
      <c r="E768" s="116">
        <v>8.8615175459330295</v>
      </c>
      <c r="F768" s="116">
        <v>537.5</v>
      </c>
      <c r="G768">
        <v>13160</v>
      </c>
      <c r="H768" s="116"/>
      <c r="I768" s="116"/>
      <c r="L768" s="170">
        <v>43131</v>
      </c>
      <c r="M768" s="116">
        <v>449.15</v>
      </c>
      <c r="N768" s="116">
        <v>452.6</v>
      </c>
      <c r="O768" s="116">
        <v>444.1</v>
      </c>
      <c r="P768" s="116">
        <v>448.5</v>
      </c>
      <c r="Q768" s="116">
        <v>449.15</v>
      </c>
      <c r="R768">
        <v>589263</v>
      </c>
    </row>
    <row r="769" spans="1:18" x14ac:dyDescent="0.25">
      <c r="A769" s="170">
        <v>43133</v>
      </c>
      <c r="B769" s="116">
        <v>8.5130753904182406</v>
      </c>
      <c r="C769" s="116">
        <v>8.0878175778922294</v>
      </c>
      <c r="D769" s="116">
        <v>8.0878175778922294</v>
      </c>
      <c r="E769" s="116">
        <v>8.5130753904182406</v>
      </c>
      <c r="F769" s="116">
        <v>510.65</v>
      </c>
      <c r="G769">
        <v>11314</v>
      </c>
      <c r="H769" s="116"/>
      <c r="I769" s="116"/>
      <c r="L769" s="170">
        <v>43132</v>
      </c>
      <c r="M769" s="116">
        <v>446.25</v>
      </c>
      <c r="N769" s="116">
        <v>459</v>
      </c>
      <c r="O769" s="116">
        <v>442.5</v>
      </c>
      <c r="P769" s="116">
        <v>450</v>
      </c>
      <c r="Q769" s="116">
        <v>446.25</v>
      </c>
      <c r="R769">
        <v>991830</v>
      </c>
    </row>
    <row r="770" spans="1:18" x14ac:dyDescent="0.25">
      <c r="A770" s="170">
        <v>43136</v>
      </c>
      <c r="B770" s="116">
        <v>8.1472111271277008</v>
      </c>
      <c r="C770" s="116">
        <v>7.7647166700512402</v>
      </c>
      <c r="D770" s="116">
        <v>7.6839414430909896</v>
      </c>
      <c r="E770" s="116">
        <v>7.6839414430909896</v>
      </c>
      <c r="F770" s="116">
        <v>490.25</v>
      </c>
      <c r="G770">
        <v>24219</v>
      </c>
      <c r="H770" s="116"/>
      <c r="I770" s="116"/>
      <c r="L770" s="170">
        <v>43133</v>
      </c>
      <c r="M770" s="116">
        <v>426.9</v>
      </c>
      <c r="N770" s="116">
        <v>452</v>
      </c>
      <c r="O770" s="116">
        <v>416.2</v>
      </c>
      <c r="P770" s="116">
        <v>442</v>
      </c>
      <c r="Q770" s="116">
        <v>426.9</v>
      </c>
      <c r="R770">
        <v>1529576</v>
      </c>
    </row>
    <row r="771" spans="1:18" x14ac:dyDescent="0.25">
      <c r="A771" s="170">
        <v>43137</v>
      </c>
      <c r="B771" s="116">
        <v>7.7647166700512402</v>
      </c>
      <c r="C771" s="116">
        <v>7.6285074638045396</v>
      </c>
      <c r="D771" s="116">
        <v>7.3766788150461302</v>
      </c>
      <c r="E771" s="116">
        <v>7.3806383849951596</v>
      </c>
      <c r="F771" s="116">
        <v>481.65</v>
      </c>
      <c r="G771">
        <v>26302</v>
      </c>
      <c r="H771" s="116"/>
      <c r="I771" s="116"/>
      <c r="L771" s="170">
        <v>43136</v>
      </c>
      <c r="M771" s="116">
        <v>459.35</v>
      </c>
      <c r="N771" s="116">
        <v>461.75</v>
      </c>
      <c r="O771" s="116">
        <v>402.5</v>
      </c>
      <c r="P771" s="116">
        <v>420</v>
      </c>
      <c r="Q771" s="116">
        <v>459.35</v>
      </c>
      <c r="R771">
        <v>1824328</v>
      </c>
    </row>
    <row r="772" spans="1:18" x14ac:dyDescent="0.25">
      <c r="A772" s="170">
        <v>43138</v>
      </c>
      <c r="B772" s="116">
        <v>8.3689470442734795</v>
      </c>
      <c r="C772" s="116">
        <v>8.1883906545976295</v>
      </c>
      <c r="D772" s="116">
        <v>7.7607571001022002</v>
      </c>
      <c r="E772" s="116">
        <v>8.25174377378214</v>
      </c>
      <c r="F772" s="116">
        <v>517</v>
      </c>
      <c r="G772">
        <v>8197</v>
      </c>
      <c r="H772" s="116"/>
      <c r="I772" s="116"/>
      <c r="L772" s="170">
        <v>43137</v>
      </c>
      <c r="M772" s="116">
        <v>458.1</v>
      </c>
      <c r="N772" s="116">
        <v>470.75</v>
      </c>
      <c r="O772" s="116">
        <v>418</v>
      </c>
      <c r="P772" s="116">
        <v>421</v>
      </c>
      <c r="Q772" s="116">
        <v>458.1</v>
      </c>
      <c r="R772">
        <v>2274611</v>
      </c>
    </row>
    <row r="773" spans="1:18" x14ac:dyDescent="0.25">
      <c r="A773" s="170">
        <v>43139</v>
      </c>
      <c r="B773" s="116">
        <v>9.0072297200573992</v>
      </c>
      <c r="C773" s="116">
        <v>9.0072297200573992</v>
      </c>
      <c r="D773" s="116">
        <v>8.3942882919472801</v>
      </c>
      <c r="E773" s="116">
        <v>8.5368328101124291</v>
      </c>
      <c r="F773" s="116">
        <v>568.70000000000005</v>
      </c>
      <c r="G773">
        <v>14623</v>
      </c>
      <c r="H773" s="116"/>
      <c r="I773" s="116"/>
      <c r="L773" s="170">
        <v>43138</v>
      </c>
      <c r="M773" s="116">
        <v>460.05</v>
      </c>
      <c r="N773" s="116">
        <v>479.55</v>
      </c>
      <c r="O773" s="116">
        <v>457</v>
      </c>
      <c r="P773" s="116">
        <v>474.9</v>
      </c>
      <c r="Q773" s="116">
        <v>460.05</v>
      </c>
      <c r="R773">
        <v>1601455</v>
      </c>
    </row>
    <row r="774" spans="1:18" x14ac:dyDescent="0.25">
      <c r="A774" s="170">
        <v>43140</v>
      </c>
      <c r="B774" s="116">
        <v>9.7080736010360091</v>
      </c>
      <c r="C774" s="116">
        <v>9.5900784165548707</v>
      </c>
      <c r="D774" s="116">
        <v>8.1068235136475799</v>
      </c>
      <c r="E774" s="116">
        <v>9.3445850797148999</v>
      </c>
      <c r="F774" s="116">
        <v>605.5</v>
      </c>
      <c r="G774">
        <v>29521</v>
      </c>
      <c r="H774" s="116"/>
      <c r="I774" s="116"/>
      <c r="L774" s="170">
        <v>43139</v>
      </c>
      <c r="M774" s="116">
        <v>462.05</v>
      </c>
      <c r="N774" s="116">
        <v>471.35</v>
      </c>
      <c r="O774" s="116">
        <v>453.25</v>
      </c>
      <c r="P774" s="116">
        <v>463.5</v>
      </c>
      <c r="Q774" s="116">
        <v>462.05</v>
      </c>
      <c r="R774">
        <v>764393</v>
      </c>
    </row>
    <row r="775" spans="1:18" x14ac:dyDescent="0.25">
      <c r="A775" s="170">
        <v>43143</v>
      </c>
      <c r="B775" s="116">
        <v>10.0652268104387</v>
      </c>
      <c r="C775" s="116">
        <v>9.6280902880655699</v>
      </c>
      <c r="D775" s="116">
        <v>9.2994459822959392</v>
      </c>
      <c r="E775" s="116">
        <v>10.057307670540601</v>
      </c>
      <c r="F775" s="116">
        <v>607.9</v>
      </c>
      <c r="G775">
        <v>11895</v>
      </c>
      <c r="H775" s="116"/>
      <c r="I775" s="116"/>
      <c r="L775" s="170">
        <v>43140</v>
      </c>
      <c r="M775" s="116">
        <v>462.95</v>
      </c>
      <c r="N775" s="116">
        <v>468.6</v>
      </c>
      <c r="O775" s="116">
        <v>450.75</v>
      </c>
      <c r="P775" s="116">
        <v>454</v>
      </c>
      <c r="Q775" s="116">
        <v>462.95</v>
      </c>
      <c r="R775">
        <v>818509</v>
      </c>
    </row>
    <row r="776" spans="1:18" x14ac:dyDescent="0.25">
      <c r="A776" s="170">
        <v>43145</v>
      </c>
      <c r="B776" s="116">
        <v>9.7247037948219504</v>
      </c>
      <c r="C776" s="116">
        <v>9.4372390165222395</v>
      </c>
      <c r="D776" s="116">
        <v>9.3683424994090903</v>
      </c>
      <c r="E776" s="116">
        <v>9.7247037948219504</v>
      </c>
      <c r="F776" s="116">
        <v>595.85</v>
      </c>
      <c r="G776">
        <v>6226</v>
      </c>
      <c r="H776" s="116"/>
      <c r="I776" s="116"/>
      <c r="L776" s="170">
        <v>43143</v>
      </c>
      <c r="M776" s="116">
        <v>493.1</v>
      </c>
      <c r="N776" s="116">
        <v>494.95</v>
      </c>
      <c r="O776" s="116">
        <v>466.45</v>
      </c>
      <c r="P776" s="116">
        <v>467.9</v>
      </c>
      <c r="Q776" s="116">
        <v>493.1</v>
      </c>
      <c r="R776">
        <v>2572789</v>
      </c>
    </row>
    <row r="777" spans="1:18" x14ac:dyDescent="0.25">
      <c r="A777" s="170">
        <v>43146</v>
      </c>
      <c r="B777" s="116">
        <v>9.4871295978800401</v>
      </c>
      <c r="C777" s="116">
        <v>9.1671963459982795</v>
      </c>
      <c r="D777" s="116">
        <v>8.9660501925874705</v>
      </c>
      <c r="E777" s="116">
        <v>9.3192438320410993</v>
      </c>
      <c r="F777" s="116">
        <v>578.79999999999995</v>
      </c>
      <c r="G777">
        <v>8770</v>
      </c>
      <c r="H777" s="116"/>
      <c r="I777" s="116"/>
      <c r="L777" s="170">
        <v>43145</v>
      </c>
      <c r="M777" s="116">
        <v>519.85</v>
      </c>
      <c r="N777" s="116">
        <v>525.9</v>
      </c>
      <c r="O777" s="116">
        <v>496.9</v>
      </c>
      <c r="P777" s="116">
        <v>497</v>
      </c>
      <c r="Q777" s="116">
        <v>519.85</v>
      </c>
      <c r="R777">
        <v>3765692</v>
      </c>
    </row>
    <row r="778" spans="1:18" x14ac:dyDescent="0.25">
      <c r="A778" s="170">
        <v>43147</v>
      </c>
      <c r="B778" s="116">
        <v>9.4649560061654601</v>
      </c>
      <c r="C778" s="116">
        <v>8.7332274795844</v>
      </c>
      <c r="D778" s="116">
        <v>8.7094700598902097</v>
      </c>
      <c r="E778" s="116">
        <v>9.0492011615171304</v>
      </c>
      <c r="F778" s="116">
        <v>551.4</v>
      </c>
      <c r="G778">
        <v>9785</v>
      </c>
      <c r="H778" s="116"/>
      <c r="I778" s="116"/>
      <c r="L778" s="170">
        <v>43146</v>
      </c>
      <c r="M778" s="116">
        <v>514.29999999999995</v>
      </c>
      <c r="N778" s="116">
        <v>538</v>
      </c>
      <c r="O778" s="116">
        <v>509</v>
      </c>
      <c r="P778" s="116">
        <v>525</v>
      </c>
      <c r="Q778" s="116">
        <v>514.29999999999995</v>
      </c>
      <c r="R778">
        <v>3015341</v>
      </c>
    </row>
    <row r="779" spans="1:18" x14ac:dyDescent="0.25">
      <c r="A779" s="170">
        <v>43150</v>
      </c>
      <c r="B779" s="116">
        <v>9.1070108827730003</v>
      </c>
      <c r="C779" s="116">
        <v>8.5938506173784805</v>
      </c>
      <c r="D779" s="116">
        <v>8.3626117323550293</v>
      </c>
      <c r="E779" s="116">
        <v>8.6952156080736902</v>
      </c>
      <c r="F779" s="116">
        <v>542.6</v>
      </c>
      <c r="G779">
        <v>7137</v>
      </c>
      <c r="H779" s="116"/>
      <c r="I779" s="116"/>
      <c r="L779" s="170">
        <v>43147</v>
      </c>
      <c r="M779" s="116">
        <v>503</v>
      </c>
      <c r="N779" s="116">
        <v>527.4</v>
      </c>
      <c r="O779" s="116">
        <v>497</v>
      </c>
      <c r="P779" s="116">
        <v>519.25</v>
      </c>
      <c r="Q779" s="116">
        <v>503</v>
      </c>
      <c r="R779">
        <v>1697412</v>
      </c>
    </row>
    <row r="780" spans="1:18" x14ac:dyDescent="0.25">
      <c r="A780" s="170">
        <v>43151</v>
      </c>
      <c r="B780" s="116">
        <v>8.9169515252194707</v>
      </c>
      <c r="C780" s="116">
        <v>8.8631013739126399</v>
      </c>
      <c r="D780" s="116">
        <v>8.25174377378214</v>
      </c>
      <c r="E780" s="116">
        <v>8.5178268743570698</v>
      </c>
      <c r="F780" s="116">
        <v>559.6</v>
      </c>
      <c r="G780">
        <v>7493</v>
      </c>
      <c r="H780" s="116"/>
      <c r="I780" s="116"/>
      <c r="L780" s="170">
        <v>43150</v>
      </c>
      <c r="M780" s="116">
        <v>502.75</v>
      </c>
      <c r="N780" s="116">
        <v>511.95</v>
      </c>
      <c r="O780" s="116">
        <v>495.25</v>
      </c>
      <c r="P780" s="116">
        <v>503.9</v>
      </c>
      <c r="Q780" s="116">
        <v>502.75</v>
      </c>
      <c r="R780">
        <v>1388940</v>
      </c>
    </row>
    <row r="781" spans="1:18" x14ac:dyDescent="0.25">
      <c r="A781" s="170">
        <v>43152</v>
      </c>
      <c r="B781" s="116">
        <v>8.9486280848117303</v>
      </c>
      <c r="C781" s="116">
        <v>8.5106996484488207</v>
      </c>
      <c r="D781" s="116">
        <v>8.4418031313356607</v>
      </c>
      <c r="E781" s="116">
        <v>8.6477007686853096</v>
      </c>
      <c r="F781" s="116">
        <v>537.35</v>
      </c>
      <c r="G781">
        <v>6697</v>
      </c>
      <c r="H781" s="116"/>
      <c r="I781" s="116"/>
      <c r="L781" s="170">
        <v>43151</v>
      </c>
      <c r="M781" s="116">
        <v>511.55</v>
      </c>
      <c r="N781" s="116">
        <v>523.95000000000005</v>
      </c>
      <c r="O781" s="116">
        <v>501.5</v>
      </c>
      <c r="P781" s="116">
        <v>501.5</v>
      </c>
      <c r="Q781" s="116">
        <v>511.55</v>
      </c>
      <c r="R781">
        <v>2382471</v>
      </c>
    </row>
    <row r="782" spans="1:18" x14ac:dyDescent="0.25">
      <c r="A782" s="170">
        <v>43153</v>
      </c>
      <c r="B782" s="116">
        <v>8.5202026163264897</v>
      </c>
      <c r="C782" s="116">
        <v>8.2889637313030402</v>
      </c>
      <c r="D782" s="116">
        <v>8.2200672141898892</v>
      </c>
      <c r="E782" s="116">
        <v>8.4259648515395398</v>
      </c>
      <c r="F782" s="116">
        <v>523.35</v>
      </c>
      <c r="G782">
        <v>3908</v>
      </c>
      <c r="H782" s="116"/>
      <c r="I782" s="116"/>
      <c r="L782" s="170">
        <v>43152</v>
      </c>
      <c r="M782" s="116">
        <v>518.45000000000005</v>
      </c>
      <c r="N782" s="116">
        <v>522</v>
      </c>
      <c r="O782" s="116">
        <v>511.9</v>
      </c>
      <c r="P782" s="116">
        <v>516</v>
      </c>
      <c r="Q782" s="116">
        <v>518.45000000000005</v>
      </c>
      <c r="R782">
        <v>1025243</v>
      </c>
    </row>
    <row r="783" spans="1:18" x14ac:dyDescent="0.25">
      <c r="A783" s="170">
        <v>43154</v>
      </c>
      <c r="B783" s="116">
        <v>8.5526710899085501</v>
      </c>
      <c r="C783" s="116">
        <v>8.2652063116088499</v>
      </c>
      <c r="D783" s="116">
        <v>8.2359054939860101</v>
      </c>
      <c r="E783" s="116">
        <v>8.5526710899085501</v>
      </c>
      <c r="F783" s="116">
        <v>521.85</v>
      </c>
      <c r="G783">
        <v>6452</v>
      </c>
      <c r="H783" s="116"/>
      <c r="I783" s="116"/>
      <c r="L783" s="170">
        <v>43153</v>
      </c>
      <c r="M783" s="116">
        <v>516.6</v>
      </c>
      <c r="N783" s="116">
        <v>525.95000000000005</v>
      </c>
      <c r="O783" s="116">
        <v>512.6</v>
      </c>
      <c r="P783" s="116">
        <v>517.95000000000005</v>
      </c>
      <c r="Q783" s="116">
        <v>516.6</v>
      </c>
      <c r="R783">
        <v>1197453</v>
      </c>
    </row>
    <row r="784" spans="1:18" x14ac:dyDescent="0.25">
      <c r="A784" s="170">
        <v>43157</v>
      </c>
      <c r="B784" s="116">
        <v>8.67779350029795</v>
      </c>
      <c r="C784" s="116">
        <v>8.5289136702143598</v>
      </c>
      <c r="D784" s="116">
        <v>8.25174377378214</v>
      </c>
      <c r="E784" s="116">
        <v>8.3942882919472801</v>
      </c>
      <c r="F784" s="116">
        <v>538.5</v>
      </c>
      <c r="G784">
        <v>14264</v>
      </c>
      <c r="H784" s="116"/>
      <c r="I784" s="116"/>
      <c r="L784" s="170">
        <v>43154</v>
      </c>
      <c r="M784" s="116">
        <v>523.65</v>
      </c>
      <c r="N784" s="116">
        <v>527.35</v>
      </c>
      <c r="O784" s="116">
        <v>517.25</v>
      </c>
      <c r="P784" s="116">
        <v>517.25</v>
      </c>
      <c r="Q784" s="116">
        <v>523.65</v>
      </c>
      <c r="R784">
        <v>1021725</v>
      </c>
    </row>
    <row r="785" spans="1:18" x14ac:dyDescent="0.25">
      <c r="A785" s="170">
        <v>43158</v>
      </c>
      <c r="B785" s="116">
        <v>8.6603713925222099</v>
      </c>
      <c r="C785" s="116">
        <v>8.4623928950706304</v>
      </c>
      <c r="D785" s="116">
        <v>8.4259648515395398</v>
      </c>
      <c r="E785" s="116">
        <v>8.5360408961226195</v>
      </c>
      <c r="F785" s="116">
        <v>534.29999999999995</v>
      </c>
      <c r="G785">
        <v>3959</v>
      </c>
      <c r="H785" s="116"/>
      <c r="I785" s="116"/>
      <c r="L785" s="170">
        <v>43157</v>
      </c>
      <c r="M785" s="116">
        <v>538.85</v>
      </c>
      <c r="N785" s="116">
        <v>540</v>
      </c>
      <c r="O785" s="116">
        <v>525.35</v>
      </c>
      <c r="P785" s="116">
        <v>527.9</v>
      </c>
      <c r="Q785" s="116">
        <v>538.85</v>
      </c>
      <c r="R785">
        <v>1321117</v>
      </c>
    </row>
    <row r="786" spans="1:18" x14ac:dyDescent="0.25">
      <c r="A786" s="170">
        <v>43159</v>
      </c>
      <c r="B786" s="116">
        <v>8.5352489821328099</v>
      </c>
      <c r="C786" s="116">
        <v>8.4560575831521803</v>
      </c>
      <c r="D786" s="116">
        <v>8.1614655789442203</v>
      </c>
      <c r="E786" s="116">
        <v>8.3942882919472801</v>
      </c>
      <c r="F786" s="116">
        <v>533.9</v>
      </c>
      <c r="G786">
        <v>1214</v>
      </c>
      <c r="H786" s="116"/>
      <c r="I786" s="116"/>
      <c r="L786" s="170">
        <v>43158</v>
      </c>
      <c r="M786" s="116">
        <v>535.5</v>
      </c>
      <c r="N786" s="116">
        <v>545</v>
      </c>
      <c r="O786" s="116">
        <v>529.35</v>
      </c>
      <c r="P786" s="116">
        <v>542.75</v>
      </c>
      <c r="Q786" s="116">
        <v>535.5</v>
      </c>
      <c r="R786">
        <v>1246998</v>
      </c>
    </row>
    <row r="787" spans="1:18" x14ac:dyDescent="0.25">
      <c r="A787" s="170">
        <v>43160</v>
      </c>
      <c r="B787" s="116">
        <v>8.8781477397189601</v>
      </c>
      <c r="C787" s="116">
        <v>8.8781477397189601</v>
      </c>
      <c r="D787" s="116">
        <v>8.3174726349360704</v>
      </c>
      <c r="E787" s="116">
        <v>8.3174726349360704</v>
      </c>
      <c r="F787" s="116">
        <v>560.54999999999995</v>
      </c>
      <c r="G787">
        <v>14214</v>
      </c>
      <c r="H787" s="116"/>
      <c r="I787" s="116"/>
      <c r="L787" s="170">
        <v>43159</v>
      </c>
      <c r="M787" s="116">
        <v>541.45000000000005</v>
      </c>
      <c r="N787" s="116">
        <v>544.35</v>
      </c>
      <c r="O787" s="116">
        <v>529</v>
      </c>
      <c r="P787" s="116">
        <v>540</v>
      </c>
      <c r="Q787" s="116">
        <v>541.45000000000005</v>
      </c>
      <c r="R787">
        <v>1166425</v>
      </c>
    </row>
    <row r="788" spans="1:18" x14ac:dyDescent="0.25">
      <c r="A788" s="170">
        <v>43164</v>
      </c>
      <c r="B788" s="116">
        <v>9.3216195740105103</v>
      </c>
      <c r="C788" s="116">
        <v>9.1149300226710608</v>
      </c>
      <c r="D788" s="116">
        <v>8.5526710899085501</v>
      </c>
      <c r="E788" s="116">
        <v>9.1070108827730003</v>
      </c>
      <c r="F788" s="116">
        <v>575.5</v>
      </c>
      <c r="G788">
        <v>28868</v>
      </c>
      <c r="H788" s="116"/>
      <c r="I788" s="116"/>
      <c r="L788" s="170">
        <v>43160</v>
      </c>
      <c r="M788" s="116">
        <v>537.4</v>
      </c>
      <c r="N788" s="116">
        <v>545</v>
      </c>
      <c r="O788" s="116">
        <v>533.70000000000005</v>
      </c>
      <c r="P788" s="116">
        <v>542</v>
      </c>
      <c r="Q788" s="116">
        <v>537.4</v>
      </c>
      <c r="R788">
        <v>696690</v>
      </c>
    </row>
    <row r="789" spans="1:18" x14ac:dyDescent="0.25">
      <c r="A789" s="170">
        <v>43165</v>
      </c>
      <c r="B789" s="116">
        <v>9.2416362610400693</v>
      </c>
      <c r="C789" s="116">
        <v>8.8052916526567806</v>
      </c>
      <c r="D789" s="116">
        <v>8.71105388786982</v>
      </c>
      <c r="E789" s="116">
        <v>9.0975079148953206</v>
      </c>
      <c r="F789" s="116">
        <v>555.95000000000005</v>
      </c>
      <c r="G789">
        <v>3306</v>
      </c>
      <c r="H789" s="116"/>
      <c r="I789" s="116"/>
      <c r="L789" s="170">
        <v>43164</v>
      </c>
      <c r="M789" s="116">
        <v>545.5</v>
      </c>
      <c r="N789" s="116">
        <v>551</v>
      </c>
      <c r="O789" s="116">
        <v>530</v>
      </c>
      <c r="P789" s="116">
        <v>537.4</v>
      </c>
      <c r="Q789" s="116">
        <v>545.5</v>
      </c>
      <c r="R789">
        <v>1987847</v>
      </c>
    </row>
    <row r="790" spans="1:18" x14ac:dyDescent="0.25">
      <c r="A790" s="170">
        <v>43166</v>
      </c>
      <c r="B790" s="116">
        <v>8.7902452868504604</v>
      </c>
      <c r="C790" s="116">
        <v>8.3657793883142606</v>
      </c>
      <c r="D790" s="116">
        <v>8.3657793883142606</v>
      </c>
      <c r="E790" s="116">
        <v>8.4893179707240396</v>
      </c>
      <c r="F790" s="116">
        <v>528.20000000000005</v>
      </c>
      <c r="G790">
        <v>7810</v>
      </c>
      <c r="H790" s="116"/>
      <c r="I790" s="116"/>
      <c r="L790" s="170">
        <v>43165</v>
      </c>
      <c r="M790" s="116">
        <v>535</v>
      </c>
      <c r="N790" s="116">
        <v>554.5</v>
      </c>
      <c r="O790" s="116">
        <v>531.6</v>
      </c>
      <c r="P790" s="116">
        <v>553.15</v>
      </c>
      <c r="Q790" s="116">
        <v>535</v>
      </c>
      <c r="R790">
        <v>938254</v>
      </c>
    </row>
    <row r="791" spans="1:18" x14ac:dyDescent="0.25">
      <c r="A791" s="170">
        <v>43167</v>
      </c>
      <c r="B791" s="116">
        <v>8.5526710899085501</v>
      </c>
      <c r="C791" s="116">
        <v>8.3871610660390203</v>
      </c>
      <c r="D791" s="116">
        <v>8.0901933198616494</v>
      </c>
      <c r="E791" s="116">
        <v>8.0901933198616494</v>
      </c>
      <c r="F791" s="116">
        <v>529.54999999999995</v>
      </c>
      <c r="G791">
        <v>3579</v>
      </c>
      <c r="H791" s="116"/>
      <c r="I791" s="116"/>
      <c r="L791" s="170">
        <v>43166</v>
      </c>
      <c r="M791" s="116">
        <v>499.65</v>
      </c>
      <c r="N791" s="116">
        <v>540.9</v>
      </c>
      <c r="O791" s="116">
        <v>487.7</v>
      </c>
      <c r="P791" s="116">
        <v>540.9</v>
      </c>
      <c r="Q791" s="116">
        <v>499.65</v>
      </c>
      <c r="R791">
        <v>2617870</v>
      </c>
    </row>
    <row r="792" spans="1:18" x14ac:dyDescent="0.25">
      <c r="A792" s="170">
        <v>43168</v>
      </c>
      <c r="B792" s="116">
        <v>8.4734796909279204</v>
      </c>
      <c r="C792" s="116">
        <v>8.2992586131705206</v>
      </c>
      <c r="D792" s="116">
        <v>8.25174377378214</v>
      </c>
      <c r="E792" s="116">
        <v>8.25174377378214</v>
      </c>
      <c r="F792" s="116">
        <v>524</v>
      </c>
      <c r="G792">
        <v>2824</v>
      </c>
      <c r="H792" s="116"/>
      <c r="I792" s="116"/>
      <c r="L792" s="170">
        <v>43167</v>
      </c>
      <c r="M792" s="116">
        <v>513.20000000000005</v>
      </c>
      <c r="N792" s="116">
        <v>515.45000000000005</v>
      </c>
      <c r="O792" s="116">
        <v>493.25</v>
      </c>
      <c r="P792" s="116">
        <v>506</v>
      </c>
      <c r="Q792" s="116">
        <v>513.20000000000005</v>
      </c>
      <c r="R792">
        <v>1381436</v>
      </c>
    </row>
    <row r="793" spans="1:18" x14ac:dyDescent="0.25">
      <c r="A793" s="170">
        <v>43171</v>
      </c>
      <c r="B793" s="116">
        <v>8.7142215438290496</v>
      </c>
      <c r="C793" s="116">
        <v>8.6572037365629892</v>
      </c>
      <c r="D793" s="116">
        <v>8.2374893219656293</v>
      </c>
      <c r="E793" s="116">
        <v>8.2374893219656293</v>
      </c>
      <c r="F793" s="116">
        <v>546.6</v>
      </c>
      <c r="G793">
        <v>6046</v>
      </c>
      <c r="H793" s="116"/>
      <c r="I793" s="116"/>
      <c r="L793" s="170">
        <v>43168</v>
      </c>
      <c r="M793" s="116">
        <v>507.3</v>
      </c>
      <c r="N793" s="116">
        <v>516.5</v>
      </c>
      <c r="O793" s="116">
        <v>502.2</v>
      </c>
      <c r="P793" s="116">
        <v>512</v>
      </c>
      <c r="Q793" s="116">
        <v>507.3</v>
      </c>
      <c r="R793">
        <v>744506</v>
      </c>
    </row>
    <row r="794" spans="1:18" x14ac:dyDescent="0.25">
      <c r="A794" s="170">
        <v>43172</v>
      </c>
      <c r="B794" s="116">
        <v>9.0895887749972495</v>
      </c>
      <c r="C794" s="116">
        <v>9.0808777211093901</v>
      </c>
      <c r="D794" s="116">
        <v>8.5859314774804201</v>
      </c>
      <c r="E794" s="116">
        <v>8.86943668583109</v>
      </c>
      <c r="F794" s="116">
        <v>573.35</v>
      </c>
      <c r="G794">
        <v>12239</v>
      </c>
      <c r="H794" s="116"/>
      <c r="I794" s="116"/>
      <c r="L794" s="170">
        <v>43171</v>
      </c>
      <c r="M794" s="116">
        <v>518.70000000000005</v>
      </c>
      <c r="N794" s="116">
        <v>524.9</v>
      </c>
      <c r="O794" s="116">
        <v>511.2</v>
      </c>
      <c r="P794" s="116">
        <v>512</v>
      </c>
      <c r="Q794" s="116">
        <v>518.70000000000005</v>
      </c>
      <c r="R794">
        <v>715116</v>
      </c>
    </row>
    <row r="795" spans="1:18" x14ac:dyDescent="0.25">
      <c r="A795" s="170">
        <v>43173</v>
      </c>
      <c r="B795" s="116">
        <v>9.0911726029768705</v>
      </c>
      <c r="C795" s="116">
        <v>8.6682905324202792</v>
      </c>
      <c r="D795" s="116">
        <v>8.6271110049503505</v>
      </c>
      <c r="E795" s="116">
        <v>9.0911726029768705</v>
      </c>
      <c r="F795" s="116">
        <v>547.29999999999995</v>
      </c>
      <c r="G795">
        <v>4522</v>
      </c>
      <c r="H795" s="116"/>
      <c r="I795" s="116"/>
      <c r="L795" s="170">
        <v>43172</v>
      </c>
      <c r="M795" s="116">
        <v>538.54999999999995</v>
      </c>
      <c r="N795" s="116">
        <v>542</v>
      </c>
      <c r="O795" s="116">
        <v>515</v>
      </c>
      <c r="P795" s="116">
        <v>519</v>
      </c>
      <c r="Q795" s="116">
        <v>538.54999999999995</v>
      </c>
      <c r="R795">
        <v>1610243</v>
      </c>
    </row>
    <row r="796" spans="1:18" x14ac:dyDescent="0.25">
      <c r="A796" s="170">
        <v>43174</v>
      </c>
      <c r="B796" s="116">
        <v>8.8219218464427094</v>
      </c>
      <c r="C796" s="116">
        <v>8.5764285096027404</v>
      </c>
      <c r="D796" s="116">
        <v>8.4117103997230203</v>
      </c>
      <c r="E796" s="116">
        <v>8.6952156080736902</v>
      </c>
      <c r="F796" s="116">
        <v>541.5</v>
      </c>
      <c r="G796">
        <v>1839</v>
      </c>
      <c r="H796" s="116"/>
      <c r="I796" s="116"/>
      <c r="L796" s="170">
        <v>43173</v>
      </c>
      <c r="M796" s="116">
        <v>549.5</v>
      </c>
      <c r="N796" s="116">
        <v>555.70000000000005</v>
      </c>
      <c r="O796" s="116">
        <v>537</v>
      </c>
      <c r="P796" s="116">
        <v>537.9</v>
      </c>
      <c r="Q796" s="116">
        <v>549.5</v>
      </c>
      <c r="R796">
        <v>2336987</v>
      </c>
    </row>
    <row r="797" spans="1:18" x14ac:dyDescent="0.25">
      <c r="A797" s="170">
        <v>43175</v>
      </c>
      <c r="B797" s="116">
        <v>8.9454604288525008</v>
      </c>
      <c r="C797" s="116">
        <v>8.4196295396210896</v>
      </c>
      <c r="D797" s="116">
        <v>8.3483572805385204</v>
      </c>
      <c r="E797" s="116">
        <v>8.6952156080736902</v>
      </c>
      <c r="F797" s="116">
        <v>531.6</v>
      </c>
      <c r="G797">
        <v>3534</v>
      </c>
      <c r="H797" s="116"/>
      <c r="I797" s="116"/>
      <c r="L797" s="170">
        <v>43174</v>
      </c>
      <c r="M797" s="116">
        <v>532.35</v>
      </c>
      <c r="N797" s="116">
        <v>557.5</v>
      </c>
      <c r="O797" s="116">
        <v>528</v>
      </c>
      <c r="P797" s="116">
        <v>551.5</v>
      </c>
      <c r="Q797" s="116">
        <v>532.35</v>
      </c>
      <c r="R797">
        <v>1922366</v>
      </c>
    </row>
    <row r="798" spans="1:18" x14ac:dyDescent="0.25">
      <c r="A798" s="170">
        <v>43178</v>
      </c>
      <c r="B798" s="116">
        <v>8.7625282972072291</v>
      </c>
      <c r="C798" s="116">
        <v>8.2414488919146596</v>
      </c>
      <c r="D798" s="116">
        <v>8.1012801157189305</v>
      </c>
      <c r="E798" s="116">
        <v>8.7625282972072291</v>
      </c>
      <c r="F798" s="116">
        <v>520.35</v>
      </c>
      <c r="G798">
        <v>8178</v>
      </c>
      <c r="H798" s="116"/>
      <c r="I798" s="116"/>
      <c r="L798" s="170">
        <v>43175</v>
      </c>
      <c r="M798" s="116">
        <v>540.35</v>
      </c>
      <c r="N798" s="116">
        <v>546</v>
      </c>
      <c r="O798" s="116">
        <v>531.4</v>
      </c>
      <c r="P798" s="116">
        <v>533</v>
      </c>
      <c r="Q798" s="116">
        <v>540.35</v>
      </c>
      <c r="R798">
        <v>1612251</v>
      </c>
    </row>
    <row r="799" spans="1:18" x14ac:dyDescent="0.25">
      <c r="A799" s="170">
        <v>43179</v>
      </c>
      <c r="B799" s="116">
        <v>8.4259648515395398</v>
      </c>
      <c r="C799" s="116">
        <v>8.1986855364651099</v>
      </c>
      <c r="D799" s="116">
        <v>8.1575060089951794</v>
      </c>
      <c r="E799" s="116">
        <v>8.2992586131705206</v>
      </c>
      <c r="F799" s="116">
        <v>517.65</v>
      </c>
      <c r="G799">
        <v>2474</v>
      </c>
      <c r="H799" s="116"/>
      <c r="I799" s="116"/>
      <c r="L799" s="170">
        <v>43178</v>
      </c>
      <c r="M799" s="116">
        <v>530.65</v>
      </c>
      <c r="N799" s="116">
        <v>544.29999999999995</v>
      </c>
      <c r="O799" s="116">
        <v>522.1</v>
      </c>
      <c r="P799" s="116">
        <v>536.79999999999995</v>
      </c>
      <c r="Q799" s="116">
        <v>530.65</v>
      </c>
      <c r="R799">
        <v>2056703</v>
      </c>
    </row>
    <row r="800" spans="1:18" x14ac:dyDescent="0.25">
      <c r="A800" s="170">
        <v>43180</v>
      </c>
      <c r="B800" s="116">
        <v>8.6081050691950001</v>
      </c>
      <c r="C800" s="116">
        <v>8.5518791759187494</v>
      </c>
      <c r="D800" s="116">
        <v>8.1107830835966102</v>
      </c>
      <c r="E800" s="116">
        <v>8.1107830835966102</v>
      </c>
      <c r="F800" s="116">
        <v>539.95000000000005</v>
      </c>
      <c r="G800">
        <v>7659</v>
      </c>
      <c r="H800" s="116"/>
      <c r="I800" s="116"/>
      <c r="L800" s="170">
        <v>43179</v>
      </c>
      <c r="M800" s="116">
        <v>522.6</v>
      </c>
      <c r="N800" s="116">
        <v>534.4</v>
      </c>
      <c r="O800" s="116">
        <v>517.1</v>
      </c>
      <c r="P800" s="116">
        <v>529</v>
      </c>
      <c r="Q800" s="116">
        <v>522.6</v>
      </c>
      <c r="R800">
        <v>967238</v>
      </c>
    </row>
    <row r="801" spans="1:18" x14ac:dyDescent="0.25">
      <c r="A801" s="170">
        <v>43181</v>
      </c>
      <c r="B801" s="116">
        <v>8.7902452868504604</v>
      </c>
      <c r="C801" s="116">
        <v>8.3293513447831593</v>
      </c>
      <c r="D801" s="116">
        <v>8.2675820535782698</v>
      </c>
      <c r="E801" s="116">
        <v>8.5518791759187494</v>
      </c>
      <c r="F801" s="116">
        <v>525.9</v>
      </c>
      <c r="G801">
        <v>6565</v>
      </c>
      <c r="H801" s="116"/>
      <c r="I801" s="116"/>
      <c r="L801" s="170">
        <v>43180</v>
      </c>
      <c r="M801" s="116">
        <v>521.35</v>
      </c>
      <c r="N801" s="116">
        <v>534.4</v>
      </c>
      <c r="O801" s="116">
        <v>516.95000000000005</v>
      </c>
      <c r="P801" s="116">
        <v>523.04999999999995</v>
      </c>
      <c r="Q801" s="116">
        <v>521.35</v>
      </c>
      <c r="R801">
        <v>707793</v>
      </c>
    </row>
    <row r="802" spans="1:18" x14ac:dyDescent="0.25">
      <c r="A802" s="170">
        <v>43182</v>
      </c>
      <c r="B802" s="116">
        <v>8.2675820535782698</v>
      </c>
      <c r="C802" s="116">
        <v>8.2240267841389194</v>
      </c>
      <c r="D802" s="116">
        <v>7.9349781778596</v>
      </c>
      <c r="E802" s="116">
        <v>8.2675820535782698</v>
      </c>
      <c r="F802" s="116">
        <v>519.25</v>
      </c>
      <c r="G802">
        <v>5016</v>
      </c>
      <c r="H802" s="116"/>
      <c r="I802" s="116"/>
      <c r="L802" s="170">
        <v>43181</v>
      </c>
      <c r="M802" s="116">
        <v>511.25</v>
      </c>
      <c r="N802" s="116">
        <v>521.35</v>
      </c>
      <c r="O802" s="116">
        <v>509.9</v>
      </c>
      <c r="P802" s="116">
        <v>520.5</v>
      </c>
      <c r="Q802" s="116">
        <v>511.25</v>
      </c>
      <c r="R802">
        <v>698564</v>
      </c>
    </row>
    <row r="803" spans="1:18" x14ac:dyDescent="0.25">
      <c r="A803" s="170">
        <v>43185</v>
      </c>
      <c r="B803" s="116">
        <v>8.4837745727954008</v>
      </c>
      <c r="C803" s="116">
        <v>8.0775226960247402</v>
      </c>
      <c r="D803" s="116">
        <v>7.9508164576557299</v>
      </c>
      <c r="E803" s="116">
        <v>8.4837745727954008</v>
      </c>
      <c r="F803" s="116">
        <v>510</v>
      </c>
      <c r="G803">
        <v>3490</v>
      </c>
      <c r="H803" s="116"/>
      <c r="I803" s="116"/>
      <c r="L803" s="170">
        <v>43182</v>
      </c>
      <c r="M803" s="116">
        <v>504.65</v>
      </c>
      <c r="N803" s="116">
        <v>508.7</v>
      </c>
      <c r="O803" s="116">
        <v>495</v>
      </c>
      <c r="P803" s="116">
        <v>504</v>
      </c>
      <c r="Q803" s="116">
        <v>504.65</v>
      </c>
      <c r="R803">
        <v>939239</v>
      </c>
    </row>
    <row r="804" spans="1:18" x14ac:dyDescent="0.25">
      <c r="A804" s="170">
        <v>43186</v>
      </c>
      <c r="B804" s="116">
        <v>8.2596629136802004</v>
      </c>
      <c r="C804" s="116">
        <v>8.1796796007097594</v>
      </c>
      <c r="D804" s="116">
        <v>8.0775226960247402</v>
      </c>
      <c r="E804" s="116">
        <v>8.1567140950053805</v>
      </c>
      <c r="F804" s="116">
        <v>516.45000000000005</v>
      </c>
      <c r="G804">
        <v>2327</v>
      </c>
      <c r="H804" s="116"/>
      <c r="I804" s="116"/>
      <c r="L804" s="170">
        <v>43185</v>
      </c>
      <c r="M804" s="116">
        <v>523.95000000000005</v>
      </c>
      <c r="N804" s="116">
        <v>529</v>
      </c>
      <c r="O804" s="116">
        <v>499.25</v>
      </c>
      <c r="P804" s="116">
        <v>505</v>
      </c>
      <c r="Q804" s="116">
        <v>523.95000000000005</v>
      </c>
      <c r="R804">
        <v>1998779</v>
      </c>
    </row>
    <row r="805" spans="1:18" x14ac:dyDescent="0.25">
      <c r="A805" s="170">
        <v>43187</v>
      </c>
      <c r="B805" s="116">
        <v>8.2200672141898892</v>
      </c>
      <c r="C805" s="116">
        <v>8.0783146100145498</v>
      </c>
      <c r="D805" s="116">
        <v>7.9999151250237199</v>
      </c>
      <c r="E805" s="116">
        <v>8.09336097582087</v>
      </c>
      <c r="F805" s="116">
        <v>510.05</v>
      </c>
      <c r="G805">
        <v>3085</v>
      </c>
      <c r="H805" s="116"/>
      <c r="I805" s="116"/>
      <c r="L805" s="170">
        <v>43186</v>
      </c>
      <c r="M805" s="116">
        <v>508.3</v>
      </c>
      <c r="N805" s="116">
        <v>537.45000000000005</v>
      </c>
      <c r="O805" s="116">
        <v>506.8</v>
      </c>
      <c r="P805" s="116">
        <v>529.9</v>
      </c>
      <c r="Q805" s="116">
        <v>508.3</v>
      </c>
      <c r="R805">
        <v>2447098</v>
      </c>
    </row>
    <row r="806" spans="1:18" x14ac:dyDescent="0.25">
      <c r="A806" s="170">
        <v>43192</v>
      </c>
      <c r="B806" s="116">
        <v>8.4821907448157905</v>
      </c>
      <c r="C806" s="116">
        <v>8.4180457116414704</v>
      </c>
      <c r="D806" s="116">
        <v>7.9199318120532798</v>
      </c>
      <c r="E806" s="116">
        <v>7.9199318120532798</v>
      </c>
      <c r="F806" s="116">
        <v>531.5</v>
      </c>
      <c r="G806">
        <v>4862</v>
      </c>
      <c r="H806" s="116"/>
      <c r="I806" s="116"/>
      <c r="L806" s="170">
        <v>43187</v>
      </c>
      <c r="M806" s="116">
        <v>484.5</v>
      </c>
      <c r="N806" s="116">
        <v>507</v>
      </c>
      <c r="O806" s="116">
        <v>479</v>
      </c>
      <c r="P806" s="116">
        <v>507</v>
      </c>
      <c r="Q806" s="116">
        <v>484.5</v>
      </c>
      <c r="R806">
        <v>3867610</v>
      </c>
    </row>
    <row r="807" spans="1:18" x14ac:dyDescent="0.25">
      <c r="A807" s="170">
        <v>43193</v>
      </c>
      <c r="B807" s="116">
        <v>8.6160242090930605</v>
      </c>
      <c r="C807" s="116">
        <v>8.3269756028137394</v>
      </c>
      <c r="D807" s="116">
        <v>8.2359054939860101</v>
      </c>
      <c r="E807" s="116">
        <v>8.5518791759187494</v>
      </c>
      <c r="F807" s="116">
        <v>525.75</v>
      </c>
      <c r="G807">
        <v>2249</v>
      </c>
      <c r="H807" s="116"/>
      <c r="I807" s="116"/>
      <c r="L807" s="170">
        <v>43192</v>
      </c>
      <c r="M807" s="116">
        <v>429.75</v>
      </c>
      <c r="N807" s="116">
        <v>464</v>
      </c>
      <c r="O807" s="116">
        <v>421.25</v>
      </c>
      <c r="P807" s="116">
        <v>462</v>
      </c>
      <c r="Q807" s="116">
        <v>429.75</v>
      </c>
      <c r="R807">
        <v>7194670</v>
      </c>
    </row>
    <row r="808" spans="1:18" x14ac:dyDescent="0.25">
      <c r="A808" s="170">
        <v>43194</v>
      </c>
      <c r="B808" s="116">
        <v>8.6001859292969307</v>
      </c>
      <c r="C808" s="116">
        <v>8.3626117323550293</v>
      </c>
      <c r="D808" s="116">
        <v>8.1091992556169998</v>
      </c>
      <c r="E808" s="116">
        <v>8.1091992556169998</v>
      </c>
      <c r="F808" s="116">
        <v>528</v>
      </c>
      <c r="G808">
        <v>2311</v>
      </c>
      <c r="H808" s="116"/>
      <c r="I808" s="116"/>
      <c r="L808" s="170">
        <v>43193</v>
      </c>
      <c r="M808" s="116">
        <v>429.95</v>
      </c>
      <c r="N808" s="116">
        <v>441.75</v>
      </c>
      <c r="O808" s="116">
        <v>427</v>
      </c>
      <c r="P808" s="116">
        <v>435</v>
      </c>
      <c r="Q808" s="116">
        <v>429.95</v>
      </c>
      <c r="R808">
        <v>3360703</v>
      </c>
    </row>
    <row r="809" spans="1:18" x14ac:dyDescent="0.25">
      <c r="A809" s="170">
        <v>43195</v>
      </c>
      <c r="B809" s="116">
        <v>8.6793773282775692</v>
      </c>
      <c r="C809" s="116">
        <v>8.3372704846812304</v>
      </c>
      <c r="D809" s="116">
        <v>8.2359054939860101</v>
      </c>
      <c r="E809" s="116">
        <v>8.6793773282775692</v>
      </c>
      <c r="F809" s="116">
        <v>526.4</v>
      </c>
      <c r="G809">
        <v>7776</v>
      </c>
      <c r="H809" s="116"/>
      <c r="I809" s="116"/>
      <c r="L809" s="170">
        <v>43194</v>
      </c>
      <c r="M809" s="116">
        <v>428.6</v>
      </c>
      <c r="N809" s="116">
        <v>440.45</v>
      </c>
      <c r="O809" s="116">
        <v>426.25</v>
      </c>
      <c r="P809" s="116">
        <v>435</v>
      </c>
      <c r="Q809" s="116">
        <v>428.6</v>
      </c>
      <c r="R809">
        <v>2133375</v>
      </c>
    </row>
    <row r="810" spans="1:18" x14ac:dyDescent="0.25">
      <c r="A810" s="170">
        <v>43196</v>
      </c>
      <c r="B810" s="116">
        <v>8.5368328101124291</v>
      </c>
      <c r="C810" s="116">
        <v>8.3942882919472801</v>
      </c>
      <c r="D810" s="116">
        <v>8.1567140950053805</v>
      </c>
      <c r="E810" s="116">
        <v>8.5368328101124291</v>
      </c>
      <c r="F810" s="116">
        <v>530</v>
      </c>
      <c r="G810">
        <v>1825</v>
      </c>
      <c r="H810" s="116"/>
      <c r="I810" s="116"/>
      <c r="L810" s="170">
        <v>43195</v>
      </c>
      <c r="M810" s="116">
        <v>439.3</v>
      </c>
      <c r="N810" s="116">
        <v>441.45</v>
      </c>
      <c r="O810" s="116">
        <v>431.5</v>
      </c>
      <c r="P810" s="116">
        <v>431.5</v>
      </c>
      <c r="Q810" s="116">
        <v>439.3</v>
      </c>
      <c r="R810">
        <v>1255931</v>
      </c>
    </row>
    <row r="811" spans="1:18" x14ac:dyDescent="0.25">
      <c r="A811" s="170">
        <v>43199</v>
      </c>
      <c r="B811" s="116">
        <v>8.9644663646078495</v>
      </c>
      <c r="C811" s="116">
        <v>8.6944236940838895</v>
      </c>
      <c r="D811" s="116">
        <v>8.3847853240696093</v>
      </c>
      <c r="E811" s="116">
        <v>8.4734796909279204</v>
      </c>
      <c r="F811" s="116">
        <v>548.95000000000005</v>
      </c>
      <c r="G811">
        <v>14887</v>
      </c>
      <c r="H811" s="116"/>
      <c r="I811" s="116"/>
      <c r="L811" s="170">
        <v>43196</v>
      </c>
      <c r="M811" s="116">
        <v>453.5</v>
      </c>
      <c r="N811" s="116">
        <v>455.95</v>
      </c>
      <c r="O811" s="116">
        <v>437.4</v>
      </c>
      <c r="P811" s="116">
        <v>439.5</v>
      </c>
      <c r="Q811" s="116">
        <v>453.5</v>
      </c>
      <c r="R811">
        <v>3222847</v>
      </c>
    </row>
    <row r="812" spans="1:18" x14ac:dyDescent="0.25">
      <c r="A812" s="170">
        <v>43200</v>
      </c>
      <c r="B812" s="116">
        <v>9.3113246921430299</v>
      </c>
      <c r="C812" s="116">
        <v>9.1378955283754397</v>
      </c>
      <c r="D812" s="116">
        <v>8.6318624888891904</v>
      </c>
      <c r="E812" s="116">
        <v>8.6318624888891904</v>
      </c>
      <c r="F812" s="116">
        <v>576.95000000000005</v>
      </c>
      <c r="G812">
        <v>11227</v>
      </c>
      <c r="H812" s="116"/>
      <c r="I812" s="116"/>
      <c r="L812" s="170">
        <v>43199</v>
      </c>
      <c r="M812" s="116">
        <v>452.1</v>
      </c>
      <c r="N812" s="116">
        <v>458.4</v>
      </c>
      <c r="O812" s="116">
        <v>450.5</v>
      </c>
      <c r="P812" s="116">
        <v>450.5</v>
      </c>
      <c r="Q812" s="116">
        <v>452.1</v>
      </c>
      <c r="R812">
        <v>1235904</v>
      </c>
    </row>
    <row r="813" spans="1:18" x14ac:dyDescent="0.25">
      <c r="A813" s="170">
        <v>43201</v>
      </c>
      <c r="B813" s="116">
        <v>9.3445850797148999</v>
      </c>
      <c r="C813" s="116">
        <v>9.1355197864060198</v>
      </c>
      <c r="D813" s="116">
        <v>8.8931941055252803</v>
      </c>
      <c r="E813" s="116">
        <v>8.8931941055252803</v>
      </c>
      <c r="F813" s="116">
        <v>576.79999999999995</v>
      </c>
      <c r="G813">
        <v>10435</v>
      </c>
      <c r="H813" s="116"/>
      <c r="I813" s="116"/>
      <c r="L813" s="170">
        <v>43200</v>
      </c>
      <c r="M813" s="116">
        <v>451.45</v>
      </c>
      <c r="N813" s="116">
        <v>457.5</v>
      </c>
      <c r="O813" s="116">
        <v>446</v>
      </c>
      <c r="P813" s="116">
        <v>452.1</v>
      </c>
      <c r="Q813" s="116">
        <v>451.45</v>
      </c>
      <c r="R813">
        <v>651379</v>
      </c>
    </row>
    <row r="814" spans="1:18" x14ac:dyDescent="0.25">
      <c r="A814" s="170">
        <v>43202</v>
      </c>
      <c r="B814" s="116">
        <v>9.4079381988994104</v>
      </c>
      <c r="C814" s="116">
        <v>9.1363117003958294</v>
      </c>
      <c r="D814" s="116">
        <v>9.0040620640981697</v>
      </c>
      <c r="E814" s="116">
        <v>9.4079381988994104</v>
      </c>
      <c r="F814" s="116">
        <v>576.85</v>
      </c>
      <c r="G814">
        <v>3660</v>
      </c>
      <c r="H814" s="116"/>
      <c r="I814" s="116"/>
      <c r="L814" s="170">
        <v>43201</v>
      </c>
      <c r="M814" s="116">
        <v>442.95</v>
      </c>
      <c r="N814" s="116">
        <v>455</v>
      </c>
      <c r="O814" s="116">
        <v>440.5</v>
      </c>
      <c r="P814" s="116">
        <v>455</v>
      </c>
      <c r="Q814" s="116">
        <v>442.95</v>
      </c>
      <c r="R814">
        <v>717175</v>
      </c>
    </row>
    <row r="815" spans="1:18" x14ac:dyDescent="0.25">
      <c r="A815" s="170">
        <v>43203</v>
      </c>
      <c r="B815" s="116">
        <v>9.3113246921430299</v>
      </c>
      <c r="C815" s="116">
        <v>9.0840453770686107</v>
      </c>
      <c r="D815" s="116">
        <v>8.8931941055252803</v>
      </c>
      <c r="E815" s="116">
        <v>9.3113246921430299</v>
      </c>
      <c r="F815" s="116">
        <v>573.54999999999995</v>
      </c>
      <c r="G815">
        <v>3172</v>
      </c>
      <c r="H815" s="116"/>
      <c r="I815" s="116"/>
      <c r="L815" s="170">
        <v>43202</v>
      </c>
      <c r="M815" s="116">
        <v>443.85</v>
      </c>
      <c r="N815" s="116">
        <v>446.9</v>
      </c>
      <c r="O815" s="116">
        <v>438.55</v>
      </c>
      <c r="P815" s="116">
        <v>442</v>
      </c>
      <c r="Q815" s="116">
        <v>443.85</v>
      </c>
      <c r="R815">
        <v>535230</v>
      </c>
    </row>
    <row r="816" spans="1:18" x14ac:dyDescent="0.25">
      <c r="A816" s="170">
        <v>43206</v>
      </c>
      <c r="B816" s="116">
        <v>9.1070108827730003</v>
      </c>
      <c r="C816" s="116">
        <v>9.1070108827730003</v>
      </c>
      <c r="D816" s="116">
        <v>8.8084593086159995</v>
      </c>
      <c r="E816" s="116">
        <v>9.0737504952011303</v>
      </c>
      <c r="F816" s="116">
        <v>575</v>
      </c>
      <c r="G816">
        <v>4334</v>
      </c>
      <c r="H816" s="116"/>
      <c r="I816" s="116"/>
      <c r="L816" s="170">
        <v>43203</v>
      </c>
      <c r="M816" s="116">
        <v>443.95</v>
      </c>
      <c r="N816" s="116">
        <v>452.25</v>
      </c>
      <c r="O816" s="116">
        <v>441</v>
      </c>
      <c r="P816" s="116">
        <v>442</v>
      </c>
      <c r="Q816" s="116">
        <v>443.95</v>
      </c>
      <c r="R816">
        <v>701298</v>
      </c>
    </row>
    <row r="817" spans="1:18" x14ac:dyDescent="0.25">
      <c r="A817" s="170">
        <v>43207</v>
      </c>
      <c r="B817" s="116">
        <v>9.2638098527546493</v>
      </c>
      <c r="C817" s="116">
        <v>8.9961429242001092</v>
      </c>
      <c r="D817" s="116">
        <v>8.8092512226058108</v>
      </c>
      <c r="E817" s="116">
        <v>8.8092512226058108</v>
      </c>
      <c r="F817" s="116">
        <v>568</v>
      </c>
      <c r="G817">
        <v>1570</v>
      </c>
      <c r="H817" s="116"/>
      <c r="I817" s="116"/>
      <c r="L817" s="170">
        <v>43206</v>
      </c>
      <c r="M817" s="116">
        <v>446.9</v>
      </c>
      <c r="N817" s="116">
        <v>450.9</v>
      </c>
      <c r="O817" s="116">
        <v>438.5</v>
      </c>
      <c r="P817" s="116">
        <v>439</v>
      </c>
      <c r="Q817" s="116">
        <v>446.9</v>
      </c>
      <c r="R817">
        <v>603858</v>
      </c>
    </row>
    <row r="818" spans="1:18" x14ac:dyDescent="0.25">
      <c r="A818" s="170">
        <v>43208</v>
      </c>
      <c r="B818" s="116">
        <v>9.0373224516700397</v>
      </c>
      <c r="C818" s="116">
        <v>8.8179622764936791</v>
      </c>
      <c r="D818" s="116">
        <v>8.7348113075640104</v>
      </c>
      <c r="E818" s="116">
        <v>8.8266733303815492</v>
      </c>
      <c r="F818" s="116">
        <v>556.75</v>
      </c>
      <c r="G818">
        <v>1559</v>
      </c>
      <c r="H818" s="116"/>
      <c r="I818" s="116"/>
      <c r="L818" s="170">
        <v>43207</v>
      </c>
      <c r="M818" s="116">
        <v>444.8</v>
      </c>
      <c r="N818" s="116">
        <v>452.2</v>
      </c>
      <c r="O818" s="116">
        <v>442.2</v>
      </c>
      <c r="P818" s="116">
        <v>448.05</v>
      </c>
      <c r="Q818" s="116">
        <v>444.8</v>
      </c>
      <c r="R818">
        <v>473021</v>
      </c>
    </row>
    <row r="819" spans="1:18" x14ac:dyDescent="0.25">
      <c r="A819" s="170">
        <v>43209</v>
      </c>
      <c r="B819" s="116">
        <v>9.0436577635884898</v>
      </c>
      <c r="C819" s="116">
        <v>8.7276840816557506</v>
      </c>
      <c r="D819" s="116">
        <v>8.4734796909279204</v>
      </c>
      <c r="E819" s="116">
        <v>8.4734796909279204</v>
      </c>
      <c r="F819" s="116">
        <v>551.04999999999995</v>
      </c>
      <c r="G819">
        <v>5499</v>
      </c>
      <c r="H819" s="116"/>
      <c r="I819" s="116"/>
      <c r="L819" s="170">
        <v>43208</v>
      </c>
      <c r="M819" s="116">
        <v>441.55</v>
      </c>
      <c r="N819" s="116">
        <v>447.9</v>
      </c>
      <c r="O819" s="116">
        <v>440</v>
      </c>
      <c r="P819" s="116">
        <v>445.3</v>
      </c>
      <c r="Q819" s="116">
        <v>441.55</v>
      </c>
      <c r="R819">
        <v>336350</v>
      </c>
    </row>
    <row r="820" spans="1:18" x14ac:dyDescent="0.25">
      <c r="A820" s="170">
        <v>43210</v>
      </c>
      <c r="B820" s="116">
        <v>8.8678528578514797</v>
      </c>
      <c r="C820" s="116">
        <v>8.7546091573091704</v>
      </c>
      <c r="D820" s="116">
        <v>8.5685093697046799</v>
      </c>
      <c r="E820" s="116">
        <v>8.7118458018596296</v>
      </c>
      <c r="F820" s="116">
        <v>552.75</v>
      </c>
      <c r="G820">
        <v>1568</v>
      </c>
      <c r="H820" s="116"/>
      <c r="I820" s="116"/>
      <c r="L820" s="170">
        <v>43209</v>
      </c>
      <c r="M820" s="116">
        <v>441.2</v>
      </c>
      <c r="N820" s="116">
        <v>443.7</v>
      </c>
      <c r="O820" s="116">
        <v>438.15</v>
      </c>
      <c r="P820" s="116">
        <v>441.45</v>
      </c>
      <c r="Q820" s="116">
        <v>441.2</v>
      </c>
      <c r="R820">
        <v>350916</v>
      </c>
    </row>
    <row r="821" spans="1:18" x14ac:dyDescent="0.25">
      <c r="A821" s="170">
        <v>43213</v>
      </c>
      <c r="B821" s="116">
        <v>8.8678528578514797</v>
      </c>
      <c r="C821" s="116">
        <v>8.7094700598902097</v>
      </c>
      <c r="D821" s="116">
        <v>8.4418031313356607</v>
      </c>
      <c r="E821" s="116">
        <v>8.8678528578514797</v>
      </c>
      <c r="F821" s="116">
        <v>549.9</v>
      </c>
      <c r="G821">
        <v>3498</v>
      </c>
      <c r="H821" s="116"/>
      <c r="I821" s="116"/>
      <c r="L821" s="170">
        <v>43210</v>
      </c>
      <c r="M821" s="116">
        <v>433.65</v>
      </c>
      <c r="N821" s="116">
        <v>443</v>
      </c>
      <c r="O821" s="116">
        <v>430.3</v>
      </c>
      <c r="P821" s="116">
        <v>439</v>
      </c>
      <c r="Q821" s="116">
        <v>433.65</v>
      </c>
      <c r="R821">
        <v>746942</v>
      </c>
    </row>
    <row r="822" spans="1:18" x14ac:dyDescent="0.25">
      <c r="A822" s="170">
        <v>43214</v>
      </c>
      <c r="B822" s="116">
        <v>8.8599337179534103</v>
      </c>
      <c r="C822" s="116">
        <v>8.6516603386343505</v>
      </c>
      <c r="D822" s="116">
        <v>8.6009778432867403</v>
      </c>
      <c r="E822" s="116">
        <v>8.8599337179534103</v>
      </c>
      <c r="F822" s="116">
        <v>546.25</v>
      </c>
      <c r="G822">
        <v>3232</v>
      </c>
      <c r="H822" s="116"/>
      <c r="I822" s="116"/>
      <c r="L822" s="170">
        <v>43213</v>
      </c>
      <c r="M822" s="116">
        <v>435.4</v>
      </c>
      <c r="N822" s="116">
        <v>439</v>
      </c>
      <c r="O822" s="116">
        <v>431.1</v>
      </c>
      <c r="P822" s="116">
        <v>437.8</v>
      </c>
      <c r="Q822" s="116">
        <v>435.4</v>
      </c>
      <c r="R822">
        <v>485132</v>
      </c>
    </row>
    <row r="823" spans="1:18" x14ac:dyDescent="0.25">
      <c r="A823" s="170">
        <v>43215</v>
      </c>
      <c r="B823" s="116">
        <v>8.6793773282775692</v>
      </c>
      <c r="C823" s="116">
        <v>8.3927044639676698</v>
      </c>
      <c r="D823" s="116">
        <v>8.3784500121511591</v>
      </c>
      <c r="E823" s="116">
        <v>8.5526710899085501</v>
      </c>
      <c r="F823" s="116">
        <v>529.9</v>
      </c>
      <c r="G823">
        <v>5648</v>
      </c>
      <c r="H823" s="116"/>
      <c r="I823" s="116"/>
      <c r="L823" s="170">
        <v>43214</v>
      </c>
      <c r="M823" s="116">
        <v>437.9</v>
      </c>
      <c r="N823" s="116">
        <v>444</v>
      </c>
      <c r="O823" s="116">
        <v>432</v>
      </c>
      <c r="P823" s="116">
        <v>435</v>
      </c>
      <c r="Q823" s="116">
        <v>437.9</v>
      </c>
      <c r="R823">
        <v>649953</v>
      </c>
    </row>
    <row r="824" spans="1:18" x14ac:dyDescent="0.25">
      <c r="A824" s="170">
        <v>43216</v>
      </c>
      <c r="B824" s="116">
        <v>8.6785854142877596</v>
      </c>
      <c r="C824" s="116">
        <v>8.1598817509645993</v>
      </c>
      <c r="D824" s="116">
        <v>8.1091992556169998</v>
      </c>
      <c r="E824" s="116">
        <v>8.5526710899085501</v>
      </c>
      <c r="F824" s="116">
        <v>515.20000000000005</v>
      </c>
      <c r="G824">
        <v>8050</v>
      </c>
      <c r="H824" s="116"/>
      <c r="I824" s="116"/>
      <c r="L824" s="170">
        <v>43215</v>
      </c>
      <c r="M824" s="116">
        <v>440.3</v>
      </c>
      <c r="N824" s="116">
        <v>447.3</v>
      </c>
      <c r="O824" s="116">
        <v>432.5</v>
      </c>
      <c r="P824" s="116">
        <v>436.1</v>
      </c>
      <c r="Q824" s="116">
        <v>440.3</v>
      </c>
      <c r="R824">
        <v>1157350</v>
      </c>
    </row>
    <row r="825" spans="1:18" x14ac:dyDescent="0.25">
      <c r="A825" s="170">
        <v>43217</v>
      </c>
      <c r="B825" s="116">
        <v>8.3293513447831593</v>
      </c>
      <c r="C825" s="116">
        <v>8.1939340525262807</v>
      </c>
      <c r="D825" s="116">
        <v>8.1250375354131208</v>
      </c>
      <c r="E825" s="116">
        <v>8.1598817509645993</v>
      </c>
      <c r="F825" s="116">
        <v>517.35</v>
      </c>
      <c r="G825">
        <v>7939</v>
      </c>
      <c r="H825" s="116"/>
      <c r="I825" s="116"/>
      <c r="L825" s="170">
        <v>43216</v>
      </c>
      <c r="M825" s="116">
        <v>437.55</v>
      </c>
      <c r="N825" s="116">
        <v>444.95</v>
      </c>
      <c r="O825" s="116">
        <v>435.3</v>
      </c>
      <c r="P825" s="116">
        <v>441</v>
      </c>
      <c r="Q825" s="116">
        <v>437.55</v>
      </c>
      <c r="R825">
        <v>885298</v>
      </c>
    </row>
    <row r="826" spans="1:18" x14ac:dyDescent="0.25">
      <c r="A826" s="170">
        <v>43220</v>
      </c>
      <c r="B826" s="116">
        <v>8.6160242090930605</v>
      </c>
      <c r="C826" s="116">
        <v>8.57722042359255</v>
      </c>
      <c r="D826" s="116">
        <v>8.2683739675680705</v>
      </c>
      <c r="E826" s="116">
        <v>8.5051562505201694</v>
      </c>
      <c r="F826" s="116">
        <v>541.54999999999995</v>
      </c>
      <c r="G826">
        <v>3069</v>
      </c>
      <c r="H826" s="116"/>
      <c r="I826" s="116"/>
      <c r="L826" s="170">
        <v>43217</v>
      </c>
      <c r="M826" s="116">
        <v>444.55</v>
      </c>
      <c r="N826" s="116">
        <v>451.55</v>
      </c>
      <c r="O826" s="116">
        <v>439.2</v>
      </c>
      <c r="P826" s="116">
        <v>440</v>
      </c>
      <c r="Q826" s="116">
        <v>444.55</v>
      </c>
      <c r="R826">
        <v>962488</v>
      </c>
    </row>
    <row r="827" spans="1:18" x14ac:dyDescent="0.25">
      <c r="A827" s="170">
        <v>43222</v>
      </c>
      <c r="B827" s="116">
        <v>8.4893179707240396</v>
      </c>
      <c r="C827" s="116">
        <v>8.1741362027811206</v>
      </c>
      <c r="D827" s="116">
        <v>8.0062504369421692</v>
      </c>
      <c r="E827" s="116">
        <v>8.4893179707240396</v>
      </c>
      <c r="F827" s="116">
        <v>516.1</v>
      </c>
      <c r="G827">
        <v>3165</v>
      </c>
      <c r="H827" s="116"/>
      <c r="I827" s="116"/>
      <c r="L827" s="170">
        <v>43220</v>
      </c>
      <c r="M827" s="116">
        <v>421.5</v>
      </c>
      <c r="N827" s="116">
        <v>439.5</v>
      </c>
      <c r="O827" s="116">
        <v>414.65</v>
      </c>
      <c r="P827" s="116">
        <v>439.5</v>
      </c>
      <c r="Q827" s="116">
        <v>421.5</v>
      </c>
      <c r="R827">
        <v>2773627</v>
      </c>
    </row>
    <row r="828" spans="1:18" x14ac:dyDescent="0.25">
      <c r="A828" s="170">
        <v>43223</v>
      </c>
      <c r="B828" s="116">
        <v>8.9913914402612694</v>
      </c>
      <c r="C828" s="116">
        <v>8.9913914402612694</v>
      </c>
      <c r="D828" s="116">
        <v>8.0505976203713292</v>
      </c>
      <c r="E828" s="116">
        <v>8.2359054939860101</v>
      </c>
      <c r="F828" s="116">
        <v>567.70000000000005</v>
      </c>
      <c r="G828">
        <v>20521</v>
      </c>
      <c r="H828" s="116"/>
      <c r="I828" s="116"/>
      <c r="L828" s="170">
        <v>43222</v>
      </c>
      <c r="M828" s="116">
        <v>416.35</v>
      </c>
      <c r="N828" s="116">
        <v>428.9</v>
      </c>
      <c r="O828" s="116">
        <v>413.55</v>
      </c>
      <c r="P828" s="116">
        <v>422</v>
      </c>
      <c r="Q828" s="116">
        <v>416.35</v>
      </c>
      <c r="R828">
        <v>1447389</v>
      </c>
    </row>
    <row r="829" spans="1:18" x14ac:dyDescent="0.25">
      <c r="A829" s="170">
        <v>43224</v>
      </c>
      <c r="B829" s="116">
        <v>9.8902138186914694</v>
      </c>
      <c r="C829" s="116">
        <v>9.4499096403591398</v>
      </c>
      <c r="D829" s="116">
        <v>9.1545257221613792</v>
      </c>
      <c r="E829" s="116">
        <v>9.2653936807342596</v>
      </c>
      <c r="F829" s="116">
        <v>596.65</v>
      </c>
      <c r="G829">
        <v>26617</v>
      </c>
      <c r="H829" s="116"/>
      <c r="I829" s="116"/>
      <c r="L829" s="170">
        <v>43223</v>
      </c>
      <c r="M829" s="116">
        <v>406.25</v>
      </c>
      <c r="N829" s="116">
        <v>416.6</v>
      </c>
      <c r="O829" s="116">
        <v>405</v>
      </c>
      <c r="P829" s="116">
        <v>415.7</v>
      </c>
      <c r="Q829" s="116">
        <v>406.25</v>
      </c>
      <c r="R829">
        <v>949351</v>
      </c>
    </row>
    <row r="830" spans="1:18" x14ac:dyDescent="0.25">
      <c r="A830" s="170">
        <v>43227</v>
      </c>
      <c r="B830" s="116">
        <v>9.5188061574722997</v>
      </c>
      <c r="C830" s="116">
        <v>8.8813153956781896</v>
      </c>
      <c r="D830" s="116">
        <v>8.8060835666465795</v>
      </c>
      <c r="E830" s="116">
        <v>9.5029678776761699</v>
      </c>
      <c r="F830" s="116">
        <v>560.75</v>
      </c>
      <c r="G830">
        <v>11879</v>
      </c>
      <c r="H830" s="116"/>
      <c r="I830" s="116"/>
      <c r="L830" s="170">
        <v>43224</v>
      </c>
      <c r="M830" s="116">
        <v>408.1</v>
      </c>
      <c r="N830" s="116">
        <v>414.9</v>
      </c>
      <c r="O830" s="116">
        <v>406.3</v>
      </c>
      <c r="P830" s="116">
        <v>406.8</v>
      </c>
      <c r="Q830" s="116">
        <v>408.1</v>
      </c>
      <c r="R830">
        <v>656511</v>
      </c>
    </row>
    <row r="831" spans="1:18" x14ac:dyDescent="0.25">
      <c r="A831" s="170">
        <v>43228</v>
      </c>
      <c r="B831" s="116">
        <v>9.0230679998535201</v>
      </c>
      <c r="C831" s="116">
        <v>8.6983832640329197</v>
      </c>
      <c r="D831" s="116">
        <v>8.6009778432867403</v>
      </c>
      <c r="E831" s="116">
        <v>9.0230679998535201</v>
      </c>
      <c r="F831" s="116">
        <v>549.20000000000005</v>
      </c>
      <c r="G831">
        <v>3517</v>
      </c>
      <c r="H831" s="116"/>
      <c r="I831" s="116"/>
      <c r="L831" s="170">
        <v>43227</v>
      </c>
      <c r="M831" s="116">
        <v>404.5</v>
      </c>
      <c r="N831" s="116">
        <v>413.2</v>
      </c>
      <c r="O831" s="116">
        <v>400.5</v>
      </c>
      <c r="P831" s="116">
        <v>410</v>
      </c>
      <c r="Q831" s="116">
        <v>404.5</v>
      </c>
      <c r="R831">
        <v>965880</v>
      </c>
    </row>
    <row r="832" spans="1:18" x14ac:dyDescent="0.25">
      <c r="A832" s="170">
        <v>43229</v>
      </c>
      <c r="B832" s="116">
        <v>9.18620228175363</v>
      </c>
      <c r="C832" s="116">
        <v>8.5629659717760305</v>
      </c>
      <c r="D832" s="116">
        <v>8.4893179707240396</v>
      </c>
      <c r="E832" s="116">
        <v>8.5241621862755199</v>
      </c>
      <c r="F832" s="116">
        <v>540.65</v>
      </c>
      <c r="G832">
        <v>15144</v>
      </c>
      <c r="H832" s="116"/>
      <c r="I832" s="116"/>
      <c r="L832" s="170">
        <v>43228</v>
      </c>
      <c r="M832" s="116">
        <v>404.3</v>
      </c>
      <c r="N832" s="116">
        <v>410.45</v>
      </c>
      <c r="O832" s="116">
        <v>402.4</v>
      </c>
      <c r="P832" s="116">
        <v>406</v>
      </c>
      <c r="Q832" s="116">
        <v>404.3</v>
      </c>
      <c r="R832">
        <v>616999</v>
      </c>
    </row>
    <row r="833" spans="1:18" x14ac:dyDescent="0.25">
      <c r="A833" s="170">
        <v>43230</v>
      </c>
      <c r="B833" s="116">
        <v>8.6318624888891904</v>
      </c>
      <c r="C833" s="116">
        <v>8.41883762563128</v>
      </c>
      <c r="D833" s="116">
        <v>8.3158888069564494</v>
      </c>
      <c r="E833" s="116">
        <v>8.4576414111317906</v>
      </c>
      <c r="F833" s="116">
        <v>531.54999999999995</v>
      </c>
      <c r="G833">
        <v>6810</v>
      </c>
      <c r="H833" s="116"/>
      <c r="I833" s="116"/>
      <c r="L833" s="170">
        <v>43229</v>
      </c>
      <c r="M833" s="116">
        <v>404</v>
      </c>
      <c r="N833" s="116">
        <v>407.9</v>
      </c>
      <c r="O833" s="116">
        <v>402.15</v>
      </c>
      <c r="P833" s="116">
        <v>404.05</v>
      </c>
      <c r="Q833" s="116">
        <v>404</v>
      </c>
      <c r="R833">
        <v>565294</v>
      </c>
    </row>
    <row r="834" spans="1:18" x14ac:dyDescent="0.25">
      <c r="A834" s="170">
        <v>43231</v>
      </c>
      <c r="B834" s="116">
        <v>8.7902452868504604</v>
      </c>
      <c r="C834" s="116">
        <v>8.4877341427444293</v>
      </c>
      <c r="D834" s="116">
        <v>8.3309351727627803</v>
      </c>
      <c r="E834" s="116">
        <v>8.6144403811134502</v>
      </c>
      <c r="F834" s="116">
        <v>535.9</v>
      </c>
      <c r="G834">
        <v>5844</v>
      </c>
      <c r="H834" s="116"/>
      <c r="I834" s="116"/>
      <c r="L834" s="170">
        <v>43230</v>
      </c>
      <c r="M834" s="116">
        <v>389.35</v>
      </c>
      <c r="N834" s="116">
        <v>403.05</v>
      </c>
      <c r="O834" s="116">
        <v>388</v>
      </c>
      <c r="P834" s="116">
        <v>403.05</v>
      </c>
      <c r="Q834" s="116">
        <v>389.35</v>
      </c>
      <c r="R834">
        <v>1163057</v>
      </c>
    </row>
    <row r="835" spans="1:18" x14ac:dyDescent="0.25">
      <c r="A835" s="170">
        <v>43234</v>
      </c>
      <c r="B835" s="116">
        <v>8.6603713925222099</v>
      </c>
      <c r="C835" s="116">
        <v>8.4037912598249598</v>
      </c>
      <c r="D835" s="116">
        <v>8.3942882919472801</v>
      </c>
      <c r="E835" s="116">
        <v>8.6587875645425996</v>
      </c>
      <c r="F835" s="116">
        <v>530.6</v>
      </c>
      <c r="G835">
        <v>2807</v>
      </c>
      <c r="H835" s="116"/>
      <c r="I835" s="116"/>
      <c r="L835" s="170">
        <v>43231</v>
      </c>
      <c r="M835" s="116">
        <v>386.35</v>
      </c>
      <c r="N835" s="116">
        <v>392.6</v>
      </c>
      <c r="O835" s="116">
        <v>380.15</v>
      </c>
      <c r="P835" s="116">
        <v>391</v>
      </c>
      <c r="Q835" s="116">
        <v>386.35</v>
      </c>
      <c r="R835">
        <v>633143</v>
      </c>
    </row>
    <row r="836" spans="1:18" x14ac:dyDescent="0.25">
      <c r="A836" s="170">
        <v>43235</v>
      </c>
      <c r="B836" s="116">
        <v>8.6318624888891904</v>
      </c>
      <c r="C836" s="116">
        <v>8.4164618836618601</v>
      </c>
      <c r="D836" s="116">
        <v>8.4101265717434099</v>
      </c>
      <c r="E836" s="116">
        <v>8.5106996484488207</v>
      </c>
      <c r="F836" s="116">
        <v>531.4</v>
      </c>
      <c r="G836">
        <v>4677</v>
      </c>
      <c r="H836" s="116"/>
      <c r="I836" s="116"/>
      <c r="L836" s="170">
        <v>43234</v>
      </c>
      <c r="M836" s="116">
        <v>387.15</v>
      </c>
      <c r="N836" s="116">
        <v>397.7</v>
      </c>
      <c r="O836" s="116">
        <v>385.05</v>
      </c>
      <c r="P836" s="116">
        <v>387.8</v>
      </c>
      <c r="Q836" s="116">
        <v>387.15</v>
      </c>
      <c r="R836">
        <v>621045</v>
      </c>
    </row>
    <row r="837" spans="1:18" x14ac:dyDescent="0.25">
      <c r="A837" s="170">
        <v>43236</v>
      </c>
      <c r="B837" s="116">
        <v>8.5526710899085501</v>
      </c>
      <c r="C837" s="116">
        <v>8.4125023137128299</v>
      </c>
      <c r="D837" s="116">
        <v>8.3626117323550293</v>
      </c>
      <c r="E837" s="116">
        <v>8.36340364634483</v>
      </c>
      <c r="F837" s="116">
        <v>531.15</v>
      </c>
      <c r="G837">
        <v>2300</v>
      </c>
      <c r="H837" s="116"/>
      <c r="I837" s="116"/>
      <c r="L837" s="170">
        <v>43235</v>
      </c>
      <c r="M837" s="116">
        <v>379.35</v>
      </c>
      <c r="N837" s="116">
        <v>392.5</v>
      </c>
      <c r="O837" s="116">
        <v>376.65</v>
      </c>
      <c r="P837" s="116">
        <v>387</v>
      </c>
      <c r="Q837" s="116">
        <v>379.35</v>
      </c>
      <c r="R837">
        <v>556148</v>
      </c>
    </row>
    <row r="838" spans="1:18" x14ac:dyDescent="0.25">
      <c r="A838" s="170">
        <v>43237</v>
      </c>
      <c r="B838" s="116">
        <v>8.4869422287546303</v>
      </c>
      <c r="C838" s="116">
        <v>8.3000505271603302</v>
      </c>
      <c r="D838" s="116">
        <v>8.2834203333743908</v>
      </c>
      <c r="E838" s="116">
        <v>8.3942882919472801</v>
      </c>
      <c r="F838" s="116">
        <v>524.04999999999995</v>
      </c>
      <c r="G838">
        <v>2010</v>
      </c>
      <c r="H838" s="116"/>
      <c r="I838" s="116"/>
      <c r="L838" s="170">
        <v>43236</v>
      </c>
      <c r="M838" s="116">
        <v>372.55</v>
      </c>
      <c r="N838" s="116">
        <v>379.85</v>
      </c>
      <c r="O838" s="116">
        <v>370.1</v>
      </c>
      <c r="P838" s="116">
        <v>372</v>
      </c>
      <c r="Q838" s="116">
        <v>372.55</v>
      </c>
      <c r="R838">
        <v>718292</v>
      </c>
    </row>
    <row r="839" spans="1:18" x14ac:dyDescent="0.25">
      <c r="A839" s="170">
        <v>43238</v>
      </c>
      <c r="B839" s="116">
        <v>8.6318624888891904</v>
      </c>
      <c r="C839" s="116">
        <v>8.3602359903856094</v>
      </c>
      <c r="D839" s="116">
        <v>8.2208591281796899</v>
      </c>
      <c r="E839" s="116">
        <v>8.6318624888891904</v>
      </c>
      <c r="F839" s="116">
        <v>527.85</v>
      </c>
      <c r="G839">
        <v>2404</v>
      </c>
      <c r="H839" s="116"/>
      <c r="I839" s="116"/>
      <c r="L839" s="170">
        <v>43237</v>
      </c>
      <c r="M839" s="116">
        <v>380</v>
      </c>
      <c r="N839" s="116">
        <v>383.05</v>
      </c>
      <c r="O839" s="116">
        <v>371.2</v>
      </c>
      <c r="P839" s="116">
        <v>372.75</v>
      </c>
      <c r="Q839" s="116">
        <v>380</v>
      </c>
      <c r="R839">
        <v>589449</v>
      </c>
    </row>
    <row r="840" spans="1:18" x14ac:dyDescent="0.25">
      <c r="A840" s="170">
        <v>43241</v>
      </c>
      <c r="B840" s="116">
        <v>8.6477007686853096</v>
      </c>
      <c r="C840" s="116">
        <v>7.9642789954824398</v>
      </c>
      <c r="D840" s="116">
        <v>7.7623409280818203</v>
      </c>
      <c r="E840" s="116">
        <v>8.1725523748015103</v>
      </c>
      <c r="F840" s="116">
        <v>502.85</v>
      </c>
      <c r="G840">
        <v>5720</v>
      </c>
      <c r="H840" s="116"/>
      <c r="I840" s="116"/>
      <c r="L840" s="170">
        <v>43238</v>
      </c>
      <c r="M840" s="116">
        <v>368.5</v>
      </c>
      <c r="N840" s="116">
        <v>382.55</v>
      </c>
      <c r="O840" s="116">
        <v>367.6</v>
      </c>
      <c r="P840" s="116">
        <v>380.55</v>
      </c>
      <c r="Q840" s="116">
        <v>368.5</v>
      </c>
      <c r="R840">
        <v>433966</v>
      </c>
    </row>
    <row r="841" spans="1:18" x14ac:dyDescent="0.25">
      <c r="A841" s="170">
        <v>43242</v>
      </c>
      <c r="B841" s="116">
        <v>8.2675820535782698</v>
      </c>
      <c r="C841" s="116">
        <v>7.9341862638697904</v>
      </c>
      <c r="D841" s="116">
        <v>7.8399484990828396</v>
      </c>
      <c r="E841" s="116">
        <v>7.8874633384712203</v>
      </c>
      <c r="F841" s="116">
        <v>500.95</v>
      </c>
      <c r="G841">
        <v>4471</v>
      </c>
      <c r="H841" s="116"/>
      <c r="I841" s="116"/>
      <c r="L841" s="170">
        <v>43241</v>
      </c>
      <c r="M841" s="116">
        <v>352.05</v>
      </c>
      <c r="N841" s="116">
        <v>365</v>
      </c>
      <c r="O841" s="116">
        <v>348.05</v>
      </c>
      <c r="P841" s="116">
        <v>365</v>
      </c>
      <c r="Q841" s="116">
        <v>352.05</v>
      </c>
      <c r="R841">
        <v>1105112</v>
      </c>
    </row>
    <row r="842" spans="1:18" x14ac:dyDescent="0.25">
      <c r="A842" s="170">
        <v>43243</v>
      </c>
      <c r="B842" s="116">
        <v>8.3150968929666504</v>
      </c>
      <c r="C842" s="116">
        <v>8.0236725447179094</v>
      </c>
      <c r="D842" s="116">
        <v>7.9191398980634702</v>
      </c>
      <c r="E842" s="116">
        <v>8.1194941374844802</v>
      </c>
      <c r="F842" s="116">
        <v>506.6</v>
      </c>
      <c r="G842">
        <v>2770</v>
      </c>
      <c r="H842" s="116"/>
      <c r="I842" s="116"/>
      <c r="L842" s="170">
        <v>43242</v>
      </c>
      <c r="M842" s="116">
        <v>359.15</v>
      </c>
      <c r="N842" s="116">
        <v>364</v>
      </c>
      <c r="O842" s="116">
        <v>345.55</v>
      </c>
      <c r="P842" s="116">
        <v>350</v>
      </c>
      <c r="Q842" s="116">
        <v>359.15</v>
      </c>
      <c r="R842">
        <v>643293</v>
      </c>
    </row>
    <row r="843" spans="1:18" x14ac:dyDescent="0.25">
      <c r="A843" s="170">
        <v>43244</v>
      </c>
      <c r="B843" s="116">
        <v>8.2200672141898892</v>
      </c>
      <c r="C843" s="116">
        <v>7.9595275115435999</v>
      </c>
      <c r="D843" s="116">
        <v>7.7765953798983301</v>
      </c>
      <c r="E843" s="116">
        <v>7.7860983477760097</v>
      </c>
      <c r="F843" s="116">
        <v>502.55</v>
      </c>
      <c r="G843">
        <v>5102</v>
      </c>
      <c r="H843" s="116"/>
      <c r="I843" s="116"/>
      <c r="L843" s="170">
        <v>43243</v>
      </c>
      <c r="M843" s="116">
        <v>356.6</v>
      </c>
      <c r="N843" s="116">
        <v>364.75</v>
      </c>
      <c r="O843" s="116">
        <v>354</v>
      </c>
      <c r="P843" s="116">
        <v>357.75</v>
      </c>
      <c r="Q843" s="116">
        <v>356.6</v>
      </c>
      <c r="R843">
        <v>557675</v>
      </c>
    </row>
    <row r="844" spans="1:18" x14ac:dyDescent="0.25">
      <c r="A844" s="170">
        <v>43245</v>
      </c>
      <c r="B844" s="116">
        <v>8.0300078566363595</v>
      </c>
      <c r="C844" s="116">
        <v>7.8486595529707097</v>
      </c>
      <c r="D844" s="116">
        <v>7.8082719394905897</v>
      </c>
      <c r="E844" s="116">
        <v>7.9365620058392103</v>
      </c>
      <c r="F844" s="116">
        <v>495.55</v>
      </c>
      <c r="G844">
        <v>2174</v>
      </c>
      <c r="H844" s="116"/>
      <c r="I844" s="116"/>
      <c r="L844" s="170">
        <v>43244</v>
      </c>
      <c r="M844" s="116">
        <v>353.75</v>
      </c>
      <c r="N844" s="116">
        <v>361.4</v>
      </c>
      <c r="O844" s="116">
        <v>348.95</v>
      </c>
      <c r="P844" s="116">
        <v>358.5</v>
      </c>
      <c r="Q844" s="116">
        <v>353.75</v>
      </c>
      <c r="R844">
        <v>634740</v>
      </c>
    </row>
    <row r="845" spans="1:18" x14ac:dyDescent="0.25">
      <c r="A845" s="170">
        <v>43248</v>
      </c>
      <c r="B845" s="116">
        <v>8.2042289343937593</v>
      </c>
      <c r="C845" s="116">
        <v>8.1828472566689907</v>
      </c>
      <c r="D845" s="116">
        <v>7.7765953798983301</v>
      </c>
      <c r="E845" s="116">
        <v>7.9967474690645002</v>
      </c>
      <c r="F845" s="116">
        <v>516.65</v>
      </c>
      <c r="G845">
        <v>4335</v>
      </c>
      <c r="H845" s="116"/>
      <c r="I845" s="116"/>
      <c r="L845" s="170">
        <v>43245</v>
      </c>
      <c r="M845" s="116">
        <v>360.95</v>
      </c>
      <c r="N845" s="116">
        <v>364</v>
      </c>
      <c r="O845" s="116">
        <v>353.95</v>
      </c>
      <c r="P845" s="116">
        <v>354.95</v>
      </c>
      <c r="Q845" s="116">
        <v>360.95</v>
      </c>
      <c r="R845">
        <v>622830</v>
      </c>
    </row>
    <row r="846" spans="1:18" x14ac:dyDescent="0.25">
      <c r="A846" s="170">
        <v>43249</v>
      </c>
      <c r="B846" s="116">
        <v>7.36638393317864</v>
      </c>
      <c r="C846" s="116">
        <v>7.3648001051990297</v>
      </c>
      <c r="D846" s="116">
        <v>7.3648001051990297</v>
      </c>
      <c r="E846" s="116">
        <v>7.36638393317864</v>
      </c>
      <c r="F846" s="116">
        <v>465</v>
      </c>
      <c r="G846">
        <v>7711</v>
      </c>
      <c r="H846" s="116"/>
      <c r="I846" s="116"/>
      <c r="L846" s="170">
        <v>43248</v>
      </c>
      <c r="M846" s="116">
        <v>399.8</v>
      </c>
      <c r="N846" s="116">
        <v>406.85</v>
      </c>
      <c r="O846" s="116">
        <v>365</v>
      </c>
      <c r="P846" s="116">
        <v>365.3</v>
      </c>
      <c r="Q846" s="116">
        <v>399.8</v>
      </c>
      <c r="R846">
        <v>2557508</v>
      </c>
    </row>
    <row r="847" spans="1:18" x14ac:dyDescent="0.25">
      <c r="A847" s="170">
        <v>43250</v>
      </c>
      <c r="B847" s="116">
        <v>7.0797110688687503</v>
      </c>
      <c r="C847" s="116">
        <v>6.7550263330481402</v>
      </c>
      <c r="D847" s="116">
        <v>6.6283200946791299</v>
      </c>
      <c r="E847" s="116">
        <v>6.6283200946791299</v>
      </c>
      <c r="F847" s="116">
        <v>426.5</v>
      </c>
      <c r="G847">
        <v>26475</v>
      </c>
      <c r="H847" s="116"/>
      <c r="I847" s="116"/>
      <c r="L847" s="170">
        <v>43249</v>
      </c>
      <c r="M847" s="116">
        <v>386.9</v>
      </c>
      <c r="N847" s="116">
        <v>403.4</v>
      </c>
      <c r="O847" s="116">
        <v>381.9</v>
      </c>
      <c r="P847" s="116">
        <v>403.4</v>
      </c>
      <c r="Q847" s="116">
        <v>386.9</v>
      </c>
      <c r="R847">
        <v>1252925</v>
      </c>
    </row>
    <row r="848" spans="1:18" x14ac:dyDescent="0.25">
      <c r="A848" s="170">
        <v>43251</v>
      </c>
      <c r="B848" s="116">
        <v>6.8896517113152198</v>
      </c>
      <c r="C848" s="116">
        <v>6.7003842677515104</v>
      </c>
      <c r="D848" s="116">
        <v>6.4034165215741297</v>
      </c>
      <c r="E848" s="116">
        <v>6.7629454729462104</v>
      </c>
      <c r="F848" s="116">
        <v>423.05</v>
      </c>
      <c r="G848">
        <v>11446</v>
      </c>
      <c r="H848" s="116"/>
      <c r="I848" s="116"/>
      <c r="L848" s="170">
        <v>43250</v>
      </c>
      <c r="M848" s="116">
        <v>389.65</v>
      </c>
      <c r="N848" s="116">
        <v>398.45</v>
      </c>
      <c r="O848" s="116">
        <v>379.15</v>
      </c>
      <c r="P848" s="116">
        <v>381.7</v>
      </c>
      <c r="Q848" s="116">
        <v>389.65</v>
      </c>
      <c r="R848">
        <v>1578953</v>
      </c>
    </row>
    <row r="849" spans="1:18" x14ac:dyDescent="0.25">
      <c r="A849" s="170">
        <v>43252</v>
      </c>
      <c r="B849" s="116">
        <v>6.8579751517229699</v>
      </c>
      <c r="C849" s="116">
        <v>6.6283200946791299</v>
      </c>
      <c r="D849" s="116">
        <v>6.5752618573620998</v>
      </c>
      <c r="E849" s="116">
        <v>6.7312689133539498</v>
      </c>
      <c r="F849" s="116">
        <v>418.5</v>
      </c>
      <c r="G849">
        <v>12616</v>
      </c>
      <c r="H849" s="116"/>
      <c r="I849" s="116"/>
      <c r="L849" s="170">
        <v>43251</v>
      </c>
      <c r="M849" s="116">
        <v>378.85</v>
      </c>
      <c r="N849" s="116">
        <v>396.85</v>
      </c>
      <c r="O849" s="116">
        <v>376.2</v>
      </c>
      <c r="P849" s="116">
        <v>393</v>
      </c>
      <c r="Q849" s="116">
        <v>378.85</v>
      </c>
      <c r="R849">
        <v>1088010</v>
      </c>
    </row>
    <row r="850" spans="1:18" x14ac:dyDescent="0.25">
      <c r="A850" s="170">
        <v>43255</v>
      </c>
      <c r="B850" s="116">
        <v>6.7154306335578298</v>
      </c>
      <c r="C850" s="116">
        <v>6.0652692479268104</v>
      </c>
      <c r="D850" s="116">
        <v>5.9654880852112102</v>
      </c>
      <c r="E850" s="116">
        <v>6.4303415972275397</v>
      </c>
      <c r="F850" s="116">
        <v>382.95</v>
      </c>
      <c r="G850">
        <v>21579</v>
      </c>
      <c r="H850" s="116"/>
      <c r="I850" s="116"/>
      <c r="L850" s="170">
        <v>43252</v>
      </c>
      <c r="M850" s="116">
        <v>362.15</v>
      </c>
      <c r="N850" s="116">
        <v>387</v>
      </c>
      <c r="O850" s="116">
        <v>360.05</v>
      </c>
      <c r="P850" s="116">
        <v>378.85</v>
      </c>
      <c r="Q850" s="116">
        <v>362.15</v>
      </c>
      <c r="R850">
        <v>1773575</v>
      </c>
    </row>
    <row r="851" spans="1:18" x14ac:dyDescent="0.25">
      <c r="A851" s="170">
        <v>43256</v>
      </c>
      <c r="B851" s="116">
        <v>6.26879114330705</v>
      </c>
      <c r="C851" s="116">
        <v>5.76275810382079</v>
      </c>
      <c r="D851" s="116">
        <v>5.76275810382079</v>
      </c>
      <c r="E851" s="116">
        <v>6.26879114330705</v>
      </c>
      <c r="F851" s="116">
        <v>363.85</v>
      </c>
      <c r="G851">
        <v>9240</v>
      </c>
      <c r="H851" s="116"/>
      <c r="I851" s="116"/>
      <c r="L851" s="170">
        <v>43255</v>
      </c>
      <c r="M851" s="116">
        <v>353.85</v>
      </c>
      <c r="N851" s="116">
        <v>373.05</v>
      </c>
      <c r="O851" s="116">
        <v>349.45</v>
      </c>
      <c r="P851" s="116">
        <v>363</v>
      </c>
      <c r="Q851" s="116">
        <v>353.85</v>
      </c>
      <c r="R851">
        <v>1796830</v>
      </c>
    </row>
    <row r="852" spans="1:18" x14ac:dyDescent="0.25">
      <c r="A852" s="170">
        <v>43257</v>
      </c>
      <c r="B852" s="116">
        <v>6.0502228821204902</v>
      </c>
      <c r="C852" s="116">
        <v>6.0193382365180499</v>
      </c>
      <c r="D852" s="116">
        <v>5.4752933255210898</v>
      </c>
      <c r="E852" s="116">
        <v>5.4752933255210898</v>
      </c>
      <c r="F852" s="116">
        <v>380.05</v>
      </c>
      <c r="G852">
        <v>11971</v>
      </c>
      <c r="H852" s="116"/>
      <c r="I852" s="116"/>
      <c r="L852" s="170">
        <v>43256</v>
      </c>
      <c r="M852" s="116">
        <v>352.7</v>
      </c>
      <c r="N852" s="116">
        <v>356.9</v>
      </c>
      <c r="O852" s="116">
        <v>345.05</v>
      </c>
      <c r="P852" s="116">
        <v>353.8</v>
      </c>
      <c r="Q852" s="116">
        <v>352.7</v>
      </c>
      <c r="R852">
        <v>661193</v>
      </c>
    </row>
    <row r="853" spans="1:18" x14ac:dyDescent="0.25">
      <c r="A853" s="170">
        <v>43258</v>
      </c>
      <c r="B853" s="116">
        <v>6.32026555264446</v>
      </c>
      <c r="C853" s="116">
        <v>6.2973000469400704</v>
      </c>
      <c r="D853" s="116">
        <v>6.1294142811011296</v>
      </c>
      <c r="E853" s="116">
        <v>6.2719587992662698</v>
      </c>
      <c r="F853" s="116">
        <v>397.6</v>
      </c>
      <c r="G853">
        <v>7128</v>
      </c>
      <c r="H853" s="116"/>
      <c r="I853" s="116"/>
      <c r="L853" s="170">
        <v>43257</v>
      </c>
      <c r="M853" s="116">
        <v>362.75</v>
      </c>
      <c r="N853" s="116">
        <v>367.4</v>
      </c>
      <c r="O853" s="116">
        <v>347.1</v>
      </c>
      <c r="P853" s="116">
        <v>351</v>
      </c>
      <c r="Q853" s="116">
        <v>362.75</v>
      </c>
      <c r="R853">
        <v>1173088</v>
      </c>
    </row>
    <row r="854" spans="1:18" x14ac:dyDescent="0.25">
      <c r="A854" s="170">
        <v>43259</v>
      </c>
      <c r="B854" s="116">
        <v>6.4461798770236696</v>
      </c>
      <c r="C854" s="116">
        <v>6.4034165215741297</v>
      </c>
      <c r="D854" s="116">
        <v>6.1151598292846101</v>
      </c>
      <c r="E854" s="116">
        <v>6.4145033174314099</v>
      </c>
      <c r="F854" s="116">
        <v>404.3</v>
      </c>
      <c r="G854">
        <v>4098</v>
      </c>
      <c r="H854" s="116"/>
      <c r="I854" s="116"/>
      <c r="L854" s="170">
        <v>43258</v>
      </c>
      <c r="M854" s="116">
        <v>369.5</v>
      </c>
      <c r="N854" s="116">
        <v>377.6</v>
      </c>
      <c r="O854" s="116">
        <v>367.05</v>
      </c>
      <c r="P854" s="116">
        <v>367.4</v>
      </c>
      <c r="Q854" s="116">
        <v>369.5</v>
      </c>
      <c r="R854">
        <v>1362929</v>
      </c>
    </row>
    <row r="855" spans="1:18" x14ac:dyDescent="0.25">
      <c r="A855" s="170">
        <v>43262</v>
      </c>
      <c r="B855" s="116">
        <v>6.6916732138636403</v>
      </c>
      <c r="C855" s="116">
        <v>6.5269551039839202</v>
      </c>
      <c r="D855" s="116">
        <v>6.09932154948849</v>
      </c>
      <c r="E855" s="116">
        <v>6.3986650376352898</v>
      </c>
      <c r="F855" s="116">
        <v>412.1</v>
      </c>
      <c r="G855">
        <v>6357</v>
      </c>
      <c r="H855" s="116"/>
      <c r="I855" s="116"/>
      <c r="L855" s="170">
        <v>43259</v>
      </c>
      <c r="M855" s="116">
        <v>364.5</v>
      </c>
      <c r="N855" s="116">
        <v>369</v>
      </c>
      <c r="O855" s="116">
        <v>361.5</v>
      </c>
      <c r="P855" s="116">
        <v>369</v>
      </c>
      <c r="Q855" s="116">
        <v>364.5</v>
      </c>
      <c r="R855">
        <v>565011</v>
      </c>
    </row>
    <row r="856" spans="1:18" x14ac:dyDescent="0.25">
      <c r="A856" s="170">
        <v>43263</v>
      </c>
      <c r="B856" s="116">
        <v>6.7787837527423296</v>
      </c>
      <c r="C856" s="116">
        <v>6.7320608273437603</v>
      </c>
      <c r="D856" s="116">
        <v>6.6481179444242899</v>
      </c>
      <c r="E856" s="116">
        <v>6.7051357516903396</v>
      </c>
      <c r="F856" s="116">
        <v>425.05</v>
      </c>
      <c r="G856">
        <v>3360</v>
      </c>
      <c r="H856" s="116"/>
      <c r="I856" s="116"/>
      <c r="L856" s="170">
        <v>43262</v>
      </c>
      <c r="M856" s="116">
        <v>365.6</v>
      </c>
      <c r="N856" s="116">
        <v>373.5</v>
      </c>
      <c r="O856" s="116">
        <v>364</v>
      </c>
      <c r="P856" s="116">
        <v>364.5</v>
      </c>
      <c r="Q856" s="116">
        <v>365.6</v>
      </c>
      <c r="R856">
        <v>594819</v>
      </c>
    </row>
    <row r="857" spans="1:18" x14ac:dyDescent="0.25">
      <c r="A857" s="170">
        <v>43264</v>
      </c>
      <c r="B857" s="116">
        <v>6.9324150667647704</v>
      </c>
      <c r="C857" s="116">
        <v>6.7811594947117504</v>
      </c>
      <c r="D857" s="116">
        <v>6.6401988045262197</v>
      </c>
      <c r="E857" s="116">
        <v>6.6401988045262197</v>
      </c>
      <c r="F857" s="116">
        <v>428.15</v>
      </c>
      <c r="G857">
        <v>2412</v>
      </c>
      <c r="H857" s="116"/>
      <c r="I857" s="116"/>
      <c r="L857" s="170">
        <v>43263</v>
      </c>
      <c r="M857" s="116">
        <v>364.45</v>
      </c>
      <c r="N857" s="116">
        <v>371.35</v>
      </c>
      <c r="O857" s="116">
        <v>361.5</v>
      </c>
      <c r="P857" s="116">
        <v>367.9</v>
      </c>
      <c r="Q857" s="116">
        <v>364.45</v>
      </c>
      <c r="R857">
        <v>389329</v>
      </c>
    </row>
    <row r="858" spans="1:18" x14ac:dyDescent="0.25">
      <c r="A858" s="170">
        <v>43265</v>
      </c>
      <c r="B858" s="116">
        <v>7.0361557994293999</v>
      </c>
      <c r="C858" s="116">
        <v>6.4422203070746402</v>
      </c>
      <c r="D858" s="116">
        <v>6.4422203070746402</v>
      </c>
      <c r="E858" s="116">
        <v>7.0361557994293999</v>
      </c>
      <c r="F858" s="116">
        <v>406.75</v>
      </c>
      <c r="G858">
        <v>11321</v>
      </c>
      <c r="H858" s="116"/>
      <c r="I858" s="116"/>
      <c r="L858" s="170">
        <v>43264</v>
      </c>
      <c r="M858" s="116">
        <v>361.15</v>
      </c>
      <c r="N858" s="116">
        <v>369.45</v>
      </c>
      <c r="O858" s="116">
        <v>358.85</v>
      </c>
      <c r="P858" s="116">
        <v>364</v>
      </c>
      <c r="Q858" s="116">
        <v>361.15</v>
      </c>
      <c r="R858">
        <v>498988</v>
      </c>
    </row>
    <row r="859" spans="1:18" x14ac:dyDescent="0.25">
      <c r="A859" s="170">
        <v>43266</v>
      </c>
      <c r="B859" s="116">
        <v>6.4667696407586304</v>
      </c>
      <c r="C859" s="116">
        <v>6.3075949288075597</v>
      </c>
      <c r="D859" s="116">
        <v>6.1207032272132604</v>
      </c>
      <c r="E859" s="116">
        <v>6.1777210344793199</v>
      </c>
      <c r="F859" s="116">
        <v>398.25</v>
      </c>
      <c r="G859">
        <v>5747</v>
      </c>
      <c r="H859" s="116"/>
      <c r="I859" s="116"/>
      <c r="L859" s="170">
        <v>43265</v>
      </c>
      <c r="M859" s="116">
        <v>359.55</v>
      </c>
      <c r="N859" s="116">
        <v>363.9</v>
      </c>
      <c r="O859" s="116">
        <v>355.6</v>
      </c>
      <c r="P859" s="116">
        <v>362</v>
      </c>
      <c r="Q859" s="116">
        <v>359.55</v>
      </c>
      <c r="R859">
        <v>479061</v>
      </c>
    </row>
    <row r="860" spans="1:18" x14ac:dyDescent="0.25">
      <c r="A860" s="170">
        <v>43269</v>
      </c>
      <c r="B860" s="116">
        <v>6.2711668852764602</v>
      </c>
      <c r="C860" s="116">
        <v>6.0961538935292596</v>
      </c>
      <c r="D860" s="116">
        <v>6.0581420220185596</v>
      </c>
      <c r="E860" s="116">
        <v>6.1769291204895103</v>
      </c>
      <c r="F860" s="116">
        <v>384.9</v>
      </c>
      <c r="G860">
        <v>2534</v>
      </c>
      <c r="H860" s="116"/>
      <c r="I860" s="116"/>
      <c r="L860" s="170">
        <v>43266</v>
      </c>
      <c r="M860" s="116">
        <v>354.7</v>
      </c>
      <c r="N860" s="116">
        <v>369.45</v>
      </c>
      <c r="O860" s="116">
        <v>353.4</v>
      </c>
      <c r="P860" s="116">
        <v>360</v>
      </c>
      <c r="Q860" s="116">
        <v>354.7</v>
      </c>
      <c r="R860">
        <v>856667</v>
      </c>
    </row>
    <row r="861" spans="1:18" x14ac:dyDescent="0.25">
      <c r="A861" s="170">
        <v>43270</v>
      </c>
      <c r="B861" s="116">
        <v>6.1959350562448599</v>
      </c>
      <c r="C861" s="116">
        <v>5.9765748810685002</v>
      </c>
      <c r="D861" s="116">
        <v>5.8918400841592202</v>
      </c>
      <c r="E861" s="116">
        <v>6.0502228821204902</v>
      </c>
      <c r="F861" s="116">
        <v>377.35</v>
      </c>
      <c r="G861">
        <v>1525</v>
      </c>
      <c r="H861" s="116"/>
      <c r="I861" s="116"/>
      <c r="L861" s="170">
        <v>43269</v>
      </c>
      <c r="M861" s="116">
        <v>349.85</v>
      </c>
      <c r="N861" s="116">
        <v>357.8</v>
      </c>
      <c r="O861" s="116">
        <v>349.1</v>
      </c>
      <c r="P861" s="116">
        <v>357.8</v>
      </c>
      <c r="Q861" s="116">
        <v>349.85</v>
      </c>
      <c r="R861">
        <v>665122</v>
      </c>
    </row>
    <row r="862" spans="1:18" x14ac:dyDescent="0.25">
      <c r="A862" s="170">
        <v>43271</v>
      </c>
      <c r="B862" s="116">
        <v>6.0818994417127499</v>
      </c>
      <c r="C862" s="116">
        <v>5.9536093753641204</v>
      </c>
      <c r="D862" s="116">
        <v>5.7801802115965302</v>
      </c>
      <c r="E862" s="116">
        <v>5.9076783639553501</v>
      </c>
      <c r="F862" s="116">
        <v>375.9</v>
      </c>
      <c r="G862">
        <v>3728</v>
      </c>
      <c r="H862" s="116"/>
      <c r="I862" s="116"/>
      <c r="L862" s="170">
        <v>43270</v>
      </c>
      <c r="M862" s="116">
        <v>345.65</v>
      </c>
      <c r="N862" s="116">
        <v>350.9</v>
      </c>
      <c r="O862" s="116">
        <v>341.6</v>
      </c>
      <c r="P862" s="116">
        <v>348</v>
      </c>
      <c r="Q862" s="116">
        <v>345.65</v>
      </c>
      <c r="R862">
        <v>790318</v>
      </c>
    </row>
    <row r="863" spans="1:18" x14ac:dyDescent="0.25">
      <c r="A863" s="170">
        <v>43272</v>
      </c>
      <c r="B863" s="116">
        <v>6.0803156137331396</v>
      </c>
      <c r="C863" s="116">
        <v>5.7556308779125303</v>
      </c>
      <c r="D863" s="116">
        <v>5.7017807266057003</v>
      </c>
      <c r="E863" s="116">
        <v>6.0114190966199796</v>
      </c>
      <c r="F863" s="116">
        <v>363.4</v>
      </c>
      <c r="G863">
        <v>2196</v>
      </c>
      <c r="H863" s="116"/>
      <c r="I863" s="116"/>
      <c r="L863" s="170">
        <v>43271</v>
      </c>
      <c r="M863" s="116">
        <v>343.25</v>
      </c>
      <c r="N863" s="116">
        <v>346.95</v>
      </c>
      <c r="O863" s="116">
        <v>337.6</v>
      </c>
      <c r="P863" s="116">
        <v>342.6</v>
      </c>
      <c r="Q863" s="116">
        <v>343.25</v>
      </c>
      <c r="R863">
        <v>1166685</v>
      </c>
    </row>
    <row r="864" spans="1:18" x14ac:dyDescent="0.25">
      <c r="A864" s="170">
        <v>43273</v>
      </c>
      <c r="B864" s="116">
        <v>5.7968104053824598</v>
      </c>
      <c r="C864" s="116">
        <v>5.7374168561469903</v>
      </c>
      <c r="D864" s="116">
        <v>5.5433979286444304</v>
      </c>
      <c r="E864" s="116">
        <v>5.7017807266057003</v>
      </c>
      <c r="F864" s="116">
        <v>362.25</v>
      </c>
      <c r="G864">
        <v>2308</v>
      </c>
      <c r="H864" s="116"/>
      <c r="I864" s="116"/>
      <c r="L864" s="170">
        <v>43272</v>
      </c>
      <c r="M864" s="116">
        <v>346.7</v>
      </c>
      <c r="N864" s="116">
        <v>351.3</v>
      </c>
      <c r="O864" s="116">
        <v>342.5</v>
      </c>
      <c r="P864" s="116">
        <v>344.9</v>
      </c>
      <c r="Q864" s="116">
        <v>346.7</v>
      </c>
      <c r="R864">
        <v>767810</v>
      </c>
    </row>
    <row r="865" spans="1:18" x14ac:dyDescent="0.25">
      <c r="A865" s="170">
        <v>43276</v>
      </c>
      <c r="B865" s="116">
        <v>5.9852859349563703</v>
      </c>
      <c r="C865" s="116">
        <v>5.5299353908177196</v>
      </c>
      <c r="D865" s="116">
        <v>5.5038022291541102</v>
      </c>
      <c r="E865" s="116">
        <v>5.7176190064018302</v>
      </c>
      <c r="F865" s="116">
        <v>349.15</v>
      </c>
      <c r="G865">
        <v>2981</v>
      </c>
      <c r="H865" s="116"/>
      <c r="I865" s="116"/>
      <c r="L865" s="170">
        <v>43273</v>
      </c>
      <c r="M865" s="116">
        <v>357.1</v>
      </c>
      <c r="N865" s="116">
        <v>358.8</v>
      </c>
      <c r="O865" s="116">
        <v>345.25</v>
      </c>
      <c r="P865" s="116">
        <v>347.95</v>
      </c>
      <c r="Q865" s="116">
        <v>357.1</v>
      </c>
      <c r="R865">
        <v>1291984</v>
      </c>
    </row>
    <row r="866" spans="1:18" x14ac:dyDescent="0.25">
      <c r="A866" s="170">
        <v>43277</v>
      </c>
      <c r="B866" s="116">
        <v>5.8047295452805301</v>
      </c>
      <c r="C866" s="116">
        <v>5.6764394789318997</v>
      </c>
      <c r="D866" s="116">
        <v>5.3153266995801998</v>
      </c>
      <c r="E866" s="116">
        <v>5.5053860571337303</v>
      </c>
      <c r="F866" s="116">
        <v>358.4</v>
      </c>
      <c r="G866">
        <v>5336</v>
      </c>
      <c r="H866" s="116"/>
      <c r="I866" s="116"/>
      <c r="L866" s="170">
        <v>43276</v>
      </c>
      <c r="M866" s="116">
        <v>362.45</v>
      </c>
      <c r="N866" s="116">
        <v>369.5</v>
      </c>
      <c r="O866" s="116">
        <v>352.2</v>
      </c>
      <c r="P866" s="116">
        <v>352.2</v>
      </c>
      <c r="Q866" s="116">
        <v>362.45</v>
      </c>
      <c r="R866">
        <v>1777563</v>
      </c>
    </row>
    <row r="867" spans="1:18" x14ac:dyDescent="0.25">
      <c r="A867" s="170">
        <v>43278</v>
      </c>
      <c r="B867" s="116">
        <v>5.9393549235476097</v>
      </c>
      <c r="C867" s="116">
        <v>5.3929342705812298</v>
      </c>
      <c r="D867" s="116">
        <v>5.3929342705812298</v>
      </c>
      <c r="E867" s="116">
        <v>5.85857969658736</v>
      </c>
      <c r="F867" s="116">
        <v>340.5</v>
      </c>
      <c r="G867">
        <v>7573</v>
      </c>
      <c r="H867" s="116"/>
      <c r="I867" s="116"/>
      <c r="L867" s="170">
        <v>43277</v>
      </c>
      <c r="M867" s="116">
        <v>363.3</v>
      </c>
      <c r="N867" s="116">
        <v>369.9</v>
      </c>
      <c r="O867" s="116">
        <v>360</v>
      </c>
      <c r="P867" s="116">
        <v>362.45</v>
      </c>
      <c r="Q867" s="116">
        <v>363.3</v>
      </c>
      <c r="R867">
        <v>921643</v>
      </c>
    </row>
    <row r="868" spans="1:18" x14ac:dyDescent="0.25">
      <c r="A868" s="170">
        <v>43279</v>
      </c>
      <c r="B868" s="116">
        <v>5.4942992612764403</v>
      </c>
      <c r="C868" s="116">
        <v>5.1973315150990604</v>
      </c>
      <c r="D868" s="116">
        <v>5.1640711275271904</v>
      </c>
      <c r="E868" s="116">
        <v>5.3691768508870403</v>
      </c>
      <c r="F868" s="116">
        <v>328.15</v>
      </c>
      <c r="G868">
        <v>2305</v>
      </c>
      <c r="H868" s="116"/>
      <c r="I868" s="116"/>
      <c r="L868" s="170">
        <v>43278</v>
      </c>
      <c r="M868" s="116">
        <v>351.4</v>
      </c>
      <c r="N868" s="116">
        <v>365.5</v>
      </c>
      <c r="O868" s="116">
        <v>347.25</v>
      </c>
      <c r="P868" s="116">
        <v>363.35</v>
      </c>
      <c r="Q868" s="116">
        <v>351.4</v>
      </c>
      <c r="R868">
        <v>652275</v>
      </c>
    </row>
    <row r="869" spans="1:18" x14ac:dyDescent="0.25">
      <c r="A869" s="170">
        <v>43280</v>
      </c>
      <c r="B869" s="116">
        <v>5.4475763358778604</v>
      </c>
      <c r="C869" s="116">
        <v>5.3612577109889701</v>
      </c>
      <c r="D869" s="116">
        <v>5.1474409337412599</v>
      </c>
      <c r="E869" s="116">
        <v>5.2741471721102702</v>
      </c>
      <c r="F869" s="116">
        <v>338.5</v>
      </c>
      <c r="G869">
        <v>2119</v>
      </c>
      <c r="H869" s="116"/>
      <c r="I869" s="116"/>
      <c r="L869" s="170">
        <v>43279</v>
      </c>
      <c r="M869" s="116">
        <v>334.9</v>
      </c>
      <c r="N869" s="116">
        <v>350</v>
      </c>
      <c r="O869" s="116">
        <v>333.1</v>
      </c>
      <c r="P869" s="116">
        <v>350</v>
      </c>
      <c r="Q869" s="116">
        <v>334.9</v>
      </c>
      <c r="R869">
        <v>1006162</v>
      </c>
    </row>
    <row r="870" spans="1:18" x14ac:dyDescent="0.25">
      <c r="A870" s="170">
        <v>43283</v>
      </c>
      <c r="B870" s="116">
        <v>5.4642065296637998</v>
      </c>
      <c r="C870" s="116">
        <v>5.3192862695292398</v>
      </c>
      <c r="D870" s="116">
        <v>5.3058237317025299</v>
      </c>
      <c r="E870" s="116">
        <v>5.3691768508870403</v>
      </c>
      <c r="F870" s="116">
        <v>335.85</v>
      </c>
      <c r="G870">
        <v>1395</v>
      </c>
      <c r="H870" s="116"/>
      <c r="I870" s="116"/>
      <c r="L870" s="170">
        <v>43280</v>
      </c>
      <c r="M870" s="116">
        <v>339.95</v>
      </c>
      <c r="N870" s="116">
        <v>344.8</v>
      </c>
      <c r="O870" s="116">
        <v>335.65</v>
      </c>
      <c r="P870" s="116">
        <v>340.3</v>
      </c>
      <c r="Q870" s="116">
        <v>339.95</v>
      </c>
      <c r="R870">
        <v>575705</v>
      </c>
    </row>
    <row r="871" spans="1:18" x14ac:dyDescent="0.25">
      <c r="A871" s="170">
        <v>43284</v>
      </c>
      <c r="B871" s="116">
        <v>5.3802636467443197</v>
      </c>
      <c r="C871" s="116">
        <v>5.25672506433453</v>
      </c>
      <c r="D871" s="116">
        <v>5.1490247617208702</v>
      </c>
      <c r="E871" s="116">
        <v>5.3802636467443197</v>
      </c>
      <c r="F871" s="116">
        <v>331.9</v>
      </c>
      <c r="G871">
        <v>3151</v>
      </c>
      <c r="H871" s="116"/>
      <c r="I871" s="116"/>
      <c r="L871" s="170">
        <v>43283</v>
      </c>
      <c r="M871" s="116">
        <v>337.85</v>
      </c>
      <c r="N871" s="116">
        <v>345.45</v>
      </c>
      <c r="O871" s="116">
        <v>327.7</v>
      </c>
      <c r="P871" s="116">
        <v>340.6</v>
      </c>
      <c r="Q871" s="116">
        <v>337.85</v>
      </c>
      <c r="R871">
        <v>951548</v>
      </c>
    </row>
    <row r="872" spans="1:18" x14ac:dyDescent="0.25">
      <c r="A872" s="170">
        <v>43285</v>
      </c>
      <c r="B872" s="116">
        <v>5.3216620114986499</v>
      </c>
      <c r="C872" s="116">
        <v>5.3034479897331099</v>
      </c>
      <c r="D872" s="116">
        <v>5.0840878145567503</v>
      </c>
      <c r="E872" s="116">
        <v>5.2741471721102702</v>
      </c>
      <c r="F872" s="116">
        <v>334.85</v>
      </c>
      <c r="G872">
        <v>3279</v>
      </c>
      <c r="H872" s="116"/>
      <c r="I872" s="116"/>
      <c r="L872" s="170">
        <v>43284</v>
      </c>
      <c r="M872" s="116">
        <v>342.25</v>
      </c>
      <c r="N872" s="116">
        <v>344.7</v>
      </c>
      <c r="O872" s="116">
        <v>334.6</v>
      </c>
      <c r="P872" s="116">
        <v>339.7</v>
      </c>
      <c r="Q872" s="116">
        <v>342.25</v>
      </c>
      <c r="R872">
        <v>566587</v>
      </c>
    </row>
    <row r="873" spans="1:18" x14ac:dyDescent="0.25">
      <c r="A873" s="170">
        <v>43286</v>
      </c>
      <c r="B873" s="116">
        <v>5.5196405089502401</v>
      </c>
      <c r="C873" s="116">
        <v>5.2329676446403397</v>
      </c>
      <c r="D873" s="116">
        <v>5.1791174933335098</v>
      </c>
      <c r="E873" s="116">
        <v>5.1791174933335098</v>
      </c>
      <c r="F873" s="116">
        <v>330.4</v>
      </c>
      <c r="G873">
        <v>2674</v>
      </c>
      <c r="H873" s="116"/>
      <c r="I873" s="116"/>
      <c r="L873" s="170">
        <v>43285</v>
      </c>
      <c r="M873" s="116">
        <v>335.05</v>
      </c>
      <c r="N873" s="116">
        <v>342.05</v>
      </c>
      <c r="O873" s="116">
        <v>334.25</v>
      </c>
      <c r="P873" s="116">
        <v>341.8</v>
      </c>
      <c r="Q873" s="116">
        <v>335.05</v>
      </c>
      <c r="R873">
        <v>519879</v>
      </c>
    </row>
    <row r="874" spans="1:18" x14ac:dyDescent="0.25">
      <c r="A874" s="170">
        <v>43287</v>
      </c>
      <c r="B874" s="116">
        <v>5.3375002912947798</v>
      </c>
      <c r="C874" s="116">
        <v>5.2297999886811199</v>
      </c>
      <c r="D874" s="116">
        <v>5.0444921150664301</v>
      </c>
      <c r="E874" s="116">
        <v>5.2266323327218904</v>
      </c>
      <c r="F874" s="116">
        <v>330.2</v>
      </c>
      <c r="G874">
        <v>3472</v>
      </c>
      <c r="H874" s="116"/>
      <c r="I874" s="116"/>
      <c r="L874" s="170">
        <v>43286</v>
      </c>
      <c r="M874" s="116">
        <v>334.8</v>
      </c>
      <c r="N874" s="116">
        <v>339.55</v>
      </c>
      <c r="O874" s="116">
        <v>331.7</v>
      </c>
      <c r="P874" s="116">
        <v>335.25</v>
      </c>
      <c r="Q874" s="116">
        <v>334.8</v>
      </c>
      <c r="R874">
        <v>432791</v>
      </c>
    </row>
    <row r="875" spans="1:18" x14ac:dyDescent="0.25">
      <c r="A875" s="170">
        <v>43290</v>
      </c>
      <c r="B875" s="116">
        <v>5.4087725503773498</v>
      </c>
      <c r="C875" s="116">
        <v>5.3470032591724603</v>
      </c>
      <c r="D875" s="116">
        <v>5.2448463544874402</v>
      </c>
      <c r="E875" s="116">
        <v>5.3770959907850999</v>
      </c>
      <c r="F875" s="116">
        <v>337.6</v>
      </c>
      <c r="G875">
        <v>1122</v>
      </c>
      <c r="H875" s="116"/>
      <c r="I875" s="116"/>
      <c r="L875" s="170">
        <v>43287</v>
      </c>
      <c r="M875" s="116">
        <v>339.9</v>
      </c>
      <c r="N875" s="116">
        <v>344.5</v>
      </c>
      <c r="O875" s="116">
        <v>333.1</v>
      </c>
      <c r="P875" s="116">
        <v>335</v>
      </c>
      <c r="Q875" s="116">
        <v>339.9</v>
      </c>
      <c r="R875">
        <v>558300</v>
      </c>
    </row>
    <row r="876" spans="1:18" x14ac:dyDescent="0.25">
      <c r="A876" s="170">
        <v>43291</v>
      </c>
      <c r="B876" s="116">
        <v>5.5909127680328101</v>
      </c>
      <c r="C876" s="116">
        <v>5.3794717327545198</v>
      </c>
      <c r="D876" s="116">
        <v>5.2448463544874402</v>
      </c>
      <c r="E876" s="116">
        <v>5.4642065296637998</v>
      </c>
      <c r="F876" s="116">
        <v>339.65</v>
      </c>
      <c r="G876">
        <v>2427</v>
      </c>
      <c r="H876" s="116"/>
      <c r="I876" s="116"/>
      <c r="L876" s="170">
        <v>43290</v>
      </c>
      <c r="M876" s="116">
        <v>344.75</v>
      </c>
      <c r="N876" s="116">
        <v>348.3</v>
      </c>
      <c r="O876" s="116">
        <v>340.55</v>
      </c>
      <c r="P876" s="116">
        <v>342.35</v>
      </c>
      <c r="Q876" s="116">
        <v>344.75</v>
      </c>
      <c r="R876">
        <v>496501</v>
      </c>
    </row>
    <row r="877" spans="1:18" x14ac:dyDescent="0.25">
      <c r="A877" s="170">
        <v>43292</v>
      </c>
      <c r="B877" s="116">
        <v>5.4721256695618603</v>
      </c>
      <c r="C877" s="116">
        <v>5.2123778809053798</v>
      </c>
      <c r="D877" s="116">
        <v>5.1474409337412599</v>
      </c>
      <c r="E877" s="116">
        <v>5.3850151306831604</v>
      </c>
      <c r="F877" s="116">
        <v>329.1</v>
      </c>
      <c r="G877">
        <v>2879</v>
      </c>
      <c r="H877" s="116"/>
      <c r="I877" s="116"/>
      <c r="L877" s="170">
        <v>43291</v>
      </c>
      <c r="M877" s="116">
        <v>344.95</v>
      </c>
      <c r="N877" s="116">
        <v>349.2</v>
      </c>
      <c r="O877" s="116">
        <v>343.35</v>
      </c>
      <c r="P877" s="116">
        <v>345.9</v>
      </c>
      <c r="Q877" s="116">
        <v>344.95</v>
      </c>
      <c r="R877">
        <v>312399</v>
      </c>
    </row>
    <row r="878" spans="1:18" x14ac:dyDescent="0.25">
      <c r="A878" s="170">
        <v>43293</v>
      </c>
      <c r="B878" s="116">
        <v>5.3850151306831604</v>
      </c>
      <c r="C878" s="116">
        <v>5.1062614062713303</v>
      </c>
      <c r="D878" s="116">
        <v>4.9890581357799899</v>
      </c>
      <c r="E878" s="116">
        <v>5.1949557731296396</v>
      </c>
      <c r="F878" s="116">
        <v>322.39999999999998</v>
      </c>
      <c r="G878">
        <v>2565</v>
      </c>
      <c r="H878" s="116"/>
      <c r="I878" s="116"/>
      <c r="L878" s="170">
        <v>43292</v>
      </c>
      <c r="M878" s="116">
        <v>336.15</v>
      </c>
      <c r="N878" s="116">
        <v>346.95</v>
      </c>
      <c r="O878" s="116">
        <v>335.1</v>
      </c>
      <c r="P878" s="116">
        <v>345.85</v>
      </c>
      <c r="Q878" s="116">
        <v>336.15</v>
      </c>
      <c r="R878">
        <v>447233</v>
      </c>
    </row>
    <row r="879" spans="1:18" x14ac:dyDescent="0.25">
      <c r="A879" s="170">
        <v>43294</v>
      </c>
      <c r="B879" s="116">
        <v>5.18703663323158</v>
      </c>
      <c r="C879" s="116">
        <v>5.0690414487504301</v>
      </c>
      <c r="D879" s="116">
        <v>4.9969772756780504</v>
      </c>
      <c r="E879" s="116">
        <v>5.1474409337412599</v>
      </c>
      <c r="F879" s="116">
        <v>320.05</v>
      </c>
      <c r="G879">
        <v>1283</v>
      </c>
      <c r="H879" s="116"/>
      <c r="I879" s="116"/>
      <c r="L879" s="170">
        <v>43293</v>
      </c>
      <c r="M879" s="116">
        <v>332.55</v>
      </c>
      <c r="N879" s="116">
        <v>344</v>
      </c>
      <c r="O879" s="116">
        <v>331.15</v>
      </c>
      <c r="P879" s="116">
        <v>339.3</v>
      </c>
      <c r="Q879" s="116">
        <v>332.55</v>
      </c>
      <c r="R879">
        <v>622204</v>
      </c>
    </row>
    <row r="880" spans="1:18" x14ac:dyDescent="0.25">
      <c r="A880" s="170">
        <v>43297</v>
      </c>
      <c r="B880" s="116">
        <v>5.1775336653539004</v>
      </c>
      <c r="C880" s="116">
        <v>4.8441378756454299</v>
      </c>
      <c r="D880" s="116">
        <v>4.8211723699410403</v>
      </c>
      <c r="E880" s="116">
        <v>5.1775336653539004</v>
      </c>
      <c r="F880" s="116">
        <v>305.85000000000002</v>
      </c>
      <c r="G880">
        <v>2811</v>
      </c>
      <c r="H880" s="116"/>
      <c r="I880" s="116"/>
      <c r="L880" s="170">
        <v>43294</v>
      </c>
      <c r="M880" s="116">
        <v>330</v>
      </c>
      <c r="N880" s="116">
        <v>334.35</v>
      </c>
      <c r="O880" s="116">
        <v>325</v>
      </c>
      <c r="P880" s="116">
        <v>333</v>
      </c>
      <c r="Q880" s="116">
        <v>330</v>
      </c>
      <c r="R880">
        <v>405675</v>
      </c>
    </row>
    <row r="881" spans="1:18" x14ac:dyDescent="0.25">
      <c r="A881" s="170">
        <v>43298</v>
      </c>
      <c r="B881" s="116">
        <v>5.0682495347606196</v>
      </c>
      <c r="C881" s="116">
        <v>4.9581734901775398</v>
      </c>
      <c r="D881" s="116">
        <v>4.7514839388380796</v>
      </c>
      <c r="E881" s="116">
        <v>4.7514839388380796</v>
      </c>
      <c r="F881" s="116">
        <v>313.05</v>
      </c>
      <c r="G881">
        <v>2627</v>
      </c>
      <c r="H881" s="116"/>
      <c r="I881" s="116"/>
      <c r="L881" s="170">
        <v>43297</v>
      </c>
      <c r="M881" s="116">
        <v>324.2</v>
      </c>
      <c r="N881" s="116">
        <v>338</v>
      </c>
      <c r="O881" s="116">
        <v>320</v>
      </c>
      <c r="P881" s="116">
        <v>331</v>
      </c>
      <c r="Q881" s="116">
        <v>324.2</v>
      </c>
      <c r="R881">
        <v>903578</v>
      </c>
    </row>
    <row r="882" spans="1:18" x14ac:dyDescent="0.25">
      <c r="A882" s="170">
        <v>43299</v>
      </c>
      <c r="B882" s="116">
        <v>5.0033125875964997</v>
      </c>
      <c r="C882" s="116">
        <v>4.7134720673273804</v>
      </c>
      <c r="D882" s="116">
        <v>4.71030441136815</v>
      </c>
      <c r="E882" s="116">
        <v>4.8306753378187199</v>
      </c>
      <c r="F882" s="116">
        <v>297.60000000000002</v>
      </c>
      <c r="G882">
        <v>3119</v>
      </c>
      <c r="H882" s="116"/>
      <c r="I882" s="116"/>
      <c r="L882" s="170">
        <v>43298</v>
      </c>
      <c r="M882" s="116">
        <v>331.15</v>
      </c>
      <c r="N882" s="116">
        <v>335</v>
      </c>
      <c r="O882" s="116">
        <v>321</v>
      </c>
      <c r="P882" s="116">
        <v>323.3</v>
      </c>
      <c r="Q882" s="116">
        <v>331.15</v>
      </c>
      <c r="R882">
        <v>629049</v>
      </c>
    </row>
    <row r="883" spans="1:18" x14ac:dyDescent="0.25">
      <c r="A883" s="170">
        <v>43300</v>
      </c>
      <c r="B883" s="116">
        <v>4.7198073792458297</v>
      </c>
      <c r="C883" s="116">
        <v>4.4782736123548901</v>
      </c>
      <c r="D883" s="116">
        <v>4.4782736123548901</v>
      </c>
      <c r="E883" s="116">
        <v>4.7198073792458297</v>
      </c>
      <c r="F883" s="116">
        <v>282.75</v>
      </c>
      <c r="G883">
        <v>4330</v>
      </c>
      <c r="H883" s="116"/>
      <c r="I883" s="116"/>
      <c r="L883" s="170">
        <v>43299</v>
      </c>
      <c r="M883" s="116">
        <v>329.65</v>
      </c>
      <c r="N883" s="116">
        <v>336.8</v>
      </c>
      <c r="O883" s="116">
        <v>323.75</v>
      </c>
      <c r="P883" s="116">
        <v>332.55</v>
      </c>
      <c r="Q883" s="116">
        <v>329.65</v>
      </c>
      <c r="R883">
        <v>435531</v>
      </c>
    </row>
    <row r="884" spans="1:18" x14ac:dyDescent="0.25">
      <c r="A884" s="170">
        <v>43301</v>
      </c>
      <c r="B884" s="116">
        <v>4.55825692532534</v>
      </c>
      <c r="C884" s="116">
        <v>4.3388967501489804</v>
      </c>
      <c r="D884" s="116">
        <v>4.2549538672295002</v>
      </c>
      <c r="E884" s="116">
        <v>4.35552694393491</v>
      </c>
      <c r="F884" s="116">
        <v>273.95</v>
      </c>
      <c r="G884">
        <v>10273</v>
      </c>
      <c r="H884" s="116"/>
      <c r="I884" s="116"/>
      <c r="L884" s="170">
        <v>43300</v>
      </c>
      <c r="M884" s="116">
        <v>328.05</v>
      </c>
      <c r="N884" s="116">
        <v>336.3</v>
      </c>
      <c r="O884" s="116">
        <v>324.7</v>
      </c>
      <c r="P884" s="116">
        <v>330.7</v>
      </c>
      <c r="Q884" s="116">
        <v>328.05</v>
      </c>
      <c r="R884">
        <v>345136</v>
      </c>
    </row>
    <row r="885" spans="1:18" x14ac:dyDescent="0.25">
      <c r="A885" s="170">
        <v>43304</v>
      </c>
      <c r="B885" s="116">
        <v>4.5550892693661096</v>
      </c>
      <c r="C885" s="116">
        <v>4.5550892693661096</v>
      </c>
      <c r="D885" s="116">
        <v>4.1654675863813901</v>
      </c>
      <c r="E885" s="116">
        <v>4.3088040185363399</v>
      </c>
      <c r="F885" s="116">
        <v>287.60000000000002</v>
      </c>
      <c r="G885">
        <v>5955</v>
      </c>
      <c r="H885" s="116"/>
      <c r="I885" s="116"/>
      <c r="L885" s="170">
        <v>43301</v>
      </c>
      <c r="M885" s="116">
        <v>325.8</v>
      </c>
      <c r="N885" s="116">
        <v>330.5</v>
      </c>
      <c r="O885" s="116">
        <v>324.39999999999998</v>
      </c>
      <c r="P885" s="116">
        <v>328.5</v>
      </c>
      <c r="Q885" s="116">
        <v>325.8</v>
      </c>
      <c r="R885">
        <v>342316</v>
      </c>
    </row>
    <row r="886" spans="1:18" x14ac:dyDescent="0.25">
      <c r="A886" s="170">
        <v>43305</v>
      </c>
      <c r="B886" s="116">
        <v>4.7823685844405297</v>
      </c>
      <c r="C886" s="116">
        <v>4.7823685844405297</v>
      </c>
      <c r="D886" s="116">
        <v>4.6928823035924196</v>
      </c>
      <c r="E886" s="116">
        <v>4.7198073792458297</v>
      </c>
      <c r="F886" s="116">
        <v>301.95</v>
      </c>
      <c r="G886">
        <v>3811</v>
      </c>
      <c r="H886" s="116"/>
      <c r="I886" s="116"/>
      <c r="L886" s="170">
        <v>43304</v>
      </c>
      <c r="M886" s="116">
        <v>330.9</v>
      </c>
      <c r="N886" s="116">
        <v>332</v>
      </c>
      <c r="O886" s="116">
        <v>320.10000000000002</v>
      </c>
      <c r="P886" s="116">
        <v>328</v>
      </c>
      <c r="Q886" s="116">
        <v>330.9</v>
      </c>
      <c r="R886">
        <v>531124</v>
      </c>
    </row>
    <row r="887" spans="1:18" x14ac:dyDescent="0.25">
      <c r="A887" s="170">
        <v>43306</v>
      </c>
      <c r="B887" s="116">
        <v>5.0207346953722398</v>
      </c>
      <c r="C887" s="116">
        <v>5.0207346953722398</v>
      </c>
      <c r="D887" s="116">
        <v>4.8465136176148498</v>
      </c>
      <c r="E887" s="116">
        <v>4.8465136176148498</v>
      </c>
      <c r="F887" s="116">
        <v>317</v>
      </c>
      <c r="G887">
        <v>6024</v>
      </c>
      <c r="H887" s="116"/>
      <c r="I887" s="116"/>
      <c r="L887" s="170">
        <v>43305</v>
      </c>
      <c r="M887" s="116">
        <v>345.3</v>
      </c>
      <c r="N887" s="116">
        <v>348</v>
      </c>
      <c r="O887" s="116">
        <v>328.35</v>
      </c>
      <c r="P887" s="116">
        <v>331.5</v>
      </c>
      <c r="Q887" s="116">
        <v>345.3</v>
      </c>
      <c r="R887">
        <v>801325</v>
      </c>
    </row>
    <row r="888" spans="1:18" x14ac:dyDescent="0.25">
      <c r="A888" s="170">
        <v>43307</v>
      </c>
      <c r="B888" s="116">
        <v>5.2717714301408503</v>
      </c>
      <c r="C888" s="116">
        <v>5.2717714301408503</v>
      </c>
      <c r="D888" s="116">
        <v>5.2282161607015096</v>
      </c>
      <c r="E888" s="116">
        <v>5.2717714301408503</v>
      </c>
      <c r="F888" s="116">
        <v>332.85</v>
      </c>
      <c r="G888">
        <v>3037</v>
      </c>
      <c r="H888" s="116"/>
      <c r="I888" s="116"/>
      <c r="L888" s="170">
        <v>43306</v>
      </c>
      <c r="M888" s="116">
        <v>355.7</v>
      </c>
      <c r="N888" s="116">
        <v>360</v>
      </c>
      <c r="O888" s="116">
        <v>345.3</v>
      </c>
      <c r="P888" s="116">
        <v>345.3</v>
      </c>
      <c r="Q888" s="116">
        <v>355.7</v>
      </c>
      <c r="R888">
        <v>975818</v>
      </c>
    </row>
    <row r="889" spans="1:18" x14ac:dyDescent="0.25">
      <c r="A889" s="170">
        <v>43308</v>
      </c>
      <c r="B889" s="116">
        <v>5.5346868747565603</v>
      </c>
      <c r="C889" s="116">
        <v>5.00885598552515</v>
      </c>
      <c r="D889" s="116">
        <v>5.00885598552515</v>
      </c>
      <c r="E889" s="116">
        <v>5.5346868747565603</v>
      </c>
      <c r="F889" s="116">
        <v>316.25</v>
      </c>
      <c r="G889">
        <v>47411</v>
      </c>
      <c r="H889" s="116"/>
      <c r="I889" s="116"/>
      <c r="L889" s="170">
        <v>43307</v>
      </c>
      <c r="M889" s="116">
        <v>352.7</v>
      </c>
      <c r="N889" s="116">
        <v>360.45</v>
      </c>
      <c r="O889" s="116">
        <v>349.4</v>
      </c>
      <c r="P889" s="116">
        <v>360</v>
      </c>
      <c r="Q889" s="116">
        <v>352.7</v>
      </c>
      <c r="R889">
        <v>773683</v>
      </c>
    </row>
    <row r="890" spans="1:18" x14ac:dyDescent="0.25">
      <c r="A890" s="170">
        <v>43311</v>
      </c>
      <c r="B890" s="116">
        <v>4.8314672518085304</v>
      </c>
      <c r="C890" s="116">
        <v>4.7586111647463403</v>
      </c>
      <c r="D890" s="116">
        <v>4.7586111647463403</v>
      </c>
      <c r="E890" s="116">
        <v>4.81721279999201</v>
      </c>
      <c r="F890" s="116">
        <v>300.45</v>
      </c>
      <c r="G890">
        <v>12777</v>
      </c>
      <c r="H890" s="116"/>
      <c r="I890" s="116"/>
      <c r="L890" s="170">
        <v>43308</v>
      </c>
      <c r="M890" s="116">
        <v>369.15</v>
      </c>
      <c r="N890" s="116">
        <v>371.95</v>
      </c>
      <c r="O890" s="116">
        <v>354.8</v>
      </c>
      <c r="P890" s="116">
        <v>354.8</v>
      </c>
      <c r="Q890" s="116">
        <v>369.15</v>
      </c>
      <c r="R890">
        <v>1288015</v>
      </c>
    </row>
    <row r="891" spans="1:18" x14ac:dyDescent="0.25">
      <c r="A891" s="170">
        <v>43312</v>
      </c>
      <c r="B891" s="116">
        <v>4.9961853616882497</v>
      </c>
      <c r="C891" s="116">
        <v>4.9375837264425799</v>
      </c>
      <c r="D891" s="116">
        <v>4.6263615284486796</v>
      </c>
      <c r="E891" s="116">
        <v>4.8924446290236103</v>
      </c>
      <c r="F891" s="116">
        <v>311.75</v>
      </c>
      <c r="G891">
        <v>5416</v>
      </c>
      <c r="H891" s="116"/>
      <c r="I891" s="116"/>
      <c r="L891" s="170">
        <v>43311</v>
      </c>
      <c r="M891" s="116">
        <v>363.65</v>
      </c>
      <c r="N891" s="116">
        <v>377</v>
      </c>
      <c r="O891" s="116">
        <v>355.5</v>
      </c>
      <c r="P891" s="116">
        <v>369.5</v>
      </c>
      <c r="Q891" s="116">
        <v>363.65</v>
      </c>
      <c r="R891">
        <v>1940010</v>
      </c>
    </row>
    <row r="892" spans="1:18" x14ac:dyDescent="0.25">
      <c r="A892" s="170">
        <v>43313</v>
      </c>
      <c r="B892" s="116">
        <v>4.8781901772070997</v>
      </c>
      <c r="C892" s="116">
        <v>4.71426398131719</v>
      </c>
      <c r="D892" s="116">
        <v>4.6912984756127996</v>
      </c>
      <c r="E892" s="116">
        <v>4.8781901772070997</v>
      </c>
      <c r="F892" s="116">
        <v>297.64999999999998</v>
      </c>
      <c r="G892">
        <v>8697</v>
      </c>
      <c r="H892" s="116"/>
      <c r="I892" s="116"/>
      <c r="L892" s="170">
        <v>43312</v>
      </c>
      <c r="M892" s="116">
        <v>334.65</v>
      </c>
      <c r="N892" s="116">
        <v>358</v>
      </c>
      <c r="O892" s="116">
        <v>328.9</v>
      </c>
      <c r="P892" s="116">
        <v>352</v>
      </c>
      <c r="Q892" s="116">
        <v>334.65</v>
      </c>
      <c r="R892">
        <v>3877856</v>
      </c>
    </row>
    <row r="893" spans="1:18" x14ac:dyDescent="0.25">
      <c r="A893" s="170">
        <v>43314</v>
      </c>
      <c r="B893" s="116">
        <v>4.8465136176148498</v>
      </c>
      <c r="C893" s="116">
        <v>4.7760332725220804</v>
      </c>
      <c r="D893" s="116">
        <v>4.4822331823039301</v>
      </c>
      <c r="E893" s="116">
        <v>4.5851820009787501</v>
      </c>
      <c r="F893" s="116">
        <v>301.55</v>
      </c>
      <c r="G893">
        <v>4633</v>
      </c>
      <c r="H893" s="116"/>
      <c r="I893" s="116"/>
      <c r="L893" s="170">
        <v>43313</v>
      </c>
      <c r="M893" s="116">
        <v>331.95</v>
      </c>
      <c r="N893" s="116">
        <v>336.9</v>
      </c>
      <c r="O893" s="116">
        <v>329.15</v>
      </c>
      <c r="P893" s="116">
        <v>334</v>
      </c>
      <c r="Q893" s="116">
        <v>331.95</v>
      </c>
      <c r="R893">
        <v>867516</v>
      </c>
    </row>
    <row r="894" spans="1:18" x14ac:dyDescent="0.25">
      <c r="A894" s="170">
        <v>43315</v>
      </c>
      <c r="B894" s="116">
        <v>5.0143993834537897</v>
      </c>
      <c r="C894" s="116">
        <v>4.8409702196862003</v>
      </c>
      <c r="D894" s="116">
        <v>4.7673222186342104</v>
      </c>
      <c r="E894" s="116">
        <v>5.0143993834537897</v>
      </c>
      <c r="F894" s="116">
        <v>305.64999999999998</v>
      </c>
      <c r="G894">
        <v>15816</v>
      </c>
      <c r="H894" s="116"/>
      <c r="I894" s="116"/>
      <c r="L894" s="170">
        <v>43314</v>
      </c>
      <c r="M894" s="116">
        <v>332.05</v>
      </c>
      <c r="N894" s="116">
        <v>336.35</v>
      </c>
      <c r="O894" s="116">
        <v>329.7</v>
      </c>
      <c r="P894" s="116">
        <v>331</v>
      </c>
      <c r="Q894" s="116">
        <v>332.05</v>
      </c>
      <c r="R894">
        <v>552662</v>
      </c>
    </row>
    <row r="895" spans="1:18" x14ac:dyDescent="0.25">
      <c r="A895" s="170">
        <v>43318</v>
      </c>
      <c r="B895" s="116">
        <v>4.9003637689216797</v>
      </c>
      <c r="C895" s="116">
        <v>4.8195885419614299</v>
      </c>
      <c r="D895" s="116">
        <v>4.8164208860022004</v>
      </c>
      <c r="E895" s="116">
        <v>4.8623518974109698</v>
      </c>
      <c r="F895" s="116">
        <v>304.3</v>
      </c>
      <c r="G895">
        <v>2016</v>
      </c>
      <c r="H895" s="116"/>
      <c r="I895" s="116"/>
      <c r="L895" s="170">
        <v>43315</v>
      </c>
      <c r="M895" s="116">
        <v>335.5</v>
      </c>
      <c r="N895" s="116">
        <v>341</v>
      </c>
      <c r="O895" s="116">
        <v>333.45</v>
      </c>
      <c r="P895" s="116">
        <v>333.45</v>
      </c>
      <c r="Q895" s="116">
        <v>335.5</v>
      </c>
      <c r="R895">
        <v>744285</v>
      </c>
    </row>
    <row r="896" spans="1:18" x14ac:dyDescent="0.25">
      <c r="A896" s="170">
        <v>43319</v>
      </c>
      <c r="B896" s="116">
        <v>4.8623518974109698</v>
      </c>
      <c r="C896" s="116">
        <v>4.8441378756454299</v>
      </c>
      <c r="D896" s="116">
        <v>4.7689060466138198</v>
      </c>
      <c r="E896" s="116">
        <v>4.8306753378187199</v>
      </c>
      <c r="F896" s="116">
        <v>305.85000000000002</v>
      </c>
      <c r="G896">
        <v>2397</v>
      </c>
      <c r="H896" s="116"/>
      <c r="I896" s="116"/>
      <c r="L896" s="170">
        <v>43318</v>
      </c>
      <c r="M896" s="116">
        <v>333.05</v>
      </c>
      <c r="N896" s="116">
        <v>342.9</v>
      </c>
      <c r="O896" s="116">
        <v>331.5</v>
      </c>
      <c r="P896" s="116">
        <v>338</v>
      </c>
      <c r="Q896" s="116">
        <v>333.05</v>
      </c>
      <c r="R896">
        <v>825602</v>
      </c>
    </row>
    <row r="897" spans="1:18" x14ac:dyDescent="0.25">
      <c r="A897" s="170">
        <v>43320</v>
      </c>
      <c r="B897" s="116">
        <v>5.1474409337412599</v>
      </c>
      <c r="C897" s="116">
        <v>4.8536408435230998</v>
      </c>
      <c r="D897" s="116">
        <v>4.8306753378187199</v>
      </c>
      <c r="E897" s="116">
        <v>5.1379379658635802</v>
      </c>
      <c r="F897" s="116">
        <v>306.45</v>
      </c>
      <c r="G897">
        <v>1710</v>
      </c>
      <c r="H897" s="116"/>
      <c r="I897" s="116"/>
      <c r="L897" s="170">
        <v>43319</v>
      </c>
      <c r="M897" s="116">
        <v>330.1</v>
      </c>
      <c r="N897" s="116">
        <v>335.5</v>
      </c>
      <c r="O897" s="116">
        <v>328.3</v>
      </c>
      <c r="P897" s="116">
        <v>334.05</v>
      </c>
      <c r="Q897" s="116">
        <v>330.1</v>
      </c>
      <c r="R897">
        <v>509705</v>
      </c>
    </row>
    <row r="898" spans="1:18" x14ac:dyDescent="0.25">
      <c r="A898" s="170">
        <v>43321</v>
      </c>
      <c r="B898" s="116">
        <v>5.02707000729069</v>
      </c>
      <c r="C898" s="116">
        <v>4.8409702196862003</v>
      </c>
      <c r="D898" s="116">
        <v>4.8306753378187199</v>
      </c>
      <c r="E898" s="116">
        <v>5.02707000729069</v>
      </c>
      <c r="F898" s="116">
        <v>305.64999999999998</v>
      </c>
      <c r="G898">
        <v>3907</v>
      </c>
      <c r="H898" s="116"/>
      <c r="I898" s="116"/>
      <c r="L898" s="170">
        <v>43320</v>
      </c>
      <c r="M898" s="116">
        <v>326.45</v>
      </c>
      <c r="N898" s="116">
        <v>333</v>
      </c>
      <c r="O898" s="116">
        <v>325.14999999999998</v>
      </c>
      <c r="P898" s="116">
        <v>333</v>
      </c>
      <c r="Q898" s="116">
        <v>326.45</v>
      </c>
      <c r="R898">
        <v>541478</v>
      </c>
    </row>
    <row r="899" spans="1:18" x14ac:dyDescent="0.25">
      <c r="A899" s="170">
        <v>43322</v>
      </c>
      <c r="B899" s="116">
        <v>4.96450880209599</v>
      </c>
      <c r="C899" s="116">
        <v>4.8599761554415499</v>
      </c>
      <c r="D899" s="116">
        <v>4.8005826062060803</v>
      </c>
      <c r="E899" s="116">
        <v>4.8005826062060803</v>
      </c>
      <c r="F899" s="116">
        <v>306.85000000000002</v>
      </c>
      <c r="G899">
        <v>1106</v>
      </c>
      <c r="H899" s="116"/>
      <c r="I899" s="116"/>
      <c r="L899" s="170">
        <v>43321</v>
      </c>
      <c r="M899" s="116">
        <v>326.25</v>
      </c>
      <c r="N899" s="116">
        <v>332.15</v>
      </c>
      <c r="O899" s="116">
        <v>325</v>
      </c>
      <c r="P899" s="116">
        <v>328.3</v>
      </c>
      <c r="Q899" s="116">
        <v>326.25</v>
      </c>
      <c r="R899">
        <v>564901</v>
      </c>
    </row>
    <row r="900" spans="1:18" x14ac:dyDescent="0.25">
      <c r="A900" s="170">
        <v>43325</v>
      </c>
      <c r="B900" s="116">
        <v>4.8861093171051602</v>
      </c>
      <c r="C900" s="116">
        <v>4.8298834238289103</v>
      </c>
      <c r="D900" s="116">
        <v>4.7673222186342104</v>
      </c>
      <c r="E900" s="116">
        <v>4.8781901772070997</v>
      </c>
      <c r="F900" s="116">
        <v>304.95</v>
      </c>
      <c r="G900">
        <v>6438</v>
      </c>
      <c r="H900" s="116"/>
      <c r="I900" s="116"/>
      <c r="L900" s="170">
        <v>43322</v>
      </c>
      <c r="M900" s="116">
        <v>320.25</v>
      </c>
      <c r="N900" s="116">
        <v>328.65</v>
      </c>
      <c r="O900" s="116">
        <v>318</v>
      </c>
      <c r="P900" s="116">
        <v>328</v>
      </c>
      <c r="Q900" s="116">
        <v>320.25</v>
      </c>
      <c r="R900">
        <v>625441</v>
      </c>
    </row>
    <row r="901" spans="1:18" x14ac:dyDescent="0.25">
      <c r="A901" s="170">
        <v>43326</v>
      </c>
      <c r="B901" s="116">
        <v>4.9407513824017997</v>
      </c>
      <c r="C901" s="116">
        <v>4.9098667367993496</v>
      </c>
      <c r="D901" s="116">
        <v>4.8298834238289103</v>
      </c>
      <c r="E901" s="116">
        <v>4.8298834238289103</v>
      </c>
      <c r="F901" s="116">
        <v>310</v>
      </c>
      <c r="G901">
        <v>2199</v>
      </c>
      <c r="H901" s="116"/>
      <c r="I901" s="116"/>
      <c r="L901" s="170">
        <v>43325</v>
      </c>
      <c r="M901" s="116">
        <v>312.2</v>
      </c>
      <c r="N901" s="116">
        <v>318.5</v>
      </c>
      <c r="O901" s="116">
        <v>310.3</v>
      </c>
      <c r="P901" s="116">
        <v>318.5</v>
      </c>
      <c r="Q901" s="116">
        <v>312.2</v>
      </c>
      <c r="R901">
        <v>732007</v>
      </c>
    </row>
    <row r="902" spans="1:18" x14ac:dyDescent="0.25">
      <c r="A902" s="170">
        <v>43328</v>
      </c>
      <c r="B902" s="116">
        <v>4.9653007160857996</v>
      </c>
      <c r="C902" s="116">
        <v>4.8267157678696897</v>
      </c>
      <c r="D902" s="116">
        <v>4.7831604984303402</v>
      </c>
      <c r="E902" s="116">
        <v>4.8465136176148498</v>
      </c>
      <c r="F902" s="116">
        <v>304.75</v>
      </c>
      <c r="G902">
        <v>3639</v>
      </c>
      <c r="H902" s="116"/>
      <c r="I902" s="116"/>
      <c r="L902" s="170">
        <v>43326</v>
      </c>
      <c r="M902" s="116">
        <v>314.7</v>
      </c>
      <c r="N902" s="116">
        <v>317.39999999999998</v>
      </c>
      <c r="O902" s="116">
        <v>308.39999999999998</v>
      </c>
      <c r="P902" s="116">
        <v>311.7</v>
      </c>
      <c r="Q902" s="116">
        <v>314.7</v>
      </c>
      <c r="R902">
        <v>598656</v>
      </c>
    </row>
    <row r="903" spans="1:18" x14ac:dyDescent="0.25">
      <c r="A903" s="170">
        <v>43329</v>
      </c>
      <c r="B903" s="116">
        <v>4.9890581357799899</v>
      </c>
      <c r="C903" s="116">
        <v>4.8322591657983303</v>
      </c>
      <c r="D903" s="116">
        <v>4.7958311222672396</v>
      </c>
      <c r="E903" s="116">
        <v>4.7958311222672396</v>
      </c>
      <c r="F903" s="116">
        <v>305.10000000000002</v>
      </c>
      <c r="G903">
        <v>2967</v>
      </c>
      <c r="H903" s="116"/>
      <c r="I903" s="116"/>
      <c r="L903" s="170">
        <v>43328</v>
      </c>
      <c r="M903" s="116">
        <v>313.14999999999998</v>
      </c>
      <c r="N903" s="116">
        <v>318.7</v>
      </c>
      <c r="O903" s="116">
        <v>310.55</v>
      </c>
      <c r="P903" s="116">
        <v>314</v>
      </c>
      <c r="Q903" s="116">
        <v>313.14999999999998</v>
      </c>
      <c r="R903">
        <v>452622</v>
      </c>
    </row>
    <row r="904" spans="1:18" x14ac:dyDescent="0.25">
      <c r="A904" s="170">
        <v>43332</v>
      </c>
      <c r="B904" s="116">
        <v>4.9415432963916102</v>
      </c>
      <c r="C904" s="116">
        <v>4.8583923274619396</v>
      </c>
      <c r="D904" s="116">
        <v>4.8005826062060803</v>
      </c>
      <c r="E904" s="116">
        <v>4.8005826062060803</v>
      </c>
      <c r="F904" s="116">
        <v>306.75</v>
      </c>
      <c r="G904">
        <v>835</v>
      </c>
      <c r="H904" s="116"/>
      <c r="I904" s="116"/>
      <c r="L904" s="170">
        <v>43329</v>
      </c>
      <c r="M904" s="116">
        <v>323.8</v>
      </c>
      <c r="N904" s="116">
        <v>327.75</v>
      </c>
      <c r="O904" s="116">
        <v>314</v>
      </c>
      <c r="P904" s="116">
        <v>314</v>
      </c>
      <c r="Q904" s="116">
        <v>323.8</v>
      </c>
      <c r="R904">
        <v>1285608</v>
      </c>
    </row>
    <row r="905" spans="1:18" x14ac:dyDescent="0.25">
      <c r="A905" s="170">
        <v>43333</v>
      </c>
      <c r="B905" s="116">
        <v>4.9336241564935399</v>
      </c>
      <c r="C905" s="116">
        <v>4.8298834238289103</v>
      </c>
      <c r="D905" s="116">
        <v>4.8148370580225901</v>
      </c>
      <c r="E905" s="116">
        <v>4.8385944777167804</v>
      </c>
      <c r="F905" s="116">
        <v>304.95</v>
      </c>
      <c r="G905">
        <v>2519</v>
      </c>
      <c r="H905" s="116"/>
      <c r="I905" s="116"/>
      <c r="L905" s="170">
        <v>43332</v>
      </c>
      <c r="M905" s="116">
        <v>326.35000000000002</v>
      </c>
      <c r="N905" s="116">
        <v>330</v>
      </c>
      <c r="O905" s="116">
        <v>324.3</v>
      </c>
      <c r="P905" s="116">
        <v>326.5</v>
      </c>
      <c r="Q905" s="116">
        <v>326.35000000000002</v>
      </c>
      <c r="R905">
        <v>901769</v>
      </c>
    </row>
    <row r="906" spans="1:18" x14ac:dyDescent="0.25">
      <c r="A906" s="170">
        <v>43335</v>
      </c>
      <c r="B906" s="116">
        <v>4.8465136176148498</v>
      </c>
      <c r="C906" s="116">
        <v>4.60973133466275</v>
      </c>
      <c r="D906" s="116">
        <v>4.5297480216923098</v>
      </c>
      <c r="E906" s="116">
        <v>4.8005826062060803</v>
      </c>
      <c r="F906" s="116">
        <v>291.05</v>
      </c>
      <c r="G906">
        <v>3663</v>
      </c>
      <c r="H906" s="116"/>
      <c r="I906" s="116"/>
      <c r="L906" s="170">
        <v>43333</v>
      </c>
      <c r="M906" s="116">
        <v>339.6</v>
      </c>
      <c r="N906" s="116">
        <v>345</v>
      </c>
      <c r="O906" s="116">
        <v>327.39999999999998</v>
      </c>
      <c r="P906" s="116">
        <v>328</v>
      </c>
      <c r="Q906" s="116">
        <v>339.6</v>
      </c>
      <c r="R906">
        <v>2541789</v>
      </c>
    </row>
    <row r="907" spans="1:18" x14ac:dyDescent="0.25">
      <c r="A907" s="170">
        <v>43336</v>
      </c>
      <c r="B907" s="116">
        <v>4.8148370580225901</v>
      </c>
      <c r="C907" s="116">
        <v>4.6287372704180996</v>
      </c>
      <c r="D907" s="116">
        <v>4.5614245812845597</v>
      </c>
      <c r="E907" s="116">
        <v>4.5614245812845597</v>
      </c>
      <c r="F907" s="116">
        <v>292.25</v>
      </c>
      <c r="G907">
        <v>1018</v>
      </c>
      <c r="H907" s="116"/>
      <c r="I907" s="116"/>
      <c r="L907" s="170">
        <v>43335</v>
      </c>
      <c r="M907" s="116">
        <v>330.15</v>
      </c>
      <c r="N907" s="116">
        <v>341.95</v>
      </c>
      <c r="O907" s="116">
        <v>328.65</v>
      </c>
      <c r="P907" s="116">
        <v>340.7</v>
      </c>
      <c r="Q907" s="116">
        <v>330.15</v>
      </c>
      <c r="R907">
        <v>635816</v>
      </c>
    </row>
    <row r="908" spans="1:18" x14ac:dyDescent="0.25">
      <c r="A908" s="170">
        <v>43339</v>
      </c>
      <c r="B908" s="116">
        <v>4.8148370580225901</v>
      </c>
      <c r="C908" s="116">
        <v>4.7134720673273804</v>
      </c>
      <c r="D908" s="116">
        <v>4.5931011408768203</v>
      </c>
      <c r="E908" s="116">
        <v>4.5931011408768203</v>
      </c>
      <c r="F908" s="116">
        <v>297.60000000000002</v>
      </c>
      <c r="G908">
        <v>2371</v>
      </c>
      <c r="H908" s="116"/>
      <c r="I908" s="116"/>
      <c r="L908" s="170">
        <v>43336</v>
      </c>
      <c r="M908" s="116">
        <v>319.5</v>
      </c>
      <c r="N908" s="116">
        <v>327.85</v>
      </c>
      <c r="O908" s="116">
        <v>317</v>
      </c>
      <c r="P908" s="116">
        <v>326.95</v>
      </c>
      <c r="Q908" s="116">
        <v>319.5</v>
      </c>
      <c r="R908">
        <v>837168</v>
      </c>
    </row>
    <row r="909" spans="1:18" x14ac:dyDescent="0.25">
      <c r="A909" s="170">
        <v>43340</v>
      </c>
      <c r="B909" s="116">
        <v>4.67229253985745</v>
      </c>
      <c r="C909" s="116">
        <v>4.6342806683467499</v>
      </c>
      <c r="D909" s="116">
        <v>4.5931011408768203</v>
      </c>
      <c r="E909" s="116">
        <v>4.67229253985745</v>
      </c>
      <c r="F909" s="116">
        <v>292.60000000000002</v>
      </c>
      <c r="G909">
        <v>4363</v>
      </c>
      <c r="H909" s="116"/>
      <c r="I909" s="116"/>
      <c r="L909" s="170">
        <v>43339</v>
      </c>
      <c r="M909" s="116">
        <v>320.95</v>
      </c>
      <c r="N909" s="116">
        <v>325.5</v>
      </c>
      <c r="O909" s="116">
        <v>317.75</v>
      </c>
      <c r="P909" s="116">
        <v>320</v>
      </c>
      <c r="Q909" s="116">
        <v>320.95</v>
      </c>
      <c r="R909">
        <v>842626</v>
      </c>
    </row>
    <row r="910" spans="1:18" x14ac:dyDescent="0.25">
      <c r="A910" s="170">
        <v>43341</v>
      </c>
      <c r="B910" s="116">
        <v>4.67229253985745</v>
      </c>
      <c r="C910" s="116">
        <v>4.5748871191112697</v>
      </c>
      <c r="D910" s="116">
        <v>4.5614245812845597</v>
      </c>
      <c r="E910" s="116">
        <v>4.6247777004690702</v>
      </c>
      <c r="F910" s="116">
        <v>288.85000000000002</v>
      </c>
      <c r="G910">
        <v>1166</v>
      </c>
      <c r="H910" s="116"/>
      <c r="I910" s="116"/>
      <c r="L910" s="170">
        <v>43340</v>
      </c>
      <c r="M910" s="116">
        <v>319.5</v>
      </c>
      <c r="N910" s="116">
        <v>323.95</v>
      </c>
      <c r="O910" s="116">
        <v>317.35000000000002</v>
      </c>
      <c r="P910" s="116">
        <v>323.60000000000002</v>
      </c>
      <c r="Q910" s="116">
        <v>319.5</v>
      </c>
      <c r="R910">
        <v>423113</v>
      </c>
    </row>
    <row r="911" spans="1:18" x14ac:dyDescent="0.25">
      <c r="A911" s="170">
        <v>43342</v>
      </c>
      <c r="B911" s="116">
        <v>4.6556623460715203</v>
      </c>
      <c r="C911" s="116">
        <v>4.5931011408768203</v>
      </c>
      <c r="D911" s="116">
        <v>4.3990822133742604</v>
      </c>
      <c r="E911" s="116">
        <v>4.5772628610806896</v>
      </c>
      <c r="F911" s="116">
        <v>290</v>
      </c>
      <c r="G911">
        <v>1056</v>
      </c>
      <c r="H911" s="116"/>
      <c r="I911" s="116"/>
      <c r="L911" s="170">
        <v>43341</v>
      </c>
      <c r="M911" s="116">
        <v>318.14999999999998</v>
      </c>
      <c r="N911" s="116">
        <v>322.60000000000002</v>
      </c>
      <c r="O911" s="116">
        <v>317.10000000000002</v>
      </c>
      <c r="P911" s="116">
        <v>321</v>
      </c>
      <c r="Q911" s="116">
        <v>318.14999999999998</v>
      </c>
      <c r="R911">
        <v>636032</v>
      </c>
    </row>
    <row r="912" spans="1:18" x14ac:dyDescent="0.25">
      <c r="A912" s="170">
        <v>43343</v>
      </c>
      <c r="B912" s="116">
        <v>4.7514839388380796</v>
      </c>
      <c r="C912" s="116">
        <v>4.4418455688238003</v>
      </c>
      <c r="D912" s="116">
        <v>4.35552694393491</v>
      </c>
      <c r="E912" s="116">
        <v>4.7514839388380796</v>
      </c>
      <c r="F912" s="116">
        <v>280.45</v>
      </c>
      <c r="G912">
        <v>2824</v>
      </c>
      <c r="H912" s="116"/>
      <c r="I912" s="116"/>
      <c r="L912" s="170">
        <v>43342</v>
      </c>
      <c r="M912" s="116">
        <v>317.64999999999998</v>
      </c>
      <c r="N912" s="116">
        <v>319.2</v>
      </c>
      <c r="O912" s="116">
        <v>315</v>
      </c>
      <c r="P912" s="116">
        <v>316.55</v>
      </c>
      <c r="Q912" s="116">
        <v>317.64999999999998</v>
      </c>
      <c r="R912">
        <v>666237</v>
      </c>
    </row>
    <row r="913" spans="1:18" x14ac:dyDescent="0.25">
      <c r="A913" s="170">
        <v>43346</v>
      </c>
      <c r="B913" s="116">
        <v>4.5772628610806896</v>
      </c>
      <c r="C913" s="116">
        <v>4.2280287915760901</v>
      </c>
      <c r="D913" s="116">
        <v>4.1971441459736401</v>
      </c>
      <c r="E913" s="116">
        <v>4.4347183429155503</v>
      </c>
      <c r="F913" s="116">
        <v>266.95</v>
      </c>
      <c r="G913">
        <v>2885</v>
      </c>
      <c r="H913" s="116"/>
      <c r="I913" s="116"/>
      <c r="L913" s="170">
        <v>43343</v>
      </c>
      <c r="M913" s="116">
        <v>319.89999999999998</v>
      </c>
      <c r="N913" s="116">
        <v>323.89999999999998</v>
      </c>
      <c r="O913" s="116">
        <v>317.45</v>
      </c>
      <c r="P913" s="116">
        <v>319</v>
      </c>
      <c r="Q913" s="116">
        <v>319.89999999999998</v>
      </c>
      <c r="R913">
        <v>683956</v>
      </c>
    </row>
    <row r="914" spans="1:18" x14ac:dyDescent="0.25">
      <c r="A914" s="170">
        <v>43347</v>
      </c>
      <c r="B914" s="116">
        <v>4.2763355449542804</v>
      </c>
      <c r="C914" s="116">
        <v>4.0648945096759803</v>
      </c>
      <c r="D914" s="116">
        <v>3.9437316692356101</v>
      </c>
      <c r="E914" s="116">
        <v>4.2446589853620198</v>
      </c>
      <c r="F914" s="116">
        <v>256.64999999999998</v>
      </c>
      <c r="G914">
        <v>7747</v>
      </c>
      <c r="H914" s="116"/>
      <c r="I914" s="116"/>
      <c r="L914" s="170">
        <v>43346</v>
      </c>
      <c r="M914" s="116">
        <v>321.14999999999998</v>
      </c>
      <c r="N914" s="116">
        <v>330.9</v>
      </c>
      <c r="O914" s="116">
        <v>318.2</v>
      </c>
      <c r="P914" s="116">
        <v>319</v>
      </c>
      <c r="Q914" s="116">
        <v>321.14999999999998</v>
      </c>
      <c r="R914">
        <v>1738538</v>
      </c>
    </row>
    <row r="915" spans="1:18" x14ac:dyDescent="0.25">
      <c r="A915" s="170">
        <v>43348</v>
      </c>
      <c r="B915" s="116">
        <v>4.25970535116834</v>
      </c>
      <c r="C915" s="116">
        <v>4.0545996278084999</v>
      </c>
      <c r="D915" s="116">
        <v>4.0545996278084999</v>
      </c>
      <c r="E915" s="116">
        <v>4.0862761874007498</v>
      </c>
      <c r="F915" s="116">
        <v>256</v>
      </c>
      <c r="G915">
        <v>1451</v>
      </c>
      <c r="H915" s="116"/>
      <c r="I915" s="116"/>
      <c r="L915" s="170">
        <v>43347</v>
      </c>
      <c r="M915" s="116">
        <v>315.89999999999998</v>
      </c>
      <c r="N915" s="116">
        <v>323.55</v>
      </c>
      <c r="O915" s="116">
        <v>315.3</v>
      </c>
      <c r="P915" s="116">
        <v>322.39999999999998</v>
      </c>
      <c r="Q915" s="116">
        <v>315.89999999999998</v>
      </c>
      <c r="R915">
        <v>825212</v>
      </c>
    </row>
    <row r="916" spans="1:18" x14ac:dyDescent="0.25">
      <c r="A916" s="170">
        <v>43349</v>
      </c>
      <c r="B916" s="116">
        <v>4.2604972651581496</v>
      </c>
      <c r="C916" s="116">
        <v>4.1860573501163501</v>
      </c>
      <c r="D916" s="116">
        <v>4.0561834557881102</v>
      </c>
      <c r="E916" s="116">
        <v>4.0569753697779198</v>
      </c>
      <c r="F916" s="116">
        <v>264.3</v>
      </c>
      <c r="G916">
        <v>789</v>
      </c>
      <c r="H916" s="116"/>
      <c r="I916" s="116"/>
      <c r="L916" s="170">
        <v>43348</v>
      </c>
      <c r="M916" s="116">
        <v>311.75</v>
      </c>
      <c r="N916" s="116">
        <v>318.05</v>
      </c>
      <c r="O916" s="116">
        <v>305.25</v>
      </c>
      <c r="P916" s="116">
        <v>316.95</v>
      </c>
      <c r="Q916" s="116">
        <v>311.75</v>
      </c>
      <c r="R916">
        <v>1192942</v>
      </c>
    </row>
    <row r="917" spans="1:18" x14ac:dyDescent="0.25">
      <c r="A917" s="170">
        <v>43350</v>
      </c>
      <c r="B917" s="116">
        <v>4.4022498693334802</v>
      </c>
      <c r="C917" s="116">
        <v>4.1337910267891296</v>
      </c>
      <c r="D917" s="116">
        <v>3.9437316692356101</v>
      </c>
      <c r="E917" s="116">
        <v>4.4022498693334802</v>
      </c>
      <c r="F917" s="116">
        <v>261</v>
      </c>
      <c r="G917">
        <v>3935</v>
      </c>
      <c r="H917" s="116"/>
      <c r="I917" s="116"/>
      <c r="L917" s="170">
        <v>43349</v>
      </c>
      <c r="M917" s="116">
        <v>310.7</v>
      </c>
      <c r="N917" s="116">
        <v>314.8</v>
      </c>
      <c r="O917" s="116">
        <v>309.10000000000002</v>
      </c>
      <c r="P917" s="116">
        <v>312</v>
      </c>
      <c r="Q917" s="116">
        <v>310.7</v>
      </c>
      <c r="R917">
        <v>911910</v>
      </c>
    </row>
    <row r="918" spans="1:18" x14ac:dyDescent="0.25">
      <c r="A918" s="170">
        <v>43353</v>
      </c>
      <c r="B918" s="116">
        <v>4.1575484464833199</v>
      </c>
      <c r="C918" s="116">
        <v>4.0664783376555897</v>
      </c>
      <c r="D918" s="116">
        <v>3.97540822882786</v>
      </c>
      <c r="E918" s="116">
        <v>4.1179527469930104</v>
      </c>
      <c r="F918" s="116">
        <v>256.75</v>
      </c>
      <c r="G918">
        <v>1426</v>
      </c>
      <c r="H918" s="116"/>
      <c r="I918" s="116"/>
      <c r="L918" s="170">
        <v>43350</v>
      </c>
      <c r="M918" s="116">
        <v>310.8</v>
      </c>
      <c r="N918" s="116">
        <v>313</v>
      </c>
      <c r="O918" s="116">
        <v>308</v>
      </c>
      <c r="P918" s="116">
        <v>311</v>
      </c>
      <c r="Q918" s="116">
        <v>310.8</v>
      </c>
      <c r="R918">
        <v>525441</v>
      </c>
    </row>
    <row r="919" spans="1:18" x14ac:dyDescent="0.25">
      <c r="A919" s="170">
        <v>43354</v>
      </c>
      <c r="B919" s="116">
        <v>4.4347183429155503</v>
      </c>
      <c r="C919" s="116">
        <v>4.3927469014558103</v>
      </c>
      <c r="D919" s="116">
        <v>4.1163689190133903</v>
      </c>
      <c r="E919" s="116">
        <v>4.1496293065852603</v>
      </c>
      <c r="F919" s="116">
        <v>277.35000000000002</v>
      </c>
      <c r="G919">
        <v>10412</v>
      </c>
      <c r="H919" s="116"/>
      <c r="I919" s="116"/>
      <c r="L919" s="170">
        <v>43353</v>
      </c>
      <c r="M919" s="116">
        <v>312.60000000000002</v>
      </c>
      <c r="N919" s="116">
        <v>316.39999999999998</v>
      </c>
      <c r="O919" s="116">
        <v>309.3</v>
      </c>
      <c r="P919" s="116">
        <v>311</v>
      </c>
      <c r="Q919" s="116">
        <v>312.60000000000002</v>
      </c>
      <c r="R919">
        <v>548200</v>
      </c>
    </row>
    <row r="920" spans="1:18" x14ac:dyDescent="0.25">
      <c r="A920" s="170">
        <v>43355</v>
      </c>
      <c r="B920" s="116">
        <v>4.8314672518085304</v>
      </c>
      <c r="C920" s="116">
        <v>4.8116694020633703</v>
      </c>
      <c r="D920" s="116">
        <v>4.3935388154456101</v>
      </c>
      <c r="E920" s="116">
        <v>4.6548704320817098</v>
      </c>
      <c r="F920" s="116">
        <v>303.8</v>
      </c>
      <c r="G920">
        <v>6490</v>
      </c>
      <c r="H920" s="116"/>
      <c r="I920" s="116"/>
      <c r="L920" s="170">
        <v>43354</v>
      </c>
      <c r="M920" s="116">
        <v>309.10000000000002</v>
      </c>
      <c r="N920" s="116">
        <v>313.39999999999998</v>
      </c>
      <c r="O920" s="116">
        <v>307.7</v>
      </c>
      <c r="P920" s="116">
        <v>312.10000000000002</v>
      </c>
      <c r="Q920" s="116">
        <v>309.10000000000002</v>
      </c>
      <c r="R920">
        <v>489001</v>
      </c>
    </row>
    <row r="921" spans="1:18" x14ac:dyDescent="0.25">
      <c r="A921" s="170">
        <v>43357</v>
      </c>
      <c r="B921" s="116">
        <v>4.9724279419940496</v>
      </c>
      <c r="C921" s="116">
        <v>4.6778359377860896</v>
      </c>
      <c r="D921" s="116">
        <v>4.5352914196209504</v>
      </c>
      <c r="E921" s="116">
        <v>4.9573815761877302</v>
      </c>
      <c r="F921" s="116">
        <v>295.35000000000002</v>
      </c>
      <c r="G921">
        <v>6031</v>
      </c>
      <c r="H921" s="116"/>
      <c r="I921" s="116"/>
      <c r="L921" s="170">
        <v>43355</v>
      </c>
      <c r="M921" s="116">
        <v>303.14999999999998</v>
      </c>
      <c r="N921" s="116">
        <v>310.05</v>
      </c>
      <c r="O921" s="116">
        <v>297.95</v>
      </c>
      <c r="P921" s="116">
        <v>308.7</v>
      </c>
      <c r="Q921" s="116">
        <v>303.14999999999998</v>
      </c>
      <c r="R921">
        <v>802880</v>
      </c>
    </row>
    <row r="922" spans="1:18" x14ac:dyDescent="0.25">
      <c r="A922" s="170">
        <v>43360</v>
      </c>
      <c r="B922" s="116">
        <v>4.9090748228095498</v>
      </c>
      <c r="C922" s="116">
        <v>4.6794197657657097</v>
      </c>
      <c r="D922" s="116">
        <v>4.5931011408768203</v>
      </c>
      <c r="E922" s="116">
        <v>4.7245588631846704</v>
      </c>
      <c r="F922" s="116">
        <v>295.45</v>
      </c>
      <c r="G922">
        <v>5603</v>
      </c>
      <c r="H922" s="116"/>
      <c r="I922" s="116"/>
      <c r="L922" s="170">
        <v>43357</v>
      </c>
      <c r="M922" s="116">
        <v>309.89999999999998</v>
      </c>
      <c r="N922" s="116">
        <v>313.35000000000002</v>
      </c>
      <c r="O922" s="116">
        <v>303</v>
      </c>
      <c r="P922" s="116">
        <v>303</v>
      </c>
      <c r="Q922" s="116">
        <v>309.89999999999998</v>
      </c>
      <c r="R922">
        <v>593195</v>
      </c>
    </row>
    <row r="923" spans="1:18" x14ac:dyDescent="0.25">
      <c r="A923" s="170">
        <v>43361</v>
      </c>
      <c r="B923" s="116">
        <v>4.8441378756454299</v>
      </c>
      <c r="C923" s="116">
        <v>4.7190154652560201</v>
      </c>
      <c r="D923" s="116">
        <v>4.5772628610806896</v>
      </c>
      <c r="E923" s="116">
        <v>4.6089394206729404</v>
      </c>
      <c r="F923" s="116">
        <v>297.95</v>
      </c>
      <c r="G923">
        <v>4441</v>
      </c>
      <c r="H923" s="116"/>
      <c r="I923" s="116"/>
      <c r="L923" s="170">
        <v>43360</v>
      </c>
      <c r="M923" s="116">
        <v>324.25</v>
      </c>
      <c r="N923" s="116">
        <v>328.8</v>
      </c>
      <c r="O923" s="116">
        <v>306.5</v>
      </c>
      <c r="P923" s="116">
        <v>306.5</v>
      </c>
      <c r="Q923" s="116">
        <v>324.25</v>
      </c>
      <c r="R923">
        <v>2193321</v>
      </c>
    </row>
    <row r="924" spans="1:18" x14ac:dyDescent="0.25">
      <c r="A924" s="170">
        <v>43362</v>
      </c>
      <c r="B924" s="116">
        <v>4.7514839388380796</v>
      </c>
      <c r="C924" s="116">
        <v>4.7316860890929302</v>
      </c>
      <c r="D924" s="116">
        <v>4.5780547750704903</v>
      </c>
      <c r="E924" s="116">
        <v>4.6192343025404199</v>
      </c>
      <c r="F924" s="116">
        <v>298.75</v>
      </c>
      <c r="G924">
        <v>4755</v>
      </c>
      <c r="H924" s="116"/>
      <c r="I924" s="116"/>
      <c r="L924" s="170">
        <v>43361</v>
      </c>
      <c r="M924" s="116">
        <v>311.60000000000002</v>
      </c>
      <c r="N924" s="116">
        <v>325.05</v>
      </c>
      <c r="O924" s="116">
        <v>310</v>
      </c>
      <c r="P924" s="116">
        <v>323.25</v>
      </c>
      <c r="Q924" s="116">
        <v>311.60000000000002</v>
      </c>
      <c r="R924">
        <v>726984</v>
      </c>
    </row>
    <row r="925" spans="1:18" x14ac:dyDescent="0.25">
      <c r="A925" s="170">
        <v>43364</v>
      </c>
      <c r="B925" s="116">
        <v>4.8267157678696897</v>
      </c>
      <c r="C925" s="116">
        <v>4.6572461740511297</v>
      </c>
      <c r="D925" s="116">
        <v>4.5772628610806896</v>
      </c>
      <c r="E925" s="116">
        <v>4.7514839388380796</v>
      </c>
      <c r="F925" s="116">
        <v>294.05</v>
      </c>
      <c r="G925">
        <v>4442</v>
      </c>
      <c r="H925" s="116"/>
      <c r="I925" s="116"/>
      <c r="L925" s="170">
        <v>43362</v>
      </c>
      <c r="M925" s="116">
        <v>308.85000000000002</v>
      </c>
      <c r="N925" s="116">
        <v>313.89999999999998</v>
      </c>
      <c r="O925" s="116">
        <v>306.25</v>
      </c>
      <c r="P925" s="116">
        <v>313</v>
      </c>
      <c r="Q925" s="116">
        <v>308.85000000000002</v>
      </c>
      <c r="R925">
        <v>475858</v>
      </c>
    </row>
    <row r="926" spans="1:18" x14ac:dyDescent="0.25">
      <c r="A926" s="170">
        <v>43367</v>
      </c>
      <c r="B926" s="116">
        <v>4.6707087118778396</v>
      </c>
      <c r="C926" s="116">
        <v>4.4038336973131003</v>
      </c>
      <c r="D926" s="116">
        <v>4.2763355449542804</v>
      </c>
      <c r="E926" s="116">
        <v>4.6247777004690702</v>
      </c>
      <c r="F926" s="116">
        <v>278.05</v>
      </c>
      <c r="G926">
        <v>4927</v>
      </c>
      <c r="H926" s="116"/>
      <c r="I926" s="116"/>
      <c r="L926" s="170">
        <v>43364</v>
      </c>
      <c r="M926" s="116">
        <v>292.55</v>
      </c>
      <c r="N926" s="116">
        <v>312.10000000000002</v>
      </c>
      <c r="O926" s="116">
        <v>263.25</v>
      </c>
      <c r="P926" s="116">
        <v>309</v>
      </c>
      <c r="Q926" s="116">
        <v>292.55</v>
      </c>
      <c r="R926">
        <v>2113853</v>
      </c>
    </row>
    <row r="927" spans="1:18" x14ac:dyDescent="0.25">
      <c r="A927" s="170">
        <v>43368</v>
      </c>
      <c r="B927" s="116">
        <v>4.4616434185689604</v>
      </c>
      <c r="C927" s="116">
        <v>4.3000929646484698</v>
      </c>
      <c r="D927" s="116">
        <v>4.1971441459736401</v>
      </c>
      <c r="E927" s="116">
        <v>4.2137743397595804</v>
      </c>
      <c r="F927" s="116">
        <v>271.5</v>
      </c>
      <c r="G927">
        <v>1796</v>
      </c>
      <c r="H927" s="116"/>
      <c r="I927" s="116"/>
      <c r="L927" s="170">
        <v>43367</v>
      </c>
      <c r="M927" s="116">
        <v>268.60000000000002</v>
      </c>
      <c r="N927" s="116">
        <v>299.8</v>
      </c>
      <c r="O927" s="116">
        <v>266.5</v>
      </c>
      <c r="P927" s="116">
        <v>295</v>
      </c>
      <c r="Q927" s="116">
        <v>268.60000000000002</v>
      </c>
      <c r="R927">
        <v>1641904</v>
      </c>
    </row>
    <row r="928" spans="1:18" x14ac:dyDescent="0.25">
      <c r="A928" s="170">
        <v>43369</v>
      </c>
      <c r="B928" s="116">
        <v>4.4616434185689604</v>
      </c>
      <c r="C928" s="116">
        <v>4.35552694393491</v>
      </c>
      <c r="D928" s="116">
        <v>4.2921738247504004</v>
      </c>
      <c r="E928" s="116">
        <v>4.3048444485872999</v>
      </c>
      <c r="F928" s="116">
        <v>275</v>
      </c>
      <c r="G928">
        <v>2684</v>
      </c>
      <c r="H928" s="116"/>
      <c r="I928" s="116"/>
      <c r="L928" s="170">
        <v>43368</v>
      </c>
      <c r="M928" s="116">
        <v>253.8</v>
      </c>
      <c r="N928" s="116">
        <v>268.5</v>
      </c>
      <c r="O928" s="116">
        <v>232.65</v>
      </c>
      <c r="P928" s="116">
        <v>266.5</v>
      </c>
      <c r="Q928" s="116">
        <v>253.8</v>
      </c>
      <c r="R928">
        <v>3615362</v>
      </c>
    </row>
    <row r="929" spans="1:18" x14ac:dyDescent="0.25">
      <c r="A929" s="170">
        <v>43370</v>
      </c>
      <c r="B929" s="116">
        <v>4.3872035035271599</v>
      </c>
      <c r="C929" s="116">
        <v>4.3048444485872999</v>
      </c>
      <c r="D929" s="116">
        <v>4.2383236734435696</v>
      </c>
      <c r="E929" s="116">
        <v>4.2763355449542804</v>
      </c>
      <c r="F929" s="116">
        <v>271.8</v>
      </c>
      <c r="G929">
        <v>1753</v>
      </c>
      <c r="H929" s="116"/>
      <c r="I929" s="116"/>
      <c r="L929" s="170">
        <v>43369</v>
      </c>
      <c r="M929" s="116">
        <v>248.65</v>
      </c>
      <c r="N929" s="116">
        <v>260.35000000000002</v>
      </c>
      <c r="O929" s="116">
        <v>246.05</v>
      </c>
      <c r="P929" s="116">
        <v>255.55</v>
      </c>
      <c r="Q929" s="116">
        <v>248.65</v>
      </c>
      <c r="R929">
        <v>2245941</v>
      </c>
    </row>
    <row r="930" spans="1:18" x14ac:dyDescent="0.25">
      <c r="A930" s="170">
        <v>43371</v>
      </c>
      <c r="B930" s="116">
        <v>4.3539431159552997</v>
      </c>
      <c r="C930" s="116">
        <v>4.0561834557881102</v>
      </c>
      <c r="D930" s="116">
        <v>3.87483515212246</v>
      </c>
      <c r="E930" s="116">
        <v>4.1496293065852603</v>
      </c>
      <c r="F930" s="116">
        <v>256.10000000000002</v>
      </c>
      <c r="G930">
        <v>8029</v>
      </c>
      <c r="H930" s="116"/>
      <c r="I930" s="116"/>
      <c r="L930" s="170">
        <v>43370</v>
      </c>
      <c r="M930" s="116">
        <v>227.3</v>
      </c>
      <c r="N930" s="116">
        <v>251</v>
      </c>
      <c r="O930" s="116">
        <v>225</v>
      </c>
      <c r="P930" s="116">
        <v>248</v>
      </c>
      <c r="Q930" s="116">
        <v>227.3</v>
      </c>
      <c r="R930">
        <v>2530915</v>
      </c>
    </row>
    <row r="931" spans="1:18" x14ac:dyDescent="0.25">
      <c r="A931" s="170">
        <v>43374</v>
      </c>
      <c r="B931" s="116">
        <v>4.0387613480123701</v>
      </c>
      <c r="C931" s="116">
        <v>3.77109441945783</v>
      </c>
      <c r="D931" s="116">
        <v>3.6507234930072601</v>
      </c>
      <c r="E931" s="116">
        <v>3.9635295189807702</v>
      </c>
      <c r="F931" s="116">
        <v>238.1</v>
      </c>
      <c r="G931">
        <v>5314</v>
      </c>
      <c r="H931" s="116"/>
      <c r="I931" s="116"/>
      <c r="L931" s="170">
        <v>43371</v>
      </c>
      <c r="M931" s="116">
        <v>237.6</v>
      </c>
      <c r="N931" s="116">
        <v>246.65</v>
      </c>
      <c r="O931" s="116">
        <v>223</v>
      </c>
      <c r="P931" s="116">
        <v>231</v>
      </c>
      <c r="Q931" s="116">
        <v>237.6</v>
      </c>
      <c r="R931">
        <v>5205383</v>
      </c>
    </row>
    <row r="932" spans="1:18" x14ac:dyDescent="0.25">
      <c r="A932" s="170">
        <v>43376</v>
      </c>
      <c r="B932" s="116">
        <v>3.9437316692356101</v>
      </c>
      <c r="C932" s="116">
        <v>3.8281122267238801</v>
      </c>
      <c r="D932" s="116">
        <v>3.7536723116820898</v>
      </c>
      <c r="E932" s="116">
        <v>3.7853488712743402</v>
      </c>
      <c r="F932" s="116">
        <v>241.7</v>
      </c>
      <c r="G932">
        <v>914</v>
      </c>
      <c r="H932" s="116"/>
      <c r="I932" s="116"/>
      <c r="L932" s="170">
        <v>43374</v>
      </c>
      <c r="M932" s="116">
        <v>261.7</v>
      </c>
      <c r="N932" s="116">
        <v>266.64999999999998</v>
      </c>
      <c r="O932" s="116">
        <v>229.4</v>
      </c>
      <c r="P932" s="116">
        <v>237</v>
      </c>
      <c r="Q932" s="116">
        <v>261.7</v>
      </c>
      <c r="R932">
        <v>4532697</v>
      </c>
    </row>
    <row r="933" spans="1:18" x14ac:dyDescent="0.25">
      <c r="A933" s="170">
        <v>43377</v>
      </c>
      <c r="B933" s="116">
        <v>3.80118715107047</v>
      </c>
      <c r="C933" s="116">
        <v>3.6728970847218401</v>
      </c>
      <c r="D933" s="116">
        <v>3.5651967821081798</v>
      </c>
      <c r="E933" s="116">
        <v>3.80118715107047</v>
      </c>
      <c r="F933" s="116">
        <v>231.9</v>
      </c>
      <c r="G933">
        <v>1351</v>
      </c>
      <c r="H933" s="116"/>
      <c r="I933" s="116"/>
      <c r="L933" s="170">
        <v>43376</v>
      </c>
      <c r="M933" s="116">
        <v>251.9</v>
      </c>
      <c r="N933" s="116">
        <v>264.3</v>
      </c>
      <c r="O933" s="116">
        <v>248.3</v>
      </c>
      <c r="P933" s="116">
        <v>257.75</v>
      </c>
      <c r="Q933" s="116">
        <v>251.9</v>
      </c>
      <c r="R933">
        <v>1707752</v>
      </c>
    </row>
    <row r="934" spans="1:18" x14ac:dyDescent="0.25">
      <c r="A934" s="170">
        <v>43378</v>
      </c>
      <c r="B934" s="116">
        <v>3.7916841831927899</v>
      </c>
      <c r="C934" s="116">
        <v>3.6713132567422302</v>
      </c>
      <c r="D934" s="116">
        <v>3.57945123392469</v>
      </c>
      <c r="E934" s="116">
        <v>3.7916841831927899</v>
      </c>
      <c r="F934" s="116">
        <v>231.8</v>
      </c>
      <c r="G934">
        <v>1345</v>
      </c>
      <c r="H934" s="116"/>
      <c r="I934" s="116"/>
      <c r="L934" s="170">
        <v>43377</v>
      </c>
      <c r="M934" s="116">
        <v>246.2</v>
      </c>
      <c r="N934" s="116">
        <v>250.4</v>
      </c>
      <c r="O934" s="116">
        <v>235.9</v>
      </c>
      <c r="P934" s="116">
        <v>245</v>
      </c>
      <c r="Q934" s="116">
        <v>246.2</v>
      </c>
      <c r="R934">
        <v>1681325</v>
      </c>
    </row>
    <row r="935" spans="1:18" x14ac:dyDescent="0.25">
      <c r="A935" s="170">
        <v>43381</v>
      </c>
      <c r="B935" s="116">
        <v>3.6428043531092</v>
      </c>
      <c r="C935" s="116">
        <v>3.45432882353529</v>
      </c>
      <c r="D935" s="116">
        <v>3.3260387571866601</v>
      </c>
      <c r="E935" s="116">
        <v>3.57945123392469</v>
      </c>
      <c r="F935" s="116">
        <v>218.1</v>
      </c>
      <c r="G935">
        <v>3801</v>
      </c>
      <c r="H935" s="116"/>
      <c r="I935" s="116"/>
      <c r="L935" s="170">
        <v>43378</v>
      </c>
      <c r="M935" s="116">
        <v>236.95</v>
      </c>
      <c r="N935" s="116">
        <v>251.85</v>
      </c>
      <c r="O935" s="116">
        <v>231.6</v>
      </c>
      <c r="P935" s="116">
        <v>244.7</v>
      </c>
      <c r="Q935" s="116">
        <v>236.95</v>
      </c>
      <c r="R935">
        <v>1195049</v>
      </c>
    </row>
    <row r="936" spans="1:18" x14ac:dyDescent="0.25">
      <c r="A936" s="170">
        <v>43382</v>
      </c>
      <c r="B936" s="116">
        <v>3.60954396553733</v>
      </c>
      <c r="C936" s="116">
        <v>3.4440339416677999</v>
      </c>
      <c r="D936" s="116">
        <v>3.3664263706667801</v>
      </c>
      <c r="E936" s="116">
        <v>3.4844215551479301</v>
      </c>
      <c r="F936" s="116">
        <v>217.45</v>
      </c>
      <c r="G936">
        <v>873</v>
      </c>
      <c r="H936" s="116"/>
      <c r="I936" s="116"/>
      <c r="L936" s="170">
        <v>43381</v>
      </c>
      <c r="M936" s="116">
        <v>225.3</v>
      </c>
      <c r="N936" s="116">
        <v>238.8</v>
      </c>
      <c r="O936" s="116">
        <v>218.25</v>
      </c>
      <c r="P936" s="116">
        <v>235</v>
      </c>
      <c r="Q936" s="116">
        <v>225.3</v>
      </c>
      <c r="R936">
        <v>1769943</v>
      </c>
    </row>
    <row r="937" spans="1:18" x14ac:dyDescent="0.25">
      <c r="A937" s="170">
        <v>43383</v>
      </c>
      <c r="B937" s="116">
        <v>3.8787947220714898</v>
      </c>
      <c r="C937" s="116">
        <v>3.5699482660470099</v>
      </c>
      <c r="D937" s="116">
        <v>3.5097628028217298</v>
      </c>
      <c r="E937" s="116">
        <v>3.6111277935169399</v>
      </c>
      <c r="F937" s="116">
        <v>225.4</v>
      </c>
      <c r="G937">
        <v>2301</v>
      </c>
      <c r="H937" s="116"/>
      <c r="I937" s="116"/>
      <c r="L937" s="170">
        <v>43382</v>
      </c>
      <c r="M937" s="116">
        <v>234.25</v>
      </c>
      <c r="N937" s="116">
        <v>247</v>
      </c>
      <c r="O937" s="116">
        <v>220.05</v>
      </c>
      <c r="P937" s="116">
        <v>226.3</v>
      </c>
      <c r="Q937" s="116">
        <v>234.25</v>
      </c>
      <c r="R937">
        <v>2766301</v>
      </c>
    </row>
    <row r="938" spans="1:18" x14ac:dyDescent="0.25">
      <c r="A938" s="170">
        <v>43384</v>
      </c>
      <c r="B938" s="116">
        <v>3.7204119241102198</v>
      </c>
      <c r="C938" s="116">
        <v>3.6760647406810598</v>
      </c>
      <c r="D938" s="116">
        <v>3.5240172546382502</v>
      </c>
      <c r="E938" s="116">
        <v>3.5240172546382502</v>
      </c>
      <c r="F938" s="116">
        <v>232.1</v>
      </c>
      <c r="G938">
        <v>574</v>
      </c>
      <c r="H938" s="116"/>
      <c r="I938" s="116"/>
      <c r="L938" s="170">
        <v>43383</v>
      </c>
      <c r="M938" s="116">
        <v>252.3</v>
      </c>
      <c r="N938" s="116">
        <v>256</v>
      </c>
      <c r="O938" s="116">
        <v>236.5</v>
      </c>
      <c r="P938" s="116">
        <v>236.5</v>
      </c>
      <c r="Q938" s="116">
        <v>252.3</v>
      </c>
      <c r="R938">
        <v>2530297</v>
      </c>
    </row>
    <row r="939" spans="1:18" x14ac:dyDescent="0.25">
      <c r="A939" s="170">
        <v>43385</v>
      </c>
      <c r="B939" s="116">
        <v>3.8479100764690402</v>
      </c>
      <c r="C939" s="116">
        <v>3.7124927842121598</v>
      </c>
      <c r="D939" s="116">
        <v>3.4860053831275399</v>
      </c>
      <c r="E939" s="116">
        <v>3.6760647406810598</v>
      </c>
      <c r="F939" s="116">
        <v>234.4</v>
      </c>
      <c r="G939">
        <v>391</v>
      </c>
      <c r="H939" s="116"/>
      <c r="I939" s="116"/>
      <c r="L939" s="170">
        <v>43384</v>
      </c>
      <c r="M939" s="116">
        <v>238.8</v>
      </c>
      <c r="N939" s="116">
        <v>249.3</v>
      </c>
      <c r="O939" s="116">
        <v>231.4</v>
      </c>
      <c r="P939" s="116">
        <v>240</v>
      </c>
      <c r="Q939" s="116">
        <v>238.8</v>
      </c>
      <c r="R939">
        <v>1580911</v>
      </c>
    </row>
    <row r="940" spans="1:18" x14ac:dyDescent="0.25">
      <c r="A940" s="170">
        <v>43388</v>
      </c>
      <c r="B940" s="116">
        <v>4.0292583801347002</v>
      </c>
      <c r="C940" s="116">
        <v>3.7212038381000299</v>
      </c>
      <c r="D940" s="116">
        <v>3.6190469334150102</v>
      </c>
      <c r="E940" s="116">
        <v>4.0292583801347002</v>
      </c>
      <c r="F940" s="116">
        <v>234.95</v>
      </c>
      <c r="G940">
        <v>693</v>
      </c>
      <c r="H940" s="116"/>
      <c r="I940" s="116"/>
      <c r="L940" s="170">
        <v>43385</v>
      </c>
      <c r="M940" s="116">
        <v>245.15</v>
      </c>
      <c r="N940" s="116">
        <v>259</v>
      </c>
      <c r="O940" s="116">
        <v>240</v>
      </c>
      <c r="P940" s="116">
        <v>241.9</v>
      </c>
      <c r="Q940" s="116">
        <v>245.15</v>
      </c>
      <c r="R940">
        <v>2803952</v>
      </c>
    </row>
    <row r="941" spans="1:18" x14ac:dyDescent="0.25">
      <c r="A941" s="170">
        <v>43389</v>
      </c>
      <c r="B941" s="116">
        <v>4.0055009604405099</v>
      </c>
      <c r="C941" s="116">
        <v>3.9540265511030901</v>
      </c>
      <c r="D941" s="116">
        <v>3.7219957520898301</v>
      </c>
      <c r="E941" s="116">
        <v>3.7219957520898301</v>
      </c>
      <c r="F941" s="116">
        <v>249.65</v>
      </c>
      <c r="G941">
        <v>356</v>
      </c>
      <c r="H941" s="116"/>
      <c r="I941" s="116"/>
      <c r="L941" s="170">
        <v>43388</v>
      </c>
      <c r="M941" s="116">
        <v>245.95</v>
      </c>
      <c r="N941" s="116">
        <v>248</v>
      </c>
      <c r="O941" s="116">
        <v>240.3</v>
      </c>
      <c r="P941" s="116">
        <v>245</v>
      </c>
      <c r="Q941" s="116">
        <v>245.95</v>
      </c>
      <c r="R941">
        <v>807029</v>
      </c>
    </row>
    <row r="942" spans="1:18" x14ac:dyDescent="0.25">
      <c r="A942" s="170">
        <v>43390</v>
      </c>
      <c r="B942" s="116">
        <v>4.0973629832580398</v>
      </c>
      <c r="C942" s="116">
        <v>3.8621645282855601</v>
      </c>
      <c r="D942" s="116">
        <v>3.7552561396617001</v>
      </c>
      <c r="E942" s="116">
        <v>3.8281122267238801</v>
      </c>
      <c r="F942" s="116">
        <v>243.85</v>
      </c>
      <c r="G942">
        <v>851</v>
      </c>
      <c r="H942" s="116"/>
      <c r="I942" s="116"/>
      <c r="L942" s="170">
        <v>43389</v>
      </c>
      <c r="M942" s="116">
        <v>241.7</v>
      </c>
      <c r="N942" s="116">
        <v>251.9</v>
      </c>
      <c r="O942" s="116">
        <v>238.6</v>
      </c>
      <c r="P942" s="116">
        <v>247.95</v>
      </c>
      <c r="Q942" s="116">
        <v>241.7</v>
      </c>
      <c r="R942">
        <v>1519162</v>
      </c>
    </row>
    <row r="943" spans="1:18" x14ac:dyDescent="0.25">
      <c r="A943" s="170">
        <v>43392</v>
      </c>
      <c r="B943" s="116">
        <v>3.8962168298472299</v>
      </c>
      <c r="C943" s="116">
        <v>3.85266156040788</v>
      </c>
      <c r="D943" s="116">
        <v>3.5477746743324401</v>
      </c>
      <c r="E943" s="116">
        <v>3.5477746743324401</v>
      </c>
      <c r="F943" s="116">
        <v>243.25</v>
      </c>
      <c r="G943">
        <v>614</v>
      </c>
      <c r="H943" s="116"/>
      <c r="I943" s="116"/>
      <c r="L943" s="170">
        <v>43390</v>
      </c>
      <c r="M943" s="116">
        <v>231.8</v>
      </c>
      <c r="N943" s="116">
        <v>246.95</v>
      </c>
      <c r="O943" s="116">
        <v>228.1</v>
      </c>
      <c r="P943" s="116">
        <v>243.9</v>
      </c>
      <c r="Q943" s="116">
        <v>231.8</v>
      </c>
      <c r="R943">
        <v>2200201</v>
      </c>
    </row>
    <row r="944" spans="1:18" x14ac:dyDescent="0.25">
      <c r="A944" s="170">
        <v>43395</v>
      </c>
      <c r="B944" s="116">
        <v>4.0316341221041103</v>
      </c>
      <c r="C944" s="116">
        <v>3.5731159220062398</v>
      </c>
      <c r="D944" s="116">
        <v>3.5176819427198001</v>
      </c>
      <c r="E944" s="116">
        <v>4.0316341221041103</v>
      </c>
      <c r="F944" s="116">
        <v>225.6</v>
      </c>
      <c r="G944">
        <v>1037</v>
      </c>
      <c r="H944" s="116"/>
      <c r="I944" s="116"/>
      <c r="L944" s="170">
        <v>43392</v>
      </c>
      <c r="M944" s="116">
        <v>230.65</v>
      </c>
      <c r="N944" s="116">
        <v>239.15</v>
      </c>
      <c r="O944" s="116">
        <v>226.55</v>
      </c>
      <c r="P944" s="116">
        <v>231.9</v>
      </c>
      <c r="Q944" s="116">
        <v>230.65</v>
      </c>
      <c r="R944">
        <v>1698583</v>
      </c>
    </row>
    <row r="945" spans="1:18" x14ac:dyDescent="0.25">
      <c r="A945" s="170">
        <v>43396</v>
      </c>
      <c r="B945" s="116">
        <v>3.7687186774884101</v>
      </c>
      <c r="C945" s="116">
        <v>3.4606641354537402</v>
      </c>
      <c r="D945" s="116">
        <v>3.4052301561672902</v>
      </c>
      <c r="E945" s="116">
        <v>3.6428043531092</v>
      </c>
      <c r="F945" s="116">
        <v>218.5</v>
      </c>
      <c r="G945">
        <v>1808</v>
      </c>
      <c r="H945" s="116"/>
      <c r="I945" s="116"/>
      <c r="L945" s="170">
        <v>43395</v>
      </c>
      <c r="M945" s="116">
        <v>225.7</v>
      </c>
      <c r="N945" s="116">
        <v>233.75</v>
      </c>
      <c r="O945" s="116">
        <v>223</v>
      </c>
      <c r="P945" s="116">
        <v>232</v>
      </c>
      <c r="Q945" s="116">
        <v>225.7</v>
      </c>
      <c r="R945">
        <v>1576606</v>
      </c>
    </row>
    <row r="946" spans="1:18" x14ac:dyDescent="0.25">
      <c r="A946" s="170">
        <v>43397</v>
      </c>
      <c r="B946" s="116">
        <v>3.5636129541285602</v>
      </c>
      <c r="C946" s="116">
        <v>3.4844215551479301</v>
      </c>
      <c r="D946" s="116">
        <v>3.3592991447585301</v>
      </c>
      <c r="E946" s="116">
        <v>3.5636129541285602</v>
      </c>
      <c r="F946" s="116">
        <v>220</v>
      </c>
      <c r="G946">
        <v>1249</v>
      </c>
      <c r="H946" s="116"/>
      <c r="I946" s="116"/>
      <c r="L946" s="170">
        <v>43396</v>
      </c>
      <c r="M946" s="116">
        <v>222.25</v>
      </c>
      <c r="N946" s="116">
        <v>241.5</v>
      </c>
      <c r="O946" s="116">
        <v>216.5</v>
      </c>
      <c r="P946" s="116">
        <v>221.1</v>
      </c>
      <c r="Q946" s="116">
        <v>222.25</v>
      </c>
      <c r="R946">
        <v>4207402</v>
      </c>
    </row>
    <row r="947" spans="1:18" x14ac:dyDescent="0.25">
      <c r="A947" s="170">
        <v>43398</v>
      </c>
      <c r="B947" s="116">
        <v>3.7837650432947298</v>
      </c>
      <c r="C947" s="116">
        <v>3.7077413002733199</v>
      </c>
      <c r="D947" s="116">
        <v>3.3260387571866601</v>
      </c>
      <c r="E947" s="116">
        <v>3.4844215551479301</v>
      </c>
      <c r="F947" s="116">
        <v>234.1</v>
      </c>
      <c r="G947">
        <v>1078</v>
      </c>
      <c r="H947" s="116"/>
      <c r="I947" s="116"/>
      <c r="L947" s="170">
        <v>43397</v>
      </c>
      <c r="M947" s="116">
        <v>249.8</v>
      </c>
      <c r="N947" s="116">
        <v>253.3</v>
      </c>
      <c r="O947" s="116">
        <v>226.7</v>
      </c>
      <c r="P947" s="116">
        <v>226.7</v>
      </c>
      <c r="Q947" s="116">
        <v>249.8</v>
      </c>
      <c r="R947">
        <v>5508544</v>
      </c>
    </row>
    <row r="948" spans="1:18" x14ac:dyDescent="0.25">
      <c r="A948" s="170">
        <v>43399</v>
      </c>
      <c r="B948" s="116">
        <v>3.3418770369827899</v>
      </c>
      <c r="C948" s="116">
        <v>3.1201411198370099</v>
      </c>
      <c r="D948" s="116">
        <v>3.0623313985811502</v>
      </c>
      <c r="E948" s="116">
        <v>3.20329208876668</v>
      </c>
      <c r="F948" s="116">
        <v>197</v>
      </c>
      <c r="G948">
        <v>14746</v>
      </c>
      <c r="H948" s="116"/>
      <c r="I948" s="116"/>
      <c r="L948" s="170">
        <v>43398</v>
      </c>
      <c r="M948" s="116">
        <v>256.95</v>
      </c>
      <c r="N948" s="116">
        <v>259.39999999999998</v>
      </c>
      <c r="O948" s="116">
        <v>241.4</v>
      </c>
      <c r="P948" s="116">
        <v>243.6</v>
      </c>
      <c r="Q948" s="116">
        <v>256.95</v>
      </c>
      <c r="R948">
        <v>3997399</v>
      </c>
    </row>
    <row r="949" spans="1:18" x14ac:dyDescent="0.25">
      <c r="A949" s="170">
        <v>43402</v>
      </c>
      <c r="B949" s="116">
        <v>3.1636963892763599</v>
      </c>
      <c r="C949" s="116">
        <v>2.8445550513844</v>
      </c>
      <c r="D949" s="116">
        <v>2.8350520835067199</v>
      </c>
      <c r="E949" s="116">
        <v>3.0266952690398599</v>
      </c>
      <c r="F949" s="116">
        <v>179.6</v>
      </c>
      <c r="G949">
        <v>10593</v>
      </c>
      <c r="H949" s="116"/>
      <c r="I949" s="116"/>
      <c r="L949" s="170">
        <v>43399</v>
      </c>
      <c r="M949" s="116">
        <v>255.2</v>
      </c>
      <c r="N949" s="116">
        <v>263.2</v>
      </c>
      <c r="O949" s="116">
        <v>246</v>
      </c>
      <c r="P949" s="116">
        <v>255.3</v>
      </c>
      <c r="Q949" s="116">
        <v>255.2</v>
      </c>
      <c r="R949">
        <v>2228229</v>
      </c>
    </row>
    <row r="950" spans="1:18" x14ac:dyDescent="0.25">
      <c r="A950" s="170">
        <v>43403</v>
      </c>
      <c r="B950" s="116">
        <v>3.2468473582060202</v>
      </c>
      <c r="C950" s="116">
        <v>3.18032658306229</v>
      </c>
      <c r="D950" s="116">
        <v>2.8508903633028502</v>
      </c>
      <c r="E950" s="116">
        <v>2.8508903633028502</v>
      </c>
      <c r="F950" s="116">
        <v>200.8</v>
      </c>
      <c r="G950">
        <v>19796</v>
      </c>
      <c r="H950" s="116"/>
      <c r="I950" s="116"/>
      <c r="L950" s="170">
        <v>43402</v>
      </c>
      <c r="M950" s="116">
        <v>267.60000000000002</v>
      </c>
      <c r="N950" s="116">
        <v>272.64999999999998</v>
      </c>
      <c r="O950" s="116">
        <v>247.8</v>
      </c>
      <c r="P950" s="116">
        <v>254.95</v>
      </c>
      <c r="Q950" s="116">
        <v>267.60000000000002</v>
      </c>
      <c r="R950">
        <v>2021125</v>
      </c>
    </row>
    <row r="951" spans="1:18" x14ac:dyDescent="0.25">
      <c r="A951" s="170">
        <v>43404</v>
      </c>
      <c r="B951" s="116">
        <v>3.4052301561672902</v>
      </c>
      <c r="C951" s="116">
        <v>3.3545476608196898</v>
      </c>
      <c r="D951" s="116">
        <v>3.1518176794292598</v>
      </c>
      <c r="E951" s="116">
        <v>3.2468473582060202</v>
      </c>
      <c r="F951" s="116">
        <v>211.8</v>
      </c>
      <c r="G951">
        <v>9624</v>
      </c>
      <c r="H951" s="116"/>
      <c r="I951" s="116"/>
      <c r="L951" s="170">
        <v>43403</v>
      </c>
      <c r="M951" s="116">
        <v>265.05</v>
      </c>
      <c r="N951" s="116">
        <v>274</v>
      </c>
      <c r="O951" s="116">
        <v>263.10000000000002</v>
      </c>
      <c r="P951" s="116">
        <v>264.8</v>
      </c>
      <c r="Q951" s="116">
        <v>265.05</v>
      </c>
      <c r="R951">
        <v>1308018</v>
      </c>
    </row>
    <row r="952" spans="1:18" x14ac:dyDescent="0.25">
      <c r="A952" s="170">
        <v>43405</v>
      </c>
      <c r="B952" s="116">
        <v>3.6428043531092</v>
      </c>
      <c r="C952" s="116">
        <v>3.6190469334150102</v>
      </c>
      <c r="D952" s="116">
        <v>3.35850723076872</v>
      </c>
      <c r="E952" s="116">
        <v>3.3893918763711701</v>
      </c>
      <c r="F952" s="116">
        <v>228.5</v>
      </c>
      <c r="G952">
        <v>3345</v>
      </c>
      <c r="H952" s="116"/>
      <c r="I952" s="116"/>
      <c r="L952" s="170">
        <v>43404</v>
      </c>
      <c r="M952" s="116">
        <v>275.8</v>
      </c>
      <c r="N952" s="116">
        <v>279.8</v>
      </c>
      <c r="O952" s="116">
        <v>246.05</v>
      </c>
      <c r="P952" s="116">
        <v>265</v>
      </c>
      <c r="Q952" s="116">
        <v>275.8</v>
      </c>
      <c r="R952">
        <v>3102508</v>
      </c>
    </row>
    <row r="953" spans="1:18" x14ac:dyDescent="0.25">
      <c r="A953" s="170">
        <v>43406</v>
      </c>
      <c r="B953" s="116">
        <v>3.8803785500511001</v>
      </c>
      <c r="C953" s="116">
        <v>3.6435962670989999</v>
      </c>
      <c r="D953" s="116">
        <v>3.6190469334150102</v>
      </c>
      <c r="E953" s="116">
        <v>3.6586426329053299</v>
      </c>
      <c r="F953" s="116">
        <v>230.05</v>
      </c>
      <c r="G953">
        <v>3176</v>
      </c>
      <c r="H953" s="116"/>
      <c r="I953" s="116"/>
      <c r="L953" s="170">
        <v>43405</v>
      </c>
      <c r="M953" s="116">
        <v>275.95</v>
      </c>
      <c r="N953" s="116">
        <v>282.5</v>
      </c>
      <c r="O953" s="116">
        <v>274.25</v>
      </c>
      <c r="P953" s="116">
        <v>277</v>
      </c>
      <c r="Q953" s="116">
        <v>275.95</v>
      </c>
      <c r="R953">
        <v>1291590</v>
      </c>
    </row>
    <row r="954" spans="1:18" x14ac:dyDescent="0.25">
      <c r="A954" s="170">
        <v>43409</v>
      </c>
      <c r="B954" s="116">
        <v>3.80118715107047</v>
      </c>
      <c r="C954" s="116">
        <v>3.5739078359960499</v>
      </c>
      <c r="D954" s="116">
        <v>3.51609811474018</v>
      </c>
      <c r="E954" s="116">
        <v>3.6428043531092</v>
      </c>
      <c r="F954" s="116">
        <v>225.65</v>
      </c>
      <c r="G954">
        <v>1417</v>
      </c>
      <c r="H954" s="116"/>
      <c r="I954" s="116"/>
      <c r="L954" s="170">
        <v>43406</v>
      </c>
      <c r="M954" s="116">
        <v>274.64999999999998</v>
      </c>
      <c r="N954" s="116">
        <v>285</v>
      </c>
      <c r="O954" s="116">
        <v>272.55</v>
      </c>
      <c r="P954" s="116">
        <v>279</v>
      </c>
      <c r="Q954" s="116">
        <v>274.64999999999998</v>
      </c>
      <c r="R954">
        <v>1551343</v>
      </c>
    </row>
    <row r="955" spans="1:18" x14ac:dyDescent="0.25">
      <c r="A955" s="170">
        <v>43410</v>
      </c>
      <c r="B955" s="116">
        <v>3.7061574722937101</v>
      </c>
      <c r="C955" s="116">
        <v>3.5097628028217298</v>
      </c>
      <c r="D955" s="116">
        <v>3.4844215551479301</v>
      </c>
      <c r="E955" s="116">
        <v>3.4852134691377401</v>
      </c>
      <c r="F955" s="116">
        <v>221.6</v>
      </c>
      <c r="G955">
        <v>857</v>
      </c>
      <c r="H955" s="116"/>
      <c r="I955" s="116"/>
      <c r="L955" s="170">
        <v>43409</v>
      </c>
      <c r="M955" s="116">
        <v>273.85000000000002</v>
      </c>
      <c r="N955" s="116">
        <v>280.8</v>
      </c>
      <c r="O955" s="116">
        <v>264</v>
      </c>
      <c r="P955" s="116">
        <v>277.55</v>
      </c>
      <c r="Q955" s="116">
        <v>273.85000000000002</v>
      </c>
      <c r="R955">
        <v>1293130</v>
      </c>
    </row>
    <row r="956" spans="1:18" x14ac:dyDescent="0.25">
      <c r="A956" s="170">
        <v>43411</v>
      </c>
      <c r="B956" s="116">
        <v>3.7647591075393798</v>
      </c>
      <c r="C956" s="116">
        <v>3.6428043531092</v>
      </c>
      <c r="D956" s="116">
        <v>3.5097628028217298</v>
      </c>
      <c r="E956" s="116">
        <v>3.5097628028217298</v>
      </c>
      <c r="F956" s="116">
        <v>230</v>
      </c>
      <c r="G956">
        <v>843</v>
      </c>
      <c r="H956" s="116"/>
      <c r="I956" s="116"/>
      <c r="L956" s="170">
        <v>43410</v>
      </c>
      <c r="M956" s="116">
        <v>277</v>
      </c>
      <c r="N956" s="116">
        <v>288.75</v>
      </c>
      <c r="O956" s="116">
        <v>274.75</v>
      </c>
      <c r="P956" s="116">
        <v>275</v>
      </c>
      <c r="Q956" s="116">
        <v>277</v>
      </c>
      <c r="R956">
        <v>1521755</v>
      </c>
    </row>
    <row r="957" spans="1:18" x14ac:dyDescent="0.25">
      <c r="A957" s="170">
        <v>43413</v>
      </c>
      <c r="B957" s="116">
        <v>3.73783403188596</v>
      </c>
      <c r="C957" s="116">
        <v>3.62379841735385</v>
      </c>
      <c r="D957" s="116">
        <v>3.57945123392469</v>
      </c>
      <c r="E957" s="116">
        <v>3.73783403188596</v>
      </c>
      <c r="F957" s="116">
        <v>228.8</v>
      </c>
      <c r="G957">
        <v>955</v>
      </c>
      <c r="H957" s="116"/>
      <c r="I957" s="116"/>
      <c r="L957" s="170">
        <v>43411</v>
      </c>
      <c r="M957" s="116">
        <v>280.2</v>
      </c>
      <c r="N957" s="116">
        <v>282.3</v>
      </c>
      <c r="O957" s="116">
        <v>276.7</v>
      </c>
      <c r="P957" s="116">
        <v>276.7</v>
      </c>
      <c r="Q957" s="116">
        <v>280.2</v>
      </c>
      <c r="R957">
        <v>163908</v>
      </c>
    </row>
    <row r="958" spans="1:18" x14ac:dyDescent="0.25">
      <c r="A958" s="170">
        <v>43416</v>
      </c>
      <c r="B958" s="116">
        <v>3.8265283987442702</v>
      </c>
      <c r="C958" s="116">
        <v>3.6950706764364201</v>
      </c>
      <c r="D958" s="116">
        <v>3.4844215551479301</v>
      </c>
      <c r="E958" s="116">
        <v>3.8265283987442702</v>
      </c>
      <c r="F958" s="116">
        <v>233.3</v>
      </c>
      <c r="G958">
        <v>724</v>
      </c>
      <c r="H958" s="116"/>
      <c r="I958" s="116"/>
      <c r="L958" s="170">
        <v>43413</v>
      </c>
      <c r="M958" s="116">
        <v>281.3</v>
      </c>
      <c r="N958" s="116">
        <v>285.75</v>
      </c>
      <c r="O958" s="116">
        <v>276</v>
      </c>
      <c r="P958" s="116">
        <v>280.10000000000002</v>
      </c>
      <c r="Q958" s="116">
        <v>281.3</v>
      </c>
      <c r="R958">
        <v>711075</v>
      </c>
    </row>
    <row r="959" spans="1:18" x14ac:dyDescent="0.25">
      <c r="A959" s="170">
        <v>43417</v>
      </c>
      <c r="B959" s="116">
        <v>3.7212038381000299</v>
      </c>
      <c r="C959" s="116">
        <v>3.5549019002406901</v>
      </c>
      <c r="D959" s="116">
        <v>3.18349423902152</v>
      </c>
      <c r="E959" s="116">
        <v>3.4923406950459901</v>
      </c>
      <c r="F959" s="116">
        <v>224.45</v>
      </c>
      <c r="G959">
        <v>1728</v>
      </c>
      <c r="H959" s="116"/>
      <c r="I959" s="116"/>
      <c r="L959" s="170">
        <v>43416</v>
      </c>
      <c r="M959" s="116">
        <v>275.89999999999998</v>
      </c>
      <c r="N959" s="116">
        <v>283.5</v>
      </c>
      <c r="O959" s="116">
        <v>273</v>
      </c>
      <c r="P959" s="116">
        <v>282</v>
      </c>
      <c r="Q959" s="116">
        <v>275.89999999999998</v>
      </c>
      <c r="R959">
        <v>641248</v>
      </c>
    </row>
    <row r="960" spans="1:18" x14ac:dyDescent="0.25">
      <c r="A960" s="170">
        <v>43418</v>
      </c>
      <c r="B960" s="116">
        <v>3.7505046557228598</v>
      </c>
      <c r="C960" s="116">
        <v>3.5612372121591398</v>
      </c>
      <c r="D960" s="116">
        <v>3.5477746743324401</v>
      </c>
      <c r="E960" s="116">
        <v>3.5477746743324401</v>
      </c>
      <c r="F960" s="116">
        <v>224.85</v>
      </c>
      <c r="G960">
        <v>577</v>
      </c>
      <c r="H960" s="116"/>
      <c r="I960" s="116"/>
      <c r="L960" s="170">
        <v>43417</v>
      </c>
      <c r="M960" s="116">
        <v>282.2</v>
      </c>
      <c r="N960" s="116">
        <v>283.45</v>
      </c>
      <c r="O960" s="116">
        <v>270.55</v>
      </c>
      <c r="P960" s="116">
        <v>276.95</v>
      </c>
      <c r="Q960" s="116">
        <v>282.2</v>
      </c>
      <c r="R960">
        <v>708468</v>
      </c>
    </row>
    <row r="961" spans="1:18" x14ac:dyDescent="0.25">
      <c r="A961" s="170">
        <v>43419</v>
      </c>
      <c r="B961" s="116">
        <v>3.7505046557228598</v>
      </c>
      <c r="C961" s="116">
        <v>3.5620291261489498</v>
      </c>
      <c r="D961" s="116">
        <v>3.3893918763711701</v>
      </c>
      <c r="E961" s="116">
        <v>3.5636129541285602</v>
      </c>
      <c r="F961" s="116">
        <v>224.9</v>
      </c>
      <c r="G961">
        <v>850</v>
      </c>
      <c r="H961" s="116"/>
      <c r="I961" s="116"/>
      <c r="L961" s="170">
        <v>43418</v>
      </c>
      <c r="M961" s="116">
        <v>278.3</v>
      </c>
      <c r="N961" s="116">
        <v>284.5</v>
      </c>
      <c r="O961" s="116">
        <v>276.05</v>
      </c>
      <c r="P961" s="116">
        <v>284</v>
      </c>
      <c r="Q961" s="116">
        <v>278.3</v>
      </c>
      <c r="R961">
        <v>416738</v>
      </c>
    </row>
    <row r="962" spans="1:18" x14ac:dyDescent="0.25">
      <c r="A962" s="170">
        <v>43420</v>
      </c>
      <c r="B962" s="116">
        <v>3.4852134691377401</v>
      </c>
      <c r="C962" s="116">
        <v>3.1423147115515899</v>
      </c>
      <c r="D962" s="116">
        <v>3.0092731612641201</v>
      </c>
      <c r="E962" s="116">
        <v>3.4052301561672902</v>
      </c>
      <c r="F962" s="116">
        <v>198.4</v>
      </c>
      <c r="G962">
        <v>4759</v>
      </c>
      <c r="H962" s="116"/>
      <c r="I962" s="116"/>
      <c r="L962" s="170">
        <v>43419</v>
      </c>
      <c r="M962" s="116">
        <v>277.7</v>
      </c>
      <c r="N962" s="116">
        <v>285.75</v>
      </c>
      <c r="O962" s="116">
        <v>268.5</v>
      </c>
      <c r="P962" s="116">
        <v>278</v>
      </c>
      <c r="Q962" s="116">
        <v>277.7</v>
      </c>
      <c r="R962">
        <v>1321100</v>
      </c>
    </row>
    <row r="963" spans="1:18" x14ac:dyDescent="0.25">
      <c r="A963" s="170">
        <v>43423</v>
      </c>
      <c r="B963" s="116">
        <v>3.3260387571866601</v>
      </c>
      <c r="C963" s="116">
        <v>3.2127950566443499</v>
      </c>
      <c r="D963" s="116">
        <v>3.1359793996331402</v>
      </c>
      <c r="E963" s="116">
        <v>3.1423147115515899</v>
      </c>
      <c r="F963" s="116">
        <v>202.85</v>
      </c>
      <c r="G963">
        <v>10517</v>
      </c>
      <c r="H963" s="116"/>
      <c r="I963" s="116"/>
      <c r="L963" s="170">
        <v>43420</v>
      </c>
      <c r="M963" s="116">
        <v>265.60000000000002</v>
      </c>
      <c r="N963" s="116">
        <v>281.5</v>
      </c>
      <c r="O963" s="116">
        <v>257.85000000000002</v>
      </c>
      <c r="P963" s="116">
        <v>277.7</v>
      </c>
      <c r="Q963" s="116">
        <v>265.60000000000002</v>
      </c>
      <c r="R963">
        <v>1221311</v>
      </c>
    </row>
    <row r="964" spans="1:18" x14ac:dyDescent="0.25">
      <c r="A964" s="170">
        <v>43424</v>
      </c>
      <c r="B964" s="116">
        <v>3.35771531677891</v>
      </c>
      <c r="C964" s="116">
        <v>3.30544899345169</v>
      </c>
      <c r="D964" s="116">
        <v>3.1518176794292598</v>
      </c>
      <c r="E964" s="116">
        <v>3.35771531677891</v>
      </c>
      <c r="F964" s="116">
        <v>208.7</v>
      </c>
      <c r="G964">
        <v>9316</v>
      </c>
      <c r="H964" s="116"/>
      <c r="I964" s="116"/>
      <c r="L964" s="170">
        <v>43423</v>
      </c>
      <c r="M964" s="116">
        <v>266.55</v>
      </c>
      <c r="N964" s="116">
        <v>270.60000000000002</v>
      </c>
      <c r="O964" s="116">
        <v>262.39999999999998</v>
      </c>
      <c r="P964" s="116">
        <v>269.05</v>
      </c>
      <c r="Q964" s="116">
        <v>266.55</v>
      </c>
      <c r="R964">
        <v>564058</v>
      </c>
    </row>
    <row r="965" spans="1:18" x14ac:dyDescent="0.25">
      <c r="A965" s="170">
        <v>43425</v>
      </c>
      <c r="B965" s="116">
        <v>3.2943621975944102</v>
      </c>
      <c r="C965" s="116">
        <v>3.1763670131132602</v>
      </c>
      <c r="D965" s="116">
        <v>3.17240744316423</v>
      </c>
      <c r="E965" s="116">
        <v>3.2943621975944102</v>
      </c>
      <c r="F965" s="116">
        <v>200.55</v>
      </c>
      <c r="G965">
        <v>2842</v>
      </c>
      <c r="H965" s="116"/>
      <c r="I965" s="116"/>
      <c r="L965" s="170">
        <v>43424</v>
      </c>
      <c r="M965" s="116">
        <v>257.64999999999998</v>
      </c>
      <c r="N965" s="116">
        <v>266.8</v>
      </c>
      <c r="O965" s="116">
        <v>254.4</v>
      </c>
      <c r="P965" s="116">
        <v>266</v>
      </c>
      <c r="Q965" s="116">
        <v>257.64999999999998</v>
      </c>
      <c r="R965">
        <v>1032154</v>
      </c>
    </row>
    <row r="966" spans="1:18" x14ac:dyDescent="0.25">
      <c r="A966" s="170">
        <v>43426</v>
      </c>
      <c r="B966" s="116">
        <v>3.44245011368819</v>
      </c>
      <c r="C966" s="116">
        <v>3.24288778825699</v>
      </c>
      <c r="D966" s="116">
        <v>3.1375632276127501</v>
      </c>
      <c r="E966" s="116">
        <v>3.44245011368819</v>
      </c>
      <c r="F966" s="116">
        <v>204.75</v>
      </c>
      <c r="G966">
        <v>2928</v>
      </c>
      <c r="H966" s="116"/>
      <c r="I966" s="116"/>
      <c r="L966" s="170">
        <v>43425</v>
      </c>
      <c r="M966" s="116">
        <v>264.55</v>
      </c>
      <c r="N966" s="116">
        <v>268.10000000000002</v>
      </c>
      <c r="O966" s="116">
        <v>256.3</v>
      </c>
      <c r="P966" s="116">
        <v>257.05</v>
      </c>
      <c r="Q966" s="116">
        <v>264.55</v>
      </c>
      <c r="R966">
        <v>675117</v>
      </c>
    </row>
    <row r="967" spans="1:18" x14ac:dyDescent="0.25">
      <c r="A967" s="170">
        <v>43430</v>
      </c>
      <c r="B967" s="116">
        <v>3.42106843596342</v>
      </c>
      <c r="C967" s="116">
        <v>3.18349423902152</v>
      </c>
      <c r="D967" s="116">
        <v>3.1359793996331402</v>
      </c>
      <c r="E967" s="116">
        <v>3.2468473582060202</v>
      </c>
      <c r="F967" s="116">
        <v>201</v>
      </c>
      <c r="G967">
        <v>4733</v>
      </c>
      <c r="H967" s="116"/>
      <c r="I967" s="116"/>
      <c r="L967" s="170">
        <v>43426</v>
      </c>
      <c r="M967" s="116">
        <v>259.64999999999998</v>
      </c>
      <c r="N967" s="116">
        <v>266.89999999999998</v>
      </c>
      <c r="O967" s="116">
        <v>258.05</v>
      </c>
      <c r="P967" s="116">
        <v>266.2</v>
      </c>
      <c r="Q967" s="116">
        <v>259.64999999999998</v>
      </c>
      <c r="R967">
        <v>564021</v>
      </c>
    </row>
    <row r="968" spans="1:18" x14ac:dyDescent="0.25">
      <c r="A968" s="170">
        <v>43431</v>
      </c>
      <c r="B968" s="116">
        <v>3.3418770369827899</v>
      </c>
      <c r="C968" s="116">
        <v>3.2397201322977698</v>
      </c>
      <c r="D968" s="116">
        <v>3.1518176794292598</v>
      </c>
      <c r="E968" s="116">
        <v>3.18349423902152</v>
      </c>
      <c r="F968" s="116">
        <v>204.55</v>
      </c>
      <c r="G968">
        <v>1785</v>
      </c>
      <c r="H968" s="116"/>
      <c r="I968" s="116"/>
      <c r="L968" s="170">
        <v>43430</v>
      </c>
      <c r="M968" s="116">
        <v>253.85</v>
      </c>
      <c r="N968" s="116">
        <v>262</v>
      </c>
      <c r="O968" s="116">
        <v>247.45</v>
      </c>
      <c r="P968" s="116">
        <v>261.8</v>
      </c>
      <c r="Q968" s="116">
        <v>253.85</v>
      </c>
      <c r="R968">
        <v>714344</v>
      </c>
    </row>
    <row r="969" spans="1:18" x14ac:dyDescent="0.25">
      <c r="A969" s="170">
        <v>43432</v>
      </c>
      <c r="B969" s="116">
        <v>3.3561314887993001</v>
      </c>
      <c r="C969" s="116">
        <v>3.2151707986137699</v>
      </c>
      <c r="D969" s="116">
        <v>3.1676559592253901</v>
      </c>
      <c r="E969" s="116">
        <v>3.2484311861856399</v>
      </c>
      <c r="F969" s="116">
        <v>203</v>
      </c>
      <c r="G969">
        <v>1206</v>
      </c>
      <c r="H969" s="116"/>
      <c r="I969" s="116"/>
      <c r="L969" s="170">
        <v>43431</v>
      </c>
      <c r="M969" s="116">
        <v>257.64999999999998</v>
      </c>
      <c r="N969" s="116">
        <v>259.25</v>
      </c>
      <c r="O969" s="116">
        <v>250.65</v>
      </c>
      <c r="P969" s="116">
        <v>253.85</v>
      </c>
      <c r="Q969" s="116">
        <v>257.64999999999998</v>
      </c>
      <c r="R969">
        <v>643563</v>
      </c>
    </row>
    <row r="970" spans="1:18" x14ac:dyDescent="0.25">
      <c r="A970" s="170">
        <v>43433</v>
      </c>
      <c r="B970" s="116">
        <v>3.3062409074415</v>
      </c>
      <c r="C970" s="116">
        <v>3.3062409074415</v>
      </c>
      <c r="D970" s="116">
        <v>3.18349423902152</v>
      </c>
      <c r="E970" s="116">
        <v>3.19933251881764</v>
      </c>
      <c r="F970" s="116">
        <v>208.75</v>
      </c>
      <c r="G970">
        <v>951</v>
      </c>
      <c r="H970" s="116"/>
      <c r="I970" s="116"/>
      <c r="L970" s="170">
        <v>43432</v>
      </c>
      <c r="M970" s="116">
        <v>257.75</v>
      </c>
      <c r="N970" s="116">
        <v>266.14999999999998</v>
      </c>
      <c r="O970" s="116">
        <v>253.65</v>
      </c>
      <c r="P970" s="116">
        <v>257</v>
      </c>
      <c r="Q970" s="116">
        <v>257.75</v>
      </c>
      <c r="R970">
        <v>687407</v>
      </c>
    </row>
    <row r="971" spans="1:18" x14ac:dyDescent="0.25">
      <c r="A971" s="170">
        <v>43434</v>
      </c>
      <c r="B971" s="116">
        <v>3.2468473582060202</v>
      </c>
      <c r="C971" s="116">
        <v>3.2468473582060202</v>
      </c>
      <c r="D971" s="116">
        <v>3.1874538089705502</v>
      </c>
      <c r="E971" s="116">
        <v>3.2468473582060202</v>
      </c>
      <c r="F971" s="116">
        <v>205</v>
      </c>
      <c r="G971">
        <v>457</v>
      </c>
      <c r="H971" s="116"/>
      <c r="I971" s="116"/>
      <c r="L971" s="170">
        <v>43433</v>
      </c>
      <c r="M971" s="116">
        <v>267.45</v>
      </c>
      <c r="N971" s="116">
        <v>269.8</v>
      </c>
      <c r="O971" s="116">
        <v>255.3</v>
      </c>
      <c r="P971" s="116">
        <v>259.35000000000002</v>
      </c>
      <c r="Q971" s="116">
        <v>267.45</v>
      </c>
      <c r="R971">
        <v>927302</v>
      </c>
    </row>
    <row r="972" spans="1:18" x14ac:dyDescent="0.25">
      <c r="A972" s="170">
        <v>43437</v>
      </c>
      <c r="B972" s="116">
        <v>3.4052301561672902</v>
      </c>
      <c r="C972" s="116">
        <v>3.2064597447258998</v>
      </c>
      <c r="D972" s="116">
        <v>3.1066785820103</v>
      </c>
      <c r="E972" s="116">
        <v>3.2175465405831898</v>
      </c>
      <c r="F972" s="116">
        <v>202.45</v>
      </c>
      <c r="G972">
        <v>4327</v>
      </c>
      <c r="H972" s="116"/>
      <c r="I972" s="116"/>
      <c r="L972" s="170">
        <v>43434</v>
      </c>
      <c r="M972" s="116">
        <v>269.85000000000002</v>
      </c>
      <c r="N972" s="116">
        <v>279.7</v>
      </c>
      <c r="O972" s="116">
        <v>265.8</v>
      </c>
      <c r="P972" s="116">
        <v>270</v>
      </c>
      <c r="Q972" s="116">
        <v>269.85000000000002</v>
      </c>
      <c r="R972">
        <v>1538831</v>
      </c>
    </row>
    <row r="973" spans="1:18" x14ac:dyDescent="0.25">
      <c r="A973" s="170">
        <v>43438</v>
      </c>
      <c r="B973" s="116">
        <v>3.4004786722284601</v>
      </c>
      <c r="C973" s="116">
        <v>3.3070328214313101</v>
      </c>
      <c r="D973" s="116">
        <v>3.1676559592253901</v>
      </c>
      <c r="E973" s="116">
        <v>3.2120031426545501</v>
      </c>
      <c r="F973" s="116">
        <v>208.8</v>
      </c>
      <c r="G973">
        <v>2548</v>
      </c>
      <c r="H973" s="116"/>
      <c r="I973" s="116"/>
      <c r="L973" s="170">
        <v>43437</v>
      </c>
      <c r="M973" s="116">
        <v>267.55</v>
      </c>
      <c r="N973" s="116">
        <v>272.8</v>
      </c>
      <c r="O973" s="116">
        <v>264.39999999999998</v>
      </c>
      <c r="P973" s="116">
        <v>270.10000000000002</v>
      </c>
      <c r="Q973" s="116">
        <v>267.55</v>
      </c>
      <c r="R973">
        <v>471044</v>
      </c>
    </row>
    <row r="974" spans="1:18" x14ac:dyDescent="0.25">
      <c r="A974" s="170">
        <v>43439</v>
      </c>
      <c r="B974" s="116">
        <v>3.35771531677891</v>
      </c>
      <c r="C974" s="116">
        <v>3.2975298535536299</v>
      </c>
      <c r="D974" s="116">
        <v>3.169239787205</v>
      </c>
      <c r="E974" s="116">
        <v>3.169239787205</v>
      </c>
      <c r="F974" s="116">
        <v>208.2</v>
      </c>
      <c r="G974">
        <v>347</v>
      </c>
      <c r="H974" s="116"/>
      <c r="I974" s="116"/>
      <c r="L974" s="170">
        <v>43438</v>
      </c>
      <c r="M974" s="116">
        <v>261.5</v>
      </c>
      <c r="N974" s="116">
        <v>270</v>
      </c>
      <c r="O974" s="116">
        <v>259.2</v>
      </c>
      <c r="P974" s="116">
        <v>268</v>
      </c>
      <c r="Q974" s="116">
        <v>261.5</v>
      </c>
      <c r="R974">
        <v>667633</v>
      </c>
    </row>
    <row r="975" spans="1:18" x14ac:dyDescent="0.25">
      <c r="A975" s="170">
        <v>43440</v>
      </c>
      <c r="B975" s="116">
        <v>3.3529638328400702</v>
      </c>
      <c r="C975" s="116">
        <v>3.2230899385118299</v>
      </c>
      <c r="D975" s="116">
        <v>3.1375632276127501</v>
      </c>
      <c r="E975" s="116">
        <v>3.3529638328400702</v>
      </c>
      <c r="F975" s="116">
        <v>203.5</v>
      </c>
      <c r="G975">
        <v>2162</v>
      </c>
      <c r="H975" s="116"/>
      <c r="I975" s="116"/>
      <c r="L975" s="170">
        <v>43439</v>
      </c>
      <c r="M975" s="116">
        <v>249.6</v>
      </c>
      <c r="N975" s="116">
        <v>265.95</v>
      </c>
      <c r="O975" s="116">
        <v>246.4</v>
      </c>
      <c r="P975" s="116">
        <v>262</v>
      </c>
      <c r="Q975" s="116">
        <v>249.6</v>
      </c>
      <c r="R975">
        <v>1269752</v>
      </c>
    </row>
    <row r="976" spans="1:18" x14ac:dyDescent="0.25">
      <c r="A976" s="170">
        <v>43441</v>
      </c>
      <c r="B976" s="116">
        <v>3.3197034452682099</v>
      </c>
      <c r="C976" s="116">
        <v>3.21041931467493</v>
      </c>
      <c r="D976" s="116">
        <v>3.1676559592253901</v>
      </c>
      <c r="E976" s="116">
        <v>3.3197034452682099</v>
      </c>
      <c r="F976" s="116">
        <v>202.7</v>
      </c>
      <c r="G976">
        <v>189</v>
      </c>
      <c r="H976" s="116"/>
      <c r="I976" s="116"/>
      <c r="L976" s="170">
        <v>43440</v>
      </c>
      <c r="M976" s="116">
        <v>240.75</v>
      </c>
      <c r="N976" s="116">
        <v>248.65</v>
      </c>
      <c r="O976" s="116">
        <v>238.6</v>
      </c>
      <c r="P976" s="116">
        <v>247</v>
      </c>
      <c r="Q976" s="116">
        <v>240.75</v>
      </c>
      <c r="R976">
        <v>941560</v>
      </c>
    </row>
    <row r="977" spans="1:18" x14ac:dyDescent="0.25">
      <c r="A977" s="170">
        <v>43444</v>
      </c>
      <c r="B977" s="116">
        <v>3.3102004773905298</v>
      </c>
      <c r="C977" s="116">
        <v>3.3078247354211099</v>
      </c>
      <c r="D977" s="116">
        <v>3.1359793996331402</v>
      </c>
      <c r="E977" s="116">
        <v>3.1359793996331402</v>
      </c>
      <c r="F977" s="116">
        <v>208.85</v>
      </c>
      <c r="G977">
        <v>699</v>
      </c>
      <c r="H977" s="116"/>
      <c r="I977" s="116"/>
      <c r="L977" s="170">
        <v>43441</v>
      </c>
      <c r="M977" s="116">
        <v>239.7</v>
      </c>
      <c r="N977" s="116">
        <v>245.05</v>
      </c>
      <c r="O977" s="116">
        <v>232.65</v>
      </c>
      <c r="P977" s="116">
        <v>242</v>
      </c>
      <c r="Q977" s="116">
        <v>239.7</v>
      </c>
      <c r="R977">
        <v>724994</v>
      </c>
    </row>
    <row r="978" spans="1:18" x14ac:dyDescent="0.25">
      <c r="A978" s="170">
        <v>43445</v>
      </c>
      <c r="B978" s="116">
        <v>3.4677913613619999</v>
      </c>
      <c r="C978" s="116">
        <v>3.25397458411428</v>
      </c>
      <c r="D978" s="116">
        <v>3.1676559592253901</v>
      </c>
      <c r="E978" s="116">
        <v>3.4677913613619999</v>
      </c>
      <c r="F978" s="116">
        <v>205.45</v>
      </c>
      <c r="G978">
        <v>7160</v>
      </c>
      <c r="H978" s="116"/>
      <c r="I978" s="116"/>
      <c r="L978" s="170">
        <v>43444</v>
      </c>
      <c r="M978" s="116">
        <v>234.15</v>
      </c>
      <c r="N978" s="116">
        <v>236.5</v>
      </c>
      <c r="O978" s="116">
        <v>231.35</v>
      </c>
      <c r="P978" s="116">
        <v>233</v>
      </c>
      <c r="Q978" s="116">
        <v>234.15</v>
      </c>
      <c r="R978">
        <v>382131</v>
      </c>
    </row>
    <row r="979" spans="1:18" x14ac:dyDescent="0.25">
      <c r="A979" s="170">
        <v>43446</v>
      </c>
      <c r="B979" s="116">
        <v>3.2468473582060202</v>
      </c>
      <c r="C979" s="116">
        <v>3.2444716162366101</v>
      </c>
      <c r="D979" s="116">
        <v>3.18349423902152</v>
      </c>
      <c r="E979" s="116">
        <v>3.2468473582060202</v>
      </c>
      <c r="F979" s="116">
        <v>204.85</v>
      </c>
      <c r="G979">
        <v>4889</v>
      </c>
      <c r="H979" s="116"/>
      <c r="I979" s="116"/>
      <c r="L979" s="170">
        <v>43445</v>
      </c>
      <c r="M979" s="116">
        <v>235.15</v>
      </c>
      <c r="N979" s="116">
        <v>244.8</v>
      </c>
      <c r="O979" s="116">
        <v>226.4</v>
      </c>
      <c r="P979" s="116">
        <v>226.4</v>
      </c>
      <c r="Q979" s="116">
        <v>235.15</v>
      </c>
      <c r="R979">
        <v>1109419</v>
      </c>
    </row>
    <row r="980" spans="1:18" x14ac:dyDescent="0.25">
      <c r="A980" s="170">
        <v>43447</v>
      </c>
      <c r="B980" s="116">
        <v>3.2785239177982799</v>
      </c>
      <c r="C980" s="116">
        <v>3.2523907561346701</v>
      </c>
      <c r="D980" s="116">
        <v>3.2310090784099001</v>
      </c>
      <c r="E980" s="116">
        <v>3.2785239177982799</v>
      </c>
      <c r="F980" s="116">
        <v>205.35</v>
      </c>
      <c r="G980">
        <v>1831</v>
      </c>
      <c r="H980" s="116"/>
      <c r="I980" s="116"/>
      <c r="L980" s="170">
        <v>43446</v>
      </c>
      <c r="M980" s="116">
        <v>254.45</v>
      </c>
      <c r="N980" s="116">
        <v>255.9</v>
      </c>
      <c r="O980" s="116">
        <v>236.15</v>
      </c>
      <c r="P980" s="116">
        <v>236.15</v>
      </c>
      <c r="Q980" s="116">
        <v>254.45</v>
      </c>
      <c r="R980">
        <v>2492996</v>
      </c>
    </row>
    <row r="981" spans="1:18" x14ac:dyDescent="0.25">
      <c r="A981" s="170">
        <v>43448</v>
      </c>
      <c r="B981" s="116">
        <v>3.4448258556576099</v>
      </c>
      <c r="C981" s="116">
        <v>3.2420958742671901</v>
      </c>
      <c r="D981" s="116">
        <v>3.19933251881764</v>
      </c>
      <c r="E981" s="116">
        <v>3.4448258556576099</v>
      </c>
      <c r="F981" s="116">
        <v>204.7</v>
      </c>
      <c r="G981">
        <v>1770</v>
      </c>
      <c r="H981" s="116"/>
      <c r="I981" s="116"/>
      <c r="L981" s="170">
        <v>43447</v>
      </c>
      <c r="M981" s="116">
        <v>266.5</v>
      </c>
      <c r="N981" s="116">
        <v>275</v>
      </c>
      <c r="O981" s="116">
        <v>254.45</v>
      </c>
      <c r="P981" s="116">
        <v>255</v>
      </c>
      <c r="Q981" s="116">
        <v>266.5</v>
      </c>
      <c r="R981">
        <v>3014335</v>
      </c>
    </row>
    <row r="982" spans="1:18" x14ac:dyDescent="0.25">
      <c r="A982" s="170">
        <v>43451</v>
      </c>
      <c r="B982" s="116">
        <v>3.8550373023772999</v>
      </c>
      <c r="C982" s="116">
        <v>3.6467639230582298</v>
      </c>
      <c r="D982" s="116">
        <v>3.2793158317880802</v>
      </c>
      <c r="E982" s="116">
        <v>3.3260387571866601</v>
      </c>
      <c r="F982" s="116">
        <v>230.25</v>
      </c>
      <c r="G982">
        <v>10143</v>
      </c>
      <c r="H982" s="116"/>
      <c r="I982" s="116"/>
      <c r="L982" s="170">
        <v>43448</v>
      </c>
      <c r="M982" s="116">
        <v>278.60000000000002</v>
      </c>
      <c r="N982" s="116">
        <v>281.95</v>
      </c>
      <c r="O982" s="116">
        <v>260.2</v>
      </c>
      <c r="P982" s="116">
        <v>265.8</v>
      </c>
      <c r="Q982" s="116">
        <v>278.60000000000002</v>
      </c>
      <c r="R982">
        <v>2961622</v>
      </c>
    </row>
    <row r="983" spans="1:18" x14ac:dyDescent="0.25">
      <c r="A983" s="170">
        <v>43452</v>
      </c>
      <c r="B983" s="116">
        <v>3.73466637592673</v>
      </c>
      <c r="C983" s="116">
        <v>3.6396366971499701</v>
      </c>
      <c r="D983" s="116">
        <v>3.42106843596342</v>
      </c>
      <c r="E983" s="116">
        <v>3.4376986297493501</v>
      </c>
      <c r="F983" s="116">
        <v>229.8</v>
      </c>
      <c r="G983">
        <v>2747</v>
      </c>
      <c r="H983" s="116"/>
      <c r="I983" s="116"/>
      <c r="L983" s="170">
        <v>43451</v>
      </c>
      <c r="M983" s="116">
        <v>275.60000000000002</v>
      </c>
      <c r="N983" s="116">
        <v>280.14999999999998</v>
      </c>
      <c r="O983" s="116">
        <v>272.8</v>
      </c>
      <c r="P983" s="116">
        <v>276.10000000000002</v>
      </c>
      <c r="Q983" s="116">
        <v>275.60000000000002</v>
      </c>
      <c r="R983">
        <v>685591</v>
      </c>
    </row>
    <row r="984" spans="1:18" x14ac:dyDescent="0.25">
      <c r="A984" s="170">
        <v>43453</v>
      </c>
      <c r="B984" s="116">
        <v>3.95956994903174</v>
      </c>
      <c r="C984" s="116">
        <v>3.7718863334476298</v>
      </c>
      <c r="D984" s="116">
        <v>3.6435962670989999</v>
      </c>
      <c r="E984" s="116">
        <v>3.6435962670989999</v>
      </c>
      <c r="F984" s="116">
        <v>238.15</v>
      </c>
      <c r="G984">
        <v>4179</v>
      </c>
      <c r="H984" s="116"/>
      <c r="I984" s="116"/>
      <c r="L984" s="170">
        <v>43452</v>
      </c>
      <c r="M984" s="116">
        <v>278.05</v>
      </c>
      <c r="N984" s="116">
        <v>281</v>
      </c>
      <c r="O984" s="116">
        <v>271.89999999999998</v>
      </c>
      <c r="P984" s="116">
        <v>272</v>
      </c>
      <c r="Q984" s="116">
        <v>278.05</v>
      </c>
      <c r="R984">
        <v>965727</v>
      </c>
    </row>
    <row r="985" spans="1:18" x14ac:dyDescent="0.25">
      <c r="A985" s="170">
        <v>43454</v>
      </c>
      <c r="B985" s="116">
        <v>3.9120551096433598</v>
      </c>
      <c r="C985" s="116">
        <v>3.8882976899491699</v>
      </c>
      <c r="D985" s="116">
        <v>3.7536723116820898</v>
      </c>
      <c r="E985" s="116">
        <v>3.8787947220714898</v>
      </c>
      <c r="F985" s="116">
        <v>245.5</v>
      </c>
      <c r="G985">
        <v>1157</v>
      </c>
      <c r="H985" s="116"/>
      <c r="I985" s="116"/>
      <c r="L985" s="170">
        <v>43453</v>
      </c>
      <c r="M985" s="116">
        <v>286.64999999999998</v>
      </c>
      <c r="N985" s="116">
        <v>289</v>
      </c>
      <c r="O985" s="116">
        <v>280.45</v>
      </c>
      <c r="P985" s="116">
        <v>280.55</v>
      </c>
      <c r="Q985" s="116">
        <v>286.64999999999998</v>
      </c>
      <c r="R985">
        <v>2678955</v>
      </c>
    </row>
    <row r="986" spans="1:18" x14ac:dyDescent="0.25">
      <c r="A986" s="170">
        <v>43455</v>
      </c>
      <c r="B986" s="116">
        <v>4.08548427341095</v>
      </c>
      <c r="C986" s="116">
        <v>3.80118715107047</v>
      </c>
      <c r="D986" s="116">
        <v>3.7219957520898301</v>
      </c>
      <c r="E986" s="116">
        <v>4.08548427341095</v>
      </c>
      <c r="F986" s="116">
        <v>240</v>
      </c>
      <c r="G986">
        <v>1338</v>
      </c>
      <c r="H986" s="116"/>
      <c r="I986" s="116"/>
      <c r="L986" s="170">
        <v>43454</v>
      </c>
      <c r="M986" s="116">
        <v>289.39999999999998</v>
      </c>
      <c r="N986" s="116">
        <v>293.25</v>
      </c>
      <c r="O986" s="116">
        <v>283</v>
      </c>
      <c r="P986" s="116">
        <v>284.2</v>
      </c>
      <c r="Q986" s="116">
        <v>289.39999999999998</v>
      </c>
      <c r="R986">
        <v>1973626</v>
      </c>
    </row>
    <row r="987" spans="1:18" x14ac:dyDescent="0.25">
      <c r="A987" s="170">
        <v>43458</v>
      </c>
      <c r="B987" s="116">
        <v>3.9437316692356101</v>
      </c>
      <c r="C987" s="116">
        <v>3.7061574722937101</v>
      </c>
      <c r="D987" s="116">
        <v>3.5319363945363098</v>
      </c>
      <c r="E987" s="116">
        <v>3.5319363945363098</v>
      </c>
      <c r="F987" s="116">
        <v>234</v>
      </c>
      <c r="G987">
        <v>1600</v>
      </c>
      <c r="H987" s="116"/>
      <c r="I987" s="116"/>
      <c r="L987" s="170">
        <v>43455</v>
      </c>
      <c r="M987" s="116">
        <v>278.14999999999998</v>
      </c>
      <c r="N987" s="116">
        <v>297</v>
      </c>
      <c r="O987" s="116">
        <v>276</v>
      </c>
      <c r="P987" s="116">
        <v>290.05</v>
      </c>
      <c r="Q987" s="116">
        <v>278.14999999999998</v>
      </c>
      <c r="R987">
        <v>2472656</v>
      </c>
    </row>
    <row r="988" spans="1:18" x14ac:dyDescent="0.25">
      <c r="A988" s="170">
        <v>43460</v>
      </c>
      <c r="B988" s="116">
        <v>3.80118715107047</v>
      </c>
      <c r="C988" s="116">
        <v>3.7069493862835099</v>
      </c>
      <c r="D988" s="116">
        <v>3.6586426329053299</v>
      </c>
      <c r="E988" s="116">
        <v>3.6586426329053299</v>
      </c>
      <c r="F988" s="116">
        <v>234.05</v>
      </c>
      <c r="G988">
        <v>1079</v>
      </c>
      <c r="H988" s="116"/>
      <c r="I988" s="116"/>
      <c r="L988" s="170">
        <v>43458</v>
      </c>
      <c r="M988" s="116">
        <v>276.39999999999998</v>
      </c>
      <c r="N988" s="116">
        <v>284.75</v>
      </c>
      <c r="O988" s="116">
        <v>275.14999999999998</v>
      </c>
      <c r="P988" s="116">
        <v>278.75</v>
      </c>
      <c r="Q988" s="116">
        <v>276.39999999999998</v>
      </c>
      <c r="R988">
        <v>1113170</v>
      </c>
    </row>
    <row r="989" spans="1:18" x14ac:dyDescent="0.25">
      <c r="A989" s="170">
        <v>43461</v>
      </c>
      <c r="B989" s="116">
        <v>3.80118715107047</v>
      </c>
      <c r="C989" s="116">
        <v>3.7536723116820898</v>
      </c>
      <c r="D989" s="116">
        <v>3.6428043531092</v>
      </c>
      <c r="E989" s="116">
        <v>3.80118715107047</v>
      </c>
      <c r="F989" s="116">
        <v>237</v>
      </c>
      <c r="G989">
        <v>925</v>
      </c>
      <c r="H989" s="116"/>
      <c r="I989" s="116"/>
      <c r="L989" s="170">
        <v>43460</v>
      </c>
      <c r="M989" s="116">
        <v>288.95</v>
      </c>
      <c r="N989" s="116">
        <v>292.5</v>
      </c>
      <c r="O989" s="116">
        <v>268</v>
      </c>
      <c r="P989" s="116">
        <v>276</v>
      </c>
      <c r="Q989" s="116">
        <v>288.95</v>
      </c>
      <c r="R989">
        <v>2140115</v>
      </c>
    </row>
    <row r="990" spans="1:18" x14ac:dyDescent="0.25">
      <c r="A990" s="170">
        <v>43462</v>
      </c>
      <c r="B990" s="116">
        <v>3.80118715107047</v>
      </c>
      <c r="C990" s="116">
        <v>3.6253822453334599</v>
      </c>
      <c r="D990" s="116">
        <v>3.6063763095781098</v>
      </c>
      <c r="E990" s="116">
        <v>3.6760647406810598</v>
      </c>
      <c r="F990" s="116">
        <v>228.9</v>
      </c>
      <c r="G990">
        <v>756</v>
      </c>
      <c r="H990" s="116"/>
      <c r="I990" s="116"/>
      <c r="L990" s="170">
        <v>43461</v>
      </c>
      <c r="M990" s="116">
        <v>288.89999999999998</v>
      </c>
      <c r="N990" s="116">
        <v>294</v>
      </c>
      <c r="O990" s="116">
        <v>281.35000000000002</v>
      </c>
      <c r="P990" s="116">
        <v>294</v>
      </c>
      <c r="Q990" s="116">
        <v>288.89999999999998</v>
      </c>
      <c r="R990">
        <v>2531457</v>
      </c>
    </row>
    <row r="991" spans="1:18" x14ac:dyDescent="0.25">
      <c r="A991" s="170">
        <v>43465</v>
      </c>
      <c r="B991" s="116">
        <v>3.7932680111724002</v>
      </c>
      <c r="C991" s="116">
        <v>3.6467639230582298</v>
      </c>
      <c r="D991" s="116">
        <v>3.6269660733130702</v>
      </c>
      <c r="E991" s="116">
        <v>3.7932680111724002</v>
      </c>
      <c r="F991" s="116">
        <v>230.25</v>
      </c>
      <c r="G991">
        <v>653</v>
      </c>
      <c r="H991" s="116"/>
      <c r="I991" s="116"/>
      <c r="L991" s="170">
        <v>43462</v>
      </c>
      <c r="M991" s="116">
        <v>292.55</v>
      </c>
      <c r="N991" s="116">
        <v>293.7</v>
      </c>
      <c r="O991" s="116">
        <v>286.25</v>
      </c>
      <c r="P991" s="116">
        <v>290</v>
      </c>
      <c r="Q991" s="116">
        <v>292.55</v>
      </c>
      <c r="R991">
        <v>1032473</v>
      </c>
    </row>
    <row r="992" spans="1:18" x14ac:dyDescent="0.25">
      <c r="A992" s="170">
        <v>43466</v>
      </c>
      <c r="B992" s="116">
        <v>3.8059386350093098</v>
      </c>
      <c r="C992" s="116">
        <v>3.5881622878125601</v>
      </c>
      <c r="D992" s="116">
        <v>3.5200576846892102</v>
      </c>
      <c r="E992" s="116">
        <v>3.6269660733130702</v>
      </c>
      <c r="F992" s="116">
        <v>226.55</v>
      </c>
      <c r="G992">
        <v>1960</v>
      </c>
      <c r="H992" s="116"/>
      <c r="I992" s="116"/>
      <c r="L992" s="170">
        <v>43465</v>
      </c>
      <c r="M992" s="116">
        <v>288.89999999999998</v>
      </c>
      <c r="N992" s="116">
        <v>297.39999999999998</v>
      </c>
      <c r="O992" s="116">
        <v>286</v>
      </c>
      <c r="P992" s="116">
        <v>294.10000000000002</v>
      </c>
      <c r="Q992" s="116">
        <v>288.89999999999998</v>
      </c>
      <c r="R992">
        <v>2055035</v>
      </c>
    </row>
    <row r="993" spans="1:18" x14ac:dyDescent="0.25">
      <c r="A993" s="170">
        <v>43467</v>
      </c>
      <c r="B993" s="116">
        <v>3.7061574722937101</v>
      </c>
      <c r="C993" s="116">
        <v>3.5343121365057302</v>
      </c>
      <c r="D993" s="116">
        <v>3.51609811474018</v>
      </c>
      <c r="E993" s="116">
        <v>3.56757252407759</v>
      </c>
      <c r="F993" s="116">
        <v>223.15</v>
      </c>
      <c r="G993">
        <v>1401</v>
      </c>
      <c r="H993" s="116"/>
      <c r="I993" s="116"/>
      <c r="L993" s="170">
        <v>43466</v>
      </c>
      <c r="M993" s="116">
        <v>286.8</v>
      </c>
      <c r="N993" s="116">
        <v>289.75</v>
      </c>
      <c r="O993" s="116">
        <v>283.35000000000002</v>
      </c>
      <c r="P993" s="116">
        <v>285.55</v>
      </c>
      <c r="Q993" s="116">
        <v>286.8</v>
      </c>
      <c r="R993">
        <v>797818</v>
      </c>
    </row>
    <row r="994" spans="1:18" x14ac:dyDescent="0.25">
      <c r="A994" s="170">
        <v>43468</v>
      </c>
      <c r="B994" s="116">
        <v>3.7037817303242901</v>
      </c>
      <c r="C994" s="116">
        <v>3.57945123392469</v>
      </c>
      <c r="D994" s="116">
        <v>3.53510405049553</v>
      </c>
      <c r="E994" s="116">
        <v>3.57945123392469</v>
      </c>
      <c r="F994" s="116">
        <v>226</v>
      </c>
      <c r="G994">
        <v>1881</v>
      </c>
      <c r="H994" s="116"/>
      <c r="I994" s="116"/>
      <c r="L994" s="170">
        <v>43467</v>
      </c>
      <c r="M994" s="116">
        <v>280.89999999999998</v>
      </c>
      <c r="N994" s="116">
        <v>290.35000000000002</v>
      </c>
      <c r="O994" s="116">
        <v>278</v>
      </c>
      <c r="P994" s="116">
        <v>286.5</v>
      </c>
      <c r="Q994" s="116">
        <v>280.89999999999998</v>
      </c>
      <c r="R994">
        <v>878757</v>
      </c>
    </row>
    <row r="995" spans="1:18" x14ac:dyDescent="0.25">
      <c r="A995" s="170">
        <v>43469</v>
      </c>
      <c r="B995" s="116">
        <v>3.7996033230908499</v>
      </c>
      <c r="C995" s="116">
        <v>3.6103358795271401</v>
      </c>
      <c r="D995" s="116">
        <v>3.5810350619042999</v>
      </c>
      <c r="E995" s="116">
        <v>3.5842027178635298</v>
      </c>
      <c r="F995" s="116">
        <v>227.95</v>
      </c>
      <c r="G995">
        <v>1385</v>
      </c>
      <c r="H995" s="116"/>
      <c r="I995" s="116"/>
      <c r="L995" s="170">
        <v>43468</v>
      </c>
      <c r="M995" s="116">
        <v>276.89999999999998</v>
      </c>
      <c r="N995" s="116">
        <v>284.5</v>
      </c>
      <c r="O995" s="116">
        <v>275.8</v>
      </c>
      <c r="P995" s="116">
        <v>281.05</v>
      </c>
      <c r="Q995" s="116">
        <v>276.89999999999998</v>
      </c>
      <c r="R995">
        <v>595191</v>
      </c>
    </row>
    <row r="996" spans="1:18" x14ac:dyDescent="0.25">
      <c r="A996" s="170">
        <v>43472</v>
      </c>
      <c r="B996" s="116">
        <v>3.7687186774884101</v>
      </c>
      <c r="C996" s="116">
        <v>3.6475558370480399</v>
      </c>
      <c r="D996" s="116">
        <v>3.5802431479145</v>
      </c>
      <c r="E996" s="116">
        <v>3.5810350619042999</v>
      </c>
      <c r="F996" s="116">
        <v>230.3</v>
      </c>
      <c r="G996">
        <v>1947</v>
      </c>
      <c r="H996" s="116"/>
      <c r="I996" s="116"/>
      <c r="L996" s="170">
        <v>43469</v>
      </c>
      <c r="M996" s="116">
        <v>280.5</v>
      </c>
      <c r="N996" s="116">
        <v>281.75</v>
      </c>
      <c r="O996" s="116">
        <v>273.75</v>
      </c>
      <c r="P996" s="116">
        <v>277.25</v>
      </c>
      <c r="Q996" s="116">
        <v>280.5</v>
      </c>
      <c r="R996">
        <v>856596</v>
      </c>
    </row>
    <row r="997" spans="1:18" x14ac:dyDescent="0.25">
      <c r="A997" s="170">
        <v>43473</v>
      </c>
      <c r="B997" s="116">
        <v>3.9421478412559998</v>
      </c>
      <c r="C997" s="116">
        <v>3.66497794482378</v>
      </c>
      <c r="D997" s="116">
        <v>3.6174631054353998</v>
      </c>
      <c r="E997" s="116">
        <v>3.9421478412559998</v>
      </c>
      <c r="F997" s="116">
        <v>231.4</v>
      </c>
      <c r="G997">
        <v>1635</v>
      </c>
      <c r="H997" s="116"/>
      <c r="I997" s="116"/>
      <c r="L997" s="170">
        <v>43472</v>
      </c>
      <c r="M997" s="116">
        <v>283.2</v>
      </c>
      <c r="N997" s="116">
        <v>288.95</v>
      </c>
      <c r="O997" s="116">
        <v>279.8</v>
      </c>
      <c r="P997" s="116">
        <v>286.60000000000002</v>
      </c>
      <c r="Q997" s="116">
        <v>283.2</v>
      </c>
      <c r="R997">
        <v>1570668</v>
      </c>
    </row>
    <row r="998" spans="1:18" x14ac:dyDescent="0.25">
      <c r="A998" s="170">
        <v>43474</v>
      </c>
      <c r="B998" s="116">
        <v>3.8455343344996198</v>
      </c>
      <c r="C998" s="116">
        <v>3.68319196658932</v>
      </c>
      <c r="D998" s="116">
        <v>3.6269660733130702</v>
      </c>
      <c r="E998" s="116">
        <v>3.8455343344996198</v>
      </c>
      <c r="F998" s="116">
        <v>232.55</v>
      </c>
      <c r="G998">
        <v>4788</v>
      </c>
      <c r="H998" s="116"/>
      <c r="I998" s="116"/>
      <c r="L998" s="170">
        <v>43473</v>
      </c>
      <c r="M998" s="116">
        <v>284.55</v>
      </c>
      <c r="N998" s="116">
        <v>286.3</v>
      </c>
      <c r="O998" s="116">
        <v>279.5</v>
      </c>
      <c r="P998" s="116">
        <v>284.2</v>
      </c>
      <c r="Q998" s="116">
        <v>284.55</v>
      </c>
      <c r="R998">
        <v>821351</v>
      </c>
    </row>
    <row r="999" spans="1:18" x14ac:dyDescent="0.25">
      <c r="A999" s="170">
        <v>43475</v>
      </c>
      <c r="B999" s="116">
        <v>3.80039523708066</v>
      </c>
      <c r="C999" s="116">
        <v>3.6792323966402898</v>
      </c>
      <c r="D999" s="116">
        <v>3.6443881810888099</v>
      </c>
      <c r="E999" s="116">
        <v>3.80039523708066</v>
      </c>
      <c r="F999" s="116">
        <v>232.3</v>
      </c>
      <c r="G999">
        <v>1334</v>
      </c>
      <c r="H999" s="116"/>
      <c r="I999" s="116"/>
      <c r="L999" s="170">
        <v>43474</v>
      </c>
      <c r="M999" s="116">
        <v>273.75</v>
      </c>
      <c r="N999" s="116">
        <v>286</v>
      </c>
      <c r="O999" s="116">
        <v>272.60000000000002</v>
      </c>
      <c r="P999" s="116">
        <v>286</v>
      </c>
      <c r="Q999" s="116">
        <v>273.75</v>
      </c>
      <c r="R999">
        <v>1092119</v>
      </c>
    </row>
    <row r="1000" spans="1:18" x14ac:dyDescent="0.25">
      <c r="A1000" s="170">
        <v>43476</v>
      </c>
      <c r="B1000" s="116">
        <v>3.76713484950879</v>
      </c>
      <c r="C1000" s="116">
        <v>3.6594345468951301</v>
      </c>
      <c r="D1000" s="116">
        <v>3.6428043531092</v>
      </c>
      <c r="E1000" s="116">
        <v>3.6744809127014499</v>
      </c>
      <c r="F1000" s="116">
        <v>231.05</v>
      </c>
      <c r="G1000">
        <v>229</v>
      </c>
      <c r="H1000" s="116"/>
      <c r="I1000" s="116"/>
      <c r="L1000" s="170">
        <v>43475</v>
      </c>
      <c r="M1000" s="116">
        <v>275.8</v>
      </c>
      <c r="N1000" s="116">
        <v>277.60000000000002</v>
      </c>
      <c r="O1000" s="116">
        <v>273.35000000000002</v>
      </c>
      <c r="P1000" s="116">
        <v>275</v>
      </c>
      <c r="Q1000" s="116">
        <v>275.8</v>
      </c>
      <c r="R1000">
        <v>486829</v>
      </c>
    </row>
    <row r="1001" spans="1:18" x14ac:dyDescent="0.25">
      <c r="A1001" s="170">
        <v>43479</v>
      </c>
      <c r="B1001" s="116">
        <v>3.7212038381000299</v>
      </c>
      <c r="C1001" s="116">
        <v>3.6657698588135799</v>
      </c>
      <c r="D1001" s="116">
        <v>3.5952895137208198</v>
      </c>
      <c r="E1001" s="116">
        <v>3.6047924815984902</v>
      </c>
      <c r="F1001" s="116">
        <v>231.45</v>
      </c>
      <c r="G1001">
        <v>1784</v>
      </c>
      <c r="H1001" s="116"/>
      <c r="I1001" s="116"/>
      <c r="L1001" s="170">
        <v>43476</v>
      </c>
      <c r="M1001" s="116">
        <v>272.95</v>
      </c>
      <c r="N1001" s="116">
        <v>277.85000000000002</v>
      </c>
      <c r="O1001" s="116">
        <v>271.2</v>
      </c>
      <c r="P1001" s="116">
        <v>276</v>
      </c>
      <c r="Q1001" s="116">
        <v>272.95</v>
      </c>
      <c r="R1001">
        <v>480905</v>
      </c>
    </row>
    <row r="1002" spans="1:18" x14ac:dyDescent="0.25">
      <c r="A1002" s="170">
        <v>43480</v>
      </c>
      <c r="B1002" s="116">
        <v>3.7520884837024702</v>
      </c>
      <c r="C1002" s="116">
        <v>3.6697294287626101</v>
      </c>
      <c r="D1002" s="116">
        <v>3.6269660733130702</v>
      </c>
      <c r="E1002" s="116">
        <v>3.6586426329053299</v>
      </c>
      <c r="F1002" s="116">
        <v>231.7</v>
      </c>
      <c r="G1002">
        <v>1770</v>
      </c>
      <c r="H1002" s="116"/>
      <c r="I1002" s="116"/>
      <c r="L1002" s="170">
        <v>43479</v>
      </c>
      <c r="M1002" s="116">
        <v>274.25</v>
      </c>
      <c r="N1002" s="116">
        <v>277.7</v>
      </c>
      <c r="O1002" s="116">
        <v>269.45</v>
      </c>
      <c r="P1002" s="116">
        <v>271.5</v>
      </c>
      <c r="Q1002" s="116">
        <v>274.25</v>
      </c>
      <c r="R1002">
        <v>545315</v>
      </c>
    </row>
    <row r="1003" spans="1:18" x14ac:dyDescent="0.25">
      <c r="A1003" s="170">
        <v>43481</v>
      </c>
      <c r="B1003" s="116">
        <v>3.7061574722937101</v>
      </c>
      <c r="C1003" s="116">
        <v>3.65389114896649</v>
      </c>
      <c r="D1003" s="116">
        <v>3.6523073209868699</v>
      </c>
      <c r="E1003" s="116">
        <v>3.7061574722937101</v>
      </c>
      <c r="F1003" s="116">
        <v>230.7</v>
      </c>
      <c r="G1003">
        <v>484</v>
      </c>
      <c r="H1003" s="116"/>
      <c r="I1003" s="116"/>
      <c r="L1003" s="170">
        <v>43480</v>
      </c>
      <c r="M1003" s="116">
        <v>276.64999999999998</v>
      </c>
      <c r="N1003" s="116">
        <v>278</v>
      </c>
      <c r="O1003" s="116">
        <v>273.85000000000002</v>
      </c>
      <c r="P1003" s="116">
        <v>274.25</v>
      </c>
      <c r="Q1003" s="116">
        <v>276.64999999999998</v>
      </c>
      <c r="R1003">
        <v>397020</v>
      </c>
    </row>
    <row r="1004" spans="1:18" x14ac:dyDescent="0.25">
      <c r="A1004" s="170">
        <v>43482</v>
      </c>
      <c r="B1004" s="116">
        <v>3.7996033230908499</v>
      </c>
      <c r="C1004" s="116">
        <v>3.6158792774557802</v>
      </c>
      <c r="D1004" s="116">
        <v>3.5683644380674</v>
      </c>
      <c r="E1004" s="116">
        <v>3.5683644380674</v>
      </c>
      <c r="F1004" s="116">
        <v>228.3</v>
      </c>
      <c r="G1004">
        <v>1484</v>
      </c>
      <c r="H1004" s="116"/>
      <c r="I1004" s="116"/>
      <c r="L1004" s="170">
        <v>43481</v>
      </c>
      <c r="M1004" s="116">
        <v>277.3</v>
      </c>
      <c r="N1004" s="116">
        <v>282.7</v>
      </c>
      <c r="O1004" s="116">
        <v>276</v>
      </c>
      <c r="P1004" s="116">
        <v>278</v>
      </c>
      <c r="Q1004" s="116">
        <v>277.3</v>
      </c>
      <c r="R1004">
        <v>425297</v>
      </c>
    </row>
    <row r="1005" spans="1:18" x14ac:dyDescent="0.25">
      <c r="A1005" s="170">
        <v>43483</v>
      </c>
      <c r="B1005" s="116">
        <v>3.74575317178402</v>
      </c>
      <c r="C1005" s="116">
        <v>3.62063076139462</v>
      </c>
      <c r="D1005" s="116">
        <v>3.5921218577615899</v>
      </c>
      <c r="E1005" s="116">
        <v>3.6166711914455898</v>
      </c>
      <c r="F1005" s="116">
        <v>228.6</v>
      </c>
      <c r="G1005">
        <v>558</v>
      </c>
      <c r="H1005" s="116"/>
      <c r="I1005" s="116"/>
      <c r="L1005" s="170">
        <v>43482</v>
      </c>
      <c r="M1005" s="116">
        <v>276.10000000000002</v>
      </c>
      <c r="N1005" s="116">
        <v>282.2</v>
      </c>
      <c r="O1005" s="116">
        <v>273</v>
      </c>
      <c r="P1005" s="116">
        <v>277.3</v>
      </c>
      <c r="Q1005" s="116">
        <v>276.10000000000002</v>
      </c>
      <c r="R1005">
        <v>675184</v>
      </c>
    </row>
    <row r="1006" spans="1:18" x14ac:dyDescent="0.25">
      <c r="A1006" s="170">
        <v>43486</v>
      </c>
      <c r="B1006" s="116">
        <v>3.73466637592673</v>
      </c>
      <c r="C1006" s="116">
        <v>3.5992490836698501</v>
      </c>
      <c r="D1006" s="116">
        <v>3.5739078359960499</v>
      </c>
      <c r="E1006" s="116">
        <v>3.62063076139462</v>
      </c>
      <c r="F1006" s="116">
        <v>227.25</v>
      </c>
      <c r="G1006">
        <v>1620</v>
      </c>
      <c r="H1006" s="116"/>
      <c r="I1006" s="116"/>
      <c r="L1006" s="170">
        <v>43483</v>
      </c>
      <c r="M1006" s="116">
        <v>268.95</v>
      </c>
      <c r="N1006" s="116">
        <v>278.14999999999998</v>
      </c>
      <c r="O1006" s="116">
        <v>267.45</v>
      </c>
      <c r="P1006" s="116">
        <v>277</v>
      </c>
      <c r="Q1006" s="116">
        <v>268.95</v>
      </c>
      <c r="R1006">
        <v>853929</v>
      </c>
    </row>
    <row r="1007" spans="1:18" x14ac:dyDescent="0.25">
      <c r="A1007" s="170">
        <v>43487</v>
      </c>
      <c r="B1007" s="116">
        <v>3.7536723116820898</v>
      </c>
      <c r="C1007" s="116">
        <v>3.6523073209868699</v>
      </c>
      <c r="D1007" s="116">
        <v>3.47650241524987</v>
      </c>
      <c r="E1007" s="116">
        <v>3.7536723116820898</v>
      </c>
      <c r="F1007" s="116">
        <v>230.6</v>
      </c>
      <c r="G1007">
        <v>7026</v>
      </c>
      <c r="H1007" s="116"/>
      <c r="I1007" s="116"/>
      <c r="L1007" s="170">
        <v>43486</v>
      </c>
      <c r="M1007" s="116">
        <v>264.25</v>
      </c>
      <c r="N1007" s="116">
        <v>270.95</v>
      </c>
      <c r="O1007" s="116">
        <v>262</v>
      </c>
      <c r="P1007" s="116">
        <v>270.10000000000002</v>
      </c>
      <c r="Q1007" s="116">
        <v>264.25</v>
      </c>
      <c r="R1007">
        <v>745460</v>
      </c>
    </row>
    <row r="1008" spans="1:18" x14ac:dyDescent="0.25">
      <c r="A1008" s="170">
        <v>43488</v>
      </c>
      <c r="B1008" s="116">
        <v>3.6032086536188799</v>
      </c>
      <c r="C1008" s="116">
        <v>3.5398555344343698</v>
      </c>
      <c r="D1008" s="116">
        <v>3.4844215551479301</v>
      </c>
      <c r="E1008" s="116">
        <v>3.5406474484241799</v>
      </c>
      <c r="F1008" s="116">
        <v>223.5</v>
      </c>
      <c r="G1008">
        <v>959</v>
      </c>
      <c r="H1008" s="116"/>
      <c r="I1008" s="116"/>
      <c r="L1008" s="170">
        <v>43487</v>
      </c>
      <c r="M1008" s="116">
        <v>265.39999999999998</v>
      </c>
      <c r="N1008" s="116">
        <v>267.85000000000002</v>
      </c>
      <c r="O1008" s="116">
        <v>262.14999999999998</v>
      </c>
      <c r="P1008" s="116">
        <v>262.39999999999998</v>
      </c>
      <c r="Q1008" s="116">
        <v>265.39999999999998</v>
      </c>
      <c r="R1008">
        <v>604048</v>
      </c>
    </row>
    <row r="1009" spans="1:18" x14ac:dyDescent="0.25">
      <c r="A1009" s="170">
        <v>43489</v>
      </c>
      <c r="B1009" s="116">
        <v>3.5778674059450801</v>
      </c>
      <c r="C1009" s="116">
        <v>3.51609811474018</v>
      </c>
      <c r="D1009" s="116">
        <v>3.4883811250969599</v>
      </c>
      <c r="E1009" s="116">
        <v>3.5010517489338602</v>
      </c>
      <c r="F1009" s="116">
        <v>222</v>
      </c>
      <c r="G1009">
        <v>453</v>
      </c>
      <c r="H1009" s="116"/>
      <c r="I1009" s="116"/>
      <c r="L1009" s="170">
        <v>43488</v>
      </c>
      <c r="M1009" s="116">
        <v>265.39999999999998</v>
      </c>
      <c r="N1009" s="116">
        <v>270</v>
      </c>
      <c r="O1009" s="116">
        <v>259.35000000000002</v>
      </c>
      <c r="P1009" s="116">
        <v>266</v>
      </c>
      <c r="Q1009" s="116">
        <v>265.39999999999998</v>
      </c>
      <c r="R1009">
        <v>2312792</v>
      </c>
    </row>
    <row r="1010" spans="1:18" x14ac:dyDescent="0.25">
      <c r="A1010" s="170">
        <v>43490</v>
      </c>
      <c r="B1010" s="116">
        <v>3.6966545044160299</v>
      </c>
      <c r="C1010" s="116">
        <v>3.5176819427198001</v>
      </c>
      <c r="D1010" s="116">
        <v>3.4844215551479301</v>
      </c>
      <c r="E1010" s="116">
        <v>3.51609811474018</v>
      </c>
      <c r="F1010" s="116">
        <v>222.1</v>
      </c>
      <c r="G1010">
        <v>2384</v>
      </c>
      <c r="H1010" s="116"/>
      <c r="I1010" s="116"/>
      <c r="L1010" s="170">
        <v>43489</v>
      </c>
      <c r="M1010" s="116">
        <v>254.6</v>
      </c>
      <c r="N1010" s="116">
        <v>266.75</v>
      </c>
      <c r="O1010" s="116">
        <v>252.2</v>
      </c>
      <c r="P1010" s="116">
        <v>264</v>
      </c>
      <c r="Q1010" s="116">
        <v>254.6</v>
      </c>
      <c r="R1010">
        <v>1505981</v>
      </c>
    </row>
    <row r="1011" spans="1:18" x14ac:dyDescent="0.25">
      <c r="A1011" s="170">
        <v>43493</v>
      </c>
      <c r="B1011" s="116">
        <v>3.56044529816934</v>
      </c>
      <c r="C1011" s="116">
        <v>3.3727616825852298</v>
      </c>
      <c r="D1011" s="116">
        <v>3.19141337891958</v>
      </c>
      <c r="E1011" s="116">
        <v>3.5319363945363098</v>
      </c>
      <c r="F1011" s="116">
        <v>212.95</v>
      </c>
      <c r="G1011">
        <v>6348</v>
      </c>
      <c r="H1011" s="116"/>
      <c r="I1011" s="116"/>
      <c r="L1011" s="170">
        <v>43490</v>
      </c>
      <c r="M1011" s="116">
        <v>252.3</v>
      </c>
      <c r="N1011" s="116">
        <v>262</v>
      </c>
      <c r="O1011" s="116">
        <v>250.45</v>
      </c>
      <c r="P1011" s="116">
        <v>254</v>
      </c>
      <c r="Q1011" s="116">
        <v>252.3</v>
      </c>
      <c r="R1011">
        <v>1040487</v>
      </c>
    </row>
    <row r="1012" spans="1:18" x14ac:dyDescent="0.25">
      <c r="A1012" s="170">
        <v>43494</v>
      </c>
      <c r="B1012" s="116">
        <v>3.6372609551805501</v>
      </c>
      <c r="C1012" s="116">
        <v>3.5723240080164298</v>
      </c>
      <c r="D1012" s="116">
        <v>3.42106843596342</v>
      </c>
      <c r="E1012" s="116">
        <v>3.4828377271683202</v>
      </c>
      <c r="F1012" s="116">
        <v>225.55</v>
      </c>
      <c r="G1012">
        <v>1671</v>
      </c>
      <c r="H1012" s="116"/>
      <c r="I1012" s="116"/>
      <c r="L1012" s="170">
        <v>43493</v>
      </c>
      <c r="M1012" s="116">
        <v>244.1</v>
      </c>
      <c r="N1012" s="116">
        <v>253.65</v>
      </c>
      <c r="O1012" s="116">
        <v>242</v>
      </c>
      <c r="P1012" s="116">
        <v>251.05</v>
      </c>
      <c r="Q1012" s="116">
        <v>244.1</v>
      </c>
      <c r="R1012">
        <v>1070964</v>
      </c>
    </row>
    <row r="1013" spans="1:18" x14ac:dyDescent="0.25">
      <c r="A1013" s="170">
        <v>43495</v>
      </c>
      <c r="B1013" s="116">
        <v>3.6428043531092</v>
      </c>
      <c r="C1013" s="116">
        <v>3.49471643701541</v>
      </c>
      <c r="D1013" s="116">
        <v>3.4852134691377401</v>
      </c>
      <c r="E1013" s="116">
        <v>3.5477746743324401</v>
      </c>
      <c r="F1013" s="116">
        <v>220.65</v>
      </c>
      <c r="G1013">
        <v>414</v>
      </c>
      <c r="H1013" s="116"/>
      <c r="I1013" s="116"/>
      <c r="L1013" s="170">
        <v>43494</v>
      </c>
      <c r="M1013" s="116">
        <v>247.1</v>
      </c>
      <c r="N1013" s="116">
        <v>252.2</v>
      </c>
      <c r="O1013" s="116">
        <v>240.7</v>
      </c>
      <c r="P1013" s="116">
        <v>242.05</v>
      </c>
      <c r="Q1013" s="116">
        <v>247.1</v>
      </c>
      <c r="R1013">
        <v>779409</v>
      </c>
    </row>
    <row r="1014" spans="1:18" x14ac:dyDescent="0.25">
      <c r="A1014" s="170">
        <v>43496</v>
      </c>
      <c r="B1014" s="116">
        <v>3.5628210401387599</v>
      </c>
      <c r="C1014" s="116">
        <v>3.4123573820755499</v>
      </c>
      <c r="D1014" s="116">
        <v>3.3973110162692302</v>
      </c>
      <c r="E1014" s="116">
        <v>3.4844215551479301</v>
      </c>
      <c r="F1014" s="116">
        <v>215.45</v>
      </c>
      <c r="G1014">
        <v>2297</v>
      </c>
      <c r="H1014" s="116"/>
      <c r="I1014" s="116"/>
      <c r="L1014" s="170">
        <v>43495</v>
      </c>
      <c r="M1014" s="116">
        <v>252.1</v>
      </c>
      <c r="N1014" s="116">
        <v>256.95</v>
      </c>
      <c r="O1014" s="116">
        <v>246.75</v>
      </c>
      <c r="P1014" s="116">
        <v>248</v>
      </c>
      <c r="Q1014" s="116">
        <v>252.1</v>
      </c>
      <c r="R1014">
        <v>418383</v>
      </c>
    </row>
    <row r="1015" spans="1:18" x14ac:dyDescent="0.25">
      <c r="A1015" s="170">
        <v>43497</v>
      </c>
      <c r="B1015" s="116">
        <v>3.73783403188596</v>
      </c>
      <c r="C1015" s="116">
        <v>3.5002598349440599</v>
      </c>
      <c r="D1015" s="116">
        <v>3.3616748867279398</v>
      </c>
      <c r="E1015" s="116">
        <v>3.73783403188596</v>
      </c>
      <c r="F1015" s="116">
        <v>221</v>
      </c>
      <c r="G1015">
        <v>1187</v>
      </c>
      <c r="H1015" s="116"/>
      <c r="I1015" s="116"/>
      <c r="L1015" s="170">
        <v>43496</v>
      </c>
      <c r="M1015" s="116">
        <v>250.7</v>
      </c>
      <c r="N1015" s="116">
        <v>254.55</v>
      </c>
      <c r="O1015" s="116">
        <v>244.7</v>
      </c>
      <c r="P1015" s="116">
        <v>254.1</v>
      </c>
      <c r="Q1015" s="116">
        <v>250.7</v>
      </c>
      <c r="R1015">
        <v>737326</v>
      </c>
    </row>
    <row r="1016" spans="1:18" x14ac:dyDescent="0.25">
      <c r="A1016" s="170">
        <v>43500</v>
      </c>
      <c r="B1016" s="116">
        <v>3.6135035354863598</v>
      </c>
      <c r="C1016" s="116">
        <v>3.61191970750675</v>
      </c>
      <c r="D1016" s="116">
        <v>3.4258199199022599</v>
      </c>
      <c r="E1016" s="116">
        <v>3.51609811474018</v>
      </c>
      <c r="F1016" s="116">
        <v>228.05</v>
      </c>
      <c r="G1016">
        <v>471</v>
      </c>
      <c r="H1016" s="116"/>
      <c r="I1016" s="116"/>
      <c r="L1016" s="170">
        <v>43497</v>
      </c>
      <c r="M1016" s="116">
        <v>259</v>
      </c>
      <c r="N1016" s="116">
        <v>262</v>
      </c>
      <c r="O1016" s="116">
        <v>246.1</v>
      </c>
      <c r="P1016" s="116">
        <v>252</v>
      </c>
      <c r="Q1016" s="116">
        <v>259</v>
      </c>
      <c r="R1016">
        <v>1578799</v>
      </c>
    </row>
    <row r="1017" spans="1:18" x14ac:dyDescent="0.25">
      <c r="A1017" s="170">
        <v>43501</v>
      </c>
      <c r="B1017" s="116">
        <v>3.7014059883548698</v>
      </c>
      <c r="C1017" s="116">
        <v>3.4891730390867699</v>
      </c>
      <c r="D1017" s="116">
        <v>3.4844215551479301</v>
      </c>
      <c r="E1017" s="116">
        <v>3.5477746743324401</v>
      </c>
      <c r="F1017" s="116">
        <v>220.3</v>
      </c>
      <c r="G1017">
        <v>2819</v>
      </c>
      <c r="H1017" s="116"/>
      <c r="I1017" s="116"/>
      <c r="L1017" s="170">
        <v>43500</v>
      </c>
      <c r="M1017" s="116">
        <v>247.4</v>
      </c>
      <c r="N1017" s="116">
        <v>257.39999999999998</v>
      </c>
      <c r="O1017" s="116">
        <v>244.15</v>
      </c>
      <c r="P1017" s="116">
        <v>257.39999999999998</v>
      </c>
      <c r="Q1017" s="116">
        <v>247.4</v>
      </c>
      <c r="R1017">
        <v>786527</v>
      </c>
    </row>
    <row r="1018" spans="1:18" x14ac:dyDescent="0.25">
      <c r="A1018" s="170">
        <v>43502</v>
      </c>
      <c r="B1018" s="116">
        <v>3.7132846982019601</v>
      </c>
      <c r="C1018" s="116">
        <v>3.5651967821081798</v>
      </c>
      <c r="D1018" s="116">
        <v>3.5208495986790198</v>
      </c>
      <c r="E1018" s="116">
        <v>3.6428043531092</v>
      </c>
      <c r="F1018" s="116">
        <v>225.1</v>
      </c>
      <c r="G1018">
        <v>4099</v>
      </c>
      <c r="H1018" s="116"/>
      <c r="I1018" s="116"/>
      <c r="L1018" s="170">
        <v>43501</v>
      </c>
      <c r="M1018" s="116">
        <v>245.85</v>
      </c>
      <c r="N1018" s="116">
        <v>252.2</v>
      </c>
      <c r="O1018" s="116">
        <v>245</v>
      </c>
      <c r="P1018" s="116">
        <v>245.4</v>
      </c>
      <c r="Q1018" s="116">
        <v>245.85</v>
      </c>
      <c r="R1018">
        <v>556021</v>
      </c>
    </row>
    <row r="1019" spans="1:18" x14ac:dyDescent="0.25">
      <c r="A1019" s="170">
        <v>43503</v>
      </c>
      <c r="B1019" s="116">
        <v>3.8487019904588502</v>
      </c>
      <c r="C1019" s="116">
        <v>3.4899649530765702</v>
      </c>
      <c r="D1019" s="116">
        <v>3.41314929606536</v>
      </c>
      <c r="E1019" s="116">
        <v>3.8487019904588502</v>
      </c>
      <c r="F1019" s="116">
        <v>220.35</v>
      </c>
      <c r="G1019">
        <v>3068</v>
      </c>
      <c r="H1019" s="116"/>
      <c r="I1019" s="116"/>
      <c r="L1019" s="170">
        <v>43502</v>
      </c>
      <c r="M1019" s="116">
        <v>244.9</v>
      </c>
      <c r="N1019" s="116">
        <v>248.35</v>
      </c>
      <c r="O1019" s="116">
        <v>240.25</v>
      </c>
      <c r="P1019" s="116">
        <v>247.65</v>
      </c>
      <c r="Q1019" s="116">
        <v>244.9</v>
      </c>
      <c r="R1019">
        <v>583430</v>
      </c>
    </row>
    <row r="1020" spans="1:18" x14ac:dyDescent="0.25">
      <c r="A1020" s="170">
        <v>43504</v>
      </c>
      <c r="B1020" s="116">
        <v>3.5636129541285602</v>
      </c>
      <c r="C1020" s="116">
        <v>3.4844215551479301</v>
      </c>
      <c r="D1020" s="116">
        <v>3.4250280059124498</v>
      </c>
      <c r="E1020" s="116">
        <v>3.5636129541285602</v>
      </c>
      <c r="F1020" s="116">
        <v>220</v>
      </c>
      <c r="G1020">
        <v>2587</v>
      </c>
      <c r="H1020" s="116"/>
      <c r="I1020" s="116"/>
      <c r="L1020" s="170">
        <v>43503</v>
      </c>
      <c r="M1020" s="116">
        <v>254.45</v>
      </c>
      <c r="N1020" s="116">
        <v>258.75</v>
      </c>
      <c r="O1020" s="116">
        <v>243.95</v>
      </c>
      <c r="P1020" s="116">
        <v>245.5</v>
      </c>
      <c r="Q1020" s="116">
        <v>254.45</v>
      </c>
      <c r="R1020">
        <v>1491642</v>
      </c>
    </row>
    <row r="1021" spans="1:18" x14ac:dyDescent="0.25">
      <c r="A1021" s="170">
        <v>43507</v>
      </c>
      <c r="B1021" s="116">
        <v>3.6554749769460999</v>
      </c>
      <c r="C1021" s="116">
        <v>3.57945123392469</v>
      </c>
      <c r="D1021" s="116">
        <v>3.42106843596342</v>
      </c>
      <c r="E1021" s="116">
        <v>3.42106843596342</v>
      </c>
      <c r="F1021" s="116">
        <v>226</v>
      </c>
      <c r="G1021">
        <v>1948</v>
      </c>
      <c r="H1021" s="116"/>
      <c r="I1021" s="116"/>
      <c r="L1021" s="170">
        <v>43504</v>
      </c>
      <c r="M1021" s="116">
        <v>247.8</v>
      </c>
      <c r="N1021" s="116">
        <v>254.95</v>
      </c>
      <c r="O1021" s="116">
        <v>246.55</v>
      </c>
      <c r="P1021" s="116">
        <v>253.75</v>
      </c>
      <c r="Q1021" s="116">
        <v>247.8</v>
      </c>
      <c r="R1021">
        <v>491254</v>
      </c>
    </row>
    <row r="1022" spans="1:18" x14ac:dyDescent="0.25">
      <c r="A1022" s="170">
        <v>43508</v>
      </c>
      <c r="B1022" s="116">
        <v>3.57945123392469</v>
      </c>
      <c r="C1022" s="116">
        <v>3.5319363945363098</v>
      </c>
      <c r="D1022" s="116">
        <v>3.5319363945363098</v>
      </c>
      <c r="E1022" s="116">
        <v>3.57945123392469</v>
      </c>
      <c r="F1022" s="116">
        <v>223</v>
      </c>
      <c r="G1022">
        <v>366</v>
      </c>
      <c r="H1022" s="116"/>
      <c r="I1022" s="116"/>
      <c r="L1022" s="170">
        <v>43507</v>
      </c>
      <c r="M1022" s="116">
        <v>239.6</v>
      </c>
      <c r="N1022" s="116">
        <v>246.2</v>
      </c>
      <c r="O1022" s="116">
        <v>235.55</v>
      </c>
      <c r="P1022" s="116">
        <v>245.25</v>
      </c>
      <c r="Q1022" s="116">
        <v>239.6</v>
      </c>
      <c r="R1022">
        <v>1094166</v>
      </c>
    </row>
    <row r="1023" spans="1:18" x14ac:dyDescent="0.25">
      <c r="A1023" s="170">
        <v>43509</v>
      </c>
      <c r="B1023" s="116">
        <v>3.6847757945689299</v>
      </c>
      <c r="C1023" s="116">
        <v>3.5446070183732101</v>
      </c>
      <c r="D1023" s="116">
        <v>3.4852134691377401</v>
      </c>
      <c r="E1023" s="116">
        <v>3.6824000525995202</v>
      </c>
      <c r="F1023" s="116">
        <v>223.8</v>
      </c>
      <c r="G1023">
        <v>1862</v>
      </c>
      <c r="H1023" s="116"/>
      <c r="I1023" s="116"/>
      <c r="L1023" s="170">
        <v>43508</v>
      </c>
      <c r="M1023" s="116">
        <v>264.75</v>
      </c>
      <c r="N1023" s="116">
        <v>269.85000000000002</v>
      </c>
      <c r="O1023" s="116">
        <v>239</v>
      </c>
      <c r="P1023" s="116">
        <v>239.6</v>
      </c>
      <c r="Q1023" s="116">
        <v>264.75</v>
      </c>
      <c r="R1023">
        <v>5413985</v>
      </c>
    </row>
    <row r="1024" spans="1:18" x14ac:dyDescent="0.25">
      <c r="A1024" s="170">
        <v>43510</v>
      </c>
      <c r="B1024" s="116">
        <v>3.6269660733130702</v>
      </c>
      <c r="C1024" s="116">
        <v>3.6269660733130702</v>
      </c>
      <c r="D1024" s="116">
        <v>3.4068139841469098</v>
      </c>
      <c r="E1024" s="116">
        <v>3.4527449955556699</v>
      </c>
      <c r="F1024" s="116">
        <v>229</v>
      </c>
      <c r="G1024">
        <v>356</v>
      </c>
      <c r="H1024" s="116"/>
      <c r="I1024" s="116"/>
      <c r="L1024" s="170">
        <v>43509</v>
      </c>
      <c r="M1024" s="116">
        <v>255.7</v>
      </c>
      <c r="N1024" s="116">
        <v>266.64999999999998</v>
      </c>
      <c r="O1024" s="116">
        <v>254.05</v>
      </c>
      <c r="P1024" s="116">
        <v>263.35000000000002</v>
      </c>
      <c r="Q1024" s="116">
        <v>255.7</v>
      </c>
      <c r="R1024">
        <v>1120854</v>
      </c>
    </row>
    <row r="1025" spans="1:18" x14ac:dyDescent="0.25">
      <c r="A1025" s="170">
        <v>43511</v>
      </c>
      <c r="B1025" s="116">
        <v>3.7299148919878999</v>
      </c>
      <c r="C1025" s="116">
        <v>3.4804619851988998</v>
      </c>
      <c r="D1025" s="116">
        <v>3.2626856380021501</v>
      </c>
      <c r="E1025" s="116">
        <v>3.7299148919878999</v>
      </c>
      <c r="F1025" s="116">
        <v>219.75</v>
      </c>
      <c r="G1025">
        <v>1133</v>
      </c>
      <c r="H1025" s="116"/>
      <c r="I1025" s="116"/>
      <c r="L1025" s="170">
        <v>43510</v>
      </c>
      <c r="M1025" s="116">
        <v>266.05</v>
      </c>
      <c r="N1025" s="116">
        <v>268.85000000000002</v>
      </c>
      <c r="O1025" s="116">
        <v>247.25</v>
      </c>
      <c r="P1025" s="116">
        <v>255.7</v>
      </c>
      <c r="Q1025" s="116">
        <v>266.05</v>
      </c>
      <c r="R1025">
        <v>1509966</v>
      </c>
    </row>
    <row r="1026" spans="1:18" x14ac:dyDescent="0.25">
      <c r="A1026" s="170">
        <v>43514</v>
      </c>
      <c r="B1026" s="116">
        <v>3.4844215551479301</v>
      </c>
      <c r="C1026" s="116">
        <v>3.4376986297493501</v>
      </c>
      <c r="D1026" s="116">
        <v>3.42106843596342</v>
      </c>
      <c r="E1026" s="116">
        <v>3.4709590173212201</v>
      </c>
      <c r="F1026" s="116">
        <v>217.05</v>
      </c>
      <c r="G1026">
        <v>3044</v>
      </c>
      <c r="H1026" s="116"/>
      <c r="I1026" s="116"/>
      <c r="L1026" s="170">
        <v>43511</v>
      </c>
      <c r="M1026" s="116">
        <v>248.9</v>
      </c>
      <c r="N1026" s="116">
        <v>266.39999999999998</v>
      </c>
      <c r="O1026" s="116">
        <v>244.3</v>
      </c>
      <c r="P1026" s="116">
        <v>266</v>
      </c>
      <c r="Q1026" s="116">
        <v>248.9</v>
      </c>
      <c r="R1026">
        <v>1931996</v>
      </c>
    </row>
    <row r="1027" spans="1:18" x14ac:dyDescent="0.25">
      <c r="A1027" s="170">
        <v>43515</v>
      </c>
      <c r="B1027" s="116">
        <v>3.4503692535862598</v>
      </c>
      <c r="C1027" s="116">
        <v>3.3838484784425198</v>
      </c>
      <c r="D1027" s="116">
        <v>3.3102004773905298</v>
      </c>
      <c r="E1027" s="116">
        <v>3.3117843053701401</v>
      </c>
      <c r="F1027" s="116">
        <v>213.65</v>
      </c>
      <c r="G1027">
        <v>1828</v>
      </c>
      <c r="H1027" s="116"/>
      <c r="I1027" s="116"/>
      <c r="L1027" s="170">
        <v>43514</v>
      </c>
      <c r="M1027" s="116">
        <v>246.9</v>
      </c>
      <c r="N1027" s="116">
        <v>254.2</v>
      </c>
      <c r="O1027" s="116">
        <v>245.9</v>
      </c>
      <c r="P1027" s="116">
        <v>249.5</v>
      </c>
      <c r="Q1027" s="116">
        <v>246.9</v>
      </c>
      <c r="R1027">
        <v>848217</v>
      </c>
    </row>
    <row r="1028" spans="1:18" x14ac:dyDescent="0.25">
      <c r="A1028" s="170">
        <v>43516</v>
      </c>
      <c r="B1028" s="116">
        <v>3.6428043531092</v>
      </c>
      <c r="C1028" s="116">
        <v>3.4741266732804501</v>
      </c>
      <c r="D1028" s="116">
        <v>3.3680101986464002</v>
      </c>
      <c r="E1028" s="116">
        <v>3.3838484784425198</v>
      </c>
      <c r="F1028" s="116">
        <v>219.35</v>
      </c>
      <c r="G1028">
        <v>5791</v>
      </c>
      <c r="H1028" s="116"/>
      <c r="I1028" s="116"/>
      <c r="L1028" s="170">
        <v>43515</v>
      </c>
      <c r="M1028" s="116">
        <v>242.95</v>
      </c>
      <c r="N1028" s="116">
        <v>252.9</v>
      </c>
      <c r="O1028" s="116">
        <v>241.5</v>
      </c>
      <c r="P1028" s="116">
        <v>248.4</v>
      </c>
      <c r="Q1028" s="116">
        <v>242.95</v>
      </c>
      <c r="R1028">
        <v>916621</v>
      </c>
    </row>
    <row r="1029" spans="1:18" x14ac:dyDescent="0.25">
      <c r="A1029" s="170">
        <v>43517</v>
      </c>
      <c r="B1029" s="116">
        <v>3.5636129541285602</v>
      </c>
      <c r="C1029" s="116">
        <v>3.5556938142305001</v>
      </c>
      <c r="D1029" s="116">
        <v>3.2943621975944102</v>
      </c>
      <c r="E1029" s="116">
        <v>3.2943621975944102</v>
      </c>
      <c r="F1029" s="116">
        <v>224.5</v>
      </c>
      <c r="G1029">
        <v>968</v>
      </c>
      <c r="H1029" s="116"/>
      <c r="I1029" s="116"/>
      <c r="L1029" s="170">
        <v>43516</v>
      </c>
      <c r="M1029" s="116">
        <v>253.3</v>
      </c>
      <c r="N1029" s="116">
        <v>254.7</v>
      </c>
      <c r="O1029" s="116">
        <v>243.55</v>
      </c>
      <c r="P1029" s="116">
        <v>245.65</v>
      </c>
      <c r="Q1029" s="116">
        <v>253.3</v>
      </c>
      <c r="R1029">
        <v>1041990</v>
      </c>
    </row>
    <row r="1030" spans="1:18" x14ac:dyDescent="0.25">
      <c r="A1030" s="170">
        <v>43518</v>
      </c>
      <c r="B1030" s="116">
        <v>3.80118715107047</v>
      </c>
      <c r="C1030" s="116">
        <v>3.7338744619369302</v>
      </c>
      <c r="D1030" s="116">
        <v>3.2785239177982799</v>
      </c>
      <c r="E1030" s="116">
        <v>3.2785239177982799</v>
      </c>
      <c r="F1030" s="116">
        <v>235.75</v>
      </c>
      <c r="G1030">
        <v>4063</v>
      </c>
      <c r="H1030" s="116"/>
      <c r="I1030" s="116"/>
      <c r="L1030" s="170">
        <v>43517</v>
      </c>
      <c r="M1030" s="116">
        <v>271</v>
      </c>
      <c r="N1030" s="116">
        <v>277.05</v>
      </c>
      <c r="O1030" s="116">
        <v>250</v>
      </c>
      <c r="P1030" s="116">
        <v>250.6</v>
      </c>
      <c r="Q1030" s="116">
        <v>271</v>
      </c>
      <c r="R1030">
        <v>4491541</v>
      </c>
    </row>
    <row r="1031" spans="1:18" x14ac:dyDescent="0.25">
      <c r="A1031" s="170">
        <v>43521</v>
      </c>
      <c r="B1031" s="116">
        <v>3.7219957520898301</v>
      </c>
      <c r="C1031" s="116">
        <v>3.5311444805465002</v>
      </c>
      <c r="D1031" s="116">
        <v>3.5081789748421199</v>
      </c>
      <c r="E1031" s="116">
        <v>3.7219957520898301</v>
      </c>
      <c r="F1031" s="116">
        <v>222.95</v>
      </c>
      <c r="G1031">
        <v>2235</v>
      </c>
      <c r="H1031" s="116"/>
      <c r="I1031" s="116"/>
      <c r="L1031" s="170">
        <v>43518</v>
      </c>
      <c r="M1031" s="116">
        <v>269.85000000000002</v>
      </c>
      <c r="N1031" s="116">
        <v>273.5</v>
      </c>
      <c r="O1031" s="116">
        <v>268.05</v>
      </c>
      <c r="P1031" s="116">
        <v>271.7</v>
      </c>
      <c r="Q1031" s="116">
        <v>269.85000000000002</v>
      </c>
      <c r="R1031">
        <v>1346370</v>
      </c>
    </row>
    <row r="1032" spans="1:18" x14ac:dyDescent="0.25">
      <c r="A1032" s="170">
        <v>43522</v>
      </c>
      <c r="B1032" s="116">
        <v>3.6111277935169399</v>
      </c>
      <c r="C1032" s="116">
        <v>3.4281956618716798</v>
      </c>
      <c r="D1032" s="116">
        <v>3.3672182846565901</v>
      </c>
      <c r="E1032" s="116">
        <v>3.4527449955556699</v>
      </c>
      <c r="F1032" s="116">
        <v>216.45</v>
      </c>
      <c r="G1032">
        <v>754</v>
      </c>
      <c r="H1032" s="116"/>
      <c r="I1032" s="116"/>
      <c r="L1032" s="170">
        <v>43521</v>
      </c>
      <c r="M1032" s="116">
        <v>267.95</v>
      </c>
      <c r="N1032" s="116">
        <v>279.25</v>
      </c>
      <c r="O1032" s="116">
        <v>266.55</v>
      </c>
      <c r="P1032" s="116">
        <v>272.55</v>
      </c>
      <c r="Q1032" s="116">
        <v>267.95</v>
      </c>
      <c r="R1032">
        <v>1854471</v>
      </c>
    </row>
    <row r="1033" spans="1:18" x14ac:dyDescent="0.25">
      <c r="A1033" s="170">
        <v>43523</v>
      </c>
      <c r="B1033" s="116">
        <v>3.51609811474018</v>
      </c>
      <c r="C1033" s="116">
        <v>3.4844215551479301</v>
      </c>
      <c r="D1033" s="116">
        <v>3.39097570435078</v>
      </c>
      <c r="E1033" s="116">
        <v>3.39097570435078</v>
      </c>
      <c r="F1033" s="116">
        <v>220</v>
      </c>
      <c r="G1033">
        <v>910</v>
      </c>
      <c r="H1033" s="116"/>
      <c r="I1033" s="116"/>
      <c r="L1033" s="170">
        <v>43522</v>
      </c>
      <c r="M1033" s="116">
        <v>262.25</v>
      </c>
      <c r="N1033" s="116">
        <v>267.75</v>
      </c>
      <c r="O1033" s="116">
        <v>256.60000000000002</v>
      </c>
      <c r="P1033" s="116">
        <v>264</v>
      </c>
      <c r="Q1033" s="116">
        <v>262.25</v>
      </c>
      <c r="R1033">
        <v>1114519</v>
      </c>
    </row>
    <row r="1034" spans="1:18" x14ac:dyDescent="0.25">
      <c r="A1034" s="170">
        <v>43524</v>
      </c>
      <c r="B1034" s="116">
        <v>3.6024167396290698</v>
      </c>
      <c r="C1034" s="116">
        <v>3.5430231903935998</v>
      </c>
      <c r="D1034" s="116">
        <v>3.4527449955556699</v>
      </c>
      <c r="E1034" s="116">
        <v>3.4527449955556699</v>
      </c>
      <c r="F1034" s="116">
        <v>223.7</v>
      </c>
      <c r="G1034">
        <v>767</v>
      </c>
      <c r="H1034" s="116"/>
      <c r="I1034" s="116"/>
      <c r="L1034" s="170">
        <v>43523</v>
      </c>
      <c r="M1034" s="116">
        <v>260.7</v>
      </c>
      <c r="N1034" s="116">
        <v>273.35000000000002</v>
      </c>
      <c r="O1034" s="116">
        <v>257.25</v>
      </c>
      <c r="P1034" s="116">
        <v>264.89999999999998</v>
      </c>
      <c r="Q1034" s="116">
        <v>260.7</v>
      </c>
      <c r="R1034">
        <v>1345898</v>
      </c>
    </row>
    <row r="1035" spans="1:18" x14ac:dyDescent="0.25">
      <c r="A1035" s="170">
        <v>43525</v>
      </c>
      <c r="B1035" s="116">
        <v>3.6388447831601698</v>
      </c>
      <c r="C1035" s="116">
        <v>3.5097628028217298</v>
      </c>
      <c r="D1035" s="116">
        <v>3.4844215551479301</v>
      </c>
      <c r="E1035" s="116">
        <v>3.4923406950459901</v>
      </c>
      <c r="F1035" s="116">
        <v>221.6</v>
      </c>
      <c r="G1035">
        <v>3026</v>
      </c>
      <c r="H1035" s="116"/>
      <c r="I1035" s="116"/>
      <c r="L1035" s="170">
        <v>43524</v>
      </c>
      <c r="M1035" s="116">
        <v>266.2</v>
      </c>
      <c r="N1035" s="116">
        <v>270</v>
      </c>
      <c r="O1035" s="116">
        <v>261.2</v>
      </c>
      <c r="P1035" s="116">
        <v>262.3</v>
      </c>
      <c r="Q1035" s="116">
        <v>266.2</v>
      </c>
      <c r="R1035">
        <v>1432989</v>
      </c>
    </row>
    <row r="1036" spans="1:18" x14ac:dyDescent="0.25">
      <c r="A1036" s="170">
        <v>43529</v>
      </c>
      <c r="B1036" s="116">
        <v>3.6808162246199001</v>
      </c>
      <c r="C1036" s="116">
        <v>3.6277579873028798</v>
      </c>
      <c r="D1036" s="116">
        <v>3.5121385447911502</v>
      </c>
      <c r="E1036" s="116">
        <v>3.6808162246199001</v>
      </c>
      <c r="F1036" s="116">
        <v>229.05</v>
      </c>
      <c r="G1036">
        <v>1207</v>
      </c>
      <c r="H1036" s="116"/>
      <c r="I1036" s="116"/>
      <c r="L1036" s="170">
        <v>43525</v>
      </c>
      <c r="M1036" s="116">
        <v>275.8</v>
      </c>
      <c r="N1036" s="116">
        <v>278.05</v>
      </c>
      <c r="O1036" s="116">
        <v>267.2</v>
      </c>
      <c r="P1036" s="116">
        <v>267.85000000000002</v>
      </c>
      <c r="Q1036" s="116">
        <v>275.8</v>
      </c>
      <c r="R1036">
        <v>1267073</v>
      </c>
    </row>
    <row r="1037" spans="1:18" x14ac:dyDescent="0.25">
      <c r="A1037" s="170">
        <v>43530</v>
      </c>
      <c r="B1037" s="116">
        <v>3.7536723116820898</v>
      </c>
      <c r="C1037" s="116">
        <v>3.6000409976596601</v>
      </c>
      <c r="D1037" s="116">
        <v>3.5612372121591398</v>
      </c>
      <c r="E1037" s="116">
        <v>3.5612372121591398</v>
      </c>
      <c r="F1037" s="116">
        <v>227.3</v>
      </c>
      <c r="G1037">
        <v>2857</v>
      </c>
      <c r="H1037" s="116"/>
      <c r="I1037" s="116"/>
      <c r="L1037" s="170">
        <v>43529</v>
      </c>
      <c r="M1037" s="116">
        <v>293.64999999999998</v>
      </c>
      <c r="N1037" s="116">
        <v>296.7</v>
      </c>
      <c r="O1037" s="116">
        <v>276.39999999999998</v>
      </c>
      <c r="P1037" s="116">
        <v>276.55</v>
      </c>
      <c r="Q1037" s="116">
        <v>293.64999999999998</v>
      </c>
      <c r="R1037">
        <v>2196314</v>
      </c>
    </row>
    <row r="1038" spans="1:18" x14ac:dyDescent="0.25">
      <c r="A1038" s="170">
        <v>43531</v>
      </c>
      <c r="B1038" s="116">
        <v>3.7235795800694498</v>
      </c>
      <c r="C1038" s="116">
        <v>3.6792323966402898</v>
      </c>
      <c r="D1038" s="116">
        <v>3.6428043531092</v>
      </c>
      <c r="E1038" s="116">
        <v>3.70457364431409</v>
      </c>
      <c r="F1038" s="116">
        <v>232.3</v>
      </c>
      <c r="G1038">
        <v>394</v>
      </c>
      <c r="H1038" s="116"/>
      <c r="I1038" s="116"/>
      <c r="L1038" s="170">
        <v>43530</v>
      </c>
      <c r="M1038" s="116">
        <v>289.5</v>
      </c>
      <c r="N1038" s="116">
        <v>306.25</v>
      </c>
      <c r="O1038" s="116">
        <v>287.64999999999998</v>
      </c>
      <c r="P1038" s="116">
        <v>299</v>
      </c>
      <c r="Q1038" s="116">
        <v>289.5</v>
      </c>
      <c r="R1038">
        <v>2880739</v>
      </c>
    </row>
    <row r="1039" spans="1:18" x14ac:dyDescent="0.25">
      <c r="A1039" s="170">
        <v>43532</v>
      </c>
      <c r="B1039" s="116">
        <v>3.7219957520898301</v>
      </c>
      <c r="C1039" s="116">
        <v>3.6428043531092</v>
      </c>
      <c r="D1039" s="116">
        <v>3.5485665883222399</v>
      </c>
      <c r="E1039" s="116">
        <v>3.6111277935169399</v>
      </c>
      <c r="F1039" s="116">
        <v>230</v>
      </c>
      <c r="G1039">
        <v>3208</v>
      </c>
      <c r="H1039" s="116"/>
      <c r="I1039" s="116"/>
      <c r="L1039" s="170">
        <v>43531</v>
      </c>
      <c r="M1039" s="116">
        <v>291.55</v>
      </c>
      <c r="N1039" s="116">
        <v>296</v>
      </c>
      <c r="O1039" s="116">
        <v>285</v>
      </c>
      <c r="P1039" s="116">
        <v>291</v>
      </c>
      <c r="Q1039" s="116">
        <v>291.55</v>
      </c>
      <c r="R1039">
        <v>1533516</v>
      </c>
    </row>
    <row r="1040" spans="1:18" x14ac:dyDescent="0.25">
      <c r="A1040" s="170">
        <v>43535</v>
      </c>
      <c r="B1040" s="116">
        <v>3.6744809127014499</v>
      </c>
      <c r="C1040" s="116">
        <v>3.62300650336404</v>
      </c>
      <c r="D1040" s="116">
        <v>3.58261888988392</v>
      </c>
      <c r="E1040" s="116">
        <v>3.58261888988392</v>
      </c>
      <c r="F1040" s="116">
        <v>228.75</v>
      </c>
      <c r="G1040">
        <v>182</v>
      </c>
      <c r="H1040" s="116"/>
      <c r="I1040" s="116"/>
      <c r="L1040" s="170">
        <v>43532</v>
      </c>
      <c r="M1040" s="116">
        <v>287.45</v>
      </c>
      <c r="N1040" s="116">
        <v>294.60000000000002</v>
      </c>
      <c r="O1040" s="116">
        <v>285.39999999999998</v>
      </c>
      <c r="P1040" s="116">
        <v>287</v>
      </c>
      <c r="Q1040" s="116">
        <v>287.45</v>
      </c>
      <c r="R1040">
        <v>926130</v>
      </c>
    </row>
    <row r="1041" spans="1:18" x14ac:dyDescent="0.25">
      <c r="A1041" s="170">
        <v>43536</v>
      </c>
      <c r="B1041" s="116">
        <v>3.78930844122337</v>
      </c>
      <c r="C1041" s="116">
        <v>3.6333013852315199</v>
      </c>
      <c r="D1041" s="116">
        <v>3.5881622878125601</v>
      </c>
      <c r="E1041" s="116">
        <v>3.78930844122337</v>
      </c>
      <c r="F1041" s="116">
        <v>229.4</v>
      </c>
      <c r="G1041">
        <v>1563</v>
      </c>
      <c r="H1041" s="116"/>
      <c r="I1041" s="116"/>
      <c r="L1041" s="170">
        <v>43535</v>
      </c>
      <c r="M1041" s="116">
        <v>307.35000000000002</v>
      </c>
      <c r="N1041" s="116">
        <v>309.45</v>
      </c>
      <c r="O1041" s="116">
        <v>289</v>
      </c>
      <c r="P1041" s="116">
        <v>289</v>
      </c>
      <c r="Q1041" s="116">
        <v>307.35000000000002</v>
      </c>
      <c r="R1041">
        <v>3545379</v>
      </c>
    </row>
    <row r="1042" spans="1:18" x14ac:dyDescent="0.25">
      <c r="A1042" s="170">
        <v>43537</v>
      </c>
      <c r="B1042" s="116">
        <v>3.7219957520898301</v>
      </c>
      <c r="C1042" s="116">
        <v>3.6071682235679101</v>
      </c>
      <c r="D1042" s="116">
        <v>3.5644048681183702</v>
      </c>
      <c r="E1042" s="116">
        <v>3.6111277935169399</v>
      </c>
      <c r="F1042" s="116">
        <v>227.75</v>
      </c>
      <c r="G1042">
        <v>1935</v>
      </c>
      <c r="H1042" s="116"/>
      <c r="I1042" s="116"/>
      <c r="L1042" s="170">
        <v>43536</v>
      </c>
      <c r="M1042" s="116">
        <v>316.64999999999998</v>
      </c>
      <c r="N1042" s="116">
        <v>325.45</v>
      </c>
      <c r="O1042" s="116">
        <v>310</v>
      </c>
      <c r="P1042" s="116">
        <v>310</v>
      </c>
      <c r="Q1042" s="116">
        <v>316.64999999999998</v>
      </c>
      <c r="R1042">
        <v>5011049</v>
      </c>
    </row>
    <row r="1043" spans="1:18" x14ac:dyDescent="0.25">
      <c r="A1043" s="170">
        <v>43538</v>
      </c>
      <c r="B1043" s="116">
        <v>3.6982383323956398</v>
      </c>
      <c r="C1043" s="116">
        <v>3.5453989323630202</v>
      </c>
      <c r="D1043" s="116">
        <v>3.53906362044457</v>
      </c>
      <c r="E1043" s="116">
        <v>3.5754916639756602</v>
      </c>
      <c r="F1043" s="116">
        <v>223.85</v>
      </c>
      <c r="G1043">
        <v>867</v>
      </c>
      <c r="H1043" s="116"/>
      <c r="I1043" s="116"/>
      <c r="L1043" s="170">
        <v>43537</v>
      </c>
      <c r="M1043" s="116">
        <v>321.25</v>
      </c>
      <c r="N1043" s="116">
        <v>326.8</v>
      </c>
      <c r="O1043" s="116">
        <v>310.14999999999998</v>
      </c>
      <c r="P1043" s="116">
        <v>318.60000000000002</v>
      </c>
      <c r="Q1043" s="116">
        <v>321.25</v>
      </c>
      <c r="R1043">
        <v>2490517</v>
      </c>
    </row>
    <row r="1044" spans="1:18" x14ac:dyDescent="0.25">
      <c r="A1044" s="170">
        <v>43539</v>
      </c>
      <c r="B1044" s="116">
        <v>3.6269660733130702</v>
      </c>
      <c r="C1044" s="116">
        <v>3.6269660733130702</v>
      </c>
      <c r="D1044" s="116">
        <v>3.55727764221011</v>
      </c>
      <c r="E1044" s="116">
        <v>3.55727764221011</v>
      </c>
      <c r="F1044" s="116">
        <v>229</v>
      </c>
      <c r="G1044">
        <v>1173</v>
      </c>
      <c r="H1044" s="116"/>
      <c r="I1044" s="116"/>
      <c r="L1044" s="170">
        <v>43538</v>
      </c>
      <c r="M1044" s="116">
        <v>320.55</v>
      </c>
      <c r="N1044" s="116">
        <v>324.7</v>
      </c>
      <c r="O1044" s="116">
        <v>315.14999999999998</v>
      </c>
      <c r="P1044" s="116">
        <v>321.25</v>
      </c>
      <c r="Q1044" s="116">
        <v>320.55</v>
      </c>
      <c r="R1044">
        <v>1889983</v>
      </c>
    </row>
    <row r="1045" spans="1:18" x14ac:dyDescent="0.25">
      <c r="A1045" s="170">
        <v>43542</v>
      </c>
      <c r="B1045" s="116">
        <v>3.7885165272335701</v>
      </c>
      <c r="C1045" s="116">
        <v>3.6293418152824901</v>
      </c>
      <c r="D1045" s="116">
        <v>3.5636129541285602</v>
      </c>
      <c r="E1045" s="116">
        <v>3.7885165272335701</v>
      </c>
      <c r="F1045" s="116">
        <v>229.15</v>
      </c>
      <c r="G1045">
        <v>1623</v>
      </c>
      <c r="H1045" s="116"/>
      <c r="I1045" s="116"/>
      <c r="L1045" s="170">
        <v>43539</v>
      </c>
      <c r="M1045" s="116">
        <v>314.95</v>
      </c>
      <c r="N1045" s="116">
        <v>324.60000000000002</v>
      </c>
      <c r="O1045" s="116">
        <v>311.2</v>
      </c>
      <c r="P1045" s="116">
        <v>321.60000000000002</v>
      </c>
      <c r="Q1045" s="116">
        <v>314.95</v>
      </c>
      <c r="R1045">
        <v>1547006</v>
      </c>
    </row>
    <row r="1046" spans="1:18" x14ac:dyDescent="0.25">
      <c r="A1046" s="170">
        <v>43543</v>
      </c>
      <c r="B1046" s="116">
        <v>3.7584237956209199</v>
      </c>
      <c r="C1046" s="116">
        <v>3.6428043531092</v>
      </c>
      <c r="D1046" s="116">
        <v>3.57153209402663</v>
      </c>
      <c r="E1046" s="116">
        <v>3.57153209402663</v>
      </c>
      <c r="F1046" s="116">
        <v>230</v>
      </c>
      <c r="G1046">
        <v>764</v>
      </c>
      <c r="H1046" s="116"/>
      <c r="I1046" s="116"/>
      <c r="L1046" s="170">
        <v>43542</v>
      </c>
      <c r="M1046" s="116">
        <v>316.35000000000002</v>
      </c>
      <c r="N1046" s="116">
        <v>321.55</v>
      </c>
      <c r="O1046" s="116">
        <v>308.2</v>
      </c>
      <c r="P1046" s="116">
        <v>313</v>
      </c>
      <c r="Q1046" s="116">
        <v>316.35000000000002</v>
      </c>
      <c r="R1046">
        <v>1546715</v>
      </c>
    </row>
    <row r="1047" spans="1:18" x14ac:dyDescent="0.25">
      <c r="A1047" s="170">
        <v>43544</v>
      </c>
      <c r="B1047" s="116">
        <v>3.76713484950879</v>
      </c>
      <c r="C1047" s="116">
        <v>3.7607995375903398</v>
      </c>
      <c r="D1047" s="116">
        <v>3.57153209402663</v>
      </c>
      <c r="E1047" s="116">
        <v>3.6744809127014499</v>
      </c>
      <c r="F1047" s="116">
        <v>237.45</v>
      </c>
      <c r="G1047">
        <v>433</v>
      </c>
      <c r="H1047" s="116"/>
      <c r="I1047" s="116"/>
      <c r="L1047" s="170">
        <v>43543</v>
      </c>
      <c r="M1047" s="116">
        <v>319.7</v>
      </c>
      <c r="N1047" s="116">
        <v>328.95</v>
      </c>
      <c r="O1047" s="116">
        <v>313.64999999999998</v>
      </c>
      <c r="P1047" s="116">
        <v>316.45</v>
      </c>
      <c r="Q1047" s="116">
        <v>319.7</v>
      </c>
      <c r="R1047">
        <v>2442317</v>
      </c>
    </row>
    <row r="1048" spans="1:18" x14ac:dyDescent="0.25">
      <c r="A1048" s="170">
        <v>43546</v>
      </c>
      <c r="B1048" s="116">
        <v>3.7219957520898301</v>
      </c>
      <c r="C1048" s="116">
        <v>3.6166711914455898</v>
      </c>
      <c r="D1048" s="116">
        <v>3.5810350619042999</v>
      </c>
      <c r="E1048" s="116">
        <v>3.7219957520898301</v>
      </c>
      <c r="F1048" s="116">
        <v>228.35</v>
      </c>
      <c r="G1048">
        <v>10378</v>
      </c>
      <c r="H1048" s="116"/>
      <c r="I1048" s="116"/>
      <c r="L1048" s="170">
        <v>43544</v>
      </c>
      <c r="M1048" s="116">
        <v>326.35000000000002</v>
      </c>
      <c r="N1048" s="116">
        <v>328</v>
      </c>
      <c r="O1048" s="116">
        <v>320.35000000000002</v>
      </c>
      <c r="P1048" s="116">
        <v>320.85000000000002</v>
      </c>
      <c r="Q1048" s="116">
        <v>326.35000000000002</v>
      </c>
      <c r="R1048">
        <v>1986364</v>
      </c>
    </row>
    <row r="1049" spans="1:18" x14ac:dyDescent="0.25">
      <c r="A1049" s="170">
        <v>43549</v>
      </c>
      <c r="B1049" s="116">
        <v>3.8795866360612998</v>
      </c>
      <c r="C1049" s="116">
        <v>3.5921218577615899</v>
      </c>
      <c r="D1049" s="116">
        <v>3.4860053831275399</v>
      </c>
      <c r="E1049" s="116">
        <v>3.5636129541285602</v>
      </c>
      <c r="F1049" s="116">
        <v>226.8</v>
      </c>
      <c r="G1049">
        <v>2991</v>
      </c>
      <c r="H1049" s="116"/>
      <c r="I1049" s="116"/>
      <c r="L1049" s="170">
        <v>43546</v>
      </c>
      <c r="M1049" s="116">
        <v>323.60000000000002</v>
      </c>
      <c r="N1049" s="116">
        <v>333.9</v>
      </c>
      <c r="O1049" s="116">
        <v>322.75</v>
      </c>
      <c r="P1049" s="116">
        <v>328.35</v>
      </c>
      <c r="Q1049" s="116">
        <v>323.60000000000002</v>
      </c>
      <c r="R1049">
        <v>3418006</v>
      </c>
    </row>
    <row r="1050" spans="1:18" x14ac:dyDescent="0.25">
      <c r="A1050" s="170">
        <v>43550</v>
      </c>
      <c r="B1050" s="116">
        <v>3.6459720090684198</v>
      </c>
      <c r="C1050" s="116">
        <v>3.5659886960979801</v>
      </c>
      <c r="D1050" s="116">
        <v>3.5636129541285602</v>
      </c>
      <c r="E1050" s="116">
        <v>3.5952895137208198</v>
      </c>
      <c r="F1050" s="116">
        <v>225.15</v>
      </c>
      <c r="G1050">
        <v>422</v>
      </c>
      <c r="H1050" s="116"/>
      <c r="I1050" s="116"/>
      <c r="L1050" s="170">
        <v>43549</v>
      </c>
      <c r="M1050" s="116">
        <v>328.2</v>
      </c>
      <c r="N1050" s="116">
        <v>330.5</v>
      </c>
      <c r="O1050" s="116">
        <v>316.45</v>
      </c>
      <c r="P1050" s="116">
        <v>317.5</v>
      </c>
      <c r="Q1050" s="116">
        <v>328.2</v>
      </c>
      <c r="R1050">
        <v>1609493</v>
      </c>
    </row>
    <row r="1051" spans="1:18" x14ac:dyDescent="0.25">
      <c r="A1051" s="170">
        <v>43551</v>
      </c>
      <c r="B1051" s="116">
        <v>3.6032086536188799</v>
      </c>
      <c r="C1051" s="116">
        <v>3.54619084635282</v>
      </c>
      <c r="D1051" s="116">
        <v>3.5192657706994099</v>
      </c>
      <c r="E1051" s="116">
        <v>3.5192657706994099</v>
      </c>
      <c r="F1051" s="116">
        <v>223.9</v>
      </c>
      <c r="G1051">
        <v>1559</v>
      </c>
      <c r="H1051" s="116"/>
      <c r="I1051" s="116"/>
      <c r="L1051" s="170">
        <v>43550</v>
      </c>
      <c r="M1051" s="116">
        <v>335.35</v>
      </c>
      <c r="N1051" s="116">
        <v>336.95</v>
      </c>
      <c r="O1051" s="116">
        <v>329.55</v>
      </c>
      <c r="P1051" s="116">
        <v>330.9</v>
      </c>
      <c r="Q1051" s="116">
        <v>335.35</v>
      </c>
      <c r="R1051">
        <v>2949263</v>
      </c>
    </row>
    <row r="1052" spans="1:18" x14ac:dyDescent="0.25">
      <c r="A1052" s="170">
        <v>43552</v>
      </c>
      <c r="B1052" s="116">
        <v>3.6348852132111298</v>
      </c>
      <c r="C1052" s="116">
        <v>3.6111277935169399</v>
      </c>
      <c r="D1052" s="116">
        <v>3.5659886960979801</v>
      </c>
      <c r="E1052" s="116">
        <v>3.5952895137208198</v>
      </c>
      <c r="F1052" s="116">
        <v>228</v>
      </c>
      <c r="G1052">
        <v>314</v>
      </c>
      <c r="H1052" s="116"/>
      <c r="I1052" s="116"/>
      <c r="L1052" s="170">
        <v>43551</v>
      </c>
      <c r="M1052" s="116">
        <v>335.7</v>
      </c>
      <c r="N1052" s="116">
        <v>344.9</v>
      </c>
      <c r="O1052" s="116">
        <v>331.8</v>
      </c>
      <c r="P1052" s="116">
        <v>335.45</v>
      </c>
      <c r="Q1052" s="116">
        <v>335.7</v>
      </c>
      <c r="R1052">
        <v>2110512</v>
      </c>
    </row>
    <row r="1053" spans="1:18" x14ac:dyDescent="0.25">
      <c r="A1053" s="170">
        <v>43553</v>
      </c>
      <c r="B1053" s="116">
        <v>3.6111277935169399</v>
      </c>
      <c r="C1053" s="116">
        <v>3.56915635205721</v>
      </c>
      <c r="D1053" s="116">
        <v>3.54935850231205</v>
      </c>
      <c r="E1053" s="116">
        <v>3.6103358795271401</v>
      </c>
      <c r="F1053" s="116">
        <v>225.35</v>
      </c>
      <c r="G1053">
        <v>1283</v>
      </c>
      <c r="H1053" s="116"/>
      <c r="I1053" s="116"/>
      <c r="L1053" s="170">
        <v>43552</v>
      </c>
      <c r="M1053" s="116">
        <v>345.9</v>
      </c>
      <c r="N1053" s="116">
        <v>347.5</v>
      </c>
      <c r="O1053" s="116">
        <v>337</v>
      </c>
      <c r="P1053" s="116">
        <v>338.4</v>
      </c>
      <c r="Q1053" s="116">
        <v>345.9</v>
      </c>
      <c r="R1053">
        <v>1566025</v>
      </c>
    </row>
    <row r="1054" spans="1:18" x14ac:dyDescent="0.25">
      <c r="A1054" s="170">
        <v>43556</v>
      </c>
      <c r="B1054" s="116">
        <v>3.6736889987116501</v>
      </c>
      <c r="C1054" s="116">
        <v>3.5707401800368199</v>
      </c>
      <c r="D1054" s="116">
        <v>3.5636129541285602</v>
      </c>
      <c r="E1054" s="116">
        <v>3.5636129541285602</v>
      </c>
      <c r="F1054" s="116">
        <v>225.45</v>
      </c>
      <c r="G1054">
        <v>727</v>
      </c>
      <c r="H1054" s="116"/>
      <c r="I1054" s="116"/>
      <c r="L1054" s="170">
        <v>43553</v>
      </c>
      <c r="M1054" s="116">
        <v>348.85</v>
      </c>
      <c r="N1054" s="116">
        <v>356.8</v>
      </c>
      <c r="O1054" s="116">
        <v>345.95</v>
      </c>
      <c r="P1054" s="116">
        <v>347</v>
      </c>
      <c r="Q1054" s="116">
        <v>348.85</v>
      </c>
      <c r="R1054">
        <v>1958143</v>
      </c>
    </row>
    <row r="1055" spans="1:18" x14ac:dyDescent="0.25">
      <c r="A1055" s="170">
        <v>43557</v>
      </c>
      <c r="B1055" s="116">
        <v>3.8629564422753599</v>
      </c>
      <c r="C1055" s="116">
        <v>3.5026355769134701</v>
      </c>
      <c r="D1055" s="116">
        <v>3.4844215551479301</v>
      </c>
      <c r="E1055" s="116">
        <v>3.8629564422753599</v>
      </c>
      <c r="F1055" s="116">
        <v>221.15</v>
      </c>
      <c r="G1055">
        <v>6283</v>
      </c>
      <c r="H1055" s="116"/>
      <c r="I1055" s="116"/>
      <c r="L1055" s="170">
        <v>43556</v>
      </c>
      <c r="M1055" s="116">
        <v>354.25</v>
      </c>
      <c r="N1055" s="116">
        <v>361.45</v>
      </c>
      <c r="O1055" s="116">
        <v>349</v>
      </c>
      <c r="P1055" s="116">
        <v>350.25</v>
      </c>
      <c r="Q1055" s="116">
        <v>354.25</v>
      </c>
      <c r="R1055">
        <v>2206271</v>
      </c>
    </row>
    <row r="1056" spans="1:18" x14ac:dyDescent="0.25">
      <c r="A1056" s="170">
        <v>43558</v>
      </c>
      <c r="B1056" s="116">
        <v>3.5477746743324401</v>
      </c>
      <c r="C1056" s="116">
        <v>3.48679729711735</v>
      </c>
      <c r="D1056" s="116">
        <v>3.4685832753518002</v>
      </c>
      <c r="E1056" s="116">
        <v>3.5477746743324401</v>
      </c>
      <c r="F1056" s="116">
        <v>220.15</v>
      </c>
      <c r="G1056">
        <v>2070</v>
      </c>
      <c r="H1056" s="116"/>
      <c r="I1056" s="116"/>
      <c r="L1056" s="170">
        <v>43557</v>
      </c>
      <c r="M1056" s="116">
        <v>349.7</v>
      </c>
      <c r="N1056" s="116">
        <v>357.25</v>
      </c>
      <c r="O1056" s="116">
        <v>347.45</v>
      </c>
      <c r="P1056" s="116">
        <v>356.7</v>
      </c>
      <c r="Q1056" s="116">
        <v>349.7</v>
      </c>
      <c r="R1056">
        <v>1101143</v>
      </c>
    </row>
    <row r="1057" spans="1:18" x14ac:dyDescent="0.25">
      <c r="A1057" s="170">
        <v>43559</v>
      </c>
      <c r="B1057" s="116">
        <v>3.7053655583039</v>
      </c>
      <c r="C1057" s="116">
        <v>3.4970921789848299</v>
      </c>
      <c r="D1057" s="116">
        <v>3.4844215551479301</v>
      </c>
      <c r="E1057" s="116">
        <v>3.7053655583039</v>
      </c>
      <c r="F1057" s="116">
        <v>220.8</v>
      </c>
      <c r="G1057">
        <v>480</v>
      </c>
      <c r="H1057" s="116"/>
      <c r="I1057" s="116"/>
      <c r="L1057" s="170">
        <v>43558</v>
      </c>
      <c r="M1057" s="116">
        <v>352.5</v>
      </c>
      <c r="N1057" s="116">
        <v>361</v>
      </c>
      <c r="O1057" s="116">
        <v>349</v>
      </c>
      <c r="P1057" s="116">
        <v>350</v>
      </c>
      <c r="Q1057" s="116">
        <v>352.5</v>
      </c>
      <c r="R1057">
        <v>1696747</v>
      </c>
    </row>
    <row r="1058" spans="1:18" x14ac:dyDescent="0.25">
      <c r="A1058" s="170">
        <v>43560</v>
      </c>
      <c r="B1058" s="116">
        <v>3.6412205251295902</v>
      </c>
      <c r="C1058" s="116">
        <v>3.5335202225159201</v>
      </c>
      <c r="D1058" s="116">
        <v>3.4844215551479301</v>
      </c>
      <c r="E1058" s="116">
        <v>3.4844215551479301</v>
      </c>
      <c r="F1058" s="116">
        <v>223.1</v>
      </c>
      <c r="G1058">
        <v>1609</v>
      </c>
      <c r="H1058" s="116"/>
      <c r="I1058" s="116"/>
      <c r="L1058" s="170">
        <v>43559</v>
      </c>
      <c r="M1058" s="116">
        <v>347.1</v>
      </c>
      <c r="N1058" s="116">
        <v>356.6</v>
      </c>
      <c r="O1058" s="116">
        <v>343.05</v>
      </c>
      <c r="P1058" s="116">
        <v>351.7</v>
      </c>
      <c r="Q1058" s="116">
        <v>347.1</v>
      </c>
      <c r="R1058">
        <v>2328290</v>
      </c>
    </row>
    <row r="1059" spans="1:18" x14ac:dyDescent="0.25">
      <c r="A1059" s="170">
        <v>43563</v>
      </c>
      <c r="B1059" s="116">
        <v>3.6697294287626101</v>
      </c>
      <c r="C1059" s="116">
        <v>3.51609811474018</v>
      </c>
      <c r="D1059" s="116">
        <v>3.4527449955556699</v>
      </c>
      <c r="E1059" s="116">
        <v>3.5002598349440599</v>
      </c>
      <c r="F1059" s="116">
        <v>222</v>
      </c>
      <c r="G1059">
        <v>3446</v>
      </c>
      <c r="H1059" s="116"/>
      <c r="I1059" s="116"/>
      <c r="L1059" s="170">
        <v>43560</v>
      </c>
      <c r="M1059" s="116">
        <v>360.1</v>
      </c>
      <c r="N1059" s="116">
        <v>363.5</v>
      </c>
      <c r="O1059" s="116">
        <v>348.45</v>
      </c>
      <c r="P1059" s="116">
        <v>348.9</v>
      </c>
      <c r="Q1059" s="116">
        <v>360.1</v>
      </c>
      <c r="R1059">
        <v>2898665</v>
      </c>
    </row>
    <row r="1060" spans="1:18" x14ac:dyDescent="0.25">
      <c r="A1060" s="170">
        <v>43564</v>
      </c>
      <c r="B1060" s="116">
        <v>3.5453989323630202</v>
      </c>
      <c r="C1060" s="116">
        <v>3.4511611675760601</v>
      </c>
      <c r="D1060" s="116">
        <v>3.40998164010613</v>
      </c>
      <c r="E1060" s="116">
        <v>3.40998164010613</v>
      </c>
      <c r="F1060" s="116">
        <v>217.9</v>
      </c>
      <c r="G1060">
        <v>609</v>
      </c>
      <c r="H1060" s="116"/>
      <c r="I1060" s="116"/>
      <c r="L1060" s="170">
        <v>43563</v>
      </c>
      <c r="M1060" s="116">
        <v>361.8</v>
      </c>
      <c r="N1060" s="116">
        <v>368.7</v>
      </c>
      <c r="O1060" s="116">
        <v>359.85</v>
      </c>
      <c r="P1060" s="116">
        <v>361.1</v>
      </c>
      <c r="Q1060" s="116">
        <v>361.8</v>
      </c>
      <c r="R1060">
        <v>2206838</v>
      </c>
    </row>
    <row r="1061" spans="1:18" x14ac:dyDescent="0.25">
      <c r="A1061" s="170">
        <v>43565</v>
      </c>
      <c r="B1061" s="116">
        <v>3.63171755725191</v>
      </c>
      <c r="C1061" s="116">
        <v>3.5944975997310098</v>
      </c>
      <c r="D1061" s="116">
        <v>3.4559126515148999</v>
      </c>
      <c r="E1061" s="116">
        <v>3.4559126515148999</v>
      </c>
      <c r="F1061" s="116">
        <v>226.95</v>
      </c>
      <c r="G1061">
        <v>405</v>
      </c>
      <c r="H1061" s="116"/>
      <c r="I1061" s="116"/>
      <c r="L1061" s="170">
        <v>43564</v>
      </c>
      <c r="M1061" s="116">
        <v>354.3</v>
      </c>
      <c r="N1061" s="116">
        <v>364.05</v>
      </c>
      <c r="O1061" s="116">
        <v>349.15</v>
      </c>
      <c r="P1061" s="116">
        <v>363</v>
      </c>
      <c r="Q1061" s="116">
        <v>354.3</v>
      </c>
      <c r="R1061">
        <v>1647653</v>
      </c>
    </row>
    <row r="1062" spans="1:18" x14ac:dyDescent="0.25">
      <c r="A1062" s="170">
        <v>43566</v>
      </c>
      <c r="B1062" s="116">
        <v>3.6103358795271401</v>
      </c>
      <c r="C1062" s="116">
        <v>3.4923406950459901</v>
      </c>
      <c r="D1062" s="116">
        <v>3.4860053831275399</v>
      </c>
      <c r="E1062" s="116">
        <v>3.4860053831275399</v>
      </c>
      <c r="F1062" s="116">
        <v>220.5</v>
      </c>
      <c r="G1062">
        <v>387</v>
      </c>
      <c r="H1062" s="116"/>
      <c r="I1062" s="116"/>
      <c r="L1062" s="170">
        <v>43565</v>
      </c>
      <c r="M1062" s="116">
        <v>347.4</v>
      </c>
      <c r="N1062" s="116">
        <v>359.3</v>
      </c>
      <c r="O1062" s="116">
        <v>346.25</v>
      </c>
      <c r="P1062" s="116">
        <v>354</v>
      </c>
      <c r="Q1062" s="116">
        <v>347.4</v>
      </c>
      <c r="R1062">
        <v>1223167</v>
      </c>
    </row>
    <row r="1063" spans="1:18" x14ac:dyDescent="0.25">
      <c r="A1063" s="170">
        <v>43567</v>
      </c>
      <c r="B1063" s="116">
        <v>3.5620291261489498</v>
      </c>
      <c r="C1063" s="116">
        <v>3.4147331240449699</v>
      </c>
      <c r="D1063" s="116">
        <v>3.34979617688085</v>
      </c>
      <c r="E1063" s="116">
        <v>3.34979617688085</v>
      </c>
      <c r="F1063" s="116">
        <v>215.6</v>
      </c>
      <c r="G1063">
        <v>802</v>
      </c>
      <c r="H1063" s="116"/>
      <c r="I1063" s="116"/>
      <c r="L1063" s="170">
        <v>43566</v>
      </c>
      <c r="M1063" s="116">
        <v>349.6</v>
      </c>
      <c r="N1063" s="116">
        <v>351.35</v>
      </c>
      <c r="O1063" s="116">
        <v>343.65</v>
      </c>
      <c r="P1063" s="116">
        <v>346.9</v>
      </c>
      <c r="Q1063" s="116">
        <v>349.6</v>
      </c>
      <c r="R1063">
        <v>799829</v>
      </c>
    </row>
    <row r="1064" spans="1:18" x14ac:dyDescent="0.25">
      <c r="A1064" s="170">
        <v>43570</v>
      </c>
      <c r="B1064" s="116">
        <v>3.5263929966076599</v>
      </c>
      <c r="C1064" s="116">
        <v>3.39414336031001</v>
      </c>
      <c r="D1064" s="116">
        <v>3.3117843053701401</v>
      </c>
      <c r="E1064" s="116">
        <v>3.42106843596342</v>
      </c>
      <c r="F1064" s="116">
        <v>214.3</v>
      </c>
      <c r="G1064">
        <v>1415</v>
      </c>
      <c r="H1064" s="116"/>
      <c r="I1064" s="116"/>
      <c r="L1064" s="170">
        <v>43567</v>
      </c>
      <c r="M1064" s="116">
        <v>352.8</v>
      </c>
      <c r="N1064" s="116">
        <v>353.95</v>
      </c>
      <c r="O1064" s="116">
        <v>348</v>
      </c>
      <c r="P1064" s="116">
        <v>348.1</v>
      </c>
      <c r="Q1064" s="116">
        <v>352.8</v>
      </c>
      <c r="R1064">
        <v>593965</v>
      </c>
    </row>
    <row r="1065" spans="1:18" x14ac:dyDescent="0.25">
      <c r="A1065" s="170">
        <v>43571</v>
      </c>
      <c r="B1065" s="116">
        <v>3.5620291261489498</v>
      </c>
      <c r="C1065" s="116">
        <v>3.30544899345169</v>
      </c>
      <c r="D1065" s="116">
        <v>3.19933251881764</v>
      </c>
      <c r="E1065" s="116">
        <v>3.37196976859543</v>
      </c>
      <c r="F1065" s="116">
        <v>208.7</v>
      </c>
      <c r="G1065">
        <v>3109</v>
      </c>
      <c r="H1065" s="116"/>
      <c r="I1065" s="116"/>
      <c r="L1065" s="170">
        <v>43570</v>
      </c>
      <c r="M1065" s="116">
        <v>346.75</v>
      </c>
      <c r="N1065" s="116">
        <v>356</v>
      </c>
      <c r="O1065" s="116">
        <v>345.5</v>
      </c>
      <c r="P1065" s="116">
        <v>353.5</v>
      </c>
      <c r="Q1065" s="116">
        <v>346.75</v>
      </c>
      <c r="R1065">
        <v>480853</v>
      </c>
    </row>
    <row r="1066" spans="1:18" x14ac:dyDescent="0.25">
      <c r="A1066" s="170">
        <v>43573</v>
      </c>
      <c r="B1066" s="116">
        <v>3.4369067157595499</v>
      </c>
      <c r="C1066" s="116">
        <v>3.39889484424884</v>
      </c>
      <c r="D1066" s="116">
        <v>3.2500150141652502</v>
      </c>
      <c r="E1066" s="116">
        <v>3.2500150141652502</v>
      </c>
      <c r="F1066" s="116">
        <v>214.6</v>
      </c>
      <c r="G1066">
        <v>587</v>
      </c>
      <c r="H1066" s="116"/>
      <c r="I1066" s="116"/>
      <c r="L1066" s="170">
        <v>43571</v>
      </c>
      <c r="M1066" s="116">
        <v>345</v>
      </c>
      <c r="N1066" s="116">
        <v>348.9</v>
      </c>
      <c r="O1066" s="116">
        <v>342.05</v>
      </c>
      <c r="P1066" s="116">
        <v>346</v>
      </c>
      <c r="Q1066" s="116">
        <v>345</v>
      </c>
      <c r="R1066">
        <v>672454</v>
      </c>
    </row>
    <row r="1067" spans="1:18" x14ac:dyDescent="0.25">
      <c r="A1067" s="170">
        <v>43577</v>
      </c>
      <c r="B1067" s="116">
        <v>4.0783570475026902</v>
      </c>
      <c r="C1067" s="116">
        <v>4.0783570475026902</v>
      </c>
      <c r="D1067" s="116">
        <v>3.5081789748421199</v>
      </c>
      <c r="E1067" s="116">
        <v>3.5081789748421199</v>
      </c>
      <c r="F1067" s="116">
        <v>257.5</v>
      </c>
      <c r="G1067">
        <v>27214</v>
      </c>
      <c r="H1067" s="116"/>
      <c r="I1067" s="116"/>
      <c r="L1067" s="170">
        <v>43573</v>
      </c>
      <c r="M1067" s="116">
        <v>337.2</v>
      </c>
      <c r="N1067" s="116">
        <v>346.9</v>
      </c>
      <c r="O1067" s="116">
        <v>335.7</v>
      </c>
      <c r="P1067" s="116">
        <v>343</v>
      </c>
      <c r="Q1067" s="116">
        <v>337.2</v>
      </c>
      <c r="R1067">
        <v>967633</v>
      </c>
    </row>
    <row r="1068" spans="1:18" x14ac:dyDescent="0.25">
      <c r="A1068" s="170">
        <v>43578</v>
      </c>
      <c r="B1068" s="116">
        <v>4.3381048361591699</v>
      </c>
      <c r="C1068" s="116">
        <v>3.7687186774884101</v>
      </c>
      <c r="D1068" s="116">
        <v>3.7473369997636401</v>
      </c>
      <c r="E1068" s="116">
        <v>4.2137743397595804</v>
      </c>
      <c r="F1068" s="116">
        <v>237.95</v>
      </c>
      <c r="G1068">
        <v>18394</v>
      </c>
      <c r="H1068" s="116"/>
      <c r="I1068" s="116"/>
      <c r="L1068" s="170">
        <v>43577</v>
      </c>
      <c r="M1068" s="116">
        <v>319.3</v>
      </c>
      <c r="N1068" s="116">
        <v>335.85</v>
      </c>
      <c r="O1068" s="116">
        <v>317.14999999999998</v>
      </c>
      <c r="P1068" s="116">
        <v>335</v>
      </c>
      <c r="Q1068" s="116">
        <v>319.3</v>
      </c>
      <c r="R1068">
        <v>1159638</v>
      </c>
    </row>
    <row r="1069" spans="1:18" x14ac:dyDescent="0.25">
      <c r="A1069" s="170">
        <v>43579</v>
      </c>
      <c r="B1069" s="116">
        <v>3.7219957520898301</v>
      </c>
      <c r="C1069" s="116">
        <v>3.6063763095781098</v>
      </c>
      <c r="D1069" s="116">
        <v>3.5216415126688299</v>
      </c>
      <c r="E1069" s="116">
        <v>3.7219957520898301</v>
      </c>
      <c r="F1069" s="116">
        <v>227.7</v>
      </c>
      <c r="G1069">
        <v>4389</v>
      </c>
      <c r="H1069" s="116"/>
      <c r="I1069" s="116"/>
      <c r="L1069" s="170">
        <v>43578</v>
      </c>
      <c r="M1069" s="116">
        <v>317.3</v>
      </c>
      <c r="N1069" s="116">
        <v>322.14999999999998</v>
      </c>
      <c r="O1069" s="116">
        <v>311.05</v>
      </c>
      <c r="P1069" s="116">
        <v>322.14999999999998</v>
      </c>
      <c r="Q1069" s="116">
        <v>317.3</v>
      </c>
      <c r="R1069">
        <v>1770616</v>
      </c>
    </row>
    <row r="1070" spans="1:18" x14ac:dyDescent="0.25">
      <c r="A1070" s="170">
        <v>43580</v>
      </c>
      <c r="B1070" s="116">
        <v>3.64201243911939</v>
      </c>
      <c r="C1070" s="116">
        <v>3.62300650336404</v>
      </c>
      <c r="D1070" s="116">
        <v>3.5042194048930901</v>
      </c>
      <c r="E1070" s="116">
        <v>3.6111277935169399</v>
      </c>
      <c r="F1070" s="116">
        <v>228.75</v>
      </c>
      <c r="G1070">
        <v>1847</v>
      </c>
      <c r="H1070" s="116"/>
      <c r="I1070" s="116"/>
      <c r="L1070" s="170">
        <v>43579</v>
      </c>
      <c r="M1070" s="116">
        <v>317.05</v>
      </c>
      <c r="N1070" s="116">
        <v>321.7</v>
      </c>
      <c r="O1070" s="116">
        <v>312.5</v>
      </c>
      <c r="P1070" s="116">
        <v>318</v>
      </c>
      <c r="Q1070" s="116">
        <v>317.05</v>
      </c>
      <c r="R1070">
        <v>1354590</v>
      </c>
    </row>
    <row r="1071" spans="1:18" x14ac:dyDescent="0.25">
      <c r="A1071" s="170">
        <v>43581</v>
      </c>
      <c r="B1071" s="116">
        <v>3.6903191924975798</v>
      </c>
      <c r="C1071" s="116">
        <v>3.5944975997310098</v>
      </c>
      <c r="D1071" s="116">
        <v>3.4685832753518002</v>
      </c>
      <c r="E1071" s="116">
        <v>3.6903191924975798</v>
      </c>
      <c r="F1071" s="116">
        <v>226.95</v>
      </c>
      <c r="G1071">
        <v>1106</v>
      </c>
      <c r="H1071" s="116"/>
      <c r="I1071" s="116"/>
      <c r="L1071" s="170">
        <v>43580</v>
      </c>
      <c r="M1071" s="116">
        <v>319.8</v>
      </c>
      <c r="N1071" s="116">
        <v>324.39999999999998</v>
      </c>
      <c r="O1071" s="116">
        <v>316.7</v>
      </c>
      <c r="P1071" s="116">
        <v>320.39999999999998</v>
      </c>
      <c r="Q1071" s="116">
        <v>319.8</v>
      </c>
      <c r="R1071">
        <v>1347648</v>
      </c>
    </row>
    <row r="1072" spans="1:18" x14ac:dyDescent="0.25">
      <c r="A1072" s="170">
        <v>43585</v>
      </c>
      <c r="B1072" s="116">
        <v>3.7117008702223502</v>
      </c>
      <c r="C1072" s="116">
        <v>3.5857865458431402</v>
      </c>
      <c r="D1072" s="116">
        <v>3.5081789748421199</v>
      </c>
      <c r="E1072" s="116">
        <v>3.5081789748421199</v>
      </c>
      <c r="F1072" s="116">
        <v>226.4</v>
      </c>
      <c r="G1072">
        <v>2295</v>
      </c>
      <c r="H1072" s="116"/>
      <c r="I1072" s="116"/>
      <c r="L1072" s="170">
        <v>43581</v>
      </c>
      <c r="M1072" s="116">
        <v>322.39999999999998</v>
      </c>
      <c r="N1072" s="116">
        <v>324.64999999999998</v>
      </c>
      <c r="O1072" s="116">
        <v>317.8</v>
      </c>
      <c r="P1072" s="116">
        <v>320.89999999999998</v>
      </c>
      <c r="Q1072" s="116">
        <v>322.39999999999998</v>
      </c>
      <c r="R1072">
        <v>499361</v>
      </c>
    </row>
    <row r="1073" spans="1:18" x14ac:dyDescent="0.25">
      <c r="A1073" s="170">
        <v>43587</v>
      </c>
      <c r="B1073" s="116">
        <v>3.7552561396617001</v>
      </c>
      <c r="C1073" s="116">
        <v>3.7552561396617001</v>
      </c>
      <c r="D1073" s="116">
        <v>3.5406474484241799</v>
      </c>
      <c r="E1073" s="116">
        <v>3.5857865458431402</v>
      </c>
      <c r="F1073" s="116">
        <v>237.1</v>
      </c>
      <c r="G1073">
        <v>1866</v>
      </c>
      <c r="H1073" s="116"/>
      <c r="I1073" s="116"/>
      <c r="L1073" s="170">
        <v>43585</v>
      </c>
      <c r="M1073" s="116">
        <v>318.64999999999998</v>
      </c>
      <c r="N1073" s="116">
        <v>323.45</v>
      </c>
      <c r="O1073" s="116">
        <v>313.2</v>
      </c>
      <c r="P1073" s="116">
        <v>321.05</v>
      </c>
      <c r="Q1073" s="116">
        <v>318.64999999999998</v>
      </c>
      <c r="R1073">
        <v>1138445</v>
      </c>
    </row>
    <row r="1074" spans="1:18" x14ac:dyDescent="0.25">
      <c r="A1074" s="170">
        <v>43588</v>
      </c>
      <c r="B1074" s="116">
        <v>4.3436482340878202</v>
      </c>
      <c r="C1074" s="116">
        <v>3.9310610453987098</v>
      </c>
      <c r="D1074" s="116">
        <v>3.78218121531512</v>
      </c>
      <c r="E1074" s="116">
        <v>3.78218121531512</v>
      </c>
      <c r="F1074" s="116">
        <v>248.2</v>
      </c>
      <c r="G1074">
        <v>7288</v>
      </c>
      <c r="H1074" s="116"/>
      <c r="I1074" s="116"/>
      <c r="L1074" s="170">
        <v>43587</v>
      </c>
      <c r="M1074" s="116">
        <v>342.5</v>
      </c>
      <c r="N1074" s="116">
        <v>346</v>
      </c>
      <c r="O1074" s="116">
        <v>311.8</v>
      </c>
      <c r="P1074" s="116">
        <v>312</v>
      </c>
      <c r="Q1074" s="116">
        <v>342.5</v>
      </c>
      <c r="R1074">
        <v>4207333</v>
      </c>
    </row>
    <row r="1075" spans="1:18" x14ac:dyDescent="0.25">
      <c r="A1075" s="170">
        <v>43591</v>
      </c>
      <c r="B1075" s="116">
        <v>4.23990750142318</v>
      </c>
      <c r="C1075" s="116">
        <v>4.1409182526973902</v>
      </c>
      <c r="D1075" s="116">
        <v>3.95956994903174</v>
      </c>
      <c r="E1075" s="116">
        <v>3.95956994903174</v>
      </c>
      <c r="F1075" s="116">
        <v>261.45</v>
      </c>
      <c r="G1075">
        <v>5817</v>
      </c>
      <c r="H1075" s="116"/>
      <c r="I1075" s="116"/>
      <c r="L1075" s="170">
        <v>43588</v>
      </c>
      <c r="M1075" s="116">
        <v>332.75</v>
      </c>
      <c r="N1075" s="116">
        <v>344.65</v>
      </c>
      <c r="O1075" s="116">
        <v>330.4</v>
      </c>
      <c r="P1075" s="116">
        <v>341.65</v>
      </c>
      <c r="Q1075" s="116">
        <v>332.75</v>
      </c>
      <c r="R1075">
        <v>1506224</v>
      </c>
    </row>
    <row r="1076" spans="1:18" x14ac:dyDescent="0.25">
      <c r="A1076" s="170">
        <v>43592</v>
      </c>
      <c r="B1076" s="116">
        <v>4.4188800631194196</v>
      </c>
      <c r="C1076" s="116">
        <v>4.1860573501163501</v>
      </c>
      <c r="D1076" s="116">
        <v>4.1179527469930104</v>
      </c>
      <c r="E1076" s="116">
        <v>4.2541619532397004</v>
      </c>
      <c r="F1076" s="116">
        <v>264.3</v>
      </c>
      <c r="G1076">
        <v>9452</v>
      </c>
      <c r="H1076" s="116"/>
      <c r="I1076" s="116"/>
      <c r="L1076" s="170">
        <v>43591</v>
      </c>
      <c r="M1076" s="116">
        <v>323.5</v>
      </c>
      <c r="N1076" s="116">
        <v>332.3</v>
      </c>
      <c r="O1076" s="116">
        <v>321.45</v>
      </c>
      <c r="P1076" s="116">
        <v>327</v>
      </c>
      <c r="Q1076" s="116">
        <v>323.5</v>
      </c>
      <c r="R1076">
        <v>706867</v>
      </c>
    </row>
    <row r="1077" spans="1:18" x14ac:dyDescent="0.25">
      <c r="A1077" s="170">
        <v>43593</v>
      </c>
      <c r="B1077" s="116">
        <v>4.51390974189618</v>
      </c>
      <c r="C1077" s="116">
        <v>3.8787947220714898</v>
      </c>
      <c r="D1077" s="116">
        <v>3.8787947220714898</v>
      </c>
      <c r="E1077" s="116">
        <v>4.2763355449542804</v>
      </c>
      <c r="F1077" s="116">
        <v>244.9</v>
      </c>
      <c r="G1077">
        <v>3440</v>
      </c>
      <c r="H1077" s="116"/>
      <c r="I1077" s="116"/>
      <c r="L1077" s="170">
        <v>43592</v>
      </c>
      <c r="M1077" s="116">
        <v>315.89999999999998</v>
      </c>
      <c r="N1077" s="116">
        <v>329.75</v>
      </c>
      <c r="O1077" s="116">
        <v>314.25</v>
      </c>
      <c r="P1077" s="116">
        <v>325.10000000000002</v>
      </c>
      <c r="Q1077" s="116">
        <v>315.89999999999998</v>
      </c>
      <c r="R1077">
        <v>649421</v>
      </c>
    </row>
    <row r="1078" spans="1:18" x14ac:dyDescent="0.25">
      <c r="A1078" s="170">
        <v>43594</v>
      </c>
      <c r="B1078" s="116">
        <v>3.8621645282855601</v>
      </c>
      <c r="C1078" s="116">
        <v>3.7972275811214402</v>
      </c>
      <c r="D1078" s="116">
        <v>3.7093251282529298</v>
      </c>
      <c r="E1078" s="116">
        <v>3.7093251282529298</v>
      </c>
      <c r="F1078" s="116">
        <v>239.75</v>
      </c>
      <c r="G1078">
        <v>1432</v>
      </c>
      <c r="H1078" s="116"/>
      <c r="I1078" s="116"/>
      <c r="L1078" s="170">
        <v>43593</v>
      </c>
      <c r="M1078" s="116">
        <v>321.10000000000002</v>
      </c>
      <c r="N1078" s="116">
        <v>326.39999999999998</v>
      </c>
      <c r="O1078" s="116">
        <v>311.05</v>
      </c>
      <c r="P1078" s="116">
        <v>312.25</v>
      </c>
      <c r="Q1078" s="116">
        <v>321.10000000000002</v>
      </c>
      <c r="R1078">
        <v>1230045</v>
      </c>
    </row>
    <row r="1079" spans="1:18" x14ac:dyDescent="0.25">
      <c r="A1079" s="170">
        <v>43595</v>
      </c>
      <c r="B1079" s="116">
        <v>3.92630956145987</v>
      </c>
      <c r="C1079" s="116">
        <v>3.8479100764690402</v>
      </c>
      <c r="D1079" s="116">
        <v>3.6428043531092</v>
      </c>
      <c r="E1079" s="116">
        <v>3.92630956145987</v>
      </c>
      <c r="F1079" s="116">
        <v>242.95</v>
      </c>
      <c r="G1079">
        <v>809</v>
      </c>
      <c r="H1079" s="116"/>
      <c r="I1079" s="116"/>
      <c r="L1079" s="170">
        <v>43594</v>
      </c>
      <c r="M1079" s="116">
        <v>317.75</v>
      </c>
      <c r="N1079" s="116">
        <v>326.10000000000002</v>
      </c>
      <c r="O1079" s="116">
        <v>315.7</v>
      </c>
      <c r="P1079" s="116">
        <v>321.85000000000002</v>
      </c>
      <c r="Q1079" s="116">
        <v>317.75</v>
      </c>
      <c r="R1079">
        <v>889335</v>
      </c>
    </row>
    <row r="1080" spans="1:18" x14ac:dyDescent="0.25">
      <c r="A1080" s="170">
        <v>43598</v>
      </c>
      <c r="B1080" s="116">
        <v>3.9556103790827102</v>
      </c>
      <c r="C1080" s="116">
        <v>3.8217769148054299</v>
      </c>
      <c r="D1080" s="116">
        <v>3.7425855158247998</v>
      </c>
      <c r="E1080" s="116">
        <v>3.8170254308665901</v>
      </c>
      <c r="F1080" s="116">
        <v>241.3</v>
      </c>
      <c r="G1080">
        <v>1093</v>
      </c>
      <c r="H1080" s="116"/>
      <c r="I1080" s="116"/>
      <c r="L1080" s="170">
        <v>43595</v>
      </c>
      <c r="M1080" s="116">
        <v>318.25</v>
      </c>
      <c r="N1080" s="116">
        <v>323.89999999999998</v>
      </c>
      <c r="O1080" s="116">
        <v>314</v>
      </c>
      <c r="P1080" s="116">
        <v>317.7</v>
      </c>
      <c r="Q1080" s="116">
        <v>318.25</v>
      </c>
      <c r="R1080">
        <v>895291</v>
      </c>
    </row>
    <row r="1081" spans="1:18" x14ac:dyDescent="0.25">
      <c r="A1081" s="170">
        <v>43599</v>
      </c>
      <c r="B1081" s="116">
        <v>3.9476912391846399</v>
      </c>
      <c r="C1081" s="116">
        <v>3.9476912391846399</v>
      </c>
      <c r="D1081" s="116">
        <v>3.7536723116820898</v>
      </c>
      <c r="E1081" s="116">
        <v>3.7536723116820898</v>
      </c>
      <c r="F1081" s="116">
        <v>249.25</v>
      </c>
      <c r="G1081">
        <v>656</v>
      </c>
      <c r="H1081" s="116"/>
      <c r="I1081" s="116"/>
      <c r="L1081" s="170">
        <v>43598</v>
      </c>
      <c r="M1081" s="116">
        <v>309.2</v>
      </c>
      <c r="N1081" s="116">
        <v>319.85000000000002</v>
      </c>
      <c r="O1081" s="116">
        <v>305.85000000000002</v>
      </c>
      <c r="P1081" s="116">
        <v>319.3</v>
      </c>
      <c r="Q1081" s="116">
        <v>309.2</v>
      </c>
      <c r="R1081">
        <v>477911</v>
      </c>
    </row>
    <row r="1082" spans="1:18" x14ac:dyDescent="0.25">
      <c r="A1082" s="170">
        <v>43600</v>
      </c>
      <c r="B1082" s="116">
        <v>4.1132012630541697</v>
      </c>
      <c r="C1082" s="116">
        <v>3.9722405728686399</v>
      </c>
      <c r="D1082" s="116">
        <v>3.8962168298472299</v>
      </c>
      <c r="E1082" s="116">
        <v>3.9579861210521199</v>
      </c>
      <c r="F1082" s="116">
        <v>250.8</v>
      </c>
      <c r="G1082">
        <v>3036</v>
      </c>
      <c r="H1082" s="116"/>
      <c r="I1082" s="116"/>
      <c r="L1082" s="170">
        <v>43599</v>
      </c>
      <c r="M1082" s="116">
        <v>314.5</v>
      </c>
      <c r="N1082" s="116">
        <v>316.7</v>
      </c>
      <c r="O1082" s="116">
        <v>305.14999999999998</v>
      </c>
      <c r="P1082" s="116">
        <v>306.5</v>
      </c>
      <c r="Q1082" s="116">
        <v>314.5</v>
      </c>
      <c r="R1082">
        <v>743993</v>
      </c>
    </row>
    <row r="1083" spans="1:18" x14ac:dyDescent="0.25">
      <c r="A1083" s="170">
        <v>43601</v>
      </c>
      <c r="B1083" s="116">
        <v>4.2763355449542804</v>
      </c>
      <c r="C1083" s="116">
        <v>4.2628730071275696</v>
      </c>
      <c r="D1083" s="116">
        <v>3.9611537770113499</v>
      </c>
      <c r="E1083" s="116">
        <v>4.1108255210847497</v>
      </c>
      <c r="F1083" s="116">
        <v>269.14999999999998</v>
      </c>
      <c r="G1083">
        <v>5541</v>
      </c>
      <c r="H1083" s="116"/>
      <c r="I1083" s="116"/>
      <c r="L1083" s="170">
        <v>43600</v>
      </c>
      <c r="M1083" s="116">
        <v>305.7</v>
      </c>
      <c r="N1083" s="116">
        <v>319.8</v>
      </c>
      <c r="O1083" s="116">
        <v>304.75</v>
      </c>
      <c r="P1083" s="116">
        <v>314.5</v>
      </c>
      <c r="Q1083" s="116">
        <v>305.7</v>
      </c>
      <c r="R1083">
        <v>719149</v>
      </c>
    </row>
    <row r="1084" spans="1:18" x14ac:dyDescent="0.25">
      <c r="A1084" s="170">
        <v>43602</v>
      </c>
      <c r="B1084" s="116">
        <v>4.35552694393491</v>
      </c>
      <c r="C1084" s="116">
        <v>4.1781382102182896</v>
      </c>
      <c r="D1084" s="116">
        <v>4.1179527469930104</v>
      </c>
      <c r="E1084" s="116">
        <v>4.3286018682814902</v>
      </c>
      <c r="F1084" s="116">
        <v>263.8</v>
      </c>
      <c r="G1084">
        <v>4814</v>
      </c>
      <c r="H1084" s="116"/>
      <c r="I1084" s="116"/>
      <c r="L1084" s="170">
        <v>43601</v>
      </c>
      <c r="M1084" s="116">
        <v>312.45</v>
      </c>
      <c r="N1084" s="116">
        <v>314.2</v>
      </c>
      <c r="O1084" s="116">
        <v>304.25</v>
      </c>
      <c r="P1084" s="116">
        <v>305.7</v>
      </c>
      <c r="Q1084" s="116">
        <v>312.45</v>
      </c>
      <c r="R1084">
        <v>715203</v>
      </c>
    </row>
    <row r="1085" spans="1:18" x14ac:dyDescent="0.25">
      <c r="A1085" s="170">
        <v>43605</v>
      </c>
      <c r="B1085" s="116">
        <v>4.2763355449542804</v>
      </c>
      <c r="C1085" s="116">
        <v>4.2430751573824104</v>
      </c>
      <c r="D1085" s="116">
        <v>3.9912465086239899</v>
      </c>
      <c r="E1085" s="116">
        <v>4.2129824257697699</v>
      </c>
      <c r="F1085" s="116">
        <v>267.89999999999998</v>
      </c>
      <c r="G1085">
        <v>3070</v>
      </c>
      <c r="H1085" s="116"/>
      <c r="I1085" s="116"/>
      <c r="L1085" s="170">
        <v>43602</v>
      </c>
      <c r="M1085" s="116">
        <v>319.95</v>
      </c>
      <c r="N1085" s="116">
        <v>322.45</v>
      </c>
      <c r="O1085" s="116">
        <v>310.89999999999998</v>
      </c>
      <c r="P1085" s="116">
        <v>313.5</v>
      </c>
      <c r="Q1085" s="116">
        <v>319.95</v>
      </c>
      <c r="R1085">
        <v>611539</v>
      </c>
    </row>
    <row r="1086" spans="1:18" x14ac:dyDescent="0.25">
      <c r="A1086" s="170">
        <v>43606</v>
      </c>
      <c r="B1086" s="116">
        <v>4.2763355449542804</v>
      </c>
      <c r="C1086" s="116">
        <v>4.1820977801673198</v>
      </c>
      <c r="D1086" s="116">
        <v>4.1654675863813901</v>
      </c>
      <c r="E1086" s="116">
        <v>4.2763355449542804</v>
      </c>
      <c r="F1086" s="116">
        <v>264.05</v>
      </c>
      <c r="G1086">
        <v>3693</v>
      </c>
      <c r="H1086" s="116"/>
      <c r="I1086" s="116"/>
      <c r="L1086" s="170">
        <v>43605</v>
      </c>
      <c r="M1086" s="116">
        <v>355.1</v>
      </c>
      <c r="N1086" s="116">
        <v>362.35</v>
      </c>
      <c r="O1086" s="116">
        <v>325.60000000000002</v>
      </c>
      <c r="P1086" s="116">
        <v>325.60000000000002</v>
      </c>
      <c r="Q1086" s="116">
        <v>355.1</v>
      </c>
      <c r="R1086">
        <v>2507528</v>
      </c>
    </row>
    <row r="1087" spans="1:18" x14ac:dyDescent="0.25">
      <c r="A1087" s="170">
        <v>43607</v>
      </c>
      <c r="B1087" s="116">
        <v>4.3080121045465303</v>
      </c>
      <c r="C1087" s="116">
        <v>4.2248611356168597</v>
      </c>
      <c r="D1087" s="116">
        <v>4.1496293065852603</v>
      </c>
      <c r="E1087" s="116">
        <v>4.1583403604731304</v>
      </c>
      <c r="F1087" s="116">
        <v>266.75</v>
      </c>
      <c r="G1087">
        <v>3524</v>
      </c>
      <c r="H1087" s="116"/>
      <c r="I1087" s="116"/>
      <c r="L1087" s="170">
        <v>43606</v>
      </c>
      <c r="M1087" s="116">
        <v>345.2</v>
      </c>
      <c r="N1087" s="116">
        <v>355</v>
      </c>
      <c r="O1087" s="116">
        <v>341.6</v>
      </c>
      <c r="P1087" s="116">
        <v>355</v>
      </c>
      <c r="Q1087" s="116">
        <v>345.2</v>
      </c>
      <c r="R1087">
        <v>850989</v>
      </c>
    </row>
    <row r="1088" spans="1:18" x14ac:dyDescent="0.25">
      <c r="A1088" s="170">
        <v>43608</v>
      </c>
      <c r="B1088" s="116">
        <v>4.3080121045465303</v>
      </c>
      <c r="C1088" s="116">
        <v>4.1179527469930104</v>
      </c>
      <c r="D1088" s="116">
        <v>3.97540822882786</v>
      </c>
      <c r="E1088" s="116">
        <v>4.0862761874007498</v>
      </c>
      <c r="F1088" s="116">
        <v>260</v>
      </c>
      <c r="G1088">
        <v>3495</v>
      </c>
      <c r="H1088" s="116"/>
      <c r="I1088" s="116"/>
      <c r="L1088" s="170">
        <v>43607</v>
      </c>
      <c r="M1088" s="116">
        <v>343.05</v>
      </c>
      <c r="N1088" s="116">
        <v>347.95</v>
      </c>
      <c r="O1088" s="116">
        <v>335.5</v>
      </c>
      <c r="P1088" s="116">
        <v>344.25</v>
      </c>
      <c r="Q1088" s="116">
        <v>343.05</v>
      </c>
      <c r="R1088">
        <v>1008127</v>
      </c>
    </row>
    <row r="1089" spans="1:18" x14ac:dyDescent="0.25">
      <c r="A1089" s="170">
        <v>43609</v>
      </c>
      <c r="B1089" s="116">
        <v>4.3238503843426601</v>
      </c>
      <c r="C1089" s="116">
        <v>4.2763355449542804</v>
      </c>
      <c r="D1089" s="116">
        <v>4.1179527469930104</v>
      </c>
      <c r="E1089" s="116">
        <v>4.1179527469930104</v>
      </c>
      <c r="F1089" s="116">
        <v>270</v>
      </c>
      <c r="G1089">
        <v>2256</v>
      </c>
      <c r="H1089" s="116"/>
      <c r="I1089" s="116"/>
      <c r="L1089" s="170">
        <v>43608</v>
      </c>
      <c r="M1089" s="116">
        <v>340.45</v>
      </c>
      <c r="N1089" s="116">
        <v>361</v>
      </c>
      <c r="O1089" s="116">
        <v>338.1</v>
      </c>
      <c r="P1089" s="116">
        <v>354.9</v>
      </c>
      <c r="Q1089" s="116">
        <v>340.45</v>
      </c>
      <c r="R1089">
        <v>1159909</v>
      </c>
    </row>
    <row r="1090" spans="1:18" x14ac:dyDescent="0.25">
      <c r="A1090" s="170">
        <v>43612</v>
      </c>
      <c r="B1090" s="116">
        <v>4.3080121045465303</v>
      </c>
      <c r="C1090" s="116">
        <v>4.2557457812193098</v>
      </c>
      <c r="D1090" s="116">
        <v>4.2462428133416399</v>
      </c>
      <c r="E1090" s="116">
        <v>4.3080121045465303</v>
      </c>
      <c r="F1090" s="116">
        <v>268.7</v>
      </c>
      <c r="G1090">
        <v>656</v>
      </c>
      <c r="H1090" s="116"/>
      <c r="I1090" s="116"/>
      <c r="L1090" s="170">
        <v>43609</v>
      </c>
      <c r="M1090" s="116">
        <v>357.7</v>
      </c>
      <c r="N1090" s="116">
        <v>359.35</v>
      </c>
      <c r="O1090" s="116">
        <v>340.45</v>
      </c>
      <c r="P1090" s="116">
        <v>340.45</v>
      </c>
      <c r="Q1090" s="116">
        <v>357.7</v>
      </c>
      <c r="R1090">
        <v>1326201</v>
      </c>
    </row>
    <row r="1091" spans="1:18" x14ac:dyDescent="0.25">
      <c r="A1091" s="170">
        <v>43613</v>
      </c>
      <c r="B1091" s="116">
        <v>4.35552694393491</v>
      </c>
      <c r="C1091" s="116">
        <v>4.20823094183093</v>
      </c>
      <c r="D1091" s="116">
        <v>4.2050632858717103</v>
      </c>
      <c r="E1091" s="116">
        <v>4.35552694393491</v>
      </c>
      <c r="F1091" s="116">
        <v>265.7</v>
      </c>
      <c r="G1091">
        <v>995</v>
      </c>
      <c r="H1091" s="116"/>
      <c r="I1091" s="116"/>
      <c r="L1091" s="170">
        <v>43612</v>
      </c>
      <c r="M1091" s="116">
        <v>354.7</v>
      </c>
      <c r="N1091" s="116">
        <v>357.05</v>
      </c>
      <c r="O1091" s="116">
        <v>348.8</v>
      </c>
      <c r="P1091" s="116">
        <v>357</v>
      </c>
      <c r="Q1091" s="116">
        <v>354.7</v>
      </c>
      <c r="R1091">
        <v>583212</v>
      </c>
    </row>
    <row r="1092" spans="1:18" x14ac:dyDescent="0.25">
      <c r="A1092" s="170">
        <v>43614</v>
      </c>
      <c r="B1092" s="116">
        <v>4.3396886641387802</v>
      </c>
      <c r="C1092" s="116">
        <v>4.1813058661775102</v>
      </c>
      <c r="D1092" s="116">
        <v>4.1670514143609996</v>
      </c>
      <c r="E1092" s="116">
        <v>4.20823094183093</v>
      </c>
      <c r="F1092" s="116">
        <v>264</v>
      </c>
      <c r="G1092">
        <v>1072</v>
      </c>
      <c r="H1092" s="116"/>
      <c r="I1092" s="116"/>
      <c r="L1092" s="170">
        <v>43613</v>
      </c>
      <c r="M1092" s="116">
        <v>347.7</v>
      </c>
      <c r="N1092" s="116">
        <v>354.9</v>
      </c>
      <c r="O1092" s="116">
        <v>343.05</v>
      </c>
      <c r="P1092" s="116">
        <v>354.9</v>
      </c>
      <c r="Q1092" s="116">
        <v>347.7</v>
      </c>
      <c r="R1092">
        <v>823842</v>
      </c>
    </row>
    <row r="1093" spans="1:18" x14ac:dyDescent="0.25">
      <c r="A1093" s="170">
        <v>43615</v>
      </c>
      <c r="B1093" s="116">
        <v>4.4188800631194196</v>
      </c>
      <c r="C1093" s="116">
        <v>4.3539431159552997</v>
      </c>
      <c r="D1093" s="116">
        <v>4.0577672837677197</v>
      </c>
      <c r="E1093" s="116">
        <v>4.0577672837677197</v>
      </c>
      <c r="F1093" s="116">
        <v>274.89999999999998</v>
      </c>
      <c r="G1093">
        <v>1051</v>
      </c>
      <c r="H1093" s="116"/>
      <c r="I1093" s="116"/>
      <c r="L1093" s="170">
        <v>43614</v>
      </c>
      <c r="M1093" s="116">
        <v>353.95</v>
      </c>
      <c r="N1093" s="116">
        <v>361</v>
      </c>
      <c r="O1093" s="116">
        <v>342</v>
      </c>
      <c r="P1093" s="116">
        <v>346</v>
      </c>
      <c r="Q1093" s="116">
        <v>353.95</v>
      </c>
      <c r="R1093">
        <v>1501308</v>
      </c>
    </row>
    <row r="1094" spans="1:18" x14ac:dyDescent="0.25">
      <c r="A1094" s="170">
        <v>43616</v>
      </c>
      <c r="B1094" s="116">
        <v>4.35552694393491</v>
      </c>
      <c r="C1094" s="116">
        <v>4.3460239760572303</v>
      </c>
      <c r="D1094" s="116">
        <v>4.2288207055658997</v>
      </c>
      <c r="E1094" s="116">
        <v>4.2335721895047298</v>
      </c>
      <c r="F1094" s="116">
        <v>274.39999999999998</v>
      </c>
      <c r="G1094">
        <v>1220</v>
      </c>
      <c r="H1094" s="116"/>
      <c r="I1094" s="116"/>
      <c r="L1094" s="170">
        <v>43615</v>
      </c>
      <c r="M1094" s="116">
        <v>356.55</v>
      </c>
      <c r="N1094" s="116">
        <v>358.9</v>
      </c>
      <c r="O1094" s="116">
        <v>353.1</v>
      </c>
      <c r="P1094" s="116">
        <v>355.3</v>
      </c>
      <c r="Q1094" s="116">
        <v>356.55</v>
      </c>
      <c r="R1094">
        <v>1149519</v>
      </c>
    </row>
    <row r="1095" spans="1:18" x14ac:dyDescent="0.25">
      <c r="A1095" s="170">
        <v>43619</v>
      </c>
      <c r="B1095" s="116">
        <v>4.35552694393491</v>
      </c>
      <c r="C1095" s="116">
        <v>4.2993010506586602</v>
      </c>
      <c r="D1095" s="116">
        <v>4.1496293065852603</v>
      </c>
      <c r="E1095" s="116">
        <v>4.2446589853620198</v>
      </c>
      <c r="F1095" s="116">
        <v>271.45</v>
      </c>
      <c r="G1095">
        <v>822</v>
      </c>
      <c r="H1095" s="116"/>
      <c r="I1095" s="116"/>
      <c r="L1095" s="170">
        <v>43616</v>
      </c>
      <c r="M1095" s="116">
        <v>352.35</v>
      </c>
      <c r="N1095" s="116">
        <v>370</v>
      </c>
      <c r="O1095" s="116">
        <v>348.25</v>
      </c>
      <c r="P1095" s="116">
        <v>358</v>
      </c>
      <c r="Q1095" s="116">
        <v>352.35</v>
      </c>
      <c r="R1095">
        <v>2482261</v>
      </c>
    </row>
    <row r="1096" spans="1:18" x14ac:dyDescent="0.25">
      <c r="A1096" s="170">
        <v>43620</v>
      </c>
      <c r="B1096" s="116">
        <v>4.3396886641387802</v>
      </c>
      <c r="C1096" s="116">
        <v>4.3396886641387802</v>
      </c>
      <c r="D1096" s="116">
        <v>4.2446589853620198</v>
      </c>
      <c r="E1096" s="116">
        <v>4.2446589853620198</v>
      </c>
      <c r="F1096" s="116">
        <v>274</v>
      </c>
      <c r="G1096">
        <v>360</v>
      </c>
      <c r="H1096" s="116"/>
      <c r="I1096" s="116"/>
      <c r="L1096" s="170">
        <v>43619</v>
      </c>
      <c r="M1096" s="116">
        <v>361.3</v>
      </c>
      <c r="N1096" s="116">
        <v>363</v>
      </c>
      <c r="O1096" s="116">
        <v>352.3</v>
      </c>
      <c r="P1096" s="116">
        <v>354.55</v>
      </c>
      <c r="Q1096" s="116">
        <v>361.3</v>
      </c>
      <c r="R1096">
        <v>906620</v>
      </c>
    </row>
    <row r="1097" spans="1:18" x14ac:dyDescent="0.25">
      <c r="A1097" s="170">
        <v>43622</v>
      </c>
      <c r="B1097" s="116">
        <v>4.3396886641387802</v>
      </c>
      <c r="C1097" s="116">
        <v>4.3396886641387802</v>
      </c>
      <c r="D1097" s="116">
        <v>4.1654675863813901</v>
      </c>
      <c r="E1097" s="116">
        <v>4.3396886641387802</v>
      </c>
      <c r="F1097" s="116">
        <v>274</v>
      </c>
      <c r="G1097">
        <v>369</v>
      </c>
      <c r="H1097" s="116"/>
      <c r="I1097" s="116"/>
      <c r="L1097" s="170">
        <v>43620</v>
      </c>
      <c r="M1097" s="116">
        <v>364.85</v>
      </c>
      <c r="N1097" s="116">
        <v>369.15</v>
      </c>
      <c r="O1097" s="116">
        <v>360</v>
      </c>
      <c r="P1097" s="116">
        <v>362</v>
      </c>
      <c r="Q1097" s="116">
        <v>364.85</v>
      </c>
      <c r="R1097">
        <v>1013913</v>
      </c>
    </row>
    <row r="1098" spans="1:18" x14ac:dyDescent="0.25">
      <c r="A1098" s="170">
        <v>43623</v>
      </c>
      <c r="B1098" s="116">
        <v>4.3539431159552997</v>
      </c>
      <c r="C1098" s="116">
        <v>4.3428563200980097</v>
      </c>
      <c r="D1098" s="116">
        <v>4.1622999304221597</v>
      </c>
      <c r="E1098" s="116">
        <v>4.2145662537493802</v>
      </c>
      <c r="F1098" s="116">
        <v>274.2</v>
      </c>
      <c r="G1098">
        <v>383</v>
      </c>
      <c r="H1098" s="116"/>
      <c r="I1098" s="116"/>
      <c r="L1098" s="170">
        <v>43622</v>
      </c>
      <c r="M1098" s="116">
        <v>353.6</v>
      </c>
      <c r="N1098" s="116">
        <v>372.45</v>
      </c>
      <c r="O1098" s="116">
        <v>351.05</v>
      </c>
      <c r="P1098" s="116">
        <v>365</v>
      </c>
      <c r="Q1098" s="116">
        <v>353.6</v>
      </c>
      <c r="R1098">
        <v>1509393</v>
      </c>
    </row>
    <row r="1099" spans="1:18" x14ac:dyDescent="0.25">
      <c r="A1099" s="170">
        <v>43626</v>
      </c>
      <c r="B1099" s="116">
        <v>4.3713652237310399</v>
      </c>
      <c r="C1099" s="116">
        <v>4.1472535646158404</v>
      </c>
      <c r="D1099" s="116">
        <v>4.0862761874007498</v>
      </c>
      <c r="E1099" s="116">
        <v>4.1987279739532504</v>
      </c>
      <c r="F1099" s="116">
        <v>261.85000000000002</v>
      </c>
      <c r="G1099">
        <v>1698</v>
      </c>
      <c r="H1099" s="116"/>
      <c r="I1099" s="116"/>
      <c r="L1099" s="170">
        <v>43623</v>
      </c>
      <c r="M1099" s="116">
        <v>354.1</v>
      </c>
      <c r="N1099" s="116">
        <v>356.9</v>
      </c>
      <c r="O1099" s="116">
        <v>343</v>
      </c>
      <c r="P1099" s="116">
        <v>354.5</v>
      </c>
      <c r="Q1099" s="116">
        <v>354.1</v>
      </c>
      <c r="R1099">
        <v>1119444</v>
      </c>
    </row>
    <row r="1100" spans="1:18" x14ac:dyDescent="0.25">
      <c r="A1100" s="170">
        <v>43627</v>
      </c>
      <c r="B1100" s="116">
        <v>4.1963522319838296</v>
      </c>
      <c r="C1100" s="116">
        <v>4.1155770050235896</v>
      </c>
      <c r="D1100" s="116">
        <v>4.0641025956861796</v>
      </c>
      <c r="E1100" s="116">
        <v>4.1021144671968797</v>
      </c>
      <c r="F1100" s="116">
        <v>259.85000000000002</v>
      </c>
      <c r="G1100">
        <v>958</v>
      </c>
      <c r="H1100" s="116"/>
      <c r="I1100" s="116"/>
      <c r="L1100" s="170">
        <v>43626</v>
      </c>
      <c r="M1100" s="116">
        <v>349.8</v>
      </c>
      <c r="N1100" s="116">
        <v>359.05</v>
      </c>
      <c r="O1100" s="116">
        <v>347.7</v>
      </c>
      <c r="P1100" s="116">
        <v>355</v>
      </c>
      <c r="Q1100" s="116">
        <v>349.8</v>
      </c>
      <c r="R1100">
        <v>553332</v>
      </c>
    </row>
    <row r="1101" spans="1:18" x14ac:dyDescent="0.25">
      <c r="A1101" s="170">
        <v>43628</v>
      </c>
      <c r="B1101" s="116">
        <v>4.2288207055658997</v>
      </c>
      <c r="C1101" s="116">
        <v>4.10369829517649</v>
      </c>
      <c r="D1101" s="116">
        <v>4.08548427341095</v>
      </c>
      <c r="E1101" s="116">
        <v>4.1076578651255202</v>
      </c>
      <c r="F1101" s="116">
        <v>259.10000000000002</v>
      </c>
      <c r="G1101">
        <v>1182</v>
      </c>
      <c r="H1101" s="116"/>
      <c r="I1101" s="116"/>
      <c r="L1101" s="170">
        <v>43627</v>
      </c>
      <c r="M1101" s="116">
        <v>346.6</v>
      </c>
      <c r="N1101" s="116">
        <v>349.7</v>
      </c>
      <c r="O1101" s="116">
        <v>336.15</v>
      </c>
      <c r="P1101" s="116">
        <v>349.2</v>
      </c>
      <c r="Q1101" s="116">
        <v>346.6</v>
      </c>
      <c r="R1101">
        <v>1073256</v>
      </c>
    </row>
    <row r="1102" spans="1:18" x14ac:dyDescent="0.25">
      <c r="A1102" s="170">
        <v>43629</v>
      </c>
      <c r="B1102" s="116">
        <v>4.1179527469930104</v>
      </c>
      <c r="C1102" s="116">
        <v>4.0783570475026902</v>
      </c>
      <c r="D1102" s="116">
        <v>4.0783570475026902</v>
      </c>
      <c r="E1102" s="116">
        <v>4.1179527469930104</v>
      </c>
      <c r="F1102" s="116">
        <v>257.5</v>
      </c>
      <c r="G1102">
        <v>30</v>
      </c>
      <c r="H1102" s="116"/>
      <c r="I1102" s="116"/>
      <c r="L1102" s="170">
        <v>43628</v>
      </c>
      <c r="M1102" s="116">
        <v>345.8</v>
      </c>
      <c r="N1102" s="116">
        <v>351.9</v>
      </c>
      <c r="O1102" s="116">
        <v>341.1</v>
      </c>
      <c r="P1102" s="116">
        <v>345.8</v>
      </c>
      <c r="Q1102" s="116">
        <v>345.8</v>
      </c>
      <c r="R1102">
        <v>664225</v>
      </c>
    </row>
    <row r="1103" spans="1:18" x14ac:dyDescent="0.25">
      <c r="A1103" s="170">
        <v>43630</v>
      </c>
      <c r="B1103" s="116">
        <v>4.35552694393491</v>
      </c>
      <c r="C1103" s="116">
        <v>4.0086686163997296</v>
      </c>
      <c r="D1103" s="116">
        <v>4.0086686163997296</v>
      </c>
      <c r="E1103" s="116">
        <v>4.35552694393491</v>
      </c>
      <c r="F1103" s="116">
        <v>253.1</v>
      </c>
      <c r="G1103">
        <v>777</v>
      </c>
      <c r="H1103" s="116"/>
      <c r="I1103" s="116"/>
      <c r="L1103" s="170">
        <v>43629</v>
      </c>
      <c r="M1103" s="116">
        <v>350.8</v>
      </c>
      <c r="N1103" s="116">
        <v>353</v>
      </c>
      <c r="O1103" s="116">
        <v>339.3</v>
      </c>
      <c r="P1103" s="116">
        <v>345.8</v>
      </c>
      <c r="Q1103" s="116">
        <v>350.8</v>
      </c>
      <c r="R1103">
        <v>798856</v>
      </c>
    </row>
    <row r="1104" spans="1:18" x14ac:dyDescent="0.25">
      <c r="A1104" s="170">
        <v>43633</v>
      </c>
      <c r="B1104" s="116">
        <v>4.1654675863813901</v>
      </c>
      <c r="C1104" s="116">
        <v>3.8843381200001299</v>
      </c>
      <c r="D1104" s="116">
        <v>3.85345347439769</v>
      </c>
      <c r="E1104" s="116">
        <v>4.0229230682162402</v>
      </c>
      <c r="F1104" s="116">
        <v>245.25</v>
      </c>
      <c r="G1104">
        <v>1456</v>
      </c>
      <c r="H1104" s="116"/>
      <c r="I1104" s="116"/>
      <c r="L1104" s="170">
        <v>43630</v>
      </c>
      <c r="M1104" s="116">
        <v>345.55</v>
      </c>
      <c r="N1104" s="116">
        <v>353.95</v>
      </c>
      <c r="O1104" s="116">
        <v>343.05</v>
      </c>
      <c r="P1104" s="116">
        <v>352</v>
      </c>
      <c r="Q1104" s="116">
        <v>345.55</v>
      </c>
      <c r="R1104">
        <v>570975</v>
      </c>
    </row>
    <row r="1105" spans="1:18" x14ac:dyDescent="0.25">
      <c r="A1105" s="170">
        <v>43634</v>
      </c>
      <c r="B1105" s="116">
        <v>4.1179527469930104</v>
      </c>
      <c r="C1105" s="116">
        <v>3.80118715107047</v>
      </c>
      <c r="D1105" s="116">
        <v>3.80118715107047</v>
      </c>
      <c r="E1105" s="116">
        <v>3.9437316692356101</v>
      </c>
      <c r="F1105" s="116">
        <v>240</v>
      </c>
      <c r="G1105">
        <v>2302</v>
      </c>
      <c r="H1105" s="116"/>
      <c r="I1105" s="116"/>
      <c r="L1105" s="170">
        <v>43633</v>
      </c>
      <c r="M1105" s="116">
        <v>337</v>
      </c>
      <c r="N1105" s="116">
        <v>345.05</v>
      </c>
      <c r="O1105" s="116">
        <v>335.6</v>
      </c>
      <c r="P1105" s="116">
        <v>343.5</v>
      </c>
      <c r="Q1105" s="116">
        <v>337</v>
      </c>
      <c r="R1105">
        <v>506952</v>
      </c>
    </row>
    <row r="1106" spans="1:18" x14ac:dyDescent="0.25">
      <c r="A1106" s="170">
        <v>43635</v>
      </c>
      <c r="B1106" s="116">
        <v>3.9587780350419299</v>
      </c>
      <c r="C1106" s="116">
        <v>3.6697294287626101</v>
      </c>
      <c r="D1106" s="116">
        <v>3.5636129541285602</v>
      </c>
      <c r="E1106" s="116">
        <v>3.9587780350419299</v>
      </c>
      <c r="F1106" s="116">
        <v>231.7</v>
      </c>
      <c r="G1106">
        <v>4097</v>
      </c>
      <c r="H1106" s="116"/>
      <c r="I1106" s="116"/>
      <c r="L1106" s="170">
        <v>43634</v>
      </c>
      <c r="M1106" s="116">
        <v>343.8</v>
      </c>
      <c r="N1106" s="116">
        <v>348</v>
      </c>
      <c r="O1106" s="116">
        <v>334.5</v>
      </c>
      <c r="P1106" s="116">
        <v>335</v>
      </c>
      <c r="Q1106" s="116">
        <v>343.8</v>
      </c>
      <c r="R1106">
        <v>985373</v>
      </c>
    </row>
    <row r="1107" spans="1:18" x14ac:dyDescent="0.25">
      <c r="A1107" s="170">
        <v>43636</v>
      </c>
      <c r="B1107" s="116">
        <v>3.7885165272335701</v>
      </c>
      <c r="C1107" s="116">
        <v>3.6982383323956398</v>
      </c>
      <c r="D1107" s="116">
        <v>3.6443881810888099</v>
      </c>
      <c r="E1107" s="116">
        <v>3.7885165272335701</v>
      </c>
      <c r="F1107" s="116">
        <v>233.5</v>
      </c>
      <c r="G1107">
        <v>1263</v>
      </c>
      <c r="H1107" s="116"/>
      <c r="I1107" s="116"/>
      <c r="L1107" s="170">
        <v>43635</v>
      </c>
      <c r="M1107" s="116">
        <v>347.8</v>
      </c>
      <c r="N1107" s="116">
        <v>363</v>
      </c>
      <c r="O1107" s="116">
        <v>346</v>
      </c>
      <c r="P1107" s="116">
        <v>347.3</v>
      </c>
      <c r="Q1107" s="116">
        <v>347.8</v>
      </c>
      <c r="R1107">
        <v>2450732</v>
      </c>
    </row>
    <row r="1108" spans="1:18" x14ac:dyDescent="0.25">
      <c r="A1108" s="170">
        <v>43637</v>
      </c>
      <c r="B1108" s="116">
        <v>3.8320717966729099</v>
      </c>
      <c r="C1108" s="116">
        <v>3.7845569572845301</v>
      </c>
      <c r="D1108" s="116">
        <v>3.7069493862835099</v>
      </c>
      <c r="E1108" s="116">
        <v>3.7219957520898301</v>
      </c>
      <c r="F1108" s="116">
        <v>238.95</v>
      </c>
      <c r="G1108">
        <v>395</v>
      </c>
      <c r="H1108" s="116"/>
      <c r="I1108" s="116"/>
      <c r="L1108" s="170">
        <v>43636</v>
      </c>
      <c r="M1108" s="116">
        <v>355.4</v>
      </c>
      <c r="N1108" s="116">
        <v>356.75</v>
      </c>
      <c r="O1108" s="116">
        <v>340.5</v>
      </c>
      <c r="P1108" s="116">
        <v>349.95</v>
      </c>
      <c r="Q1108" s="116">
        <v>355.4</v>
      </c>
      <c r="R1108">
        <v>867287</v>
      </c>
    </row>
    <row r="1109" spans="1:18" x14ac:dyDescent="0.25">
      <c r="A1109" s="170">
        <v>43640</v>
      </c>
      <c r="B1109" s="116">
        <v>3.9476912391846399</v>
      </c>
      <c r="C1109" s="116">
        <v>3.7695105914782099</v>
      </c>
      <c r="D1109" s="116">
        <v>3.7227876660796402</v>
      </c>
      <c r="E1109" s="116">
        <v>3.9476912391846399</v>
      </c>
      <c r="F1109" s="116">
        <v>238</v>
      </c>
      <c r="G1109">
        <v>628</v>
      </c>
      <c r="H1109" s="116"/>
      <c r="I1109" s="116"/>
      <c r="L1109" s="170">
        <v>43637</v>
      </c>
      <c r="M1109" s="116">
        <v>348.85</v>
      </c>
      <c r="N1109" s="116">
        <v>356.5</v>
      </c>
      <c r="O1109" s="116">
        <v>343.6</v>
      </c>
      <c r="P1109" s="116">
        <v>353.1</v>
      </c>
      <c r="Q1109" s="116">
        <v>348.85</v>
      </c>
      <c r="R1109">
        <v>829524</v>
      </c>
    </row>
    <row r="1110" spans="1:18" x14ac:dyDescent="0.25">
      <c r="A1110" s="170">
        <v>43641</v>
      </c>
      <c r="B1110" s="116">
        <v>3.86374835626517</v>
      </c>
      <c r="C1110" s="116">
        <v>3.7544642256718901</v>
      </c>
      <c r="D1110" s="116">
        <v>3.7227876660796402</v>
      </c>
      <c r="E1110" s="116">
        <v>3.7227876660796402</v>
      </c>
      <c r="F1110" s="116">
        <v>237.05</v>
      </c>
      <c r="G1110">
        <v>281</v>
      </c>
      <c r="H1110" s="116"/>
      <c r="I1110" s="116"/>
      <c r="L1110" s="170">
        <v>43640</v>
      </c>
      <c r="M1110" s="116">
        <v>348.6</v>
      </c>
      <c r="N1110" s="116">
        <v>352.7</v>
      </c>
      <c r="O1110" s="116">
        <v>345.2</v>
      </c>
      <c r="P1110" s="116">
        <v>348.85</v>
      </c>
      <c r="Q1110" s="116">
        <v>348.6</v>
      </c>
      <c r="R1110">
        <v>422602</v>
      </c>
    </row>
    <row r="1111" spans="1:18" x14ac:dyDescent="0.25">
      <c r="A1111" s="170">
        <v>43642</v>
      </c>
      <c r="B1111" s="116">
        <v>3.90413596974529</v>
      </c>
      <c r="C1111" s="116">
        <v>3.8170254308665901</v>
      </c>
      <c r="D1111" s="116">
        <v>3.7576318816311201</v>
      </c>
      <c r="E1111" s="116">
        <v>3.90413596974529</v>
      </c>
      <c r="F1111" s="116">
        <v>241</v>
      </c>
      <c r="G1111">
        <v>183</v>
      </c>
      <c r="H1111" s="116"/>
      <c r="I1111" s="116"/>
      <c r="L1111" s="170">
        <v>43641</v>
      </c>
      <c r="M1111" s="116">
        <v>356.05</v>
      </c>
      <c r="N1111" s="116">
        <v>359.4</v>
      </c>
      <c r="O1111" s="116">
        <v>345.5</v>
      </c>
      <c r="P1111" s="116">
        <v>345.7</v>
      </c>
      <c r="Q1111" s="116">
        <v>356.05</v>
      </c>
      <c r="R1111">
        <v>840845</v>
      </c>
    </row>
    <row r="1112" spans="1:18" x14ac:dyDescent="0.25">
      <c r="A1112" s="170">
        <v>43643</v>
      </c>
      <c r="B1112" s="116">
        <v>3.8170254308665901</v>
      </c>
      <c r="C1112" s="116">
        <v>3.7061574722937101</v>
      </c>
      <c r="D1112" s="116">
        <v>3.6855677085587399</v>
      </c>
      <c r="E1112" s="116">
        <v>3.8170254308665901</v>
      </c>
      <c r="F1112" s="116">
        <v>234</v>
      </c>
      <c r="G1112">
        <v>1423</v>
      </c>
      <c r="H1112" s="116"/>
      <c r="I1112" s="116"/>
      <c r="L1112" s="170">
        <v>43642</v>
      </c>
      <c r="M1112" s="116">
        <v>355.25</v>
      </c>
      <c r="N1112" s="116">
        <v>360.5</v>
      </c>
      <c r="O1112" s="116">
        <v>351.6</v>
      </c>
      <c r="P1112" s="116">
        <v>354.4</v>
      </c>
      <c r="Q1112" s="116">
        <v>355.25</v>
      </c>
      <c r="R1112">
        <v>776305</v>
      </c>
    </row>
    <row r="1113" spans="1:18" x14ac:dyDescent="0.25">
      <c r="A1113" s="170">
        <v>43644</v>
      </c>
      <c r="B1113" s="116">
        <v>3.9088874536841298</v>
      </c>
      <c r="C1113" s="116">
        <v>3.73466637592673</v>
      </c>
      <c r="D1113" s="116">
        <v>3.7307068059777002</v>
      </c>
      <c r="E1113" s="116">
        <v>3.7307068059777002</v>
      </c>
      <c r="F1113" s="116">
        <v>235.8</v>
      </c>
      <c r="G1113">
        <v>451</v>
      </c>
      <c r="H1113" s="116"/>
      <c r="I1113" s="116"/>
      <c r="L1113" s="170">
        <v>43643</v>
      </c>
      <c r="M1113" s="116">
        <v>347.45</v>
      </c>
      <c r="N1113" s="116">
        <v>366.2</v>
      </c>
      <c r="O1113" s="116">
        <v>345.15</v>
      </c>
      <c r="P1113" s="116">
        <v>355</v>
      </c>
      <c r="Q1113" s="116">
        <v>347.45</v>
      </c>
      <c r="R1113">
        <v>1938934</v>
      </c>
    </row>
    <row r="1114" spans="1:18" x14ac:dyDescent="0.25">
      <c r="A1114" s="170">
        <v>43647</v>
      </c>
      <c r="B1114" s="116">
        <v>3.8795866360612998</v>
      </c>
      <c r="C1114" s="116">
        <v>3.8328637106627199</v>
      </c>
      <c r="D1114" s="116">
        <v>3.7061574722937101</v>
      </c>
      <c r="E1114" s="116">
        <v>3.80118715107047</v>
      </c>
      <c r="F1114" s="116">
        <v>242</v>
      </c>
      <c r="G1114">
        <v>735</v>
      </c>
      <c r="H1114" s="116"/>
      <c r="I1114" s="116"/>
      <c r="L1114" s="170">
        <v>43644</v>
      </c>
      <c r="M1114" s="116">
        <v>356.45</v>
      </c>
      <c r="N1114" s="116">
        <v>359.95</v>
      </c>
      <c r="O1114" s="116">
        <v>342.5</v>
      </c>
      <c r="P1114" s="116">
        <v>345</v>
      </c>
      <c r="Q1114" s="116">
        <v>356.45</v>
      </c>
      <c r="R1114">
        <v>773392</v>
      </c>
    </row>
    <row r="1115" spans="1:18" x14ac:dyDescent="0.25">
      <c r="A1115" s="170">
        <v>43648</v>
      </c>
      <c r="B1115" s="116">
        <v>3.8479100764690402</v>
      </c>
      <c r="C1115" s="116">
        <v>3.8320717966729099</v>
      </c>
      <c r="D1115" s="116">
        <v>3.7536723116820898</v>
      </c>
      <c r="E1115" s="116">
        <v>3.80118715107047</v>
      </c>
      <c r="F1115" s="116">
        <v>241.95</v>
      </c>
      <c r="G1115">
        <v>1707</v>
      </c>
      <c r="H1115" s="116"/>
      <c r="I1115" s="116"/>
      <c r="L1115" s="170">
        <v>43647</v>
      </c>
      <c r="M1115" s="116">
        <v>355.8</v>
      </c>
      <c r="N1115" s="116">
        <v>360.4</v>
      </c>
      <c r="O1115" s="116">
        <v>354</v>
      </c>
      <c r="P1115" s="116">
        <v>358</v>
      </c>
      <c r="Q1115" s="116">
        <v>355.8</v>
      </c>
      <c r="R1115">
        <v>274101</v>
      </c>
    </row>
    <row r="1116" spans="1:18" x14ac:dyDescent="0.25">
      <c r="A1116" s="170">
        <v>43649</v>
      </c>
      <c r="B1116" s="116">
        <v>3.8281122267238801</v>
      </c>
      <c r="C1116" s="116">
        <v>3.7615914515801498</v>
      </c>
      <c r="D1116" s="116">
        <v>3.7615914515801498</v>
      </c>
      <c r="E1116" s="116">
        <v>3.8281122267238801</v>
      </c>
      <c r="F1116" s="116">
        <v>237.5</v>
      </c>
      <c r="G1116">
        <v>60</v>
      </c>
      <c r="H1116" s="116"/>
      <c r="I1116" s="116"/>
      <c r="L1116" s="170">
        <v>43648</v>
      </c>
      <c r="M1116" s="116">
        <v>358.3</v>
      </c>
      <c r="N1116" s="116">
        <v>359.9</v>
      </c>
      <c r="O1116" s="116">
        <v>355</v>
      </c>
      <c r="P1116" s="116">
        <v>356</v>
      </c>
      <c r="Q1116" s="116">
        <v>358.3</v>
      </c>
      <c r="R1116">
        <v>248652</v>
      </c>
    </row>
    <row r="1117" spans="1:18" x14ac:dyDescent="0.25">
      <c r="A1117" s="170">
        <v>43650</v>
      </c>
      <c r="B1117" s="116">
        <v>3.9104712816637401</v>
      </c>
      <c r="C1117" s="116">
        <v>3.7219957520898301</v>
      </c>
      <c r="D1117" s="116">
        <v>3.6301337292723002</v>
      </c>
      <c r="E1117" s="116">
        <v>3.6744809127014499</v>
      </c>
      <c r="F1117" s="116">
        <v>235</v>
      </c>
      <c r="G1117">
        <v>1132</v>
      </c>
      <c r="H1117" s="116"/>
      <c r="I1117" s="116"/>
      <c r="L1117" s="170">
        <v>43649</v>
      </c>
      <c r="M1117" s="116">
        <v>357.95</v>
      </c>
      <c r="N1117" s="116">
        <v>358.95</v>
      </c>
      <c r="O1117" s="116">
        <v>354</v>
      </c>
      <c r="P1117" s="116">
        <v>358.95</v>
      </c>
      <c r="Q1117" s="116">
        <v>357.95</v>
      </c>
      <c r="R1117">
        <v>169692</v>
      </c>
    </row>
    <row r="1118" spans="1:18" x14ac:dyDescent="0.25">
      <c r="A1118" s="170">
        <v>43651</v>
      </c>
      <c r="B1118" s="116">
        <v>3.73783403188596</v>
      </c>
      <c r="C1118" s="116">
        <v>3.6428043531092</v>
      </c>
      <c r="D1118" s="116">
        <v>3.6428043531092</v>
      </c>
      <c r="E1118" s="116">
        <v>3.73783403188596</v>
      </c>
      <c r="F1118" s="116">
        <v>230</v>
      </c>
      <c r="G1118">
        <v>487</v>
      </c>
      <c r="H1118" s="116"/>
      <c r="I1118" s="116"/>
      <c r="L1118" s="170">
        <v>43650</v>
      </c>
      <c r="M1118" s="116">
        <v>357.95</v>
      </c>
      <c r="N1118" s="116">
        <v>362.95</v>
      </c>
      <c r="O1118" s="116">
        <v>356</v>
      </c>
      <c r="P1118" s="116">
        <v>356.65</v>
      </c>
      <c r="Q1118" s="116">
        <v>357.95</v>
      </c>
      <c r="R1118">
        <v>225800</v>
      </c>
    </row>
    <row r="1119" spans="1:18" x14ac:dyDescent="0.25">
      <c r="A1119" s="170">
        <v>43654</v>
      </c>
      <c r="B1119" s="116">
        <v>3.7219957520898301</v>
      </c>
      <c r="C1119" s="116">
        <v>3.6428043531092</v>
      </c>
      <c r="D1119" s="116">
        <v>3.5335202225159201</v>
      </c>
      <c r="E1119" s="116">
        <v>3.6428043531092</v>
      </c>
      <c r="F1119" s="116">
        <v>230</v>
      </c>
      <c r="G1119">
        <v>502</v>
      </c>
      <c r="H1119" s="116"/>
      <c r="I1119" s="116"/>
      <c r="L1119" s="170">
        <v>43651</v>
      </c>
      <c r="M1119" s="116">
        <v>360.45</v>
      </c>
      <c r="N1119" s="116">
        <v>378</v>
      </c>
      <c r="O1119" s="116">
        <v>356.1</v>
      </c>
      <c r="P1119" s="116">
        <v>359.95</v>
      </c>
      <c r="Q1119" s="116">
        <v>360.45</v>
      </c>
      <c r="R1119">
        <v>1483248</v>
      </c>
    </row>
    <row r="1120" spans="1:18" x14ac:dyDescent="0.25">
      <c r="A1120" s="170">
        <v>43655</v>
      </c>
      <c r="B1120" s="116">
        <v>3.7996033230908499</v>
      </c>
      <c r="C1120" s="116">
        <v>3.6111277935169399</v>
      </c>
      <c r="D1120" s="116">
        <v>3.5335202225159201</v>
      </c>
      <c r="E1120" s="116">
        <v>3.5335202225159201</v>
      </c>
      <c r="F1120" s="116">
        <v>228</v>
      </c>
      <c r="G1120">
        <v>981</v>
      </c>
      <c r="H1120" s="116"/>
      <c r="I1120" s="116"/>
      <c r="L1120" s="170">
        <v>43654</v>
      </c>
      <c r="M1120" s="116">
        <v>362.25</v>
      </c>
      <c r="N1120" s="116">
        <v>365.95</v>
      </c>
      <c r="O1120" s="116">
        <v>358.4</v>
      </c>
      <c r="P1120" s="116">
        <v>361.75</v>
      </c>
      <c r="Q1120" s="116">
        <v>362.25</v>
      </c>
      <c r="R1120">
        <v>675374</v>
      </c>
    </row>
    <row r="1121" spans="1:18" x14ac:dyDescent="0.25">
      <c r="A1121" s="170">
        <v>43656</v>
      </c>
      <c r="B1121" s="116">
        <v>3.78930844122337</v>
      </c>
      <c r="C1121" s="116">
        <v>3.6277579873028798</v>
      </c>
      <c r="D1121" s="116">
        <v>3.5731159220062398</v>
      </c>
      <c r="E1121" s="116">
        <v>3.5731159220062398</v>
      </c>
      <c r="F1121" s="116">
        <v>229.05</v>
      </c>
      <c r="G1121">
        <v>46</v>
      </c>
      <c r="H1121" s="116"/>
      <c r="I1121" s="116"/>
      <c r="L1121" s="170">
        <v>43655</v>
      </c>
      <c r="M1121" s="116">
        <v>366</v>
      </c>
      <c r="N1121" s="116">
        <v>368.25</v>
      </c>
      <c r="O1121" s="116">
        <v>357.8</v>
      </c>
      <c r="P1121" s="116">
        <v>361.3</v>
      </c>
      <c r="Q1121" s="116">
        <v>366</v>
      </c>
      <c r="R1121">
        <v>411505</v>
      </c>
    </row>
    <row r="1122" spans="1:18" x14ac:dyDescent="0.25">
      <c r="A1122" s="170">
        <v>43657</v>
      </c>
      <c r="B1122" s="116">
        <v>3.76000762360054</v>
      </c>
      <c r="C1122" s="116">
        <v>3.6491396650276502</v>
      </c>
      <c r="D1122" s="116">
        <v>3.5810350619042999</v>
      </c>
      <c r="E1122" s="116">
        <v>3.5810350619042999</v>
      </c>
      <c r="F1122" s="116">
        <v>230.4</v>
      </c>
      <c r="G1122">
        <v>376</v>
      </c>
      <c r="H1122" s="116"/>
      <c r="I1122" s="116"/>
      <c r="L1122" s="170">
        <v>43656</v>
      </c>
      <c r="M1122" s="116">
        <v>365.8</v>
      </c>
      <c r="N1122" s="116">
        <v>369.9</v>
      </c>
      <c r="O1122" s="116">
        <v>362.1</v>
      </c>
      <c r="P1122" s="116">
        <v>366.45</v>
      </c>
      <c r="Q1122" s="116">
        <v>365.8</v>
      </c>
      <c r="R1122">
        <v>361638</v>
      </c>
    </row>
    <row r="1123" spans="1:18" x14ac:dyDescent="0.25">
      <c r="A1123" s="170">
        <v>43658</v>
      </c>
      <c r="B1123" s="116">
        <v>3.9088874536841298</v>
      </c>
      <c r="C1123" s="116">
        <v>3.6689375147728098</v>
      </c>
      <c r="D1123" s="116">
        <v>3.6142954494761699</v>
      </c>
      <c r="E1123" s="116">
        <v>3.9088874536841298</v>
      </c>
      <c r="F1123" s="116">
        <v>231.65</v>
      </c>
      <c r="G1123">
        <v>435</v>
      </c>
      <c r="H1123" s="116"/>
      <c r="I1123" s="116"/>
      <c r="L1123" s="170">
        <v>43657</v>
      </c>
      <c r="M1123" s="116">
        <v>374</v>
      </c>
      <c r="N1123" s="116">
        <v>377</v>
      </c>
      <c r="O1123" s="116">
        <v>366.15</v>
      </c>
      <c r="P1123" s="116">
        <v>369.8</v>
      </c>
      <c r="Q1123" s="116">
        <v>374</v>
      </c>
      <c r="R1123">
        <v>611809</v>
      </c>
    </row>
    <row r="1124" spans="1:18" x14ac:dyDescent="0.25">
      <c r="A1124" s="170">
        <v>43661</v>
      </c>
      <c r="B1124" s="116">
        <v>3.6428043531092</v>
      </c>
      <c r="C1124" s="116">
        <v>3.3442527789522098</v>
      </c>
      <c r="D1124" s="116">
        <v>3.2785239177982799</v>
      </c>
      <c r="E1124" s="116">
        <v>3.6428043531092</v>
      </c>
      <c r="F1124" s="116">
        <v>211.15</v>
      </c>
      <c r="G1124">
        <v>16123</v>
      </c>
      <c r="H1124" s="116"/>
      <c r="I1124" s="116"/>
      <c r="L1124" s="170">
        <v>43658</v>
      </c>
      <c r="M1124" s="116">
        <v>372.85</v>
      </c>
      <c r="N1124" s="116">
        <v>377</v>
      </c>
      <c r="O1124" s="116">
        <v>370</v>
      </c>
      <c r="P1124" s="116">
        <v>374</v>
      </c>
      <c r="Q1124" s="116">
        <v>372.85</v>
      </c>
      <c r="R1124">
        <v>267060</v>
      </c>
    </row>
    <row r="1125" spans="1:18" x14ac:dyDescent="0.25">
      <c r="A1125" s="170">
        <v>43662</v>
      </c>
      <c r="B1125" s="116">
        <v>3.8550373023772999</v>
      </c>
      <c r="C1125" s="116">
        <v>3.7251634080490601</v>
      </c>
      <c r="D1125" s="116">
        <v>3.3102004773905298</v>
      </c>
      <c r="E1125" s="116">
        <v>3.5058032328727</v>
      </c>
      <c r="F1125" s="116">
        <v>235.2</v>
      </c>
      <c r="G1125">
        <v>8688</v>
      </c>
      <c r="H1125" s="116"/>
      <c r="I1125" s="116"/>
      <c r="L1125" s="170">
        <v>43661</v>
      </c>
      <c r="M1125" s="116">
        <v>370.1</v>
      </c>
      <c r="N1125" s="116">
        <v>374.95</v>
      </c>
      <c r="O1125" s="116">
        <v>368.8</v>
      </c>
      <c r="P1125" s="116">
        <v>374.95</v>
      </c>
      <c r="Q1125" s="116">
        <v>370.1</v>
      </c>
      <c r="R1125">
        <v>272914</v>
      </c>
    </row>
    <row r="1126" spans="1:18" x14ac:dyDescent="0.25">
      <c r="A1126" s="170">
        <v>43663</v>
      </c>
      <c r="B1126" s="116">
        <v>3.8479100764690402</v>
      </c>
      <c r="C1126" s="116">
        <v>3.6998221603752599</v>
      </c>
      <c r="D1126" s="116">
        <v>3.6190469334150102</v>
      </c>
      <c r="E1126" s="116">
        <v>3.7219957520898301</v>
      </c>
      <c r="F1126" s="116">
        <v>233.6</v>
      </c>
      <c r="G1126">
        <v>4459</v>
      </c>
      <c r="H1126" s="116"/>
      <c r="I1126" s="116"/>
      <c r="L1126" s="170">
        <v>43662</v>
      </c>
      <c r="M1126" s="116">
        <v>373.25</v>
      </c>
      <c r="N1126" s="116">
        <v>374</v>
      </c>
      <c r="O1126" s="116">
        <v>370.15</v>
      </c>
      <c r="P1126" s="116">
        <v>372.6</v>
      </c>
      <c r="Q1126" s="116">
        <v>373.25</v>
      </c>
      <c r="R1126">
        <v>230769</v>
      </c>
    </row>
    <row r="1127" spans="1:18" x14ac:dyDescent="0.25">
      <c r="A1127" s="170">
        <v>43664</v>
      </c>
      <c r="B1127" s="116">
        <v>3.8487019904588502</v>
      </c>
      <c r="C1127" s="116">
        <v>3.80118715107047</v>
      </c>
      <c r="D1127" s="116">
        <v>3.57945123392469</v>
      </c>
      <c r="E1127" s="116">
        <v>3.57945123392469</v>
      </c>
      <c r="F1127" s="116">
        <v>240</v>
      </c>
      <c r="G1127">
        <v>7538</v>
      </c>
      <c r="H1127" s="116"/>
      <c r="I1127" s="116"/>
      <c r="L1127" s="170">
        <v>43663</v>
      </c>
      <c r="M1127" s="116">
        <v>382.15</v>
      </c>
      <c r="N1127" s="116">
        <v>388</v>
      </c>
      <c r="O1127" s="116">
        <v>371.9</v>
      </c>
      <c r="P1127" s="116">
        <v>371.9</v>
      </c>
      <c r="Q1127" s="116">
        <v>382.15</v>
      </c>
      <c r="R1127">
        <v>955276</v>
      </c>
    </row>
    <row r="1128" spans="1:18" x14ac:dyDescent="0.25">
      <c r="A1128" s="170">
        <v>43665</v>
      </c>
      <c r="B1128" s="116">
        <v>3.93739635731716</v>
      </c>
      <c r="C1128" s="116">
        <v>3.85345347439769</v>
      </c>
      <c r="D1128" s="116">
        <v>3.5992490836698501</v>
      </c>
      <c r="E1128" s="116">
        <v>3.8613726142957501</v>
      </c>
      <c r="F1128" s="116">
        <v>243.3</v>
      </c>
      <c r="G1128">
        <v>1809</v>
      </c>
      <c r="H1128" s="116"/>
      <c r="I1128" s="116"/>
      <c r="L1128" s="170">
        <v>43664</v>
      </c>
      <c r="M1128" s="116">
        <v>390.25</v>
      </c>
      <c r="N1128" s="116">
        <v>392.4</v>
      </c>
      <c r="O1128" s="116">
        <v>379.1</v>
      </c>
      <c r="P1128" s="116">
        <v>383</v>
      </c>
      <c r="Q1128" s="116">
        <v>390.25</v>
      </c>
      <c r="R1128">
        <v>525388</v>
      </c>
    </row>
    <row r="1129" spans="1:18" x14ac:dyDescent="0.25">
      <c r="A1129" s="170">
        <v>43668</v>
      </c>
      <c r="B1129" s="116">
        <v>3.7687186774884101</v>
      </c>
      <c r="C1129" s="116">
        <v>3.6428043531092</v>
      </c>
      <c r="D1129" s="116">
        <v>3.6111277935169399</v>
      </c>
      <c r="E1129" s="116">
        <v>3.6507234930072601</v>
      </c>
      <c r="F1129" s="116">
        <v>230</v>
      </c>
      <c r="G1129">
        <v>1336</v>
      </c>
      <c r="H1129" s="116"/>
      <c r="I1129" s="116"/>
      <c r="L1129" s="170">
        <v>43665</v>
      </c>
      <c r="M1129" s="116">
        <v>388.15</v>
      </c>
      <c r="N1129" s="116">
        <v>398</v>
      </c>
      <c r="O1129" s="116">
        <v>384</v>
      </c>
      <c r="P1129" s="116">
        <v>391.9</v>
      </c>
      <c r="Q1129" s="116">
        <v>388.15</v>
      </c>
      <c r="R1129">
        <v>705818</v>
      </c>
    </row>
    <row r="1130" spans="1:18" x14ac:dyDescent="0.25">
      <c r="A1130" s="170">
        <v>43669</v>
      </c>
      <c r="B1130" s="116">
        <v>3.80039523708066</v>
      </c>
      <c r="C1130" s="116">
        <v>3.5208495986790198</v>
      </c>
      <c r="D1130" s="116">
        <v>3.5208495986790198</v>
      </c>
      <c r="E1130" s="116">
        <v>3.80039523708066</v>
      </c>
      <c r="F1130" s="116">
        <v>222.3</v>
      </c>
      <c r="G1130">
        <v>1329</v>
      </c>
      <c r="H1130" s="116"/>
      <c r="I1130" s="116"/>
      <c r="L1130" s="170">
        <v>43668</v>
      </c>
      <c r="M1130" s="116">
        <v>375.55</v>
      </c>
      <c r="N1130" s="116">
        <v>386.2</v>
      </c>
      <c r="O1130" s="116">
        <v>372.75</v>
      </c>
      <c r="P1130" s="116">
        <v>385.7</v>
      </c>
      <c r="Q1130" s="116">
        <v>375.55</v>
      </c>
      <c r="R1130">
        <v>452725</v>
      </c>
    </row>
    <row r="1131" spans="1:18" x14ac:dyDescent="0.25">
      <c r="A1131" s="170">
        <v>43670</v>
      </c>
      <c r="B1131" s="116">
        <v>3.6483477510378401</v>
      </c>
      <c r="C1131" s="116">
        <v>3.5952895137208198</v>
      </c>
      <c r="D1131" s="116">
        <v>3.4226522639430299</v>
      </c>
      <c r="E1131" s="116">
        <v>3.4844215551479301</v>
      </c>
      <c r="F1131" s="116">
        <v>227</v>
      </c>
      <c r="G1131">
        <v>893</v>
      </c>
      <c r="H1131" s="116"/>
      <c r="I1131" s="116"/>
      <c r="L1131" s="170">
        <v>43669</v>
      </c>
      <c r="M1131" s="116">
        <v>406.1</v>
      </c>
      <c r="N1131" s="116">
        <v>417.7</v>
      </c>
      <c r="O1131" s="116">
        <v>380.2</v>
      </c>
      <c r="P1131" s="116">
        <v>387.25</v>
      </c>
      <c r="Q1131" s="116">
        <v>406.1</v>
      </c>
      <c r="R1131">
        <v>1861211</v>
      </c>
    </row>
    <row r="1132" spans="1:18" x14ac:dyDescent="0.25">
      <c r="A1132" s="170">
        <v>43671</v>
      </c>
      <c r="B1132" s="116">
        <v>3.64201243911939</v>
      </c>
      <c r="C1132" s="116">
        <v>3.60954396553733</v>
      </c>
      <c r="D1132" s="116">
        <v>3.5002598349440599</v>
      </c>
      <c r="E1132" s="116">
        <v>3.5002598349440599</v>
      </c>
      <c r="F1132" s="116">
        <v>227.9</v>
      </c>
      <c r="G1132">
        <v>169</v>
      </c>
      <c r="H1132" s="116"/>
      <c r="I1132" s="116"/>
      <c r="L1132" s="170">
        <v>43670</v>
      </c>
      <c r="M1132" s="116">
        <v>389</v>
      </c>
      <c r="N1132" s="116">
        <v>409.8</v>
      </c>
      <c r="O1132" s="116">
        <v>384.1</v>
      </c>
      <c r="P1132" s="116">
        <v>409</v>
      </c>
      <c r="Q1132" s="116">
        <v>389</v>
      </c>
      <c r="R1132">
        <v>839335</v>
      </c>
    </row>
    <row r="1133" spans="1:18" x14ac:dyDescent="0.25">
      <c r="A1133" s="170">
        <v>43672</v>
      </c>
      <c r="B1133" s="116">
        <v>3.64201243911939</v>
      </c>
      <c r="C1133" s="116">
        <v>3.5881622878125601</v>
      </c>
      <c r="D1133" s="116">
        <v>3.4844215551479301</v>
      </c>
      <c r="E1133" s="116">
        <v>3.64201243911939</v>
      </c>
      <c r="F1133" s="116">
        <v>226.55</v>
      </c>
      <c r="G1133">
        <v>2504</v>
      </c>
      <c r="H1133" s="116"/>
      <c r="I1133" s="116"/>
      <c r="L1133" s="170">
        <v>43671</v>
      </c>
      <c r="M1133" s="116">
        <v>384.05</v>
      </c>
      <c r="N1133" s="116">
        <v>395.9</v>
      </c>
      <c r="O1133" s="116">
        <v>382.5</v>
      </c>
      <c r="P1133" s="116">
        <v>391.4</v>
      </c>
      <c r="Q1133" s="116">
        <v>384.05</v>
      </c>
      <c r="R1133">
        <v>452668</v>
      </c>
    </row>
    <row r="1134" spans="1:18" x14ac:dyDescent="0.25">
      <c r="A1134" s="170">
        <v>43675</v>
      </c>
      <c r="B1134" s="116">
        <v>3.5636129541285602</v>
      </c>
      <c r="C1134" s="116">
        <v>3.51609811474018</v>
      </c>
      <c r="D1134" s="116">
        <v>3.48362964115812</v>
      </c>
      <c r="E1134" s="116">
        <v>3.4931326090358001</v>
      </c>
      <c r="F1134" s="116">
        <v>222</v>
      </c>
      <c r="G1134">
        <v>2388</v>
      </c>
      <c r="H1134" s="116"/>
      <c r="I1134" s="116"/>
      <c r="L1134" s="170">
        <v>43672</v>
      </c>
      <c r="M1134" s="116">
        <v>386.7</v>
      </c>
      <c r="N1134" s="116">
        <v>395</v>
      </c>
      <c r="O1134" s="116">
        <v>384.55</v>
      </c>
      <c r="P1134" s="116">
        <v>385.7</v>
      </c>
      <c r="Q1134" s="116">
        <v>386.7</v>
      </c>
      <c r="R1134">
        <v>302893</v>
      </c>
    </row>
    <row r="1135" spans="1:18" x14ac:dyDescent="0.25">
      <c r="A1135" s="170">
        <v>43676</v>
      </c>
      <c r="B1135" s="116">
        <v>3.4994679209542499</v>
      </c>
      <c r="C1135" s="116">
        <v>3.2904026276453702</v>
      </c>
      <c r="D1135" s="116">
        <v>3.19933251881764</v>
      </c>
      <c r="E1135" s="116">
        <v>3.4155250380347799</v>
      </c>
      <c r="F1135" s="116">
        <v>207.75</v>
      </c>
      <c r="G1135">
        <v>2210</v>
      </c>
      <c r="H1135" s="116"/>
      <c r="I1135" s="116"/>
      <c r="L1135" s="170">
        <v>43675</v>
      </c>
      <c r="M1135" s="116">
        <v>390.15</v>
      </c>
      <c r="N1135" s="116">
        <v>395</v>
      </c>
      <c r="O1135" s="116">
        <v>385.65</v>
      </c>
      <c r="P1135" s="116">
        <v>388</v>
      </c>
      <c r="Q1135" s="116">
        <v>390.15</v>
      </c>
      <c r="R1135">
        <v>428950</v>
      </c>
    </row>
    <row r="1136" spans="1:18" x14ac:dyDescent="0.25">
      <c r="A1136" s="170">
        <v>43677</v>
      </c>
      <c r="B1136" s="116">
        <v>3.4448258556576099</v>
      </c>
      <c r="C1136" s="116">
        <v>3.1708236151846099</v>
      </c>
      <c r="D1136" s="116">
        <v>3.1201411198370099</v>
      </c>
      <c r="E1136" s="116">
        <v>3.2943621975944102</v>
      </c>
      <c r="F1136" s="116">
        <v>200.2</v>
      </c>
      <c r="G1136">
        <v>14249</v>
      </c>
      <c r="H1136" s="116"/>
      <c r="I1136" s="116"/>
      <c r="L1136" s="170">
        <v>43676</v>
      </c>
      <c r="M1136" s="116">
        <v>388.85</v>
      </c>
      <c r="N1136" s="116">
        <v>394.8</v>
      </c>
      <c r="O1136" s="116">
        <v>386.5</v>
      </c>
      <c r="P1136" s="116">
        <v>389.05</v>
      </c>
      <c r="Q1136" s="116">
        <v>388.85</v>
      </c>
      <c r="R1136">
        <v>371700</v>
      </c>
    </row>
    <row r="1137" spans="1:18" x14ac:dyDescent="0.25">
      <c r="A1137" s="170">
        <v>43678</v>
      </c>
      <c r="B1137" s="116">
        <v>3.3102004773905298</v>
      </c>
      <c r="C1137" s="116">
        <v>3.1676559592253901</v>
      </c>
      <c r="D1137" s="116">
        <v>3.1359793996331402</v>
      </c>
      <c r="E1137" s="116">
        <v>3.1676559592253901</v>
      </c>
      <c r="F1137" s="116">
        <v>200</v>
      </c>
      <c r="G1137">
        <v>1603</v>
      </c>
      <c r="H1137" s="116"/>
      <c r="I1137" s="116"/>
      <c r="L1137" s="170">
        <v>43677</v>
      </c>
      <c r="M1137" s="116">
        <v>387.85</v>
      </c>
      <c r="N1137" s="116">
        <v>391.9</v>
      </c>
      <c r="O1137" s="116">
        <v>378.7</v>
      </c>
      <c r="P1137" s="116">
        <v>386.2</v>
      </c>
      <c r="Q1137" s="116">
        <v>387.85</v>
      </c>
      <c r="R1137">
        <v>311327</v>
      </c>
    </row>
    <row r="1138" spans="1:18" x14ac:dyDescent="0.25">
      <c r="A1138" s="170">
        <v>43679</v>
      </c>
      <c r="B1138" s="116">
        <v>3.3244549292070502</v>
      </c>
      <c r="C1138" s="116">
        <v>3.2127950566443499</v>
      </c>
      <c r="D1138" s="116">
        <v>3.1359793996331402</v>
      </c>
      <c r="E1138" s="116">
        <v>3.1676559592253901</v>
      </c>
      <c r="F1138" s="116">
        <v>202.85</v>
      </c>
      <c r="G1138">
        <v>5693</v>
      </c>
      <c r="H1138" s="116"/>
      <c r="I1138" s="116"/>
      <c r="L1138" s="170">
        <v>43678</v>
      </c>
      <c r="M1138" s="116">
        <v>374.3</v>
      </c>
      <c r="N1138" s="116">
        <v>388.9</v>
      </c>
      <c r="O1138" s="116">
        <v>371.25</v>
      </c>
      <c r="P1138" s="116">
        <v>385</v>
      </c>
      <c r="Q1138" s="116">
        <v>374.3</v>
      </c>
      <c r="R1138">
        <v>319711</v>
      </c>
    </row>
    <row r="1139" spans="1:18" x14ac:dyDescent="0.25">
      <c r="A1139" s="170">
        <v>43682</v>
      </c>
      <c r="B1139" s="116">
        <v>3.3022813374924702</v>
      </c>
      <c r="C1139" s="116">
        <v>3.2460554442162199</v>
      </c>
      <c r="D1139" s="116">
        <v>3.0884645602447498</v>
      </c>
      <c r="E1139" s="116">
        <v>3.1676559592253901</v>
      </c>
      <c r="F1139" s="116">
        <v>204.95</v>
      </c>
      <c r="G1139">
        <v>2104</v>
      </c>
      <c r="H1139" s="116"/>
      <c r="I1139" s="116"/>
      <c r="L1139" s="170">
        <v>43679</v>
      </c>
      <c r="M1139" s="116">
        <v>379.15</v>
      </c>
      <c r="N1139" s="116">
        <v>382.8</v>
      </c>
      <c r="O1139" s="116">
        <v>368.5</v>
      </c>
      <c r="P1139" s="116">
        <v>369.1</v>
      </c>
      <c r="Q1139" s="116">
        <v>379.15</v>
      </c>
      <c r="R1139">
        <v>266991</v>
      </c>
    </row>
    <row r="1140" spans="1:18" x14ac:dyDescent="0.25">
      <c r="A1140" s="170">
        <v>43683</v>
      </c>
      <c r="B1140" s="116">
        <v>3.2302171644200901</v>
      </c>
      <c r="C1140" s="116">
        <v>3.17003170119481</v>
      </c>
      <c r="D1140" s="116">
        <v>3.0884645602447498</v>
      </c>
      <c r="E1140" s="116">
        <v>3.1676559592253901</v>
      </c>
      <c r="F1140" s="116">
        <v>200.15</v>
      </c>
      <c r="G1140">
        <v>762</v>
      </c>
      <c r="H1140" s="116"/>
      <c r="I1140" s="116"/>
      <c r="L1140" s="170">
        <v>43682</v>
      </c>
      <c r="M1140" s="116">
        <v>373.9</v>
      </c>
      <c r="N1140" s="116">
        <v>376.95</v>
      </c>
      <c r="O1140" s="116">
        <v>365.5</v>
      </c>
      <c r="P1140" s="116">
        <v>375.75</v>
      </c>
      <c r="Q1140" s="116">
        <v>373.9</v>
      </c>
      <c r="R1140">
        <v>219310</v>
      </c>
    </row>
    <row r="1141" spans="1:18" x14ac:dyDescent="0.25">
      <c r="A1141" s="170">
        <v>43684</v>
      </c>
      <c r="B1141" s="116">
        <v>3.4052301561672902</v>
      </c>
      <c r="C1141" s="116">
        <v>3.1676559592253901</v>
      </c>
      <c r="D1141" s="116">
        <v>3.1676559592253901</v>
      </c>
      <c r="E1141" s="116">
        <v>3.4052301561672902</v>
      </c>
      <c r="F1141" s="116">
        <v>200</v>
      </c>
      <c r="G1141">
        <v>1741</v>
      </c>
      <c r="H1141" s="116"/>
      <c r="I1141" s="116"/>
      <c r="L1141" s="170">
        <v>43683</v>
      </c>
      <c r="M1141" s="116">
        <v>385.95</v>
      </c>
      <c r="N1141" s="116">
        <v>389.2</v>
      </c>
      <c r="O1141" s="116">
        <v>369</v>
      </c>
      <c r="P1141" s="116">
        <v>369</v>
      </c>
      <c r="Q1141" s="116">
        <v>385.95</v>
      </c>
      <c r="R1141">
        <v>249258</v>
      </c>
    </row>
    <row r="1142" spans="1:18" x14ac:dyDescent="0.25">
      <c r="A1142" s="170">
        <v>43685</v>
      </c>
      <c r="B1142" s="116">
        <v>3.2943621975944102</v>
      </c>
      <c r="C1142" s="116">
        <v>3.1739912711438398</v>
      </c>
      <c r="D1142" s="116">
        <v>3.1518176794292598</v>
      </c>
      <c r="E1142" s="116">
        <v>3.1874538089705502</v>
      </c>
      <c r="F1142" s="116">
        <v>200.4</v>
      </c>
      <c r="G1142">
        <v>2511</v>
      </c>
      <c r="H1142" s="116"/>
      <c r="I1142" s="116"/>
      <c r="L1142" s="170">
        <v>43684</v>
      </c>
      <c r="M1142" s="116">
        <v>386.2</v>
      </c>
      <c r="N1142" s="116">
        <v>393.7</v>
      </c>
      <c r="O1142" s="116">
        <v>383.5</v>
      </c>
      <c r="P1142" s="116">
        <v>384.9</v>
      </c>
      <c r="Q1142" s="116">
        <v>386.2</v>
      </c>
      <c r="R1142">
        <v>261500</v>
      </c>
    </row>
    <row r="1143" spans="1:18" x14ac:dyDescent="0.25">
      <c r="A1143" s="170">
        <v>43686</v>
      </c>
      <c r="B1143" s="116">
        <v>3.2468473582060202</v>
      </c>
      <c r="C1143" s="116">
        <v>3.1541934213986802</v>
      </c>
      <c r="D1143" s="116">
        <v>3.1043028400408801</v>
      </c>
      <c r="E1143" s="116">
        <v>3.1043028400408801</v>
      </c>
      <c r="F1143" s="116">
        <v>199.15</v>
      </c>
      <c r="G1143">
        <v>12070</v>
      </c>
      <c r="H1143" s="116"/>
      <c r="I1143" s="116"/>
      <c r="L1143" s="170">
        <v>43685</v>
      </c>
      <c r="M1143" s="116">
        <v>382.6</v>
      </c>
      <c r="N1143" s="116">
        <v>391.8</v>
      </c>
      <c r="O1143" s="116">
        <v>380.85</v>
      </c>
      <c r="P1143" s="116">
        <v>386.2</v>
      </c>
      <c r="Q1143" s="116">
        <v>382.6</v>
      </c>
      <c r="R1143">
        <v>127109</v>
      </c>
    </row>
    <row r="1144" spans="1:18" x14ac:dyDescent="0.25">
      <c r="A1144" s="170">
        <v>43690</v>
      </c>
      <c r="B1144" s="116">
        <v>3.19933251881764</v>
      </c>
      <c r="C1144" s="116">
        <v>3.1953729488686098</v>
      </c>
      <c r="D1144" s="116">
        <v>3.1668640452355801</v>
      </c>
      <c r="E1144" s="116">
        <v>3.1668640452355801</v>
      </c>
      <c r="F1144" s="116">
        <v>201.75</v>
      </c>
      <c r="G1144">
        <v>7071</v>
      </c>
      <c r="H1144" s="116"/>
      <c r="I1144" s="116"/>
      <c r="L1144" s="170">
        <v>43686</v>
      </c>
      <c r="M1144" s="116">
        <v>386.55</v>
      </c>
      <c r="N1144" s="116">
        <v>392.9</v>
      </c>
      <c r="O1144" s="116">
        <v>384</v>
      </c>
      <c r="P1144" s="116">
        <v>388.2</v>
      </c>
      <c r="Q1144" s="116">
        <v>386.55</v>
      </c>
      <c r="R1144">
        <v>238847</v>
      </c>
    </row>
    <row r="1145" spans="1:18" x14ac:dyDescent="0.25">
      <c r="A1145" s="170">
        <v>43691</v>
      </c>
      <c r="B1145" s="116">
        <v>3.4052301561672902</v>
      </c>
      <c r="C1145" s="116">
        <v>3.2167546265933802</v>
      </c>
      <c r="D1145" s="116">
        <v>3.2151707986137699</v>
      </c>
      <c r="E1145" s="116">
        <v>3.4052301561672902</v>
      </c>
      <c r="F1145" s="116">
        <v>203.1</v>
      </c>
      <c r="G1145">
        <v>574</v>
      </c>
      <c r="H1145" s="116"/>
      <c r="I1145" s="116"/>
      <c r="L1145" s="170">
        <v>43690</v>
      </c>
      <c r="M1145" s="116">
        <v>371.8</v>
      </c>
      <c r="N1145" s="116">
        <v>390.8</v>
      </c>
      <c r="O1145" s="116">
        <v>367.55</v>
      </c>
      <c r="P1145" s="116">
        <v>387</v>
      </c>
      <c r="Q1145" s="116">
        <v>371.8</v>
      </c>
      <c r="R1145">
        <v>197577</v>
      </c>
    </row>
    <row r="1146" spans="1:18" x14ac:dyDescent="0.25">
      <c r="A1146" s="170">
        <v>43693</v>
      </c>
      <c r="B1146" s="116">
        <v>3.27694008981867</v>
      </c>
      <c r="C1146" s="116">
        <v>3.1787427550826801</v>
      </c>
      <c r="D1146" s="116">
        <v>3.1676559592253901</v>
      </c>
      <c r="E1146" s="116">
        <v>3.2199222825526101</v>
      </c>
      <c r="F1146" s="116">
        <v>200.7</v>
      </c>
      <c r="G1146">
        <v>1964</v>
      </c>
      <c r="H1146" s="116"/>
      <c r="I1146" s="116"/>
      <c r="L1146" s="170">
        <v>43691</v>
      </c>
      <c r="M1146" s="116">
        <v>372.35</v>
      </c>
      <c r="N1146" s="116">
        <v>383.95</v>
      </c>
      <c r="O1146" s="116">
        <v>370.1</v>
      </c>
      <c r="P1146" s="116">
        <v>376.3</v>
      </c>
      <c r="Q1146" s="116">
        <v>372.35</v>
      </c>
      <c r="R1146">
        <v>139069</v>
      </c>
    </row>
    <row r="1147" spans="1:18" x14ac:dyDescent="0.25">
      <c r="A1147" s="170">
        <v>43696</v>
      </c>
      <c r="B1147" s="116">
        <v>3.31732770329879</v>
      </c>
      <c r="C1147" s="116">
        <v>3.1684478732152002</v>
      </c>
      <c r="D1147" s="116">
        <v>3.1660721312457798</v>
      </c>
      <c r="E1147" s="116">
        <v>3.1684478732152002</v>
      </c>
      <c r="F1147" s="116">
        <v>200.05</v>
      </c>
      <c r="G1147">
        <v>11296</v>
      </c>
      <c r="H1147" s="116"/>
      <c r="I1147" s="116"/>
      <c r="L1147" s="170">
        <v>43693</v>
      </c>
      <c r="M1147" s="116">
        <v>375.4</v>
      </c>
      <c r="N1147" s="116">
        <v>379.1</v>
      </c>
      <c r="O1147" s="116">
        <v>372.1</v>
      </c>
      <c r="P1147" s="116">
        <v>376</v>
      </c>
      <c r="Q1147" s="116">
        <v>375.4</v>
      </c>
      <c r="R1147">
        <v>140329</v>
      </c>
    </row>
    <row r="1148" spans="1:18" x14ac:dyDescent="0.25">
      <c r="A1148" s="170">
        <v>43697</v>
      </c>
      <c r="B1148" s="116">
        <v>3.27694008981867</v>
      </c>
      <c r="C1148" s="116">
        <v>3.1676559592253901</v>
      </c>
      <c r="D1148" s="116">
        <v>3.03303058095831</v>
      </c>
      <c r="E1148" s="116">
        <v>3.1359793996331402</v>
      </c>
      <c r="F1148" s="116">
        <v>200</v>
      </c>
      <c r="G1148">
        <v>1102</v>
      </c>
      <c r="H1148" s="116"/>
      <c r="I1148" s="116"/>
      <c r="L1148" s="170">
        <v>43696</v>
      </c>
      <c r="M1148" s="116">
        <v>381.9</v>
      </c>
      <c r="N1148" s="116">
        <v>382.9</v>
      </c>
      <c r="O1148" s="116">
        <v>374.7</v>
      </c>
      <c r="P1148" s="116">
        <v>375</v>
      </c>
      <c r="Q1148" s="116">
        <v>381.9</v>
      </c>
      <c r="R1148">
        <v>123504</v>
      </c>
    </row>
    <row r="1149" spans="1:18" x14ac:dyDescent="0.25">
      <c r="A1149" s="170">
        <v>43698</v>
      </c>
      <c r="B1149" s="116">
        <v>3.18349423902152</v>
      </c>
      <c r="C1149" s="116">
        <v>3.07341819443843</v>
      </c>
      <c r="D1149" s="116">
        <v>3.03303058095831</v>
      </c>
      <c r="E1149" s="116">
        <v>3.18349423902152</v>
      </c>
      <c r="F1149" s="116">
        <v>194.05</v>
      </c>
      <c r="G1149">
        <v>2426</v>
      </c>
      <c r="H1149" s="116"/>
      <c r="I1149" s="116"/>
      <c r="L1149" s="170">
        <v>43697</v>
      </c>
      <c r="M1149" s="116">
        <v>377.25</v>
      </c>
      <c r="N1149" s="116">
        <v>385.95</v>
      </c>
      <c r="O1149" s="116">
        <v>372.5</v>
      </c>
      <c r="P1149" s="116">
        <v>378.15</v>
      </c>
      <c r="Q1149" s="116">
        <v>377.25</v>
      </c>
      <c r="R1149">
        <v>170461</v>
      </c>
    </row>
    <row r="1150" spans="1:18" x14ac:dyDescent="0.25">
      <c r="A1150" s="170">
        <v>43699</v>
      </c>
      <c r="B1150" s="116">
        <v>3.2468473582060202</v>
      </c>
      <c r="C1150" s="116">
        <v>3.1890376369501601</v>
      </c>
      <c r="D1150" s="116">
        <v>3.12093303382682</v>
      </c>
      <c r="E1150" s="116">
        <v>3.1676559592253901</v>
      </c>
      <c r="F1150" s="116">
        <v>201.35</v>
      </c>
      <c r="G1150">
        <v>4515</v>
      </c>
      <c r="H1150" s="116"/>
      <c r="I1150" s="116"/>
      <c r="L1150" s="170">
        <v>43698</v>
      </c>
      <c r="M1150" s="116">
        <v>379.1</v>
      </c>
      <c r="N1150" s="116">
        <v>380</v>
      </c>
      <c r="O1150" s="116">
        <v>375.05</v>
      </c>
      <c r="P1150" s="116">
        <v>375.05</v>
      </c>
      <c r="Q1150" s="116">
        <v>379.1</v>
      </c>
      <c r="R1150">
        <v>122585</v>
      </c>
    </row>
    <row r="1151" spans="1:18" x14ac:dyDescent="0.25">
      <c r="A1151" s="170">
        <v>43700</v>
      </c>
      <c r="B1151" s="116">
        <v>3.2389282183079602</v>
      </c>
      <c r="C1151" s="116">
        <v>3.1676559592253901</v>
      </c>
      <c r="D1151" s="116">
        <v>3.0963837001428201</v>
      </c>
      <c r="E1151" s="116">
        <v>3.0963837001428201</v>
      </c>
      <c r="F1151" s="116">
        <v>200</v>
      </c>
      <c r="G1151">
        <v>3991</v>
      </c>
      <c r="H1151" s="116"/>
      <c r="I1151" s="116"/>
      <c r="L1151" s="170">
        <v>43699</v>
      </c>
      <c r="M1151" s="116">
        <v>368.65</v>
      </c>
      <c r="N1151" s="116">
        <v>381.55</v>
      </c>
      <c r="O1151" s="116">
        <v>356.4</v>
      </c>
      <c r="P1151" s="116">
        <v>377.5</v>
      </c>
      <c r="Q1151" s="116">
        <v>368.65</v>
      </c>
      <c r="R1151">
        <v>167603</v>
      </c>
    </row>
    <row r="1152" spans="1:18" x14ac:dyDescent="0.25">
      <c r="A1152" s="170">
        <v>43703</v>
      </c>
      <c r="B1152" s="116">
        <v>3.2468473582060202</v>
      </c>
      <c r="C1152" s="116">
        <v>3.2159627126035799</v>
      </c>
      <c r="D1152" s="116">
        <v>3.0884645602447498</v>
      </c>
      <c r="E1152" s="116">
        <v>3.2468473582060202</v>
      </c>
      <c r="F1152" s="116">
        <v>203.05</v>
      </c>
      <c r="G1152">
        <v>525</v>
      </c>
      <c r="H1152" s="116"/>
      <c r="I1152" s="116"/>
      <c r="L1152" s="170">
        <v>43700</v>
      </c>
      <c r="M1152" s="116">
        <v>370.75</v>
      </c>
      <c r="N1152" s="116">
        <v>378</v>
      </c>
      <c r="O1152" s="116">
        <v>360.05</v>
      </c>
      <c r="P1152" s="116">
        <v>368.75</v>
      </c>
      <c r="Q1152" s="116">
        <v>370.75</v>
      </c>
      <c r="R1152">
        <v>540390</v>
      </c>
    </row>
    <row r="1153" spans="1:18" x14ac:dyDescent="0.25">
      <c r="A1153" s="170">
        <v>43704</v>
      </c>
      <c r="B1153" s="116">
        <v>3.25476649810409</v>
      </c>
      <c r="C1153" s="116">
        <v>3.2096274006851302</v>
      </c>
      <c r="D1153" s="116">
        <v>3.19141337891958</v>
      </c>
      <c r="E1153" s="116">
        <v>3.2460554442162199</v>
      </c>
      <c r="F1153" s="116">
        <v>202.65</v>
      </c>
      <c r="G1153">
        <v>1846</v>
      </c>
      <c r="H1153" s="116"/>
      <c r="I1153" s="116"/>
      <c r="L1153" s="170">
        <v>43703</v>
      </c>
      <c r="M1153" s="116">
        <v>378.05</v>
      </c>
      <c r="N1153" s="116">
        <v>387.8</v>
      </c>
      <c r="O1153" s="116">
        <v>373.65</v>
      </c>
      <c r="P1153" s="116">
        <v>385</v>
      </c>
      <c r="Q1153" s="116">
        <v>378.05</v>
      </c>
      <c r="R1153">
        <v>175154</v>
      </c>
    </row>
    <row r="1154" spans="1:18" x14ac:dyDescent="0.25">
      <c r="A1154" s="170">
        <v>43705</v>
      </c>
      <c r="B1154" s="116">
        <v>3.2009163467972601</v>
      </c>
      <c r="C1154" s="116">
        <v>3.19933251881764</v>
      </c>
      <c r="D1154" s="116">
        <v>3.18349423902152</v>
      </c>
      <c r="E1154" s="116">
        <v>3.19933251881764</v>
      </c>
      <c r="F1154" s="116">
        <v>202</v>
      </c>
      <c r="G1154">
        <v>998</v>
      </c>
      <c r="H1154" s="116"/>
      <c r="I1154" s="116"/>
      <c r="L1154" s="170">
        <v>43704</v>
      </c>
      <c r="M1154" s="116">
        <v>397.35</v>
      </c>
      <c r="N1154" s="116">
        <v>404.9</v>
      </c>
      <c r="O1154" s="116">
        <v>381</v>
      </c>
      <c r="P1154" s="116">
        <v>381.8</v>
      </c>
      <c r="Q1154" s="116">
        <v>397.35</v>
      </c>
      <c r="R1154">
        <v>369195</v>
      </c>
    </row>
    <row r="1155" spans="1:18" x14ac:dyDescent="0.25">
      <c r="A1155" s="170">
        <v>43706</v>
      </c>
      <c r="B1155" s="116">
        <v>3.2460554442162199</v>
      </c>
      <c r="C1155" s="116">
        <v>3.1636963892763599</v>
      </c>
      <c r="D1155" s="116">
        <v>3.11697346387778</v>
      </c>
      <c r="E1155" s="116">
        <v>3.2460554442162199</v>
      </c>
      <c r="F1155" s="116">
        <v>199.75</v>
      </c>
      <c r="G1155">
        <v>1984</v>
      </c>
      <c r="H1155" s="116"/>
      <c r="I1155" s="116"/>
      <c r="L1155" s="170">
        <v>43705</v>
      </c>
      <c r="M1155" s="116">
        <v>402.05</v>
      </c>
      <c r="N1155" s="116">
        <v>409</v>
      </c>
      <c r="O1155" s="116">
        <v>392</v>
      </c>
      <c r="P1155" s="116">
        <v>397</v>
      </c>
      <c r="Q1155" s="116">
        <v>402.05</v>
      </c>
      <c r="R1155">
        <v>256427</v>
      </c>
    </row>
    <row r="1156" spans="1:18" x14ac:dyDescent="0.25">
      <c r="A1156" s="170">
        <v>43707</v>
      </c>
      <c r="B1156" s="116">
        <v>3.2460554442162199</v>
      </c>
      <c r="C1156" s="116">
        <v>3.2444716162366101</v>
      </c>
      <c r="D1156" s="116">
        <v>3.1549853353884898</v>
      </c>
      <c r="E1156" s="116">
        <v>3.1549853353884898</v>
      </c>
      <c r="F1156" s="116">
        <v>204.85</v>
      </c>
      <c r="G1156">
        <v>889</v>
      </c>
      <c r="H1156" s="116"/>
      <c r="I1156" s="116"/>
      <c r="L1156" s="170">
        <v>43706</v>
      </c>
      <c r="M1156" s="116">
        <v>398.85</v>
      </c>
      <c r="N1156" s="116">
        <v>417</v>
      </c>
      <c r="O1156" s="116">
        <v>394.75</v>
      </c>
      <c r="P1156" s="116">
        <v>402</v>
      </c>
      <c r="Q1156" s="116">
        <v>398.85</v>
      </c>
      <c r="R1156">
        <v>767879</v>
      </c>
    </row>
    <row r="1157" spans="1:18" x14ac:dyDescent="0.25">
      <c r="A1157" s="170">
        <v>43711</v>
      </c>
      <c r="B1157" s="116">
        <v>3.1534015074088799</v>
      </c>
      <c r="C1157" s="116">
        <v>3.1518176794292598</v>
      </c>
      <c r="D1157" s="116">
        <v>2.96175832187574</v>
      </c>
      <c r="E1157" s="116">
        <v>2.96175832187574</v>
      </c>
      <c r="F1157" s="116">
        <v>199</v>
      </c>
      <c r="G1157">
        <v>146</v>
      </c>
      <c r="H1157" s="116"/>
      <c r="I1157" s="116"/>
      <c r="L1157" s="170">
        <v>43707</v>
      </c>
      <c r="M1157" s="116">
        <v>412.95</v>
      </c>
      <c r="N1157" s="116">
        <v>415</v>
      </c>
      <c r="O1157" s="116">
        <v>395</v>
      </c>
      <c r="P1157" s="116">
        <v>398.85</v>
      </c>
      <c r="Q1157" s="116">
        <v>412.95</v>
      </c>
      <c r="R1157">
        <v>441523</v>
      </c>
    </row>
    <row r="1158" spans="1:18" x14ac:dyDescent="0.25">
      <c r="A1158" s="170">
        <v>43712</v>
      </c>
      <c r="B1158" s="116">
        <v>3.3006975095128599</v>
      </c>
      <c r="C1158" s="116">
        <v>3.16132064730694</v>
      </c>
      <c r="D1158" s="116">
        <v>3.1541934213986802</v>
      </c>
      <c r="E1158" s="116">
        <v>3.1541934213986802</v>
      </c>
      <c r="F1158" s="116">
        <v>199.6</v>
      </c>
      <c r="G1158">
        <v>2040</v>
      </c>
      <c r="H1158" s="116"/>
      <c r="I1158" s="116"/>
      <c r="L1158" s="170">
        <v>43711</v>
      </c>
      <c r="M1158" s="116">
        <v>404.1</v>
      </c>
      <c r="N1158" s="116">
        <v>410</v>
      </c>
      <c r="O1158" s="116">
        <v>401.9</v>
      </c>
      <c r="P1158" s="116">
        <v>410</v>
      </c>
      <c r="Q1158" s="116">
        <v>404.1</v>
      </c>
      <c r="R1158">
        <v>181557</v>
      </c>
    </row>
    <row r="1159" spans="1:18" x14ac:dyDescent="0.25">
      <c r="A1159" s="170">
        <v>43713</v>
      </c>
      <c r="B1159" s="116">
        <v>3.2777320038084699</v>
      </c>
      <c r="C1159" s="116">
        <v>3.19933251881764</v>
      </c>
      <c r="D1159" s="116">
        <v>3.1684478732152002</v>
      </c>
      <c r="E1159" s="116">
        <v>3.1684478732152002</v>
      </c>
      <c r="F1159" s="116">
        <v>202</v>
      </c>
      <c r="G1159">
        <v>539</v>
      </c>
      <c r="H1159" s="116"/>
      <c r="I1159" s="116"/>
      <c r="L1159" s="170">
        <v>43712</v>
      </c>
      <c r="M1159" s="116">
        <v>401.6</v>
      </c>
      <c r="N1159" s="116">
        <v>410.9</v>
      </c>
      <c r="O1159" s="116">
        <v>400</v>
      </c>
      <c r="P1159" s="116">
        <v>409</v>
      </c>
      <c r="Q1159" s="116">
        <v>401.6</v>
      </c>
      <c r="R1159">
        <v>247647</v>
      </c>
    </row>
    <row r="1160" spans="1:18" x14ac:dyDescent="0.25">
      <c r="A1160" s="170">
        <v>43714</v>
      </c>
      <c r="B1160" s="116">
        <v>3.2626856380021501</v>
      </c>
      <c r="C1160" s="116">
        <v>3.2199222825526101</v>
      </c>
      <c r="D1160" s="116">
        <v>3.18349423902152</v>
      </c>
      <c r="E1160" s="116">
        <v>3.18349423902152</v>
      </c>
      <c r="F1160" s="116">
        <v>203.3</v>
      </c>
      <c r="G1160">
        <v>528</v>
      </c>
      <c r="H1160" s="116"/>
      <c r="I1160" s="116"/>
      <c r="L1160" s="170">
        <v>43713</v>
      </c>
      <c r="M1160" s="116">
        <v>394.15</v>
      </c>
      <c r="N1160" s="116">
        <v>404.8</v>
      </c>
      <c r="O1160" s="116">
        <v>386.9</v>
      </c>
      <c r="P1160" s="116">
        <v>392.5</v>
      </c>
      <c r="Q1160" s="116">
        <v>394.15</v>
      </c>
      <c r="R1160">
        <v>223517</v>
      </c>
    </row>
    <row r="1161" spans="1:18" x14ac:dyDescent="0.25">
      <c r="A1161" s="170">
        <v>43717</v>
      </c>
      <c r="B1161" s="116">
        <v>3.3418770369827899</v>
      </c>
      <c r="C1161" s="116">
        <v>3.3418770369827899</v>
      </c>
      <c r="D1161" s="116">
        <v>3.2476392721958298</v>
      </c>
      <c r="E1161" s="116">
        <v>3.2626856380021501</v>
      </c>
      <c r="F1161" s="116">
        <v>211</v>
      </c>
      <c r="G1161">
        <v>124</v>
      </c>
      <c r="H1161" s="116"/>
      <c r="I1161" s="116"/>
      <c r="L1161" s="170">
        <v>43714</v>
      </c>
      <c r="M1161" s="116">
        <v>392.1</v>
      </c>
      <c r="N1161" s="116">
        <v>401.55</v>
      </c>
      <c r="O1161" s="116">
        <v>389</v>
      </c>
      <c r="P1161" s="116">
        <v>395</v>
      </c>
      <c r="Q1161" s="116">
        <v>392.1</v>
      </c>
      <c r="R1161">
        <v>182865</v>
      </c>
    </row>
    <row r="1162" spans="1:18" x14ac:dyDescent="0.25">
      <c r="A1162" s="170">
        <v>43719</v>
      </c>
      <c r="B1162" s="116">
        <v>3.3418770369827899</v>
      </c>
      <c r="C1162" s="116">
        <v>3.3260387571866601</v>
      </c>
      <c r="D1162" s="116">
        <v>3.3260387571866601</v>
      </c>
      <c r="E1162" s="116">
        <v>3.3418770369827899</v>
      </c>
      <c r="F1162" s="116">
        <v>210</v>
      </c>
      <c r="G1162">
        <v>1023</v>
      </c>
      <c r="H1162" s="116"/>
      <c r="I1162" s="116"/>
      <c r="L1162" s="170">
        <v>43717</v>
      </c>
      <c r="M1162" s="116">
        <v>400.65</v>
      </c>
      <c r="N1162" s="116">
        <v>406</v>
      </c>
      <c r="O1162" s="116">
        <v>396.2</v>
      </c>
      <c r="P1162" s="116">
        <v>400.05</v>
      </c>
      <c r="Q1162" s="116">
        <v>400.65</v>
      </c>
      <c r="R1162">
        <v>336237</v>
      </c>
    </row>
    <row r="1163" spans="1:18" x14ac:dyDescent="0.25">
      <c r="A1163" s="170">
        <v>43720</v>
      </c>
      <c r="B1163" s="116">
        <v>3.3973110162692302</v>
      </c>
      <c r="C1163" s="116">
        <v>3.3973110162692302</v>
      </c>
      <c r="D1163" s="116">
        <v>3.2191303685628001</v>
      </c>
      <c r="E1163" s="116">
        <v>3.2191303685628001</v>
      </c>
      <c r="F1163" s="116">
        <v>214.5</v>
      </c>
      <c r="G1163">
        <v>679</v>
      </c>
      <c r="H1163" s="116"/>
      <c r="I1163" s="116"/>
      <c r="L1163" s="170">
        <v>43719</v>
      </c>
      <c r="M1163" s="116">
        <v>393.6</v>
      </c>
      <c r="N1163" s="116">
        <v>403.5</v>
      </c>
      <c r="O1163" s="116">
        <v>392.1</v>
      </c>
      <c r="P1163" s="116">
        <v>400.6</v>
      </c>
      <c r="Q1163" s="116">
        <v>393.6</v>
      </c>
      <c r="R1163">
        <v>213395</v>
      </c>
    </row>
    <row r="1164" spans="1:18" x14ac:dyDescent="0.25">
      <c r="A1164" s="170">
        <v>43721</v>
      </c>
      <c r="B1164" s="116">
        <v>3.4052301561672902</v>
      </c>
      <c r="C1164" s="116">
        <v>3.4052301561672902</v>
      </c>
      <c r="D1164" s="116">
        <v>3.2626856380021501</v>
      </c>
      <c r="E1164" s="116">
        <v>3.4052301561672902</v>
      </c>
      <c r="F1164" s="116">
        <v>215</v>
      </c>
      <c r="G1164">
        <v>391</v>
      </c>
      <c r="H1164" s="116"/>
      <c r="I1164" s="116"/>
      <c r="L1164" s="170">
        <v>43720</v>
      </c>
      <c r="M1164" s="116">
        <v>392.8</v>
      </c>
      <c r="N1164" s="116">
        <v>400</v>
      </c>
      <c r="O1164" s="116">
        <v>390</v>
      </c>
      <c r="P1164" s="116">
        <v>397.2</v>
      </c>
      <c r="Q1164" s="116">
        <v>392.8</v>
      </c>
      <c r="R1164">
        <v>180138</v>
      </c>
    </row>
    <row r="1165" spans="1:18" x14ac:dyDescent="0.25">
      <c r="A1165" s="170">
        <v>43724</v>
      </c>
      <c r="B1165" s="116">
        <v>3.5944975997310098</v>
      </c>
      <c r="C1165" s="116">
        <v>3.2927783696147901</v>
      </c>
      <c r="D1165" s="116">
        <v>3.2626856380021501</v>
      </c>
      <c r="E1165" s="116">
        <v>3.5944975997310098</v>
      </c>
      <c r="F1165" s="116">
        <v>207.9</v>
      </c>
      <c r="G1165">
        <v>1644</v>
      </c>
      <c r="H1165" s="116"/>
      <c r="I1165" s="116"/>
      <c r="L1165" s="170">
        <v>43721</v>
      </c>
      <c r="M1165" s="116">
        <v>392.45</v>
      </c>
      <c r="N1165" s="116">
        <v>397.3</v>
      </c>
      <c r="O1165" s="116">
        <v>390</v>
      </c>
      <c r="P1165" s="116">
        <v>396.15</v>
      </c>
      <c r="Q1165" s="116">
        <v>392.45</v>
      </c>
      <c r="R1165">
        <v>101244</v>
      </c>
    </row>
    <row r="1166" spans="1:18" x14ac:dyDescent="0.25">
      <c r="A1166" s="170">
        <v>43725</v>
      </c>
      <c r="B1166" s="116">
        <v>3.5636129541285602</v>
      </c>
      <c r="C1166" s="116">
        <v>3.3450446929420101</v>
      </c>
      <c r="D1166" s="116">
        <v>3.3260387571866601</v>
      </c>
      <c r="E1166" s="116">
        <v>3.3260387571866601</v>
      </c>
      <c r="F1166" s="116">
        <v>211.2</v>
      </c>
      <c r="G1166">
        <v>262</v>
      </c>
      <c r="H1166" s="116"/>
      <c r="I1166" s="116"/>
      <c r="L1166" s="170">
        <v>43724</v>
      </c>
      <c r="M1166" s="116">
        <v>401.95</v>
      </c>
      <c r="N1166" s="116">
        <v>404.8</v>
      </c>
      <c r="O1166" s="116">
        <v>388</v>
      </c>
      <c r="P1166" s="116">
        <v>392.8</v>
      </c>
      <c r="Q1166" s="116">
        <v>401.95</v>
      </c>
      <c r="R1166">
        <v>258536</v>
      </c>
    </row>
    <row r="1167" spans="1:18" x14ac:dyDescent="0.25">
      <c r="A1167" s="170">
        <v>43726</v>
      </c>
      <c r="B1167" s="116">
        <v>3.3814727364730999</v>
      </c>
      <c r="C1167" s="116">
        <v>3.3814727364730999</v>
      </c>
      <c r="D1167" s="116">
        <v>3.2634775519919601</v>
      </c>
      <c r="E1167" s="116">
        <v>3.3814727364730999</v>
      </c>
      <c r="F1167" s="116">
        <v>213.5</v>
      </c>
      <c r="G1167">
        <v>530</v>
      </c>
      <c r="H1167" s="116"/>
      <c r="I1167" s="116"/>
      <c r="L1167" s="170">
        <v>43725</v>
      </c>
      <c r="M1167" s="116">
        <v>396.05</v>
      </c>
      <c r="N1167" s="116">
        <v>406.75</v>
      </c>
      <c r="O1167" s="116">
        <v>392.4</v>
      </c>
      <c r="P1167" s="116">
        <v>403</v>
      </c>
      <c r="Q1167" s="116">
        <v>396.05</v>
      </c>
      <c r="R1167">
        <v>191426</v>
      </c>
    </row>
    <row r="1168" spans="1:18" x14ac:dyDescent="0.25">
      <c r="A1168" s="170">
        <v>43727</v>
      </c>
      <c r="B1168" s="116">
        <v>3.4749185872702499</v>
      </c>
      <c r="C1168" s="116">
        <v>3.30544899345169</v>
      </c>
      <c r="D1168" s="116">
        <v>3.18349423902152</v>
      </c>
      <c r="E1168" s="116">
        <v>3.1866618949807402</v>
      </c>
      <c r="F1168" s="116">
        <v>208.7</v>
      </c>
      <c r="G1168">
        <v>3123</v>
      </c>
      <c r="H1168" s="116"/>
      <c r="I1168" s="116"/>
      <c r="L1168" s="170">
        <v>43726</v>
      </c>
      <c r="M1168" s="116">
        <v>382.35</v>
      </c>
      <c r="N1168" s="116">
        <v>400.2</v>
      </c>
      <c r="O1168" s="116">
        <v>378.25</v>
      </c>
      <c r="P1168" s="116">
        <v>399.6</v>
      </c>
      <c r="Q1168" s="116">
        <v>382.35</v>
      </c>
      <c r="R1168">
        <v>154697</v>
      </c>
    </row>
    <row r="1169" spans="1:18" x14ac:dyDescent="0.25">
      <c r="A1169" s="170">
        <v>43728</v>
      </c>
      <c r="B1169" s="116">
        <v>3.4052301561672902</v>
      </c>
      <c r="C1169" s="116">
        <v>3.3347498110745302</v>
      </c>
      <c r="D1169" s="116">
        <v>3.2484311861856399</v>
      </c>
      <c r="E1169" s="116">
        <v>3.2484311861856399</v>
      </c>
      <c r="F1169" s="116">
        <v>210.55</v>
      </c>
      <c r="G1169">
        <v>1399</v>
      </c>
      <c r="H1169" s="116"/>
      <c r="I1169" s="116"/>
      <c r="L1169" s="170">
        <v>43727</v>
      </c>
      <c r="M1169" s="116">
        <v>376.7</v>
      </c>
      <c r="N1169" s="116">
        <v>390</v>
      </c>
      <c r="O1169" s="116">
        <v>375.25</v>
      </c>
      <c r="P1169" s="116">
        <v>384.9</v>
      </c>
      <c r="Q1169" s="116">
        <v>376.7</v>
      </c>
      <c r="R1169">
        <v>190481</v>
      </c>
    </row>
    <row r="1170" spans="1:18" x14ac:dyDescent="0.25">
      <c r="A1170" s="170">
        <v>43731</v>
      </c>
      <c r="B1170" s="116">
        <v>3.4662075333823799</v>
      </c>
      <c r="C1170" s="116">
        <v>3.3814727364730999</v>
      </c>
      <c r="D1170" s="116">
        <v>3.3371255530439501</v>
      </c>
      <c r="E1170" s="116">
        <v>3.3371255530439501</v>
      </c>
      <c r="F1170" s="116">
        <v>213.5</v>
      </c>
      <c r="G1170">
        <v>1212</v>
      </c>
      <c r="H1170" s="116"/>
      <c r="I1170" s="116"/>
      <c r="L1170" s="170">
        <v>43728</v>
      </c>
      <c r="M1170" s="116">
        <v>386.7</v>
      </c>
      <c r="N1170" s="116">
        <v>398.6</v>
      </c>
      <c r="O1170" s="116">
        <v>371.6</v>
      </c>
      <c r="P1170" s="116">
        <v>379.7</v>
      </c>
      <c r="Q1170" s="116">
        <v>386.7</v>
      </c>
      <c r="R1170">
        <v>459824</v>
      </c>
    </row>
    <row r="1171" spans="1:18" x14ac:dyDescent="0.25">
      <c r="A1171" s="170">
        <v>43732</v>
      </c>
      <c r="B1171" s="116">
        <v>3.4519530815658701</v>
      </c>
      <c r="C1171" s="116">
        <v>3.3735535965750398</v>
      </c>
      <c r="D1171" s="116">
        <v>3.3735535965750398</v>
      </c>
      <c r="E1171" s="116">
        <v>3.3735535965750398</v>
      </c>
      <c r="F1171" s="116">
        <v>213</v>
      </c>
      <c r="G1171">
        <v>128</v>
      </c>
      <c r="H1171" s="116"/>
      <c r="I1171" s="116"/>
      <c r="L1171" s="170">
        <v>43731</v>
      </c>
      <c r="M1171" s="116">
        <v>405.75</v>
      </c>
      <c r="N1171" s="116">
        <v>410.9</v>
      </c>
      <c r="O1171" s="116">
        <v>390.55</v>
      </c>
      <c r="P1171" s="116">
        <v>396</v>
      </c>
      <c r="Q1171" s="116">
        <v>405.75</v>
      </c>
      <c r="R1171">
        <v>423186</v>
      </c>
    </row>
    <row r="1172" spans="1:18" x14ac:dyDescent="0.25">
      <c r="A1172" s="170">
        <v>43733</v>
      </c>
      <c r="B1172" s="116">
        <v>3.4844215551479301</v>
      </c>
      <c r="C1172" s="116">
        <v>3.24288778825699</v>
      </c>
      <c r="D1172" s="116">
        <v>2.9308736762732899</v>
      </c>
      <c r="E1172" s="116">
        <v>2.9308736762732899</v>
      </c>
      <c r="F1172" s="116">
        <v>204.75</v>
      </c>
      <c r="G1172">
        <v>2749</v>
      </c>
      <c r="H1172" s="116"/>
      <c r="I1172" s="116"/>
      <c r="L1172" s="170">
        <v>43732</v>
      </c>
      <c r="M1172" s="116">
        <v>415.75</v>
      </c>
      <c r="N1172" s="116">
        <v>419.8</v>
      </c>
      <c r="O1172" s="116">
        <v>399.55</v>
      </c>
      <c r="P1172" s="116">
        <v>404</v>
      </c>
      <c r="Q1172" s="116">
        <v>415.75</v>
      </c>
      <c r="R1172">
        <v>581711</v>
      </c>
    </row>
    <row r="1173" spans="1:18" x14ac:dyDescent="0.25">
      <c r="A1173" s="170">
        <v>43734</v>
      </c>
      <c r="B1173" s="116">
        <v>3.2563503260836999</v>
      </c>
      <c r="C1173" s="116">
        <v>3.2555584120938899</v>
      </c>
      <c r="D1173" s="116">
        <v>3.1771589271030698</v>
      </c>
      <c r="E1173" s="116">
        <v>3.1771589271030698</v>
      </c>
      <c r="F1173" s="116">
        <v>205.55</v>
      </c>
      <c r="G1173">
        <v>651</v>
      </c>
      <c r="H1173" s="116"/>
      <c r="I1173" s="116"/>
      <c r="L1173" s="170">
        <v>43733</v>
      </c>
      <c r="M1173" s="116">
        <v>412.1</v>
      </c>
      <c r="N1173" s="116">
        <v>424.7</v>
      </c>
      <c r="O1173" s="116">
        <v>410</v>
      </c>
      <c r="P1173" s="116">
        <v>417.45</v>
      </c>
      <c r="Q1173" s="116">
        <v>412.1</v>
      </c>
      <c r="R1173">
        <v>411168</v>
      </c>
    </row>
    <row r="1174" spans="1:18" x14ac:dyDescent="0.25">
      <c r="A1174" s="170">
        <v>43735</v>
      </c>
      <c r="B1174" s="116">
        <v>3.5327283085261199</v>
      </c>
      <c r="C1174" s="116">
        <v>3.32524684319685</v>
      </c>
      <c r="D1174" s="116">
        <v>3.2468473582060202</v>
      </c>
      <c r="E1174" s="116">
        <v>3.2468473582060202</v>
      </c>
      <c r="F1174" s="116">
        <v>209.95</v>
      </c>
      <c r="G1174">
        <v>4150</v>
      </c>
      <c r="H1174" s="116"/>
      <c r="I1174" s="116"/>
      <c r="L1174" s="170">
        <v>43734</v>
      </c>
      <c r="M1174" s="116">
        <v>413.9</v>
      </c>
      <c r="N1174" s="116">
        <v>416.65</v>
      </c>
      <c r="O1174" s="116">
        <v>410.05</v>
      </c>
      <c r="P1174" s="116">
        <v>415.9</v>
      </c>
      <c r="Q1174" s="116">
        <v>413.9</v>
      </c>
      <c r="R1174">
        <v>136309</v>
      </c>
    </row>
    <row r="1175" spans="1:18" x14ac:dyDescent="0.25">
      <c r="A1175" s="170">
        <v>43738</v>
      </c>
      <c r="B1175" s="116">
        <v>3.32762258516627</v>
      </c>
      <c r="C1175" s="116">
        <v>3.1842861530113198</v>
      </c>
      <c r="D1175" s="116">
        <v>3.1842861530113198</v>
      </c>
      <c r="E1175" s="116">
        <v>3.3102004773905298</v>
      </c>
      <c r="F1175" s="116">
        <v>201.05</v>
      </c>
      <c r="G1175">
        <v>1873</v>
      </c>
      <c r="H1175" s="116"/>
      <c r="I1175" s="116"/>
      <c r="L1175" s="170">
        <v>43735</v>
      </c>
      <c r="M1175" s="116">
        <v>404.45</v>
      </c>
      <c r="N1175" s="116">
        <v>413.95</v>
      </c>
      <c r="O1175" s="116">
        <v>401</v>
      </c>
      <c r="P1175" s="116">
        <v>412</v>
      </c>
      <c r="Q1175" s="116">
        <v>404.45</v>
      </c>
      <c r="R1175">
        <v>345242</v>
      </c>
    </row>
    <row r="1176" spans="1:18" x14ac:dyDescent="0.25">
      <c r="A1176" s="170">
        <v>43739</v>
      </c>
      <c r="B1176" s="116">
        <v>3.2468473582060202</v>
      </c>
      <c r="C1176" s="116">
        <v>3.2222980245220301</v>
      </c>
      <c r="D1176" s="116">
        <v>3.12806025973507</v>
      </c>
      <c r="E1176" s="116">
        <v>3.2468473582060202</v>
      </c>
      <c r="F1176" s="116">
        <v>203.45</v>
      </c>
      <c r="G1176">
        <v>2397</v>
      </c>
      <c r="H1176" s="116"/>
      <c r="I1176" s="116"/>
      <c r="L1176" s="170">
        <v>43738</v>
      </c>
      <c r="M1176" s="116">
        <v>393.25</v>
      </c>
      <c r="N1176" s="116">
        <v>403.95</v>
      </c>
      <c r="O1176" s="116">
        <v>390</v>
      </c>
      <c r="P1176" s="116">
        <v>400</v>
      </c>
      <c r="Q1176" s="116">
        <v>393.25</v>
      </c>
      <c r="R1176">
        <v>169226</v>
      </c>
    </row>
    <row r="1177" spans="1:18" x14ac:dyDescent="0.25">
      <c r="A1177" s="170">
        <v>43741</v>
      </c>
      <c r="B1177" s="116">
        <v>3.5002598349440599</v>
      </c>
      <c r="C1177" s="116">
        <v>3.1272683457452701</v>
      </c>
      <c r="D1177" s="116">
        <v>3.1233087757962301</v>
      </c>
      <c r="E1177" s="116">
        <v>3.1676559592253901</v>
      </c>
      <c r="F1177" s="116">
        <v>197.45</v>
      </c>
      <c r="G1177">
        <v>3333</v>
      </c>
      <c r="H1177" s="116"/>
      <c r="I1177" s="116"/>
      <c r="L1177" s="170">
        <v>43739</v>
      </c>
      <c r="M1177" s="116">
        <v>394.05</v>
      </c>
      <c r="N1177" s="116">
        <v>399</v>
      </c>
      <c r="O1177" s="116">
        <v>388.25</v>
      </c>
      <c r="P1177" s="116">
        <v>391.6</v>
      </c>
      <c r="Q1177" s="116">
        <v>394.05</v>
      </c>
      <c r="R1177">
        <v>181872</v>
      </c>
    </row>
    <row r="1178" spans="1:18" x14ac:dyDescent="0.25">
      <c r="A1178" s="170">
        <v>43742</v>
      </c>
      <c r="B1178" s="116">
        <v>3.4036463281876799</v>
      </c>
      <c r="C1178" s="116">
        <v>3.1328117436739098</v>
      </c>
      <c r="D1178" s="116">
        <v>3.1328117436739098</v>
      </c>
      <c r="E1178" s="116">
        <v>3.1684478732152002</v>
      </c>
      <c r="F1178" s="116">
        <v>197.8</v>
      </c>
      <c r="G1178">
        <v>1576</v>
      </c>
      <c r="H1178" s="116"/>
      <c r="I1178" s="116"/>
      <c r="L1178" s="170">
        <v>43741</v>
      </c>
      <c r="M1178" s="116">
        <v>390.15</v>
      </c>
      <c r="N1178" s="116">
        <v>397</v>
      </c>
      <c r="O1178" s="116">
        <v>385.8</v>
      </c>
      <c r="P1178" s="116">
        <v>390</v>
      </c>
      <c r="Q1178" s="116">
        <v>390.15</v>
      </c>
      <c r="R1178">
        <v>105163</v>
      </c>
    </row>
    <row r="1179" spans="1:18" x14ac:dyDescent="0.25">
      <c r="A1179" s="170">
        <v>43745</v>
      </c>
      <c r="B1179" s="116">
        <v>3.3102004773905298</v>
      </c>
      <c r="C1179" s="116">
        <v>3.1431066255413902</v>
      </c>
      <c r="D1179" s="116">
        <v>3.13914705559236</v>
      </c>
      <c r="E1179" s="116">
        <v>3.1676559592253901</v>
      </c>
      <c r="F1179" s="116">
        <v>198.45</v>
      </c>
      <c r="G1179">
        <v>2586</v>
      </c>
      <c r="H1179" s="116"/>
      <c r="I1179" s="116"/>
      <c r="L1179" s="170">
        <v>43742</v>
      </c>
      <c r="M1179" s="116">
        <v>392.95</v>
      </c>
      <c r="N1179" s="116">
        <v>397</v>
      </c>
      <c r="O1179" s="116">
        <v>390</v>
      </c>
      <c r="P1179" s="116">
        <v>392</v>
      </c>
      <c r="Q1179" s="116">
        <v>392.95</v>
      </c>
      <c r="R1179">
        <v>137583</v>
      </c>
    </row>
    <row r="1180" spans="1:18" x14ac:dyDescent="0.25">
      <c r="A1180" s="170">
        <v>43747</v>
      </c>
      <c r="B1180" s="116">
        <v>3.2753562618390499</v>
      </c>
      <c r="C1180" s="116">
        <v>3.169239787205</v>
      </c>
      <c r="D1180" s="116">
        <v>3.13677131362294</v>
      </c>
      <c r="E1180" s="116">
        <v>3.2753562618390499</v>
      </c>
      <c r="F1180" s="116">
        <v>200.1</v>
      </c>
      <c r="G1180">
        <v>2496</v>
      </c>
      <c r="H1180" s="116"/>
      <c r="I1180" s="116"/>
      <c r="L1180" s="170">
        <v>43745</v>
      </c>
      <c r="M1180" s="116">
        <v>380.25</v>
      </c>
      <c r="N1180" s="116">
        <v>394.95</v>
      </c>
      <c r="O1180" s="116">
        <v>368.5</v>
      </c>
      <c r="P1180" s="116">
        <v>393</v>
      </c>
      <c r="Q1180" s="116">
        <v>380.25</v>
      </c>
      <c r="R1180">
        <v>1140672</v>
      </c>
    </row>
    <row r="1181" spans="1:18" x14ac:dyDescent="0.25">
      <c r="A1181" s="170">
        <v>43748</v>
      </c>
      <c r="B1181" s="116">
        <v>3.4844215551479301</v>
      </c>
      <c r="C1181" s="116">
        <v>3.2262575944710599</v>
      </c>
      <c r="D1181" s="116">
        <v>3.0726262804486302</v>
      </c>
      <c r="E1181" s="116">
        <v>3.13677131362294</v>
      </c>
      <c r="F1181" s="116">
        <v>203.7</v>
      </c>
      <c r="G1181">
        <v>5994</v>
      </c>
      <c r="H1181" s="116"/>
      <c r="I1181" s="116"/>
      <c r="L1181" s="170">
        <v>43747</v>
      </c>
      <c r="M1181" s="116">
        <v>391</v>
      </c>
      <c r="N1181" s="116">
        <v>393.95</v>
      </c>
      <c r="O1181" s="116">
        <v>376.55</v>
      </c>
      <c r="P1181" s="116">
        <v>379</v>
      </c>
      <c r="Q1181" s="116">
        <v>391</v>
      </c>
      <c r="R1181">
        <v>131502</v>
      </c>
    </row>
    <row r="1182" spans="1:18" x14ac:dyDescent="0.25">
      <c r="A1182" s="170">
        <v>43749</v>
      </c>
      <c r="B1182" s="116">
        <v>3.3102004773905298</v>
      </c>
      <c r="C1182" s="116">
        <v>3.12093303382682</v>
      </c>
      <c r="D1182" s="116">
        <v>3.10984623796953</v>
      </c>
      <c r="E1182" s="116">
        <v>3.3102004773905298</v>
      </c>
      <c r="F1182" s="116">
        <v>197.05</v>
      </c>
      <c r="G1182">
        <v>3718</v>
      </c>
      <c r="H1182" s="116"/>
      <c r="I1182" s="116"/>
      <c r="L1182" s="170">
        <v>43748</v>
      </c>
      <c r="M1182" s="116">
        <v>389.25</v>
      </c>
      <c r="N1182" s="116">
        <v>400.9</v>
      </c>
      <c r="O1182" s="116">
        <v>386</v>
      </c>
      <c r="P1182" s="116">
        <v>386</v>
      </c>
      <c r="Q1182" s="116">
        <v>389.25</v>
      </c>
      <c r="R1182">
        <v>198015</v>
      </c>
    </row>
    <row r="1183" spans="1:18" x14ac:dyDescent="0.25">
      <c r="A1183" s="170">
        <v>43752</v>
      </c>
      <c r="B1183" s="116">
        <v>3.2943621975944102</v>
      </c>
      <c r="C1183" s="116">
        <v>3.2294252504302801</v>
      </c>
      <c r="D1183" s="116">
        <v>3.1383551416025499</v>
      </c>
      <c r="E1183" s="116">
        <v>3.1684478732152002</v>
      </c>
      <c r="F1183" s="116">
        <v>203.9</v>
      </c>
      <c r="G1183">
        <v>3387</v>
      </c>
      <c r="H1183" s="116"/>
      <c r="I1183" s="116"/>
      <c r="L1183" s="170">
        <v>43749</v>
      </c>
      <c r="M1183" s="116">
        <v>384.3</v>
      </c>
      <c r="N1183" s="116">
        <v>398.9</v>
      </c>
      <c r="O1183" s="116">
        <v>382.5</v>
      </c>
      <c r="P1183" s="116">
        <v>391</v>
      </c>
      <c r="Q1183" s="116">
        <v>384.3</v>
      </c>
      <c r="R1183">
        <v>148001</v>
      </c>
    </row>
    <row r="1184" spans="1:18" x14ac:dyDescent="0.25">
      <c r="A1184" s="170">
        <v>43753</v>
      </c>
      <c r="B1184" s="116">
        <v>3.25476649810409</v>
      </c>
      <c r="C1184" s="116">
        <v>3.2159627126035799</v>
      </c>
      <c r="D1184" s="116">
        <v>3.2151707986137699</v>
      </c>
      <c r="E1184" s="116">
        <v>3.2294252504302801</v>
      </c>
      <c r="F1184" s="116">
        <v>203.05</v>
      </c>
      <c r="G1184">
        <v>1119</v>
      </c>
      <c r="H1184" s="116"/>
      <c r="I1184" s="116"/>
      <c r="L1184" s="170">
        <v>43752</v>
      </c>
      <c r="M1184" s="116">
        <v>382.25</v>
      </c>
      <c r="N1184" s="116">
        <v>388.45</v>
      </c>
      <c r="O1184" s="116">
        <v>379</v>
      </c>
      <c r="P1184" s="116">
        <v>384.9</v>
      </c>
      <c r="Q1184" s="116">
        <v>382.25</v>
      </c>
      <c r="R1184">
        <v>161594</v>
      </c>
    </row>
    <row r="1185" spans="1:18" x14ac:dyDescent="0.25">
      <c r="A1185" s="170">
        <v>43754</v>
      </c>
      <c r="B1185" s="116">
        <v>3.3006975095128599</v>
      </c>
      <c r="C1185" s="116">
        <v>3.1043028400408801</v>
      </c>
      <c r="D1185" s="116">
        <v>3.0908403022141702</v>
      </c>
      <c r="E1185" s="116">
        <v>3.2167546265933802</v>
      </c>
      <c r="F1185" s="116">
        <v>196</v>
      </c>
      <c r="G1185">
        <v>6437</v>
      </c>
      <c r="H1185" s="116"/>
      <c r="I1185" s="116"/>
      <c r="L1185" s="170">
        <v>43753</v>
      </c>
      <c r="M1185" s="116">
        <v>382.55</v>
      </c>
      <c r="N1185" s="116">
        <v>386.9</v>
      </c>
      <c r="O1185" s="116">
        <v>380.6</v>
      </c>
      <c r="P1185" s="116">
        <v>382.6</v>
      </c>
      <c r="Q1185" s="116">
        <v>382.55</v>
      </c>
      <c r="R1185">
        <v>143749</v>
      </c>
    </row>
    <row r="1186" spans="1:18" x14ac:dyDescent="0.25">
      <c r="A1186" s="170">
        <v>43755</v>
      </c>
      <c r="B1186" s="116">
        <v>3.48362964115812</v>
      </c>
      <c r="C1186" s="116">
        <v>3.1359793996331402</v>
      </c>
      <c r="D1186" s="116">
        <v>3.1043028400408801</v>
      </c>
      <c r="E1186" s="116">
        <v>3.4527449955556699</v>
      </c>
      <c r="F1186" s="116">
        <v>198</v>
      </c>
      <c r="G1186">
        <v>2156</v>
      </c>
      <c r="H1186" s="116"/>
      <c r="I1186" s="116"/>
      <c r="L1186" s="170">
        <v>43754</v>
      </c>
      <c r="M1186" s="116">
        <v>385.05</v>
      </c>
      <c r="N1186" s="116">
        <v>396.9</v>
      </c>
      <c r="O1186" s="116">
        <v>383.75</v>
      </c>
      <c r="P1186" s="116">
        <v>386.35</v>
      </c>
      <c r="Q1186" s="116">
        <v>385.05</v>
      </c>
      <c r="R1186">
        <v>198403</v>
      </c>
    </row>
    <row r="1187" spans="1:18" x14ac:dyDescent="0.25">
      <c r="A1187" s="170">
        <v>43756</v>
      </c>
      <c r="B1187" s="116">
        <v>3.34662852092162</v>
      </c>
      <c r="C1187" s="116">
        <v>3.1827023250317099</v>
      </c>
      <c r="D1187" s="116">
        <v>3.1296440877146798</v>
      </c>
      <c r="E1187" s="116">
        <v>3.34662852092162</v>
      </c>
      <c r="F1187" s="116">
        <v>200.95</v>
      </c>
      <c r="G1187">
        <v>1472</v>
      </c>
      <c r="H1187" s="116"/>
      <c r="I1187" s="116"/>
      <c r="L1187" s="170">
        <v>43755</v>
      </c>
      <c r="M1187" s="116">
        <v>385.4</v>
      </c>
      <c r="N1187" s="116">
        <v>388.75</v>
      </c>
      <c r="O1187" s="116">
        <v>384.15</v>
      </c>
      <c r="P1187" s="116">
        <v>385.1</v>
      </c>
      <c r="Q1187" s="116">
        <v>385.4</v>
      </c>
      <c r="R1187">
        <v>162344</v>
      </c>
    </row>
    <row r="1188" spans="1:18" x14ac:dyDescent="0.25">
      <c r="A1188" s="170">
        <v>43760</v>
      </c>
      <c r="B1188" s="116">
        <v>3.2468473582060202</v>
      </c>
      <c r="C1188" s="116">
        <v>3.1518176794292598</v>
      </c>
      <c r="D1188" s="116">
        <v>3.1375632276127501</v>
      </c>
      <c r="E1188" s="116">
        <v>3.1375632276127501</v>
      </c>
      <c r="F1188" s="116">
        <v>199</v>
      </c>
      <c r="G1188">
        <v>1207</v>
      </c>
      <c r="H1188" s="116"/>
      <c r="I1188" s="116"/>
      <c r="L1188" s="170">
        <v>43756</v>
      </c>
      <c r="M1188" s="116">
        <v>402</v>
      </c>
      <c r="N1188" s="116">
        <v>405.9</v>
      </c>
      <c r="O1188" s="116">
        <v>386.05</v>
      </c>
      <c r="P1188" s="116">
        <v>386.8</v>
      </c>
      <c r="Q1188" s="116">
        <v>402</v>
      </c>
      <c r="R1188">
        <v>360080</v>
      </c>
    </row>
    <row r="1189" spans="1:18" x14ac:dyDescent="0.25">
      <c r="A1189" s="170">
        <v>43761</v>
      </c>
      <c r="B1189" s="116">
        <v>3.1438985395311998</v>
      </c>
      <c r="C1189" s="116">
        <v>3.0805454203466902</v>
      </c>
      <c r="D1189" s="116">
        <v>2.96255023586555</v>
      </c>
      <c r="E1189" s="116">
        <v>3.1438985395311998</v>
      </c>
      <c r="F1189" s="116">
        <v>194.5</v>
      </c>
      <c r="G1189">
        <v>2543</v>
      </c>
      <c r="H1189" s="116"/>
      <c r="I1189" s="116"/>
      <c r="L1189" s="170">
        <v>43760</v>
      </c>
      <c r="M1189" s="116">
        <v>395.8</v>
      </c>
      <c r="N1189" s="116">
        <v>403</v>
      </c>
      <c r="O1189" s="116">
        <v>391.45</v>
      </c>
      <c r="P1189" s="116">
        <v>393.1</v>
      </c>
      <c r="Q1189" s="116">
        <v>395.8</v>
      </c>
      <c r="R1189">
        <v>194725</v>
      </c>
    </row>
    <row r="1190" spans="1:18" x14ac:dyDescent="0.25">
      <c r="A1190" s="170">
        <v>43762</v>
      </c>
      <c r="B1190" s="116">
        <v>3.2468473582060202</v>
      </c>
      <c r="C1190" s="116">
        <v>3.0916322162039802</v>
      </c>
      <c r="D1190" s="116">
        <v>3.0884645602447498</v>
      </c>
      <c r="E1190" s="116">
        <v>3.0884645602447498</v>
      </c>
      <c r="F1190" s="116">
        <v>195.2</v>
      </c>
      <c r="G1190">
        <v>359</v>
      </c>
      <c r="H1190" s="116"/>
      <c r="I1190" s="116"/>
      <c r="L1190" s="170">
        <v>43761</v>
      </c>
      <c r="M1190" s="116">
        <v>388.1</v>
      </c>
      <c r="N1190" s="116">
        <v>398.8</v>
      </c>
      <c r="O1190" s="116">
        <v>386.5</v>
      </c>
      <c r="P1190" s="116">
        <v>393.7</v>
      </c>
      <c r="Q1190" s="116">
        <v>388.1</v>
      </c>
      <c r="R1190">
        <v>137529</v>
      </c>
    </row>
    <row r="1191" spans="1:18" x14ac:dyDescent="0.25">
      <c r="A1191" s="170">
        <v>43763</v>
      </c>
      <c r="B1191" s="116">
        <v>3.1937891208889999</v>
      </c>
      <c r="C1191" s="116">
        <v>3.19141337891958</v>
      </c>
      <c r="D1191" s="116">
        <v>3.0425335488359901</v>
      </c>
      <c r="E1191" s="116">
        <v>3.0916322162039802</v>
      </c>
      <c r="F1191" s="116">
        <v>201.5</v>
      </c>
      <c r="G1191">
        <v>641</v>
      </c>
      <c r="H1191" s="116"/>
      <c r="I1191" s="116"/>
      <c r="L1191" s="170">
        <v>43762</v>
      </c>
      <c r="M1191" s="116">
        <v>386</v>
      </c>
      <c r="N1191" s="116">
        <v>393.5</v>
      </c>
      <c r="O1191" s="116">
        <v>385</v>
      </c>
      <c r="P1191" s="116">
        <v>390</v>
      </c>
      <c r="Q1191" s="116">
        <v>386</v>
      </c>
      <c r="R1191">
        <v>92135</v>
      </c>
    </row>
    <row r="1192" spans="1:18" x14ac:dyDescent="0.25">
      <c r="A1192" s="170">
        <v>43765</v>
      </c>
      <c r="B1192" s="116">
        <v>3.4044382421774899</v>
      </c>
      <c r="C1192" s="116">
        <v>3.3244549292070502</v>
      </c>
      <c r="D1192" s="116">
        <v>3.0963837001428201</v>
      </c>
      <c r="E1192" s="116">
        <v>3.0963837001428201</v>
      </c>
      <c r="F1192" s="116">
        <v>209.9</v>
      </c>
      <c r="G1192">
        <v>30</v>
      </c>
      <c r="H1192" s="116"/>
      <c r="I1192" s="116"/>
      <c r="L1192" s="170">
        <v>43763</v>
      </c>
      <c r="M1192" s="116">
        <v>395.2</v>
      </c>
      <c r="N1192" s="116">
        <v>410.3</v>
      </c>
      <c r="O1192" s="116">
        <v>385.15</v>
      </c>
      <c r="P1192" s="116">
        <v>386.4</v>
      </c>
      <c r="Q1192" s="116">
        <v>395.2</v>
      </c>
      <c r="R1192">
        <v>358132</v>
      </c>
    </row>
    <row r="1193" spans="1:18" x14ac:dyDescent="0.25">
      <c r="A1193" s="170">
        <v>43767</v>
      </c>
      <c r="B1193" s="116">
        <v>3.4527449955556699</v>
      </c>
      <c r="C1193" s="116">
        <v>3.2626856380021501</v>
      </c>
      <c r="D1193" s="116">
        <v>3.2626856380021501</v>
      </c>
      <c r="E1193" s="116">
        <v>3.4527449955556699</v>
      </c>
      <c r="F1193" s="116">
        <v>206</v>
      </c>
      <c r="G1193">
        <v>320</v>
      </c>
      <c r="H1193" s="116"/>
      <c r="I1193" s="116"/>
      <c r="L1193" s="170">
        <v>43765</v>
      </c>
      <c r="M1193" s="116">
        <v>405.2</v>
      </c>
      <c r="N1193" s="116">
        <v>410</v>
      </c>
      <c r="O1193" s="116">
        <v>392</v>
      </c>
      <c r="P1193" s="116">
        <v>392</v>
      </c>
      <c r="Q1193" s="116">
        <v>405.2</v>
      </c>
      <c r="R1193">
        <v>214640</v>
      </c>
    </row>
    <row r="1194" spans="1:18" x14ac:dyDescent="0.25">
      <c r="A1194" s="170">
        <v>43768</v>
      </c>
      <c r="B1194" s="116">
        <v>3.8019790650602698</v>
      </c>
      <c r="C1194" s="116">
        <v>3.61271162149656</v>
      </c>
      <c r="D1194" s="116">
        <v>3.3102004773905298</v>
      </c>
      <c r="E1194" s="116">
        <v>3.3102004773905298</v>
      </c>
      <c r="F1194" s="116">
        <v>228.1</v>
      </c>
      <c r="G1194">
        <v>8373</v>
      </c>
      <c r="H1194" s="116"/>
      <c r="I1194" s="116"/>
      <c r="L1194" s="170">
        <v>43767</v>
      </c>
      <c r="M1194" s="116">
        <v>396.85</v>
      </c>
      <c r="N1194" s="116">
        <v>405</v>
      </c>
      <c r="O1194" s="116">
        <v>394.3</v>
      </c>
      <c r="P1194" s="116">
        <v>402</v>
      </c>
      <c r="Q1194" s="116">
        <v>396.85</v>
      </c>
      <c r="R1194">
        <v>137526</v>
      </c>
    </row>
    <row r="1195" spans="1:18" x14ac:dyDescent="0.25">
      <c r="A1195" s="170">
        <v>43769</v>
      </c>
      <c r="B1195" s="116">
        <v>3.7212038381000299</v>
      </c>
      <c r="C1195" s="116">
        <v>3.5968733417004302</v>
      </c>
      <c r="D1195" s="116">
        <v>3.4844215551479301</v>
      </c>
      <c r="E1195" s="116">
        <v>3.6190469334150102</v>
      </c>
      <c r="F1195" s="116">
        <v>227.1</v>
      </c>
      <c r="G1195">
        <v>3884</v>
      </c>
      <c r="H1195" s="116"/>
      <c r="I1195" s="116"/>
      <c r="L1195" s="170">
        <v>43768</v>
      </c>
      <c r="M1195" s="116">
        <v>394.55</v>
      </c>
      <c r="N1195" s="116">
        <v>402</v>
      </c>
      <c r="O1195" s="116">
        <v>392.8</v>
      </c>
      <c r="P1195" s="116">
        <v>397.15</v>
      </c>
      <c r="Q1195" s="116">
        <v>394.55</v>
      </c>
      <c r="R1195">
        <v>122641</v>
      </c>
    </row>
    <row r="1196" spans="1:18" x14ac:dyDescent="0.25">
      <c r="A1196" s="170">
        <v>43770</v>
      </c>
      <c r="B1196" s="116">
        <v>3.7687186774884101</v>
      </c>
      <c r="C1196" s="116">
        <v>3.6269660733130702</v>
      </c>
      <c r="D1196" s="116">
        <v>3.3434608649623998</v>
      </c>
      <c r="E1196" s="116">
        <v>3.3434608649623998</v>
      </c>
      <c r="F1196" s="116">
        <v>229</v>
      </c>
      <c r="G1196">
        <v>459</v>
      </c>
      <c r="H1196" s="116"/>
      <c r="I1196" s="116"/>
      <c r="L1196" s="170">
        <v>43769</v>
      </c>
      <c r="M1196" s="116">
        <v>394.8</v>
      </c>
      <c r="N1196" s="116">
        <v>406.6</v>
      </c>
      <c r="O1196" s="116">
        <v>390.05</v>
      </c>
      <c r="P1196" s="116">
        <v>395.55</v>
      </c>
      <c r="Q1196" s="116">
        <v>394.8</v>
      </c>
      <c r="R1196">
        <v>378915</v>
      </c>
    </row>
    <row r="1197" spans="1:18" x14ac:dyDescent="0.25">
      <c r="A1197" s="170">
        <v>43773</v>
      </c>
      <c r="B1197" s="116">
        <v>3.8566211303569098</v>
      </c>
      <c r="C1197" s="116">
        <v>3.7212038381000299</v>
      </c>
      <c r="D1197" s="116">
        <v>3.6348852132111298</v>
      </c>
      <c r="E1197" s="116">
        <v>3.8566211303569098</v>
      </c>
      <c r="F1197" s="116">
        <v>234.95</v>
      </c>
      <c r="G1197">
        <v>864</v>
      </c>
      <c r="H1197" s="116"/>
      <c r="I1197" s="116"/>
      <c r="L1197" s="170">
        <v>43770</v>
      </c>
      <c r="M1197" s="116">
        <v>405.55</v>
      </c>
      <c r="N1197" s="116">
        <v>409.7</v>
      </c>
      <c r="O1197" s="116">
        <v>394.5</v>
      </c>
      <c r="P1197" s="116">
        <v>396</v>
      </c>
      <c r="Q1197" s="116">
        <v>405.55</v>
      </c>
      <c r="R1197">
        <v>394654</v>
      </c>
    </row>
    <row r="1198" spans="1:18" x14ac:dyDescent="0.25">
      <c r="A1198" s="170">
        <v>43774</v>
      </c>
      <c r="B1198" s="116">
        <v>3.7964356671316302</v>
      </c>
      <c r="C1198" s="116">
        <v>3.6507234930072601</v>
      </c>
      <c r="D1198" s="116">
        <v>3.5636129541285602</v>
      </c>
      <c r="E1198" s="116">
        <v>3.5636129541285602</v>
      </c>
      <c r="F1198" s="116">
        <v>230.5</v>
      </c>
      <c r="G1198">
        <v>1272</v>
      </c>
      <c r="H1198" s="116"/>
      <c r="I1198" s="116"/>
      <c r="L1198" s="170">
        <v>43773</v>
      </c>
      <c r="M1198" s="116">
        <v>426.3</v>
      </c>
      <c r="N1198" s="116">
        <v>433</v>
      </c>
      <c r="O1198" s="116">
        <v>398.05</v>
      </c>
      <c r="P1198" s="116">
        <v>408.5</v>
      </c>
      <c r="Q1198" s="116">
        <v>426.3</v>
      </c>
      <c r="R1198">
        <v>1983433</v>
      </c>
    </row>
    <row r="1199" spans="1:18" x14ac:dyDescent="0.25">
      <c r="A1199" s="170">
        <v>43775</v>
      </c>
      <c r="B1199" s="116">
        <v>3.80118715107047</v>
      </c>
      <c r="C1199" s="116">
        <v>3.7695105914782099</v>
      </c>
      <c r="D1199" s="116">
        <v>3.6982383323956398</v>
      </c>
      <c r="E1199" s="116">
        <v>3.6982383323956398</v>
      </c>
      <c r="F1199" s="116">
        <v>238</v>
      </c>
      <c r="G1199">
        <v>2925</v>
      </c>
      <c r="H1199" s="116"/>
      <c r="I1199" s="116"/>
      <c r="L1199" s="170">
        <v>43774</v>
      </c>
      <c r="M1199" s="116">
        <v>417.35</v>
      </c>
      <c r="N1199" s="116">
        <v>433.7</v>
      </c>
      <c r="O1199" s="116">
        <v>411.2</v>
      </c>
      <c r="P1199" s="116">
        <v>431</v>
      </c>
      <c r="Q1199" s="116">
        <v>417.35</v>
      </c>
      <c r="R1199">
        <v>644380</v>
      </c>
    </row>
    <row r="1200" spans="1:18" x14ac:dyDescent="0.25">
      <c r="A1200" s="170">
        <v>43776</v>
      </c>
      <c r="B1200" s="116">
        <v>3.80039523708066</v>
      </c>
      <c r="C1200" s="116">
        <v>3.6546830629562899</v>
      </c>
      <c r="D1200" s="116">
        <v>3.57945123392469</v>
      </c>
      <c r="E1200" s="116">
        <v>3.6428043531092</v>
      </c>
      <c r="F1200" s="116">
        <v>230.75</v>
      </c>
      <c r="G1200">
        <v>2076</v>
      </c>
      <c r="H1200" s="116"/>
      <c r="I1200" s="116"/>
      <c r="L1200" s="170">
        <v>43775</v>
      </c>
      <c r="M1200" s="116">
        <v>411.35</v>
      </c>
      <c r="N1200" s="116">
        <v>420.25</v>
      </c>
      <c r="O1200" s="116">
        <v>410</v>
      </c>
      <c r="P1200" s="116">
        <v>416.3</v>
      </c>
      <c r="Q1200" s="116">
        <v>411.35</v>
      </c>
      <c r="R1200">
        <v>223363</v>
      </c>
    </row>
    <row r="1201" spans="1:18" x14ac:dyDescent="0.25">
      <c r="A1201" s="170">
        <v>43777</v>
      </c>
      <c r="B1201" s="116">
        <v>3.7996033230908499</v>
      </c>
      <c r="C1201" s="116">
        <v>3.7853488712743402</v>
      </c>
      <c r="D1201" s="116">
        <v>3.6744809127014499</v>
      </c>
      <c r="E1201" s="116">
        <v>3.7932680111724002</v>
      </c>
      <c r="F1201" s="116">
        <v>239</v>
      </c>
      <c r="G1201">
        <v>453</v>
      </c>
      <c r="H1201" s="116"/>
      <c r="I1201" s="116"/>
      <c r="L1201" s="170">
        <v>43776</v>
      </c>
      <c r="M1201" s="116">
        <v>408.6</v>
      </c>
      <c r="N1201" s="116">
        <v>423.7</v>
      </c>
      <c r="O1201" s="116">
        <v>407.1</v>
      </c>
      <c r="P1201" s="116">
        <v>415.2</v>
      </c>
      <c r="Q1201" s="116">
        <v>408.6</v>
      </c>
      <c r="R1201">
        <v>330004</v>
      </c>
    </row>
    <row r="1202" spans="1:18" x14ac:dyDescent="0.25">
      <c r="A1202" s="170">
        <v>43780</v>
      </c>
      <c r="B1202" s="116">
        <v>3.7362502039063501</v>
      </c>
      <c r="C1202" s="116">
        <v>3.6744809127014499</v>
      </c>
      <c r="D1202" s="116">
        <v>3.6507234930072601</v>
      </c>
      <c r="E1202" s="116">
        <v>3.6586426329053299</v>
      </c>
      <c r="F1202" s="116">
        <v>232</v>
      </c>
      <c r="G1202">
        <v>978</v>
      </c>
      <c r="H1202" s="116"/>
      <c r="I1202" s="116"/>
      <c r="L1202" s="170">
        <v>43777</v>
      </c>
      <c r="M1202" s="116">
        <v>401.95</v>
      </c>
      <c r="N1202" s="116">
        <v>413.75</v>
      </c>
      <c r="O1202" s="116">
        <v>400.75</v>
      </c>
      <c r="P1202" s="116">
        <v>410</v>
      </c>
      <c r="Q1202" s="116">
        <v>401.95</v>
      </c>
      <c r="R1202">
        <v>292005</v>
      </c>
    </row>
    <row r="1203" spans="1:18" x14ac:dyDescent="0.25">
      <c r="A1203" s="170">
        <v>43782</v>
      </c>
      <c r="B1203" s="116">
        <v>3.6744809127014499</v>
      </c>
      <c r="C1203" s="116">
        <v>3.6428043531092</v>
      </c>
      <c r="D1203" s="116">
        <v>3.6111277935169399</v>
      </c>
      <c r="E1203" s="116">
        <v>3.6744809127014499</v>
      </c>
      <c r="F1203" s="116">
        <v>230</v>
      </c>
      <c r="G1203">
        <v>1478</v>
      </c>
      <c r="H1203" s="116"/>
      <c r="I1203" s="116"/>
      <c r="L1203" s="170">
        <v>43780</v>
      </c>
      <c r="M1203" s="116">
        <v>394.6</v>
      </c>
      <c r="N1203" s="116">
        <v>405.75</v>
      </c>
      <c r="O1203" s="116">
        <v>391.8</v>
      </c>
      <c r="P1203" s="116">
        <v>402</v>
      </c>
      <c r="Q1203" s="116">
        <v>394.6</v>
      </c>
      <c r="R1203">
        <v>172570</v>
      </c>
    </row>
    <row r="1204" spans="1:18" x14ac:dyDescent="0.25">
      <c r="A1204" s="170">
        <v>43783</v>
      </c>
      <c r="B1204" s="116">
        <v>3.7204119241102198</v>
      </c>
      <c r="C1204" s="116">
        <v>3.64201243911939</v>
      </c>
      <c r="D1204" s="116">
        <v>3.51609811474018</v>
      </c>
      <c r="E1204" s="116">
        <v>3.6285499012926801</v>
      </c>
      <c r="F1204" s="116">
        <v>229.95</v>
      </c>
      <c r="G1204">
        <v>1579</v>
      </c>
      <c r="H1204" s="116"/>
      <c r="I1204" s="116"/>
      <c r="L1204" s="170">
        <v>43782</v>
      </c>
      <c r="M1204" s="116">
        <v>380.5</v>
      </c>
      <c r="N1204" s="116">
        <v>395.9</v>
      </c>
      <c r="O1204" s="116">
        <v>376.25</v>
      </c>
      <c r="P1204" s="116">
        <v>394.9</v>
      </c>
      <c r="Q1204" s="116">
        <v>380.5</v>
      </c>
      <c r="R1204">
        <v>173022</v>
      </c>
    </row>
    <row r="1205" spans="1:18" x14ac:dyDescent="0.25">
      <c r="A1205" s="170">
        <v>43784</v>
      </c>
      <c r="B1205" s="116">
        <v>3.7520884837024702</v>
      </c>
      <c r="C1205" s="116">
        <v>3.57945123392469</v>
      </c>
      <c r="D1205" s="116">
        <v>3.4717509313110302</v>
      </c>
      <c r="E1205" s="116">
        <v>3.4717509313110302</v>
      </c>
      <c r="F1205" s="116">
        <v>226</v>
      </c>
      <c r="G1205">
        <v>298</v>
      </c>
      <c r="H1205" s="116"/>
      <c r="I1205" s="116"/>
      <c r="L1205" s="170">
        <v>43783</v>
      </c>
      <c r="M1205" s="116">
        <v>378.6</v>
      </c>
      <c r="N1205" s="116">
        <v>384.9</v>
      </c>
      <c r="O1205" s="116">
        <v>376.5</v>
      </c>
      <c r="P1205" s="116">
        <v>381</v>
      </c>
      <c r="Q1205" s="116">
        <v>378.6</v>
      </c>
      <c r="R1205">
        <v>145342</v>
      </c>
    </row>
    <row r="1206" spans="1:18" x14ac:dyDescent="0.25">
      <c r="A1206" s="170">
        <v>43787</v>
      </c>
      <c r="B1206" s="116">
        <v>3.6428043531092</v>
      </c>
      <c r="C1206" s="116">
        <v>3.6428043531092</v>
      </c>
      <c r="D1206" s="116">
        <v>3.4052301561672902</v>
      </c>
      <c r="E1206" s="116">
        <v>3.4369067157595499</v>
      </c>
      <c r="F1206" s="116">
        <v>230</v>
      </c>
      <c r="G1206">
        <v>1309</v>
      </c>
      <c r="H1206" s="116"/>
      <c r="I1206" s="116"/>
      <c r="L1206" s="170">
        <v>43784</v>
      </c>
      <c r="M1206" s="116">
        <v>385.1</v>
      </c>
      <c r="N1206" s="116">
        <v>389</v>
      </c>
      <c r="O1206" s="116">
        <v>378.05</v>
      </c>
      <c r="P1206" s="116">
        <v>379.95</v>
      </c>
      <c r="Q1206" s="116">
        <v>385.1</v>
      </c>
      <c r="R1206">
        <v>186620</v>
      </c>
    </row>
    <row r="1207" spans="1:18" x14ac:dyDescent="0.25">
      <c r="A1207" s="170">
        <v>43788</v>
      </c>
      <c r="B1207" s="116">
        <v>3.8328637106627199</v>
      </c>
      <c r="C1207" s="116">
        <v>3.8328637106627199</v>
      </c>
      <c r="D1207" s="116">
        <v>3.5327283085261199</v>
      </c>
      <c r="E1207" s="116">
        <v>3.5327283085261199</v>
      </c>
      <c r="F1207" s="116">
        <v>242</v>
      </c>
      <c r="G1207">
        <v>1544</v>
      </c>
      <c r="H1207" s="116"/>
      <c r="I1207" s="116"/>
      <c r="L1207" s="170">
        <v>43787</v>
      </c>
      <c r="M1207" s="116">
        <v>384</v>
      </c>
      <c r="N1207" s="116">
        <v>388.9</v>
      </c>
      <c r="O1207" s="116">
        <v>378.8</v>
      </c>
      <c r="P1207" s="116">
        <v>380.05</v>
      </c>
      <c r="Q1207" s="116">
        <v>384</v>
      </c>
      <c r="R1207">
        <v>156182</v>
      </c>
    </row>
    <row r="1208" spans="1:18" x14ac:dyDescent="0.25">
      <c r="A1208" s="170">
        <v>43789</v>
      </c>
      <c r="B1208" s="116">
        <v>3.92630956145987</v>
      </c>
      <c r="C1208" s="116">
        <v>3.8954249158574199</v>
      </c>
      <c r="D1208" s="116">
        <v>3.80118715107047</v>
      </c>
      <c r="E1208" s="116">
        <v>3.80118715107047</v>
      </c>
      <c r="F1208" s="116">
        <v>245.95</v>
      </c>
      <c r="G1208">
        <v>17076</v>
      </c>
      <c r="H1208" s="116"/>
      <c r="I1208" s="116"/>
      <c r="L1208" s="170">
        <v>43788</v>
      </c>
      <c r="M1208" s="116">
        <v>393.9</v>
      </c>
      <c r="N1208" s="116">
        <v>409.85</v>
      </c>
      <c r="O1208" s="116">
        <v>382</v>
      </c>
      <c r="P1208" s="116">
        <v>383.25</v>
      </c>
      <c r="Q1208" s="116">
        <v>393.9</v>
      </c>
      <c r="R1208">
        <v>874070</v>
      </c>
    </row>
    <row r="1209" spans="1:18" x14ac:dyDescent="0.25">
      <c r="A1209" s="170">
        <v>43790</v>
      </c>
      <c r="B1209" s="116">
        <v>3.95956994903174</v>
      </c>
      <c r="C1209" s="116">
        <v>3.8328637106627199</v>
      </c>
      <c r="D1209" s="116">
        <v>3.80118715107047</v>
      </c>
      <c r="E1209" s="116">
        <v>3.8344475386423298</v>
      </c>
      <c r="F1209" s="116">
        <v>242</v>
      </c>
      <c r="G1209">
        <v>26711</v>
      </c>
      <c r="H1209" s="116"/>
      <c r="I1209" s="116"/>
      <c r="L1209" s="170">
        <v>43789</v>
      </c>
      <c r="M1209" s="116">
        <v>395.9</v>
      </c>
      <c r="N1209" s="116">
        <v>405</v>
      </c>
      <c r="O1209" s="116">
        <v>394</v>
      </c>
      <c r="P1209" s="116">
        <v>394.45</v>
      </c>
      <c r="Q1209" s="116">
        <v>395.9</v>
      </c>
      <c r="R1209">
        <v>245151</v>
      </c>
    </row>
    <row r="1210" spans="1:18" x14ac:dyDescent="0.25">
      <c r="A1210" s="170">
        <v>43791</v>
      </c>
      <c r="B1210" s="116">
        <v>3.9278933894394799</v>
      </c>
      <c r="C1210" s="116">
        <v>3.7695105914782099</v>
      </c>
      <c r="D1210" s="116">
        <v>3.5636129541285602</v>
      </c>
      <c r="E1210" s="116">
        <v>3.5644048681183702</v>
      </c>
      <c r="F1210" s="116">
        <v>238</v>
      </c>
      <c r="G1210">
        <v>1087</v>
      </c>
      <c r="H1210" s="116"/>
      <c r="I1210" s="116"/>
      <c r="L1210" s="170">
        <v>43790</v>
      </c>
      <c r="M1210" s="116">
        <v>396.75</v>
      </c>
      <c r="N1210" s="116">
        <v>401.9</v>
      </c>
      <c r="O1210" s="116">
        <v>393.1</v>
      </c>
      <c r="P1210" s="116">
        <v>394.2</v>
      </c>
      <c r="Q1210" s="116">
        <v>396.75</v>
      </c>
      <c r="R1210">
        <v>150312</v>
      </c>
    </row>
    <row r="1211" spans="1:18" x14ac:dyDescent="0.25">
      <c r="A1211" s="170">
        <v>43794</v>
      </c>
      <c r="B1211" s="116">
        <v>3.9468993251948401</v>
      </c>
      <c r="C1211" s="116">
        <v>3.8328637106627199</v>
      </c>
      <c r="D1211" s="116">
        <v>3.8328637106627199</v>
      </c>
      <c r="E1211" s="116">
        <v>3.9468993251948401</v>
      </c>
      <c r="F1211" s="116">
        <v>242</v>
      </c>
      <c r="G1211">
        <v>3347</v>
      </c>
      <c r="H1211" s="116"/>
      <c r="I1211" s="116"/>
      <c r="L1211" s="170">
        <v>43791</v>
      </c>
      <c r="M1211" s="116">
        <v>392.8</v>
      </c>
      <c r="N1211" s="116">
        <v>407.7</v>
      </c>
      <c r="O1211" s="116">
        <v>390.35</v>
      </c>
      <c r="P1211" s="116">
        <v>397.25</v>
      </c>
      <c r="Q1211" s="116">
        <v>392.8</v>
      </c>
      <c r="R1211">
        <v>447394</v>
      </c>
    </row>
    <row r="1212" spans="1:18" x14ac:dyDescent="0.25">
      <c r="A1212" s="170">
        <v>43795</v>
      </c>
      <c r="B1212" s="116">
        <v>3.92710147544968</v>
      </c>
      <c r="C1212" s="116">
        <v>3.92314190550064</v>
      </c>
      <c r="D1212" s="116">
        <v>3.80118715107047</v>
      </c>
      <c r="E1212" s="116">
        <v>3.80118715107047</v>
      </c>
      <c r="F1212" s="116">
        <v>247.7</v>
      </c>
      <c r="G1212">
        <v>4348</v>
      </c>
      <c r="H1212" s="116"/>
      <c r="I1212" s="116"/>
      <c r="L1212" s="170">
        <v>43794</v>
      </c>
      <c r="M1212" s="116">
        <v>394.35</v>
      </c>
      <c r="N1212" s="116">
        <v>399.8</v>
      </c>
      <c r="O1212" s="116">
        <v>390</v>
      </c>
      <c r="P1212" s="116">
        <v>394.9</v>
      </c>
      <c r="Q1212" s="116">
        <v>394.35</v>
      </c>
      <c r="R1212">
        <v>164698</v>
      </c>
    </row>
    <row r="1213" spans="1:18" x14ac:dyDescent="0.25">
      <c r="A1213" s="170">
        <v>43796</v>
      </c>
      <c r="B1213" s="116">
        <v>4.7071367554089303</v>
      </c>
      <c r="C1213" s="116">
        <v>4.7071367554089303</v>
      </c>
      <c r="D1213" s="116">
        <v>3.8803785500511001</v>
      </c>
      <c r="E1213" s="116">
        <v>3.9516508091336702</v>
      </c>
      <c r="F1213" s="116">
        <v>297.2</v>
      </c>
      <c r="G1213">
        <v>9410</v>
      </c>
      <c r="H1213" s="116"/>
      <c r="I1213" s="116"/>
      <c r="L1213" s="170">
        <v>43795</v>
      </c>
      <c r="M1213" s="116">
        <v>387.15</v>
      </c>
      <c r="N1213" s="116">
        <v>398.35</v>
      </c>
      <c r="O1213" s="116">
        <v>383.6</v>
      </c>
      <c r="P1213" s="116">
        <v>397.6</v>
      </c>
      <c r="Q1213" s="116">
        <v>387.15</v>
      </c>
      <c r="R1213">
        <v>211955</v>
      </c>
    </row>
    <row r="1214" spans="1:18" x14ac:dyDescent="0.25">
      <c r="A1214" s="170">
        <v>43797</v>
      </c>
      <c r="B1214" s="116">
        <v>5.1442732777820304</v>
      </c>
      <c r="C1214" s="116">
        <v>4.5083663439675403</v>
      </c>
      <c r="D1214" s="116">
        <v>4.2129824257697699</v>
      </c>
      <c r="E1214" s="116">
        <v>4.8940284570032304</v>
      </c>
      <c r="F1214" s="116">
        <v>284.64999999999998</v>
      </c>
      <c r="G1214">
        <v>15875</v>
      </c>
      <c r="H1214" s="116"/>
      <c r="I1214" s="116"/>
      <c r="L1214" s="170">
        <v>43796</v>
      </c>
      <c r="M1214" s="116">
        <v>391.85</v>
      </c>
      <c r="N1214" s="116">
        <v>393.9</v>
      </c>
      <c r="O1214" s="116">
        <v>388.1</v>
      </c>
      <c r="P1214" s="116">
        <v>389.1</v>
      </c>
      <c r="Q1214" s="116">
        <v>391.85</v>
      </c>
      <c r="R1214">
        <v>134985</v>
      </c>
    </row>
    <row r="1215" spans="1:18" x14ac:dyDescent="0.25">
      <c r="A1215" s="170">
        <v>43798</v>
      </c>
      <c r="B1215" s="116">
        <v>4.4980714621000502</v>
      </c>
      <c r="C1215" s="116">
        <v>4.33335335222033</v>
      </c>
      <c r="D1215" s="116">
        <v>4.2787112869237003</v>
      </c>
      <c r="E1215" s="116">
        <v>4.35552694393491</v>
      </c>
      <c r="F1215" s="116">
        <v>273.60000000000002</v>
      </c>
      <c r="G1215">
        <v>3699</v>
      </c>
      <c r="H1215" s="116"/>
      <c r="I1215" s="116"/>
      <c r="L1215" s="170">
        <v>43797</v>
      </c>
      <c r="M1215" s="116">
        <v>393.8</v>
      </c>
      <c r="N1215" s="116">
        <v>399.8</v>
      </c>
      <c r="O1215" s="116">
        <v>387.25</v>
      </c>
      <c r="P1215" s="116">
        <v>392</v>
      </c>
      <c r="Q1215" s="116">
        <v>393.8</v>
      </c>
      <c r="R1215">
        <v>254451</v>
      </c>
    </row>
    <row r="1216" spans="1:18" x14ac:dyDescent="0.25">
      <c r="A1216" s="170">
        <v>43801</v>
      </c>
      <c r="B1216" s="116">
        <v>4.4172962351398102</v>
      </c>
      <c r="C1216" s="116">
        <v>4.1646756723915797</v>
      </c>
      <c r="D1216" s="116">
        <v>4.1187446609828102</v>
      </c>
      <c r="E1216" s="116">
        <v>4.3080121045465303</v>
      </c>
      <c r="F1216" s="116">
        <v>262.95</v>
      </c>
      <c r="G1216">
        <v>1352</v>
      </c>
      <c r="H1216" s="116"/>
      <c r="I1216" s="116"/>
      <c r="L1216" s="170">
        <v>43798</v>
      </c>
      <c r="M1216" s="116">
        <v>398.3</v>
      </c>
      <c r="N1216" s="116">
        <v>399.5</v>
      </c>
      <c r="O1216" s="116">
        <v>389.25</v>
      </c>
      <c r="P1216" s="116">
        <v>395.25</v>
      </c>
      <c r="Q1216" s="116">
        <v>398.3</v>
      </c>
      <c r="R1216">
        <v>285923</v>
      </c>
    </row>
    <row r="1217" spans="1:18" x14ac:dyDescent="0.25">
      <c r="A1217" s="170">
        <v>43802</v>
      </c>
      <c r="B1217" s="116">
        <v>4.2422832433925999</v>
      </c>
      <c r="C1217" s="116">
        <v>4.1385425107279703</v>
      </c>
      <c r="D1217" s="116">
        <v>3.95956994903174</v>
      </c>
      <c r="E1217" s="116">
        <v>4.1187446609828102</v>
      </c>
      <c r="F1217" s="116">
        <v>261.3</v>
      </c>
      <c r="G1217">
        <v>2595</v>
      </c>
      <c r="H1217" s="116"/>
      <c r="I1217" s="116"/>
      <c r="L1217" s="170">
        <v>43801</v>
      </c>
      <c r="M1217" s="116">
        <v>394.95</v>
      </c>
      <c r="N1217" s="116">
        <v>403.5</v>
      </c>
      <c r="O1217" s="116">
        <v>392.45</v>
      </c>
      <c r="P1217" s="116">
        <v>399.3</v>
      </c>
      <c r="Q1217" s="116">
        <v>394.95</v>
      </c>
      <c r="R1217">
        <v>187952</v>
      </c>
    </row>
    <row r="1218" spans="1:18" x14ac:dyDescent="0.25">
      <c r="A1218" s="170">
        <v>43803</v>
      </c>
      <c r="B1218" s="116">
        <v>4.2288207055658997</v>
      </c>
      <c r="C1218" s="116">
        <v>3.99995756251186</v>
      </c>
      <c r="D1218" s="116">
        <v>3.9849111967055402</v>
      </c>
      <c r="E1218" s="116">
        <v>4.2288207055658997</v>
      </c>
      <c r="F1218" s="116">
        <v>252.55</v>
      </c>
      <c r="G1218">
        <v>887</v>
      </c>
      <c r="H1218" s="116"/>
      <c r="I1218" s="116"/>
      <c r="L1218" s="170">
        <v>43802</v>
      </c>
      <c r="M1218" s="116">
        <v>387.95</v>
      </c>
      <c r="N1218" s="116">
        <v>397</v>
      </c>
      <c r="O1218" s="116">
        <v>385.25</v>
      </c>
      <c r="P1218" s="116">
        <v>397</v>
      </c>
      <c r="Q1218" s="116">
        <v>387.95</v>
      </c>
      <c r="R1218">
        <v>131466</v>
      </c>
    </row>
    <row r="1219" spans="1:18" x14ac:dyDescent="0.25">
      <c r="A1219" s="170">
        <v>43804</v>
      </c>
      <c r="B1219" s="116">
        <v>4.6564542600613201</v>
      </c>
      <c r="C1219" s="116">
        <v>4.5218288817942396</v>
      </c>
      <c r="D1219" s="116">
        <v>4.0102524443793399</v>
      </c>
      <c r="E1219" s="116">
        <v>4.0102524443793399</v>
      </c>
      <c r="F1219" s="116">
        <v>285.5</v>
      </c>
      <c r="G1219">
        <v>4530</v>
      </c>
      <c r="H1219" s="116"/>
      <c r="I1219" s="116"/>
      <c r="L1219" s="170">
        <v>43803</v>
      </c>
      <c r="M1219" s="116">
        <v>400.55</v>
      </c>
      <c r="N1219" s="116">
        <v>403.25</v>
      </c>
      <c r="O1219" s="116">
        <v>386.05</v>
      </c>
      <c r="P1219" s="116">
        <v>389.75</v>
      </c>
      <c r="Q1219" s="116">
        <v>400.55</v>
      </c>
      <c r="R1219">
        <v>250327</v>
      </c>
    </row>
    <row r="1220" spans="1:18" x14ac:dyDescent="0.25">
      <c r="A1220" s="170">
        <v>43805</v>
      </c>
      <c r="B1220" s="116">
        <v>4.7356456590419604</v>
      </c>
      <c r="C1220" s="116">
        <v>4.4062094392825202</v>
      </c>
      <c r="D1220" s="116">
        <v>4.3586945998941404</v>
      </c>
      <c r="E1220" s="116">
        <v>4.6247777004690702</v>
      </c>
      <c r="F1220" s="116">
        <v>278.2</v>
      </c>
      <c r="G1220">
        <v>2063</v>
      </c>
      <c r="H1220" s="116"/>
      <c r="I1220" s="116"/>
      <c r="L1220" s="170">
        <v>43804</v>
      </c>
      <c r="M1220" s="116">
        <v>421.25</v>
      </c>
      <c r="N1220" s="116">
        <v>424.6</v>
      </c>
      <c r="O1220" s="116">
        <v>402.65</v>
      </c>
      <c r="P1220" s="116">
        <v>405</v>
      </c>
      <c r="Q1220" s="116">
        <v>421.25</v>
      </c>
      <c r="R1220">
        <v>1430444</v>
      </c>
    </row>
    <row r="1221" spans="1:18" x14ac:dyDescent="0.25">
      <c r="A1221" s="170">
        <v>43808</v>
      </c>
      <c r="B1221" s="116">
        <v>4.5756790331010704</v>
      </c>
      <c r="C1221" s="116">
        <v>4.4814412683141196</v>
      </c>
      <c r="D1221" s="116">
        <v>4.2850465988421496</v>
      </c>
      <c r="E1221" s="116">
        <v>4.4347183429155503</v>
      </c>
      <c r="F1221" s="116">
        <v>282.95</v>
      </c>
      <c r="G1221">
        <v>2682</v>
      </c>
      <c r="H1221" s="116"/>
      <c r="I1221" s="116"/>
      <c r="L1221" s="170">
        <v>43805</v>
      </c>
      <c r="M1221" s="116">
        <v>414.45</v>
      </c>
      <c r="N1221" s="116">
        <v>419.9</v>
      </c>
      <c r="O1221" s="116">
        <v>407.5</v>
      </c>
      <c r="P1221" s="116">
        <v>419.3</v>
      </c>
      <c r="Q1221" s="116">
        <v>414.45</v>
      </c>
      <c r="R1221">
        <v>395409</v>
      </c>
    </row>
    <row r="1222" spans="1:18" x14ac:dyDescent="0.25">
      <c r="A1222" s="170">
        <v>43809</v>
      </c>
      <c r="B1222" s="116">
        <v>4.4901523222019897</v>
      </c>
      <c r="C1222" s="116">
        <v>4.3840358475679402</v>
      </c>
      <c r="D1222" s="116">
        <v>4.35552694393491</v>
      </c>
      <c r="E1222" s="116">
        <v>4.4442213107932202</v>
      </c>
      <c r="F1222" s="116">
        <v>276.8</v>
      </c>
      <c r="G1222">
        <v>3403</v>
      </c>
      <c r="H1222" s="116"/>
      <c r="I1222" s="116"/>
      <c r="L1222" s="170">
        <v>43808</v>
      </c>
      <c r="M1222" s="116">
        <v>410.55</v>
      </c>
      <c r="N1222" s="116">
        <v>419.1</v>
      </c>
      <c r="O1222" s="116">
        <v>407.2</v>
      </c>
      <c r="P1222" s="116">
        <v>414</v>
      </c>
      <c r="Q1222" s="116">
        <v>410.55</v>
      </c>
      <c r="R1222">
        <v>252612</v>
      </c>
    </row>
    <row r="1223" spans="1:18" x14ac:dyDescent="0.25">
      <c r="A1223" s="170">
        <v>43810</v>
      </c>
      <c r="B1223" s="116">
        <v>4.3713652237310399</v>
      </c>
      <c r="C1223" s="116">
        <v>4.2430751573824104</v>
      </c>
      <c r="D1223" s="116">
        <v>4.2288207055658997</v>
      </c>
      <c r="E1223" s="116">
        <v>4.3713652237310399</v>
      </c>
      <c r="F1223" s="116">
        <v>267.89999999999998</v>
      </c>
      <c r="G1223">
        <v>2735</v>
      </c>
      <c r="H1223" s="116"/>
      <c r="I1223" s="116"/>
      <c r="L1223" s="170">
        <v>43809</v>
      </c>
      <c r="M1223" s="116">
        <v>406.7</v>
      </c>
      <c r="N1223" s="116">
        <v>412.15</v>
      </c>
      <c r="O1223" s="116">
        <v>401.75</v>
      </c>
      <c r="P1223" s="116">
        <v>410.95</v>
      </c>
      <c r="Q1223" s="116">
        <v>406.7</v>
      </c>
      <c r="R1223">
        <v>91374</v>
      </c>
    </row>
    <row r="1224" spans="1:18" x14ac:dyDescent="0.25">
      <c r="A1224" s="170">
        <v>43811</v>
      </c>
      <c r="B1224" s="116">
        <v>4.4687706444772202</v>
      </c>
      <c r="C1224" s="116">
        <v>4.3080121045465303</v>
      </c>
      <c r="D1224" s="116">
        <v>4.2288207055658997</v>
      </c>
      <c r="E1224" s="116">
        <v>4.4687706444772202</v>
      </c>
      <c r="F1224" s="116">
        <v>272</v>
      </c>
      <c r="G1224">
        <v>152</v>
      </c>
      <c r="H1224" s="116"/>
      <c r="I1224" s="116"/>
      <c r="L1224" s="170">
        <v>43810</v>
      </c>
      <c r="M1224" s="116">
        <v>411.8</v>
      </c>
      <c r="N1224" s="116">
        <v>416.75</v>
      </c>
      <c r="O1224" s="116">
        <v>407.05</v>
      </c>
      <c r="P1224" s="116">
        <v>412.1</v>
      </c>
      <c r="Q1224" s="116">
        <v>411.8</v>
      </c>
      <c r="R1224">
        <v>281266</v>
      </c>
    </row>
    <row r="1225" spans="1:18" x14ac:dyDescent="0.25">
      <c r="A1225" s="170">
        <v>43812</v>
      </c>
      <c r="B1225" s="116">
        <v>4.4822331823039301</v>
      </c>
      <c r="C1225" s="116">
        <v>4.2763355449542804</v>
      </c>
      <c r="D1225" s="116">
        <v>4.2763355449542804</v>
      </c>
      <c r="E1225" s="116">
        <v>4.4822331823039301</v>
      </c>
      <c r="F1225" s="116">
        <v>270</v>
      </c>
      <c r="G1225">
        <v>447</v>
      </c>
      <c r="H1225" s="116"/>
      <c r="I1225" s="116"/>
      <c r="L1225" s="170">
        <v>43811</v>
      </c>
      <c r="M1225" s="116">
        <v>411.05</v>
      </c>
      <c r="N1225" s="116">
        <v>414.75</v>
      </c>
      <c r="O1225" s="116">
        <v>406.85</v>
      </c>
      <c r="P1225" s="116">
        <v>414.75</v>
      </c>
      <c r="Q1225" s="116">
        <v>411.05</v>
      </c>
      <c r="R1225">
        <v>110315</v>
      </c>
    </row>
    <row r="1226" spans="1:18" x14ac:dyDescent="0.25">
      <c r="A1226" s="170">
        <v>43815</v>
      </c>
      <c r="B1226" s="116">
        <v>4.2755436309644699</v>
      </c>
      <c r="C1226" s="116">
        <v>4.2755436309644699</v>
      </c>
      <c r="D1226" s="116">
        <v>4.1971441459736401</v>
      </c>
      <c r="E1226" s="116">
        <v>4.2755436309644699</v>
      </c>
      <c r="F1226" s="116">
        <v>269.95</v>
      </c>
      <c r="G1226">
        <v>632</v>
      </c>
      <c r="H1226" s="116"/>
      <c r="I1226" s="116"/>
      <c r="L1226" s="170">
        <v>43812</v>
      </c>
      <c r="M1226" s="116">
        <v>416.55</v>
      </c>
      <c r="N1226" s="116">
        <v>421.4</v>
      </c>
      <c r="O1226" s="116">
        <v>408.65</v>
      </c>
      <c r="P1226" s="116">
        <v>411.1</v>
      </c>
      <c r="Q1226" s="116">
        <v>416.55</v>
      </c>
      <c r="R1226">
        <v>186515</v>
      </c>
    </row>
    <row r="1227" spans="1:18" x14ac:dyDescent="0.25">
      <c r="A1227" s="170">
        <v>43816</v>
      </c>
      <c r="B1227" s="116">
        <v>4.35552694393491</v>
      </c>
      <c r="C1227" s="116">
        <v>4.2779193729338898</v>
      </c>
      <c r="D1227" s="116">
        <v>4.2288207055658997</v>
      </c>
      <c r="E1227" s="116">
        <v>4.2288207055658997</v>
      </c>
      <c r="F1227" s="116">
        <v>270.10000000000002</v>
      </c>
      <c r="G1227">
        <v>653</v>
      </c>
      <c r="H1227" s="116"/>
      <c r="I1227" s="116"/>
      <c r="L1227" s="170">
        <v>43815</v>
      </c>
      <c r="M1227" s="116">
        <v>417.1</v>
      </c>
      <c r="N1227" s="116">
        <v>418.6</v>
      </c>
      <c r="O1227" s="116">
        <v>408.2</v>
      </c>
      <c r="P1227" s="116">
        <v>418.6</v>
      </c>
      <c r="Q1227" s="116">
        <v>417.1</v>
      </c>
      <c r="R1227">
        <v>241444</v>
      </c>
    </row>
    <row r="1228" spans="1:18" x14ac:dyDescent="0.25">
      <c r="A1228" s="170">
        <v>43817</v>
      </c>
      <c r="B1228" s="116">
        <v>4.5123259139165697</v>
      </c>
      <c r="C1228" s="116">
        <v>4.46956255846702</v>
      </c>
      <c r="D1228" s="116">
        <v>4.2446589853620198</v>
      </c>
      <c r="E1228" s="116">
        <v>4.2478266413212502</v>
      </c>
      <c r="F1228" s="116">
        <v>282.2</v>
      </c>
      <c r="G1228">
        <v>4141</v>
      </c>
      <c r="H1228" s="116"/>
      <c r="I1228" s="116"/>
      <c r="L1228" s="170">
        <v>43816</v>
      </c>
      <c r="M1228" s="116">
        <v>419.6</v>
      </c>
      <c r="N1228" s="116">
        <v>422.5</v>
      </c>
      <c r="O1228" s="116">
        <v>414.95</v>
      </c>
      <c r="P1228" s="116">
        <v>417.95</v>
      </c>
      <c r="Q1228" s="116">
        <v>419.6</v>
      </c>
      <c r="R1228">
        <v>939895</v>
      </c>
    </row>
    <row r="1229" spans="1:18" x14ac:dyDescent="0.25">
      <c r="A1229" s="170">
        <v>43818</v>
      </c>
      <c r="B1229" s="116">
        <v>5.1886204612111904</v>
      </c>
      <c r="C1229" s="116">
        <v>4.96450880209599</v>
      </c>
      <c r="D1229" s="116">
        <v>4.3563188579247196</v>
      </c>
      <c r="E1229" s="116">
        <v>4.4339264289257398</v>
      </c>
      <c r="F1229" s="116">
        <v>313.45</v>
      </c>
      <c r="G1229">
        <v>11096</v>
      </c>
      <c r="H1229" s="116"/>
      <c r="I1229" s="116"/>
      <c r="L1229" s="170">
        <v>43817</v>
      </c>
      <c r="M1229" s="116">
        <v>406.6</v>
      </c>
      <c r="N1229" s="116">
        <v>418.75</v>
      </c>
      <c r="O1229" s="116">
        <v>405.05</v>
      </c>
      <c r="P1229" s="116">
        <v>418.75</v>
      </c>
      <c r="Q1229" s="116">
        <v>406.6</v>
      </c>
      <c r="R1229">
        <v>119045</v>
      </c>
    </row>
    <row r="1230" spans="1:18" x14ac:dyDescent="0.25">
      <c r="A1230" s="170">
        <v>43819</v>
      </c>
      <c r="B1230" s="116">
        <v>5.0682495347606196</v>
      </c>
      <c r="C1230" s="116">
        <v>4.9930177057290202</v>
      </c>
      <c r="D1230" s="116">
        <v>4.8465136176148498</v>
      </c>
      <c r="E1230" s="116">
        <v>4.9732198559838601</v>
      </c>
      <c r="F1230" s="116">
        <v>315.25</v>
      </c>
      <c r="G1230">
        <v>3197</v>
      </c>
      <c r="H1230" s="116"/>
      <c r="I1230" s="116"/>
      <c r="L1230" s="170">
        <v>43818</v>
      </c>
      <c r="M1230" s="116">
        <v>398.25</v>
      </c>
      <c r="N1230" s="116">
        <v>405.45</v>
      </c>
      <c r="O1230" s="116">
        <v>396</v>
      </c>
      <c r="P1230" s="116">
        <v>405.45</v>
      </c>
      <c r="Q1230" s="116">
        <v>398.25</v>
      </c>
      <c r="R1230">
        <v>257091</v>
      </c>
    </row>
    <row r="1231" spans="1:18" x14ac:dyDescent="0.25">
      <c r="A1231" s="170">
        <v>43822</v>
      </c>
      <c r="B1231" s="116">
        <v>5.2266323327218904</v>
      </c>
      <c r="C1231" s="116">
        <v>4.90194759690129</v>
      </c>
      <c r="D1231" s="116">
        <v>4.2224853936474398</v>
      </c>
      <c r="E1231" s="116">
        <v>4.9890581357799899</v>
      </c>
      <c r="F1231" s="116">
        <v>309.5</v>
      </c>
      <c r="G1231">
        <v>17819</v>
      </c>
      <c r="H1231" s="116"/>
      <c r="I1231" s="116"/>
      <c r="L1231" s="170">
        <v>43819</v>
      </c>
      <c r="M1231" s="116">
        <v>392.25</v>
      </c>
      <c r="N1231" s="116">
        <v>404.75</v>
      </c>
      <c r="O1231" s="116">
        <v>391.15</v>
      </c>
      <c r="P1231" s="116">
        <v>394.2</v>
      </c>
      <c r="Q1231" s="116">
        <v>392.25</v>
      </c>
      <c r="R1231">
        <v>276718</v>
      </c>
    </row>
    <row r="1232" spans="1:18" x14ac:dyDescent="0.25">
      <c r="A1232" s="170">
        <v>43823</v>
      </c>
      <c r="B1232" s="116">
        <v>5.1474409337412599</v>
      </c>
      <c r="C1232" s="116">
        <v>4.9304565005343202</v>
      </c>
      <c r="D1232" s="116">
        <v>4.8623518974109698</v>
      </c>
      <c r="E1232" s="116">
        <v>5.0516193409746899</v>
      </c>
      <c r="F1232" s="116">
        <v>311.3</v>
      </c>
      <c r="G1232">
        <v>7556</v>
      </c>
      <c r="H1232" s="116"/>
      <c r="I1232" s="116"/>
      <c r="L1232" s="170">
        <v>43822</v>
      </c>
      <c r="M1232" s="116">
        <v>398.05</v>
      </c>
      <c r="N1232" s="116">
        <v>402</v>
      </c>
      <c r="O1232" s="116">
        <v>389</v>
      </c>
      <c r="P1232" s="116">
        <v>391</v>
      </c>
      <c r="Q1232" s="116">
        <v>398.05</v>
      </c>
      <c r="R1232">
        <v>624985</v>
      </c>
    </row>
    <row r="1233" spans="1:18" x14ac:dyDescent="0.25">
      <c r="A1233" s="170">
        <v>43825</v>
      </c>
      <c r="B1233" s="116">
        <v>5.1458571057616496</v>
      </c>
      <c r="C1233" s="116">
        <v>4.7475243688890503</v>
      </c>
      <c r="D1233" s="116">
        <v>4.6184423885506201</v>
      </c>
      <c r="E1233" s="116">
        <v>5.0682495347606196</v>
      </c>
      <c r="F1233" s="116">
        <v>299.75</v>
      </c>
      <c r="G1233">
        <v>2867</v>
      </c>
      <c r="H1233" s="116"/>
      <c r="I1233" s="116"/>
      <c r="L1233" s="170">
        <v>43823</v>
      </c>
      <c r="M1233" s="116">
        <v>396.15</v>
      </c>
      <c r="N1233" s="116">
        <v>399.35</v>
      </c>
      <c r="O1233" s="116">
        <v>392.3</v>
      </c>
      <c r="P1233" s="116">
        <v>399</v>
      </c>
      <c r="Q1233" s="116">
        <v>396.15</v>
      </c>
      <c r="R1233">
        <v>147224</v>
      </c>
    </row>
    <row r="1234" spans="1:18" x14ac:dyDescent="0.25">
      <c r="A1234" s="170">
        <v>43826</v>
      </c>
      <c r="B1234" s="116">
        <v>4.8623518974109698</v>
      </c>
      <c r="C1234" s="116">
        <v>4.6263615284486796</v>
      </c>
      <c r="D1234" s="116">
        <v>4.5931011408768203</v>
      </c>
      <c r="E1234" s="116">
        <v>4.7514839388380796</v>
      </c>
      <c r="F1234" s="116">
        <v>292.10000000000002</v>
      </c>
      <c r="G1234">
        <v>3875</v>
      </c>
      <c r="H1234" s="116"/>
      <c r="I1234" s="116"/>
      <c r="L1234" s="170">
        <v>43825</v>
      </c>
      <c r="M1234" s="116">
        <v>391.2</v>
      </c>
      <c r="N1234" s="116">
        <v>398</v>
      </c>
      <c r="O1234" s="116">
        <v>390</v>
      </c>
      <c r="P1234" s="116">
        <v>396.4</v>
      </c>
      <c r="Q1234" s="116">
        <v>391.2</v>
      </c>
      <c r="R1234">
        <v>169955</v>
      </c>
    </row>
    <row r="1235" spans="1:18" x14ac:dyDescent="0.25">
      <c r="A1235" s="170">
        <v>43829</v>
      </c>
      <c r="B1235" s="116">
        <v>4.79899877822647</v>
      </c>
      <c r="C1235" s="116">
        <v>4.6437836362244198</v>
      </c>
      <c r="D1235" s="116">
        <v>4.5772628610806896</v>
      </c>
      <c r="E1235" s="116">
        <v>4.6247777004690702</v>
      </c>
      <c r="F1235" s="116">
        <v>293.2</v>
      </c>
      <c r="G1235">
        <v>4665</v>
      </c>
      <c r="H1235" s="116"/>
      <c r="I1235" s="116"/>
      <c r="L1235" s="170">
        <v>43826</v>
      </c>
      <c r="M1235" s="116">
        <v>391.25</v>
      </c>
      <c r="N1235" s="116">
        <v>397.8</v>
      </c>
      <c r="O1235" s="116">
        <v>390.2</v>
      </c>
      <c r="P1235" s="116">
        <v>395.75</v>
      </c>
      <c r="Q1235" s="116">
        <v>391.25</v>
      </c>
      <c r="R1235">
        <v>615507</v>
      </c>
    </row>
    <row r="1236" spans="1:18" x14ac:dyDescent="0.25">
      <c r="A1236" s="170">
        <v>43830</v>
      </c>
      <c r="B1236" s="116">
        <v>4.8298834238289103</v>
      </c>
      <c r="C1236" s="116">
        <v>4.6984257015210602</v>
      </c>
      <c r="D1236" s="116">
        <v>4.6564542600613201</v>
      </c>
      <c r="E1236" s="116">
        <v>4.6564542600613201</v>
      </c>
      <c r="F1236" s="116">
        <v>296.64999999999998</v>
      </c>
      <c r="G1236">
        <v>3700</v>
      </c>
      <c r="H1236" s="116"/>
      <c r="I1236" s="116"/>
      <c r="L1236" s="170">
        <v>43829</v>
      </c>
      <c r="M1236" s="116">
        <v>395.8</v>
      </c>
      <c r="N1236" s="116">
        <v>398.3</v>
      </c>
      <c r="O1236" s="116">
        <v>388</v>
      </c>
      <c r="P1236" s="116">
        <v>391.2</v>
      </c>
      <c r="Q1236" s="116">
        <v>395.8</v>
      </c>
      <c r="R1236">
        <v>177566</v>
      </c>
    </row>
    <row r="1237" spans="1:18" x14ac:dyDescent="0.25">
      <c r="A1237" s="170">
        <v>43831</v>
      </c>
      <c r="B1237" s="116">
        <v>5.3850151306831604</v>
      </c>
      <c r="C1237" s="116">
        <v>5.0761686746586898</v>
      </c>
      <c r="D1237" s="116">
        <v>4.6802116797555096</v>
      </c>
      <c r="E1237" s="116">
        <v>4.7039690994496999</v>
      </c>
      <c r="F1237" s="116">
        <v>320.5</v>
      </c>
      <c r="G1237">
        <v>16423</v>
      </c>
      <c r="H1237" s="116"/>
      <c r="I1237" s="116"/>
      <c r="L1237" s="170">
        <v>43830</v>
      </c>
      <c r="M1237" s="116">
        <v>393.05</v>
      </c>
      <c r="N1237" s="116">
        <v>400.95</v>
      </c>
      <c r="O1237" s="116">
        <v>392.2</v>
      </c>
      <c r="P1237" s="116">
        <v>396</v>
      </c>
      <c r="Q1237" s="116">
        <v>393.05</v>
      </c>
      <c r="R1237">
        <v>189009</v>
      </c>
    </row>
    <row r="1238" spans="1:18" x14ac:dyDescent="0.25">
      <c r="A1238" s="170">
        <v>43832</v>
      </c>
      <c r="B1238" s="116">
        <v>5.2250485047422801</v>
      </c>
      <c r="C1238" s="116">
        <v>4.91303439275858</v>
      </c>
      <c r="D1238" s="116">
        <v>4.8465136176148498</v>
      </c>
      <c r="E1238" s="116">
        <v>5.13160265394513</v>
      </c>
      <c r="F1238" s="116">
        <v>310.2</v>
      </c>
      <c r="G1238">
        <v>8146</v>
      </c>
      <c r="H1238" s="116"/>
      <c r="I1238" s="116"/>
      <c r="L1238" s="170">
        <v>43831</v>
      </c>
      <c r="M1238" s="116">
        <v>395.35</v>
      </c>
      <c r="N1238" s="116">
        <v>396.35</v>
      </c>
      <c r="O1238" s="116">
        <v>393.9</v>
      </c>
      <c r="P1238" s="116">
        <v>395</v>
      </c>
      <c r="Q1238" s="116">
        <v>395.35</v>
      </c>
      <c r="R1238">
        <v>53092</v>
      </c>
    </row>
    <row r="1239" spans="1:18" x14ac:dyDescent="0.25">
      <c r="A1239" s="170">
        <v>43833</v>
      </c>
      <c r="B1239" s="116">
        <v>5.04924359900527</v>
      </c>
      <c r="C1239" s="116">
        <v>4.8425540476658098</v>
      </c>
      <c r="D1239" s="116">
        <v>4.6976337875312497</v>
      </c>
      <c r="E1239" s="116">
        <v>5.04924359900527</v>
      </c>
      <c r="F1239" s="116">
        <v>305.75</v>
      </c>
      <c r="G1239">
        <v>8107</v>
      </c>
      <c r="H1239" s="116"/>
      <c r="I1239" s="116"/>
      <c r="L1239" s="170">
        <v>43832</v>
      </c>
      <c r="M1239" s="116">
        <v>400.3</v>
      </c>
      <c r="N1239" s="116">
        <v>404.7</v>
      </c>
      <c r="O1239" s="116">
        <v>395.5</v>
      </c>
      <c r="P1239" s="116">
        <v>396</v>
      </c>
      <c r="Q1239" s="116">
        <v>400.3</v>
      </c>
      <c r="R1239">
        <v>178064</v>
      </c>
    </row>
    <row r="1240" spans="1:18" x14ac:dyDescent="0.25">
      <c r="A1240" s="170">
        <v>43836</v>
      </c>
      <c r="B1240" s="116">
        <v>4.9882662217901803</v>
      </c>
      <c r="C1240" s="116">
        <v>4.8275076818594904</v>
      </c>
      <c r="D1240" s="116">
        <v>4.5297480216923098</v>
      </c>
      <c r="E1240" s="116">
        <v>4.5297480216923098</v>
      </c>
      <c r="F1240" s="116">
        <v>304.8</v>
      </c>
      <c r="G1240">
        <v>1674</v>
      </c>
      <c r="H1240" s="116"/>
      <c r="I1240" s="116"/>
      <c r="L1240" s="170">
        <v>43833</v>
      </c>
      <c r="M1240" s="116">
        <v>395.25</v>
      </c>
      <c r="N1240" s="116">
        <v>402.35</v>
      </c>
      <c r="O1240" s="116">
        <v>392.85</v>
      </c>
      <c r="P1240" s="116">
        <v>400.5</v>
      </c>
      <c r="Q1240" s="116">
        <v>395.25</v>
      </c>
      <c r="R1240">
        <v>121673</v>
      </c>
    </row>
    <row r="1241" spans="1:18" x14ac:dyDescent="0.25">
      <c r="A1241" s="170">
        <v>43837</v>
      </c>
      <c r="B1241" s="116">
        <v>5.0017287596168902</v>
      </c>
      <c r="C1241" s="116">
        <v>4.8053340901449202</v>
      </c>
      <c r="D1241" s="116">
        <v>4.7831604984303402</v>
      </c>
      <c r="E1241" s="116">
        <v>4.9874743078003796</v>
      </c>
      <c r="F1241" s="116">
        <v>303.39999999999998</v>
      </c>
      <c r="G1241">
        <v>3118</v>
      </c>
      <c r="H1241" s="116"/>
      <c r="I1241" s="116"/>
      <c r="L1241" s="170">
        <v>43836</v>
      </c>
      <c r="M1241" s="116">
        <v>383.4</v>
      </c>
      <c r="N1241" s="116">
        <v>393.9</v>
      </c>
      <c r="O1241" s="116">
        <v>382</v>
      </c>
      <c r="P1241" s="116">
        <v>393.45</v>
      </c>
      <c r="Q1241" s="116">
        <v>383.4</v>
      </c>
      <c r="R1241">
        <v>169654</v>
      </c>
    </row>
    <row r="1242" spans="1:18" x14ac:dyDescent="0.25">
      <c r="A1242" s="170">
        <v>43838</v>
      </c>
      <c r="B1242" s="116">
        <v>4.9890581357799899</v>
      </c>
      <c r="C1242" s="116">
        <v>4.71268015333757</v>
      </c>
      <c r="D1242" s="116">
        <v>4.5297480216923098</v>
      </c>
      <c r="E1242" s="116">
        <v>4.9890581357799899</v>
      </c>
      <c r="F1242" s="116">
        <v>297.55</v>
      </c>
      <c r="G1242">
        <v>3652</v>
      </c>
      <c r="H1242" s="116"/>
      <c r="I1242" s="116"/>
      <c r="L1242" s="170">
        <v>43837</v>
      </c>
      <c r="M1242" s="116">
        <v>388.15</v>
      </c>
      <c r="N1242" s="116">
        <v>398.75</v>
      </c>
      <c r="O1242" s="116">
        <v>385.35</v>
      </c>
      <c r="P1242" s="116">
        <v>385.35</v>
      </c>
      <c r="Q1242" s="116">
        <v>388.15</v>
      </c>
      <c r="R1242">
        <v>91083</v>
      </c>
    </row>
    <row r="1243" spans="1:18" x14ac:dyDescent="0.25">
      <c r="A1243" s="170">
        <v>43839</v>
      </c>
      <c r="B1243" s="116">
        <v>4.9478786083100603</v>
      </c>
      <c r="C1243" s="116">
        <v>4.8378025637269797</v>
      </c>
      <c r="D1243" s="116">
        <v>4.7522758528278901</v>
      </c>
      <c r="E1243" s="116">
        <v>4.9098667367993496</v>
      </c>
      <c r="F1243" s="116">
        <v>305.45</v>
      </c>
      <c r="G1243">
        <v>321</v>
      </c>
      <c r="H1243" s="116"/>
      <c r="I1243" s="116"/>
      <c r="L1243" s="170">
        <v>43838</v>
      </c>
      <c r="M1243" s="116">
        <v>384.3</v>
      </c>
      <c r="N1243" s="116">
        <v>388.3</v>
      </c>
      <c r="O1243" s="116">
        <v>381.6</v>
      </c>
      <c r="P1243" s="116">
        <v>385</v>
      </c>
      <c r="Q1243" s="116">
        <v>384.3</v>
      </c>
      <c r="R1243">
        <v>74785</v>
      </c>
    </row>
    <row r="1244" spans="1:18" x14ac:dyDescent="0.25">
      <c r="A1244" s="170">
        <v>43840</v>
      </c>
      <c r="B1244" s="116">
        <v>4.9478786083100603</v>
      </c>
      <c r="C1244" s="116">
        <v>4.78395241242014</v>
      </c>
      <c r="D1244" s="116">
        <v>4.7514839388380796</v>
      </c>
      <c r="E1244" s="116">
        <v>4.9478786083100603</v>
      </c>
      <c r="F1244" s="116">
        <v>302.05</v>
      </c>
      <c r="G1244">
        <v>2522</v>
      </c>
      <c r="H1244" s="116"/>
      <c r="I1244" s="116"/>
      <c r="L1244" s="170">
        <v>43839</v>
      </c>
      <c r="M1244" s="116">
        <v>386.6</v>
      </c>
      <c r="N1244" s="116">
        <v>395</v>
      </c>
      <c r="O1244" s="116">
        <v>384.5</v>
      </c>
      <c r="P1244" s="116">
        <v>395</v>
      </c>
      <c r="Q1244" s="116">
        <v>386.6</v>
      </c>
      <c r="R1244">
        <v>146359</v>
      </c>
    </row>
    <row r="1245" spans="1:18" x14ac:dyDescent="0.25">
      <c r="A1245" s="170">
        <v>43843</v>
      </c>
      <c r="B1245" s="116">
        <v>4.9890581357799899</v>
      </c>
      <c r="C1245" s="116">
        <v>4.9819309098717302</v>
      </c>
      <c r="D1245" s="116">
        <v>4.7514839388380796</v>
      </c>
      <c r="E1245" s="116">
        <v>4.9882662217901803</v>
      </c>
      <c r="F1245" s="116">
        <v>314.55</v>
      </c>
      <c r="G1245">
        <v>1703</v>
      </c>
      <c r="H1245" s="116"/>
      <c r="I1245" s="116"/>
      <c r="L1245" s="170">
        <v>43840</v>
      </c>
      <c r="M1245" s="116">
        <v>385.8</v>
      </c>
      <c r="N1245" s="116">
        <v>393.6</v>
      </c>
      <c r="O1245" s="116">
        <v>384.5</v>
      </c>
      <c r="P1245" s="116">
        <v>387.5</v>
      </c>
      <c r="Q1245" s="116">
        <v>385.8</v>
      </c>
      <c r="R1245">
        <v>272941</v>
      </c>
    </row>
    <row r="1246" spans="1:18" x14ac:dyDescent="0.25">
      <c r="A1246" s="170">
        <v>43844</v>
      </c>
      <c r="B1246" s="116">
        <v>4.9890581357799899</v>
      </c>
      <c r="C1246" s="116">
        <v>4.6881308196535798</v>
      </c>
      <c r="D1246" s="116">
        <v>4.6247777004690702</v>
      </c>
      <c r="E1246" s="116">
        <v>4.81721279999201</v>
      </c>
      <c r="F1246" s="116">
        <v>296</v>
      </c>
      <c r="G1246">
        <v>4889</v>
      </c>
      <c r="H1246" s="116"/>
      <c r="I1246" s="116"/>
      <c r="L1246" s="170">
        <v>43843</v>
      </c>
      <c r="M1246" s="116">
        <v>385.75</v>
      </c>
      <c r="N1246" s="116">
        <v>390</v>
      </c>
      <c r="O1246" s="116">
        <v>383.3</v>
      </c>
      <c r="P1246" s="116">
        <v>385.2</v>
      </c>
      <c r="Q1246" s="116">
        <v>385.75</v>
      </c>
      <c r="R1246">
        <v>120210</v>
      </c>
    </row>
    <row r="1247" spans="1:18" x14ac:dyDescent="0.25">
      <c r="A1247" s="170">
        <v>43845</v>
      </c>
      <c r="B1247" s="116">
        <v>4.8298834238289103</v>
      </c>
      <c r="C1247" s="116">
        <v>4.5226207957840501</v>
      </c>
      <c r="D1247" s="116">
        <v>4.4347183429155503</v>
      </c>
      <c r="E1247" s="116">
        <v>4.8148370580225901</v>
      </c>
      <c r="F1247" s="116">
        <v>285.55</v>
      </c>
      <c r="G1247">
        <v>5331</v>
      </c>
      <c r="H1247" s="116"/>
      <c r="I1247" s="116"/>
      <c r="L1247" s="170">
        <v>43844</v>
      </c>
      <c r="M1247" s="116">
        <v>386.45</v>
      </c>
      <c r="N1247" s="116">
        <v>390</v>
      </c>
      <c r="O1247" s="116">
        <v>384.9</v>
      </c>
      <c r="P1247" s="116">
        <v>387.75</v>
      </c>
      <c r="Q1247" s="116">
        <v>386.45</v>
      </c>
      <c r="R1247">
        <v>151786</v>
      </c>
    </row>
    <row r="1248" spans="1:18" x14ac:dyDescent="0.25">
      <c r="A1248" s="170">
        <v>43846</v>
      </c>
      <c r="B1248" s="116">
        <v>4.8623518974109698</v>
      </c>
      <c r="C1248" s="116">
        <v>4.7491081968686704</v>
      </c>
      <c r="D1248" s="116">
        <v>4.51390974189618</v>
      </c>
      <c r="E1248" s="116">
        <v>4.51390974189618</v>
      </c>
      <c r="F1248" s="116">
        <v>299.85000000000002</v>
      </c>
      <c r="G1248">
        <v>2709</v>
      </c>
      <c r="H1248" s="116"/>
      <c r="I1248" s="116"/>
      <c r="L1248" s="170">
        <v>43845</v>
      </c>
      <c r="M1248" s="116">
        <v>375.5</v>
      </c>
      <c r="N1248" s="116">
        <v>384</v>
      </c>
      <c r="O1248" s="116">
        <v>368</v>
      </c>
      <c r="P1248" s="116">
        <v>384</v>
      </c>
      <c r="Q1248" s="116">
        <v>375.5</v>
      </c>
      <c r="R1248">
        <v>931365</v>
      </c>
    </row>
    <row r="1249" spans="1:18" x14ac:dyDescent="0.25">
      <c r="A1249" s="170">
        <v>43847</v>
      </c>
      <c r="B1249" s="116">
        <v>4.9407513824017997</v>
      </c>
      <c r="C1249" s="116">
        <v>4.7364375730317603</v>
      </c>
      <c r="D1249" s="116">
        <v>4.5392509895699797</v>
      </c>
      <c r="E1249" s="116">
        <v>4.7831604984303402</v>
      </c>
      <c r="F1249" s="116">
        <v>299.05</v>
      </c>
      <c r="G1249">
        <v>2823</v>
      </c>
      <c r="H1249" s="116"/>
      <c r="I1249" s="116"/>
      <c r="L1249" s="170">
        <v>43846</v>
      </c>
      <c r="M1249" s="116">
        <v>385</v>
      </c>
      <c r="N1249" s="116">
        <v>387.35</v>
      </c>
      <c r="O1249" s="116">
        <v>374.95</v>
      </c>
      <c r="P1249" s="116">
        <v>375.5</v>
      </c>
      <c r="Q1249" s="116">
        <v>385</v>
      </c>
      <c r="R1249">
        <v>414665</v>
      </c>
    </row>
    <row r="1250" spans="1:18" x14ac:dyDescent="0.25">
      <c r="A1250" s="170">
        <v>43850</v>
      </c>
      <c r="B1250" s="116">
        <v>4.8560165854925197</v>
      </c>
      <c r="C1250" s="116">
        <v>4.7174316372764098</v>
      </c>
      <c r="D1250" s="116">
        <v>4.5455863014884299</v>
      </c>
      <c r="E1250" s="116">
        <v>4.8560165854925197</v>
      </c>
      <c r="F1250" s="116">
        <v>297.85000000000002</v>
      </c>
      <c r="G1250">
        <v>928</v>
      </c>
      <c r="H1250" s="116"/>
      <c r="I1250" s="116"/>
      <c r="L1250" s="170">
        <v>43847</v>
      </c>
      <c r="M1250" s="116">
        <v>388.75</v>
      </c>
      <c r="N1250" s="116">
        <v>391</v>
      </c>
      <c r="O1250" s="116">
        <v>383.25</v>
      </c>
      <c r="P1250" s="116">
        <v>386.9</v>
      </c>
      <c r="Q1250" s="116">
        <v>388.75</v>
      </c>
      <c r="R1250">
        <v>231417</v>
      </c>
    </row>
    <row r="1251" spans="1:18" x14ac:dyDescent="0.25">
      <c r="A1251" s="170">
        <v>43851</v>
      </c>
      <c r="B1251" s="116">
        <v>4.7514839388380796</v>
      </c>
      <c r="C1251" s="116">
        <v>4.70159335748028</v>
      </c>
      <c r="D1251" s="116">
        <v>4.5717194631520401</v>
      </c>
      <c r="E1251" s="116">
        <v>4.6247777004690702</v>
      </c>
      <c r="F1251" s="116">
        <v>296.85000000000002</v>
      </c>
      <c r="G1251">
        <v>2730</v>
      </c>
      <c r="H1251" s="116"/>
      <c r="I1251" s="116"/>
      <c r="L1251" s="170">
        <v>43850</v>
      </c>
      <c r="M1251" s="116">
        <v>389.3</v>
      </c>
      <c r="N1251" s="116">
        <v>397.05</v>
      </c>
      <c r="O1251" s="116">
        <v>387.05</v>
      </c>
      <c r="P1251" s="116">
        <v>393</v>
      </c>
      <c r="Q1251" s="116">
        <v>389.3</v>
      </c>
      <c r="R1251">
        <v>406361</v>
      </c>
    </row>
    <row r="1252" spans="1:18" x14ac:dyDescent="0.25">
      <c r="A1252" s="170">
        <v>43852</v>
      </c>
      <c r="B1252" s="116">
        <v>4.8940284570032304</v>
      </c>
      <c r="C1252" s="116">
        <v>4.6437836362244198</v>
      </c>
      <c r="D1252" s="116">
        <v>4.5938930548666201</v>
      </c>
      <c r="E1252" s="116">
        <v>4.6406159802652001</v>
      </c>
      <c r="F1252" s="116">
        <v>293.2</v>
      </c>
      <c r="G1252">
        <v>4633</v>
      </c>
      <c r="H1252" s="116"/>
      <c r="I1252" s="116"/>
      <c r="L1252" s="170">
        <v>43851</v>
      </c>
      <c r="M1252" s="116">
        <v>463.6</v>
      </c>
      <c r="N1252" s="116">
        <v>467.15</v>
      </c>
      <c r="O1252" s="116">
        <v>398</v>
      </c>
      <c r="P1252" s="116">
        <v>398</v>
      </c>
      <c r="Q1252" s="116">
        <v>463.6</v>
      </c>
      <c r="R1252">
        <v>8414117</v>
      </c>
    </row>
    <row r="1253" spans="1:18" x14ac:dyDescent="0.25">
      <c r="A1253" s="170">
        <v>43853</v>
      </c>
      <c r="B1253" s="116">
        <v>4.7190154652560201</v>
      </c>
      <c r="C1253" s="116">
        <v>4.7118882393477701</v>
      </c>
      <c r="D1253" s="116">
        <v>4.6247777004690702</v>
      </c>
      <c r="E1253" s="116">
        <v>4.62794535642829</v>
      </c>
      <c r="F1253" s="116">
        <v>297.5</v>
      </c>
      <c r="G1253">
        <v>639</v>
      </c>
      <c r="H1253" s="116"/>
      <c r="I1253" s="116"/>
      <c r="L1253" s="170">
        <v>43852</v>
      </c>
      <c r="M1253" s="116">
        <v>455.1</v>
      </c>
      <c r="N1253" s="116">
        <v>505</v>
      </c>
      <c r="O1253" s="116">
        <v>447.1</v>
      </c>
      <c r="P1253" s="116">
        <v>470.25</v>
      </c>
      <c r="Q1253" s="116">
        <v>455.1</v>
      </c>
      <c r="R1253">
        <v>10128155</v>
      </c>
    </row>
    <row r="1254" spans="1:18" x14ac:dyDescent="0.25">
      <c r="A1254" s="170">
        <v>43854</v>
      </c>
      <c r="B1254" s="116">
        <v>4.73485374505215</v>
      </c>
      <c r="C1254" s="116">
        <v>4.6778359377860896</v>
      </c>
      <c r="D1254" s="116">
        <v>4.6414078942549999</v>
      </c>
      <c r="E1254" s="116">
        <v>4.6564542600613201</v>
      </c>
      <c r="F1254" s="116">
        <v>295.35000000000002</v>
      </c>
      <c r="G1254">
        <v>1359</v>
      </c>
      <c r="H1254" s="116"/>
      <c r="I1254" s="116"/>
      <c r="L1254" s="170">
        <v>43853</v>
      </c>
      <c r="M1254" s="116">
        <v>477.2</v>
      </c>
      <c r="N1254" s="116">
        <v>485</v>
      </c>
      <c r="O1254" s="116">
        <v>451.35</v>
      </c>
      <c r="P1254" s="116">
        <v>456.4</v>
      </c>
      <c r="Q1254" s="116">
        <v>477.2</v>
      </c>
      <c r="R1254">
        <v>2636458</v>
      </c>
    </row>
    <row r="1255" spans="1:18" x14ac:dyDescent="0.25">
      <c r="A1255" s="170">
        <v>43857</v>
      </c>
      <c r="B1255" s="116">
        <v>4.7356456590419604</v>
      </c>
      <c r="C1255" s="116">
        <v>4.6928823035924196</v>
      </c>
      <c r="D1255" s="116">
        <v>4.5946849688564297</v>
      </c>
      <c r="E1255" s="116">
        <v>4.5946849688564297</v>
      </c>
      <c r="F1255" s="116">
        <v>296.3</v>
      </c>
      <c r="G1255">
        <v>1016</v>
      </c>
      <c r="H1255" s="116"/>
      <c r="I1255" s="116"/>
      <c r="L1255" s="170">
        <v>43854</v>
      </c>
      <c r="M1255" s="116">
        <v>472.65</v>
      </c>
      <c r="N1255" s="116">
        <v>484.9</v>
      </c>
      <c r="O1255" s="116">
        <v>470</v>
      </c>
      <c r="P1255" s="116">
        <v>481.8</v>
      </c>
      <c r="Q1255" s="116">
        <v>472.65</v>
      </c>
      <c r="R1255">
        <v>835841</v>
      </c>
    </row>
    <row r="1256" spans="1:18" x14ac:dyDescent="0.25">
      <c r="A1256" s="170">
        <v>43858</v>
      </c>
      <c r="B1256" s="116">
        <v>4.7514839388380796</v>
      </c>
      <c r="C1256" s="116">
        <v>4.4988633760898598</v>
      </c>
      <c r="D1256" s="116">
        <v>4.4521404506912896</v>
      </c>
      <c r="E1256" s="116">
        <v>4.67229253985745</v>
      </c>
      <c r="F1256" s="116">
        <v>284.05</v>
      </c>
      <c r="G1256">
        <v>2071</v>
      </c>
      <c r="H1256" s="116"/>
      <c r="I1256" s="116"/>
      <c r="L1256" s="170">
        <v>43857</v>
      </c>
      <c r="M1256" s="116">
        <v>470.1</v>
      </c>
      <c r="N1256" s="116">
        <v>475</v>
      </c>
      <c r="O1256" s="116">
        <v>462.6</v>
      </c>
      <c r="P1256" s="116">
        <v>471</v>
      </c>
      <c r="Q1256" s="116">
        <v>470.1</v>
      </c>
      <c r="R1256">
        <v>353739</v>
      </c>
    </row>
    <row r="1257" spans="1:18" x14ac:dyDescent="0.25">
      <c r="A1257" s="170">
        <v>43859</v>
      </c>
      <c r="B1257" s="116">
        <v>4.7499001108584702</v>
      </c>
      <c r="C1257" s="116">
        <v>4.5614245812845597</v>
      </c>
      <c r="D1257" s="116">
        <v>4.51390974189618</v>
      </c>
      <c r="E1257" s="116">
        <v>4.5756790331010704</v>
      </c>
      <c r="F1257" s="116">
        <v>288</v>
      </c>
      <c r="G1257">
        <v>1096</v>
      </c>
      <c r="H1257" s="116"/>
      <c r="I1257" s="116"/>
      <c r="L1257" s="170">
        <v>43858</v>
      </c>
      <c r="M1257" s="116">
        <v>473.65</v>
      </c>
      <c r="N1257" s="116">
        <v>479.4</v>
      </c>
      <c r="O1257" s="116">
        <v>467</v>
      </c>
      <c r="P1257" s="116">
        <v>471.95</v>
      </c>
      <c r="Q1257" s="116">
        <v>473.65</v>
      </c>
      <c r="R1257">
        <v>332191</v>
      </c>
    </row>
    <row r="1258" spans="1:18" x14ac:dyDescent="0.25">
      <c r="A1258" s="170">
        <v>43860</v>
      </c>
      <c r="B1258" s="116">
        <v>4.6627895719797703</v>
      </c>
      <c r="C1258" s="116">
        <v>4.4956957201306302</v>
      </c>
      <c r="D1258" s="116">
        <v>4.4758978703854799</v>
      </c>
      <c r="E1258" s="116">
        <v>4.5931011408768203</v>
      </c>
      <c r="F1258" s="116">
        <v>283.85000000000002</v>
      </c>
      <c r="G1258">
        <v>1186</v>
      </c>
      <c r="H1258" s="116"/>
      <c r="I1258" s="116"/>
      <c r="L1258" s="170">
        <v>43859</v>
      </c>
      <c r="M1258" s="116">
        <v>487.95</v>
      </c>
      <c r="N1258" s="116">
        <v>495.8</v>
      </c>
      <c r="O1258" s="116">
        <v>472.65</v>
      </c>
      <c r="P1258" s="116">
        <v>474.65</v>
      </c>
      <c r="Q1258" s="116">
        <v>487.95</v>
      </c>
      <c r="R1258">
        <v>1017911</v>
      </c>
    </row>
    <row r="1259" spans="1:18" x14ac:dyDescent="0.25">
      <c r="A1259" s="170">
        <v>43861</v>
      </c>
      <c r="B1259" s="116">
        <v>4.5297480216923098</v>
      </c>
      <c r="C1259" s="116">
        <v>4.4014579553436803</v>
      </c>
      <c r="D1259" s="116">
        <v>4.2802951149033097</v>
      </c>
      <c r="E1259" s="116">
        <v>4.4980714621000502</v>
      </c>
      <c r="F1259" s="116">
        <v>277.89999999999998</v>
      </c>
      <c r="G1259">
        <v>2328</v>
      </c>
      <c r="H1259" s="116"/>
      <c r="I1259" s="116"/>
      <c r="L1259" s="170">
        <v>43860</v>
      </c>
      <c r="M1259" s="116">
        <v>481.1</v>
      </c>
      <c r="N1259" s="116">
        <v>488</v>
      </c>
      <c r="O1259" s="116">
        <v>478.3</v>
      </c>
      <c r="P1259" s="116">
        <v>486.9</v>
      </c>
      <c r="Q1259" s="116">
        <v>481.1</v>
      </c>
      <c r="R1259">
        <v>362211</v>
      </c>
    </row>
    <row r="1260" spans="1:18" x14ac:dyDescent="0.25">
      <c r="A1260" s="170">
        <v>43862</v>
      </c>
      <c r="B1260" s="116">
        <v>4.5891415709277803</v>
      </c>
      <c r="C1260" s="116">
        <v>4.3745328796902596</v>
      </c>
      <c r="D1260" s="116">
        <v>4.3713652237310399</v>
      </c>
      <c r="E1260" s="116">
        <v>4.5891415709277803</v>
      </c>
      <c r="F1260" s="116">
        <v>276.2</v>
      </c>
      <c r="G1260">
        <v>1301</v>
      </c>
      <c r="H1260" s="116"/>
      <c r="I1260" s="116"/>
      <c r="L1260" s="170">
        <v>43861</v>
      </c>
      <c r="M1260" s="116">
        <v>484.05</v>
      </c>
      <c r="N1260" s="116">
        <v>491.9</v>
      </c>
      <c r="O1260" s="116">
        <v>480.25</v>
      </c>
      <c r="P1260" s="116">
        <v>483</v>
      </c>
      <c r="Q1260" s="116">
        <v>484.05</v>
      </c>
      <c r="R1260">
        <v>457239</v>
      </c>
    </row>
    <row r="1261" spans="1:18" x14ac:dyDescent="0.25">
      <c r="A1261" s="170">
        <v>43864</v>
      </c>
      <c r="B1261" s="116">
        <v>4.5123259139165697</v>
      </c>
      <c r="C1261" s="116">
        <v>4.5020310320490804</v>
      </c>
      <c r="D1261" s="116">
        <v>4.3095959325261397</v>
      </c>
      <c r="E1261" s="116">
        <v>4.4347183429155503</v>
      </c>
      <c r="F1261" s="116">
        <v>284.25</v>
      </c>
      <c r="G1261">
        <v>636</v>
      </c>
      <c r="H1261" s="116"/>
      <c r="I1261" s="116"/>
      <c r="L1261" s="170">
        <v>43862</v>
      </c>
      <c r="M1261" s="116">
        <v>471.05</v>
      </c>
      <c r="N1261" s="116">
        <v>512.95000000000005</v>
      </c>
      <c r="O1261" s="116">
        <v>467</v>
      </c>
      <c r="P1261" s="116">
        <v>483</v>
      </c>
      <c r="Q1261" s="116">
        <v>471.05</v>
      </c>
      <c r="R1261">
        <v>1631941</v>
      </c>
    </row>
    <row r="1262" spans="1:18" x14ac:dyDescent="0.25">
      <c r="A1262" s="170">
        <v>43865</v>
      </c>
      <c r="B1262" s="116">
        <v>4.6873389056637702</v>
      </c>
      <c r="C1262" s="116">
        <v>4.57647094709088</v>
      </c>
      <c r="D1262" s="116">
        <v>4.4537242786708999</v>
      </c>
      <c r="E1262" s="116">
        <v>4.5123259139165697</v>
      </c>
      <c r="F1262" s="116">
        <v>288.95</v>
      </c>
      <c r="G1262">
        <v>1213</v>
      </c>
      <c r="H1262" s="116"/>
      <c r="I1262" s="116"/>
      <c r="L1262" s="170">
        <v>43864</v>
      </c>
      <c r="M1262" s="116">
        <v>487.75</v>
      </c>
      <c r="N1262" s="116">
        <v>495</v>
      </c>
      <c r="O1262" s="116">
        <v>461.65</v>
      </c>
      <c r="P1262" s="116">
        <v>473</v>
      </c>
      <c r="Q1262" s="116">
        <v>487.75</v>
      </c>
      <c r="R1262">
        <v>495222</v>
      </c>
    </row>
    <row r="1263" spans="1:18" x14ac:dyDescent="0.25">
      <c r="A1263" s="170">
        <v>43866</v>
      </c>
      <c r="B1263" s="116">
        <v>4.7039690994496999</v>
      </c>
      <c r="C1263" s="116">
        <v>4.6105232486525596</v>
      </c>
      <c r="D1263" s="116">
        <v>4.5614245812845597</v>
      </c>
      <c r="E1263" s="116">
        <v>4.7023852714700896</v>
      </c>
      <c r="F1263" s="116">
        <v>291.10000000000002</v>
      </c>
      <c r="G1263">
        <v>2207</v>
      </c>
      <c r="H1263" s="116"/>
      <c r="I1263" s="116"/>
      <c r="L1263" s="170">
        <v>43865</v>
      </c>
      <c r="M1263" s="116">
        <v>483.75</v>
      </c>
      <c r="N1263" s="116">
        <v>489.2</v>
      </c>
      <c r="O1263" s="116">
        <v>475</v>
      </c>
      <c r="P1263" s="116">
        <v>489</v>
      </c>
      <c r="Q1263" s="116">
        <v>483.75</v>
      </c>
      <c r="R1263">
        <v>250481</v>
      </c>
    </row>
    <row r="1264" spans="1:18" x14ac:dyDescent="0.25">
      <c r="A1264" s="170">
        <v>43867</v>
      </c>
      <c r="B1264" s="116">
        <v>4.7198073792458297</v>
      </c>
      <c r="C1264" s="116">
        <v>4.6437836362244198</v>
      </c>
      <c r="D1264" s="116">
        <v>4.5463782154782404</v>
      </c>
      <c r="E1264" s="116">
        <v>4.5463782154782404</v>
      </c>
      <c r="F1264" s="116">
        <v>293.2</v>
      </c>
      <c r="G1264">
        <v>2643</v>
      </c>
      <c r="H1264" s="116"/>
      <c r="I1264" s="116"/>
      <c r="L1264" s="170">
        <v>43866</v>
      </c>
      <c r="M1264" s="116">
        <v>479.15</v>
      </c>
      <c r="N1264" s="116">
        <v>488.1</v>
      </c>
      <c r="O1264" s="116">
        <v>475.25</v>
      </c>
      <c r="P1264" s="116">
        <v>484.9</v>
      </c>
      <c r="Q1264" s="116">
        <v>479.15</v>
      </c>
      <c r="R1264">
        <v>229103</v>
      </c>
    </row>
    <row r="1265" spans="1:18" x14ac:dyDescent="0.25">
      <c r="A1265" s="170">
        <v>43868</v>
      </c>
      <c r="B1265" s="116">
        <v>4.5772628610806896</v>
      </c>
      <c r="C1265" s="116">
        <v>4.4640191605383803</v>
      </c>
      <c r="D1265" s="116">
        <v>4.2779193729338898</v>
      </c>
      <c r="E1265" s="116">
        <v>4.5614245812845597</v>
      </c>
      <c r="F1265" s="116">
        <v>281.85000000000002</v>
      </c>
      <c r="G1265">
        <v>2884</v>
      </c>
      <c r="H1265" s="116"/>
      <c r="I1265" s="116"/>
      <c r="L1265" s="170">
        <v>43867</v>
      </c>
      <c r="M1265" s="116">
        <v>490.3</v>
      </c>
      <c r="N1265" s="116">
        <v>498.35</v>
      </c>
      <c r="O1265" s="116">
        <v>478.7</v>
      </c>
      <c r="P1265" s="116">
        <v>479</v>
      </c>
      <c r="Q1265" s="116">
        <v>490.3</v>
      </c>
      <c r="R1265">
        <v>956765</v>
      </c>
    </row>
    <row r="1266" spans="1:18" x14ac:dyDescent="0.25">
      <c r="A1266" s="170">
        <v>43871</v>
      </c>
      <c r="B1266" s="116">
        <v>4.6643733999593904</v>
      </c>
      <c r="C1266" s="116">
        <v>4.4489727947320601</v>
      </c>
      <c r="D1266" s="116">
        <v>4.4347183429155503</v>
      </c>
      <c r="E1266" s="116">
        <v>4.6643733999593904</v>
      </c>
      <c r="F1266" s="116">
        <v>280.89999999999998</v>
      </c>
      <c r="G1266">
        <v>412</v>
      </c>
      <c r="H1266" s="116"/>
      <c r="I1266" s="116"/>
      <c r="L1266" s="170">
        <v>43868</v>
      </c>
      <c r="M1266" s="116">
        <v>487.65</v>
      </c>
      <c r="N1266" s="116">
        <v>493.35</v>
      </c>
      <c r="O1266" s="116">
        <v>482.2</v>
      </c>
      <c r="P1266" s="116">
        <v>492.4</v>
      </c>
      <c r="Q1266" s="116">
        <v>487.65</v>
      </c>
      <c r="R1266">
        <v>318981</v>
      </c>
    </row>
    <row r="1267" spans="1:18" x14ac:dyDescent="0.25">
      <c r="A1267" s="170">
        <v>43872</v>
      </c>
      <c r="B1267" s="116">
        <v>4.6406159802652001</v>
      </c>
      <c r="C1267" s="116">
        <v>4.4537242786708999</v>
      </c>
      <c r="D1267" s="116">
        <v>4.4347183429155503</v>
      </c>
      <c r="E1267" s="116">
        <v>4.6398240662753896</v>
      </c>
      <c r="F1267" s="116">
        <v>281.2</v>
      </c>
      <c r="G1267">
        <v>1586</v>
      </c>
      <c r="H1267" s="116"/>
      <c r="I1267" s="116"/>
      <c r="L1267" s="170">
        <v>43871</v>
      </c>
      <c r="M1267" s="116">
        <v>481</v>
      </c>
      <c r="N1267" s="116">
        <v>488.95</v>
      </c>
      <c r="O1267" s="116">
        <v>477</v>
      </c>
      <c r="P1267" s="116">
        <v>487</v>
      </c>
      <c r="Q1267" s="116">
        <v>481</v>
      </c>
      <c r="R1267">
        <v>211402</v>
      </c>
    </row>
    <row r="1268" spans="1:18" x14ac:dyDescent="0.25">
      <c r="A1268" s="170">
        <v>43873</v>
      </c>
      <c r="B1268" s="116">
        <v>4.6184423885506201</v>
      </c>
      <c r="C1268" s="116">
        <v>4.5416267315393997</v>
      </c>
      <c r="D1268" s="116">
        <v>4.4640191605383803</v>
      </c>
      <c r="E1268" s="116">
        <v>4.6184423885506201</v>
      </c>
      <c r="F1268" s="116">
        <v>286.75</v>
      </c>
      <c r="G1268">
        <v>962</v>
      </c>
      <c r="H1268" s="116"/>
      <c r="I1268" s="116"/>
      <c r="L1268" s="170">
        <v>43872</v>
      </c>
      <c r="M1268" s="116">
        <v>492.5</v>
      </c>
      <c r="N1268" s="116">
        <v>495</v>
      </c>
      <c r="O1268" s="116">
        <v>480</v>
      </c>
      <c r="P1268" s="116">
        <v>480.25</v>
      </c>
      <c r="Q1268" s="116">
        <v>492.5</v>
      </c>
      <c r="R1268">
        <v>462817</v>
      </c>
    </row>
    <row r="1269" spans="1:18" x14ac:dyDescent="0.25">
      <c r="A1269" s="170">
        <v>43874</v>
      </c>
      <c r="B1269" s="116">
        <v>4.6643733999593904</v>
      </c>
      <c r="C1269" s="116">
        <v>4.4497647087218697</v>
      </c>
      <c r="D1269" s="116">
        <v>4.3024687066178897</v>
      </c>
      <c r="E1269" s="116">
        <v>4.4663949025078002</v>
      </c>
      <c r="F1269" s="116">
        <v>280.95</v>
      </c>
      <c r="G1269">
        <v>1934</v>
      </c>
      <c r="H1269" s="116"/>
      <c r="I1269" s="116"/>
      <c r="L1269" s="170">
        <v>43873</v>
      </c>
      <c r="M1269" s="116">
        <v>510.7</v>
      </c>
      <c r="N1269" s="116">
        <v>519</v>
      </c>
      <c r="O1269" s="116">
        <v>495.1</v>
      </c>
      <c r="P1269" s="116">
        <v>495.1</v>
      </c>
      <c r="Q1269" s="116">
        <v>510.7</v>
      </c>
      <c r="R1269">
        <v>2931425</v>
      </c>
    </row>
    <row r="1270" spans="1:18" x14ac:dyDescent="0.25">
      <c r="A1270" s="170">
        <v>43875</v>
      </c>
      <c r="B1270" s="116">
        <v>4.5843900869889396</v>
      </c>
      <c r="C1270" s="116">
        <v>4.4141285791805798</v>
      </c>
      <c r="D1270" s="116">
        <v>4.3713652237310399</v>
      </c>
      <c r="E1270" s="116">
        <v>4.5843900869889396</v>
      </c>
      <c r="F1270" s="116">
        <v>278.7</v>
      </c>
      <c r="G1270">
        <v>898</v>
      </c>
      <c r="H1270" s="116"/>
      <c r="I1270" s="116"/>
      <c r="L1270" s="170">
        <v>43874</v>
      </c>
      <c r="M1270" s="116">
        <v>506.35</v>
      </c>
      <c r="N1270" s="116">
        <v>514.20000000000005</v>
      </c>
      <c r="O1270" s="116">
        <v>503.35</v>
      </c>
      <c r="P1270" s="116">
        <v>513</v>
      </c>
      <c r="Q1270" s="116">
        <v>506.35</v>
      </c>
      <c r="R1270">
        <v>397397</v>
      </c>
    </row>
    <row r="1271" spans="1:18" x14ac:dyDescent="0.25">
      <c r="A1271" s="170">
        <v>43878</v>
      </c>
      <c r="B1271" s="116">
        <v>4.4347183429155503</v>
      </c>
      <c r="C1271" s="116">
        <v>4.3214746423732402</v>
      </c>
      <c r="D1271" s="116">
        <v>4.2921738247504004</v>
      </c>
      <c r="E1271" s="116">
        <v>4.4347183429155503</v>
      </c>
      <c r="F1271" s="116">
        <v>272.85000000000002</v>
      </c>
      <c r="G1271">
        <v>1378</v>
      </c>
      <c r="H1271" s="116"/>
      <c r="I1271" s="116"/>
      <c r="L1271" s="170">
        <v>43875</v>
      </c>
      <c r="M1271" s="116">
        <v>510.15</v>
      </c>
      <c r="N1271" s="116">
        <v>517.5</v>
      </c>
      <c r="O1271" s="116">
        <v>508</v>
      </c>
      <c r="P1271" s="116">
        <v>508.3</v>
      </c>
      <c r="Q1271" s="116">
        <v>510.15</v>
      </c>
      <c r="R1271">
        <v>367636</v>
      </c>
    </row>
    <row r="1272" spans="1:18" x14ac:dyDescent="0.25">
      <c r="A1272" s="170">
        <v>43879</v>
      </c>
      <c r="B1272" s="116">
        <v>4.6089394206729404</v>
      </c>
      <c r="C1272" s="116">
        <v>4.3357290941897499</v>
      </c>
      <c r="D1272" s="116">
        <v>4.2763355449542804</v>
      </c>
      <c r="E1272" s="116">
        <v>4.2802951149033097</v>
      </c>
      <c r="F1272" s="116">
        <v>273.75</v>
      </c>
      <c r="G1272">
        <v>3202</v>
      </c>
      <c r="H1272" s="116"/>
      <c r="I1272" s="116"/>
      <c r="L1272" s="170">
        <v>43878</v>
      </c>
      <c r="M1272" s="116">
        <v>509.65</v>
      </c>
      <c r="N1272" s="116">
        <v>514</v>
      </c>
      <c r="O1272" s="116">
        <v>503</v>
      </c>
      <c r="P1272" s="116">
        <v>513.29999999999995</v>
      </c>
      <c r="Q1272" s="116">
        <v>509.65</v>
      </c>
      <c r="R1272">
        <v>389070</v>
      </c>
    </row>
    <row r="1273" spans="1:18" x14ac:dyDescent="0.25">
      <c r="A1273" s="170">
        <v>43880</v>
      </c>
      <c r="B1273" s="116">
        <v>4.3856196755475496</v>
      </c>
      <c r="C1273" s="116">
        <v>4.2858385128319503</v>
      </c>
      <c r="D1273" s="116">
        <v>4.2763355449542804</v>
      </c>
      <c r="E1273" s="116">
        <v>4.34444014807762</v>
      </c>
      <c r="F1273" s="116">
        <v>270.60000000000002</v>
      </c>
      <c r="G1273">
        <v>1747</v>
      </c>
      <c r="H1273" s="116"/>
      <c r="I1273" s="116"/>
      <c r="L1273" s="170">
        <v>43879</v>
      </c>
      <c r="M1273" s="116">
        <v>509.85</v>
      </c>
      <c r="N1273" s="116">
        <v>512.70000000000005</v>
      </c>
      <c r="O1273" s="116">
        <v>504.15</v>
      </c>
      <c r="P1273" s="116">
        <v>507</v>
      </c>
      <c r="Q1273" s="116">
        <v>509.85</v>
      </c>
      <c r="R1273">
        <v>475940</v>
      </c>
    </row>
    <row r="1274" spans="1:18" x14ac:dyDescent="0.25">
      <c r="A1274" s="170">
        <v>43881</v>
      </c>
      <c r="B1274" s="116">
        <v>4.4014579553436803</v>
      </c>
      <c r="C1274" s="116">
        <v>4.30642827656692</v>
      </c>
      <c r="D1274" s="116">
        <v>4.2763355449542804</v>
      </c>
      <c r="E1274" s="116">
        <v>4.2779193729338898</v>
      </c>
      <c r="F1274" s="116">
        <v>271.89999999999998</v>
      </c>
      <c r="G1274">
        <v>1385</v>
      </c>
      <c r="H1274" s="116"/>
      <c r="I1274" s="116"/>
      <c r="L1274" s="170">
        <v>43880</v>
      </c>
      <c r="M1274" s="116">
        <v>509.45</v>
      </c>
      <c r="N1274" s="116">
        <v>517.95000000000005</v>
      </c>
      <c r="O1274" s="116">
        <v>506.3</v>
      </c>
      <c r="P1274" s="116">
        <v>512.04999999999995</v>
      </c>
      <c r="Q1274" s="116">
        <v>509.45</v>
      </c>
      <c r="R1274">
        <v>531095</v>
      </c>
    </row>
    <row r="1275" spans="1:18" x14ac:dyDescent="0.25">
      <c r="A1275" s="170">
        <v>43885</v>
      </c>
      <c r="B1275" s="116">
        <v>4.5281641937126897</v>
      </c>
      <c r="C1275" s="116">
        <v>4.2755436309644699</v>
      </c>
      <c r="D1275" s="116">
        <v>4.2288207055658997</v>
      </c>
      <c r="E1275" s="116">
        <v>4.2288207055658997</v>
      </c>
      <c r="F1275" s="116">
        <v>269.95</v>
      </c>
      <c r="G1275">
        <v>7468</v>
      </c>
      <c r="H1275" s="116"/>
      <c r="I1275" s="116"/>
      <c r="L1275" s="170">
        <v>43881</v>
      </c>
      <c r="M1275" s="116">
        <v>509.5</v>
      </c>
      <c r="N1275" s="116">
        <v>514.65</v>
      </c>
      <c r="O1275" s="116">
        <v>507.05</v>
      </c>
      <c r="P1275" s="116">
        <v>510</v>
      </c>
      <c r="Q1275" s="116">
        <v>509.5</v>
      </c>
      <c r="R1275">
        <v>243208</v>
      </c>
    </row>
    <row r="1276" spans="1:18" x14ac:dyDescent="0.25">
      <c r="A1276" s="170">
        <v>43886</v>
      </c>
      <c r="B1276" s="116">
        <v>4.4022498693334802</v>
      </c>
      <c r="C1276" s="116">
        <v>4.35552694393491</v>
      </c>
      <c r="D1276" s="116">
        <v>4.1179527469930104</v>
      </c>
      <c r="E1276" s="116">
        <v>4.35552694393491</v>
      </c>
      <c r="F1276" s="116">
        <v>275</v>
      </c>
      <c r="G1276">
        <v>195</v>
      </c>
      <c r="H1276" s="116"/>
      <c r="I1276" s="116"/>
      <c r="L1276" s="170">
        <v>43885</v>
      </c>
      <c r="M1276" s="116">
        <v>510.4</v>
      </c>
      <c r="N1276" s="116">
        <v>514</v>
      </c>
      <c r="O1276" s="116">
        <v>504</v>
      </c>
      <c r="P1276" s="116">
        <v>509.7</v>
      </c>
      <c r="Q1276" s="116">
        <v>510.4</v>
      </c>
      <c r="R1276">
        <v>274934</v>
      </c>
    </row>
    <row r="1277" spans="1:18" x14ac:dyDescent="0.25">
      <c r="A1277" s="170">
        <v>43887</v>
      </c>
      <c r="B1277" s="116">
        <v>4.5091582579573402</v>
      </c>
      <c r="C1277" s="116">
        <v>4.2771274589440802</v>
      </c>
      <c r="D1277" s="116">
        <v>4.1971441459736401</v>
      </c>
      <c r="E1277" s="116">
        <v>4.2763355449542804</v>
      </c>
      <c r="F1277" s="116">
        <v>270.05</v>
      </c>
      <c r="G1277">
        <v>1934</v>
      </c>
      <c r="H1277" s="116"/>
      <c r="I1277" s="116"/>
      <c r="L1277" s="170">
        <v>43886</v>
      </c>
      <c r="M1277" s="116">
        <v>510.05</v>
      </c>
      <c r="N1277" s="116">
        <v>517.4</v>
      </c>
      <c r="O1277" s="116">
        <v>506.7</v>
      </c>
      <c r="P1277" s="116">
        <v>515.25</v>
      </c>
      <c r="Q1277" s="116">
        <v>510.05</v>
      </c>
      <c r="R1277">
        <v>601041</v>
      </c>
    </row>
    <row r="1278" spans="1:18" x14ac:dyDescent="0.25">
      <c r="A1278" s="170">
        <v>43888</v>
      </c>
      <c r="B1278" s="116">
        <v>4.3396886641387802</v>
      </c>
      <c r="C1278" s="116">
        <v>4.2264449635964798</v>
      </c>
      <c r="D1278" s="116">
        <v>4.1527969625444898</v>
      </c>
      <c r="E1278" s="116">
        <v>4.1527969625444898</v>
      </c>
      <c r="F1278" s="116">
        <v>266.85000000000002</v>
      </c>
      <c r="G1278">
        <v>1571</v>
      </c>
      <c r="H1278" s="116"/>
      <c r="I1278" s="116"/>
      <c r="L1278" s="170">
        <v>43887</v>
      </c>
      <c r="M1278" s="116">
        <v>507.9</v>
      </c>
      <c r="N1278" s="116">
        <v>510</v>
      </c>
      <c r="O1278" s="116">
        <v>505</v>
      </c>
      <c r="P1278" s="116">
        <v>505</v>
      </c>
      <c r="Q1278" s="116">
        <v>507.9</v>
      </c>
      <c r="R1278">
        <v>183689</v>
      </c>
    </row>
    <row r="1279" spans="1:18" x14ac:dyDescent="0.25">
      <c r="A1279" s="170">
        <v>43889</v>
      </c>
      <c r="B1279" s="116">
        <v>4.21931773768822</v>
      </c>
      <c r="C1279" s="116">
        <v>4.0403451759919804</v>
      </c>
      <c r="D1279" s="116">
        <v>4.0387613480123701</v>
      </c>
      <c r="E1279" s="116">
        <v>4.1211204029522301</v>
      </c>
      <c r="F1279" s="116">
        <v>255.1</v>
      </c>
      <c r="G1279">
        <v>1422</v>
      </c>
      <c r="H1279" s="116"/>
      <c r="I1279" s="116"/>
      <c r="L1279" s="170">
        <v>43888</v>
      </c>
      <c r="M1279" s="116">
        <v>505.05</v>
      </c>
      <c r="N1279" s="116">
        <v>509.55</v>
      </c>
      <c r="O1279" s="116">
        <v>500</v>
      </c>
      <c r="P1279" s="116">
        <v>508.1</v>
      </c>
      <c r="Q1279" s="116">
        <v>505.05</v>
      </c>
      <c r="R1279">
        <v>334846</v>
      </c>
    </row>
    <row r="1280" spans="1:18" x14ac:dyDescent="0.25">
      <c r="A1280" s="170">
        <v>43892</v>
      </c>
      <c r="B1280" s="116">
        <v>4.3238503843426601</v>
      </c>
      <c r="C1280" s="116">
        <v>4.0213392402366299</v>
      </c>
      <c r="D1280" s="116">
        <v>3.9579861210521199</v>
      </c>
      <c r="E1280" s="116">
        <v>4.04113708998179</v>
      </c>
      <c r="F1280" s="116">
        <v>253.9</v>
      </c>
      <c r="G1280">
        <v>1399</v>
      </c>
      <c r="H1280" s="116"/>
      <c r="I1280" s="116"/>
      <c r="L1280" s="170">
        <v>43889</v>
      </c>
      <c r="M1280" s="116">
        <v>500.05</v>
      </c>
      <c r="N1280" s="116">
        <v>503.5</v>
      </c>
      <c r="O1280" s="116">
        <v>490.1</v>
      </c>
      <c r="P1280" s="116">
        <v>501.15</v>
      </c>
      <c r="Q1280" s="116">
        <v>500.05</v>
      </c>
      <c r="R1280">
        <v>515552</v>
      </c>
    </row>
    <row r="1281" spans="1:18" x14ac:dyDescent="0.25">
      <c r="A1281" s="170">
        <v>43893</v>
      </c>
      <c r="B1281" s="116">
        <v>4.1963522319838296</v>
      </c>
      <c r="C1281" s="116">
        <v>4.1718028982998403</v>
      </c>
      <c r="D1281" s="116">
        <v>3.97857588478709</v>
      </c>
      <c r="E1281" s="116">
        <v>3.97857588478709</v>
      </c>
      <c r="F1281" s="116">
        <v>263.39999999999998</v>
      </c>
      <c r="G1281">
        <v>277</v>
      </c>
      <c r="H1281" s="116"/>
      <c r="I1281" s="116"/>
      <c r="L1281" s="170">
        <v>43892</v>
      </c>
      <c r="M1281" s="116">
        <v>500.05</v>
      </c>
      <c r="N1281" s="116">
        <v>501.75</v>
      </c>
      <c r="O1281" s="116">
        <v>486</v>
      </c>
      <c r="P1281" s="116">
        <v>486</v>
      </c>
      <c r="Q1281" s="116">
        <v>500.05</v>
      </c>
      <c r="R1281">
        <v>366929</v>
      </c>
    </row>
    <row r="1282" spans="1:18" x14ac:dyDescent="0.25">
      <c r="A1282" s="170">
        <v>43894</v>
      </c>
      <c r="B1282" s="116">
        <v>4.1654675863813901</v>
      </c>
      <c r="C1282" s="116">
        <v>4.1179527469930104</v>
      </c>
      <c r="D1282" s="116">
        <v>4.0387613480123701</v>
      </c>
      <c r="E1282" s="116">
        <v>4.1654675863813901</v>
      </c>
      <c r="F1282" s="116">
        <v>260</v>
      </c>
      <c r="G1282">
        <v>2426</v>
      </c>
      <c r="H1282" s="116"/>
      <c r="I1282" s="116"/>
      <c r="L1282" s="170">
        <v>43893</v>
      </c>
      <c r="M1282" s="116">
        <v>485.3</v>
      </c>
      <c r="N1282" s="116">
        <v>502</v>
      </c>
      <c r="O1282" s="116">
        <v>480.5</v>
      </c>
      <c r="P1282" s="116">
        <v>498.05</v>
      </c>
      <c r="Q1282" s="116">
        <v>485.3</v>
      </c>
      <c r="R1282">
        <v>315822</v>
      </c>
    </row>
    <row r="1283" spans="1:18" x14ac:dyDescent="0.25">
      <c r="A1283" s="170">
        <v>43895</v>
      </c>
      <c r="B1283" s="116">
        <v>4.24386707137222</v>
      </c>
      <c r="C1283" s="116">
        <v>4.0561834557881102</v>
      </c>
      <c r="D1283" s="116">
        <v>3.9120551096433598</v>
      </c>
      <c r="E1283" s="116">
        <v>3.9120551096433598</v>
      </c>
      <c r="F1283" s="116">
        <v>256.10000000000002</v>
      </c>
      <c r="G1283">
        <v>1550</v>
      </c>
      <c r="H1283" s="116"/>
      <c r="I1283" s="116"/>
      <c r="L1283" s="170">
        <v>43894</v>
      </c>
      <c r="M1283" s="116">
        <v>478.35</v>
      </c>
      <c r="N1283" s="116">
        <v>491.9</v>
      </c>
      <c r="O1283" s="116">
        <v>471.35</v>
      </c>
      <c r="P1283" s="116">
        <v>485</v>
      </c>
      <c r="Q1283" s="116">
        <v>478.35</v>
      </c>
      <c r="R1283">
        <v>225730</v>
      </c>
    </row>
    <row r="1284" spans="1:18" x14ac:dyDescent="0.25">
      <c r="A1284" s="170">
        <v>43896</v>
      </c>
      <c r="B1284" s="116">
        <v>4.4347183429155503</v>
      </c>
      <c r="C1284" s="116">
        <v>3.97540822882786</v>
      </c>
      <c r="D1284" s="116">
        <v>3.8186092588462102</v>
      </c>
      <c r="E1284" s="116">
        <v>3.82019308682582</v>
      </c>
      <c r="F1284" s="116">
        <v>251</v>
      </c>
      <c r="G1284">
        <v>2154</v>
      </c>
      <c r="H1284" s="116"/>
      <c r="I1284" s="116"/>
      <c r="L1284" s="170">
        <v>43895</v>
      </c>
      <c r="M1284" s="116">
        <v>480</v>
      </c>
      <c r="N1284" s="116">
        <v>484.4</v>
      </c>
      <c r="O1284" s="116">
        <v>473</v>
      </c>
      <c r="P1284" s="116">
        <v>478</v>
      </c>
      <c r="Q1284" s="116">
        <v>480</v>
      </c>
      <c r="R1284">
        <v>183826</v>
      </c>
    </row>
    <row r="1285" spans="1:18" x14ac:dyDescent="0.25">
      <c r="A1285" s="170">
        <v>43899</v>
      </c>
      <c r="B1285" s="116">
        <v>4.2747517169746603</v>
      </c>
      <c r="C1285" s="116">
        <v>3.7726782474374398</v>
      </c>
      <c r="D1285" s="116">
        <v>3.5699482660470099</v>
      </c>
      <c r="E1285" s="116">
        <v>4.2747517169746603</v>
      </c>
      <c r="F1285" s="116">
        <v>238.2</v>
      </c>
      <c r="G1285">
        <v>4499</v>
      </c>
      <c r="H1285" s="116"/>
      <c r="I1285" s="116"/>
      <c r="L1285" s="170">
        <v>43896</v>
      </c>
      <c r="M1285" s="116">
        <v>464.45</v>
      </c>
      <c r="N1285" s="116">
        <v>471.9</v>
      </c>
      <c r="O1285" s="116">
        <v>440.05</v>
      </c>
      <c r="P1285" s="116">
        <v>470</v>
      </c>
      <c r="Q1285" s="116">
        <v>464.45</v>
      </c>
      <c r="R1285">
        <v>275087</v>
      </c>
    </row>
    <row r="1286" spans="1:18" x14ac:dyDescent="0.25">
      <c r="A1286" s="170">
        <v>43901</v>
      </c>
      <c r="B1286" s="116">
        <v>3.9057197977249101</v>
      </c>
      <c r="C1286" s="116">
        <v>3.7560480536515102</v>
      </c>
      <c r="D1286" s="116">
        <v>3.7219957520898301</v>
      </c>
      <c r="E1286" s="116">
        <v>3.8344475386423298</v>
      </c>
      <c r="F1286" s="116">
        <v>237.15</v>
      </c>
      <c r="G1286">
        <v>1969</v>
      </c>
      <c r="H1286" s="116"/>
      <c r="I1286" s="116"/>
      <c r="L1286" s="170">
        <v>43899</v>
      </c>
      <c r="M1286" s="116">
        <v>428</v>
      </c>
      <c r="N1286" s="116">
        <v>459.65</v>
      </c>
      <c r="O1286" s="116">
        <v>416.25</v>
      </c>
      <c r="P1286" s="116">
        <v>455</v>
      </c>
      <c r="Q1286" s="116">
        <v>428</v>
      </c>
      <c r="R1286">
        <v>560611</v>
      </c>
    </row>
    <row r="1287" spans="1:18" x14ac:dyDescent="0.25">
      <c r="A1287" s="170">
        <v>43902</v>
      </c>
      <c r="B1287" s="116">
        <v>3.7061574722937101</v>
      </c>
      <c r="C1287" s="116">
        <v>3.37196976859543</v>
      </c>
      <c r="D1287" s="116">
        <v>3.19933251881764</v>
      </c>
      <c r="E1287" s="116">
        <v>3.4305714038411002</v>
      </c>
      <c r="F1287" s="116">
        <v>212.9</v>
      </c>
      <c r="G1287">
        <v>7961</v>
      </c>
      <c r="H1287" s="116"/>
      <c r="I1287" s="116"/>
      <c r="L1287" s="170">
        <v>43901</v>
      </c>
      <c r="M1287" s="116">
        <v>419</v>
      </c>
      <c r="N1287" s="116">
        <v>445.9</v>
      </c>
      <c r="O1287" s="116">
        <v>404.6</v>
      </c>
      <c r="P1287" s="116">
        <v>416.5</v>
      </c>
      <c r="Q1287" s="116">
        <v>419</v>
      </c>
      <c r="R1287">
        <v>485012</v>
      </c>
    </row>
    <row r="1288" spans="1:18" x14ac:dyDescent="0.25">
      <c r="A1288" s="170">
        <v>43903</v>
      </c>
      <c r="B1288" s="116">
        <v>3.9429397552458001</v>
      </c>
      <c r="C1288" s="116">
        <v>3.2674371219409899</v>
      </c>
      <c r="D1288" s="116">
        <v>2.8588095032009102</v>
      </c>
      <c r="E1288" s="116">
        <v>2.8588095032009102</v>
      </c>
      <c r="F1288" s="116">
        <v>206.3</v>
      </c>
      <c r="G1288">
        <v>4247</v>
      </c>
      <c r="H1288" s="116"/>
      <c r="I1288" s="116"/>
      <c r="L1288" s="170">
        <v>43902</v>
      </c>
      <c r="M1288" s="116">
        <v>398.6</v>
      </c>
      <c r="N1288" s="116">
        <v>433.5</v>
      </c>
      <c r="O1288" s="116">
        <v>336.1</v>
      </c>
      <c r="P1288" s="116">
        <v>405</v>
      </c>
      <c r="Q1288" s="116">
        <v>398.6</v>
      </c>
      <c r="R1288">
        <v>671681</v>
      </c>
    </row>
    <row r="1289" spans="1:18" x14ac:dyDescent="0.25">
      <c r="A1289" s="170">
        <v>43906</v>
      </c>
      <c r="B1289" s="116">
        <v>3.3418770369827899</v>
      </c>
      <c r="C1289" s="116">
        <v>3.0781696783772698</v>
      </c>
      <c r="D1289" s="116">
        <v>2.9459200420796101</v>
      </c>
      <c r="E1289" s="116">
        <v>3.3418770369827899</v>
      </c>
      <c r="F1289" s="116">
        <v>194.35</v>
      </c>
      <c r="G1289">
        <v>7989</v>
      </c>
      <c r="H1289" s="116"/>
      <c r="I1289" s="116"/>
      <c r="L1289" s="170">
        <v>43903</v>
      </c>
      <c r="M1289" s="116">
        <v>397.1</v>
      </c>
      <c r="N1289" s="116">
        <v>418.05</v>
      </c>
      <c r="O1289" s="116">
        <v>320.10000000000002</v>
      </c>
      <c r="P1289" s="116">
        <v>341</v>
      </c>
      <c r="Q1289" s="116">
        <v>397.1</v>
      </c>
      <c r="R1289">
        <v>350245</v>
      </c>
    </row>
    <row r="1290" spans="1:18" x14ac:dyDescent="0.25">
      <c r="A1290" s="170">
        <v>43907</v>
      </c>
      <c r="B1290" s="116">
        <v>3.1676559592253901</v>
      </c>
      <c r="C1290" s="116">
        <v>3.1248926037758502</v>
      </c>
      <c r="D1290" s="116">
        <v>2.9870995695495401</v>
      </c>
      <c r="E1290" s="116">
        <v>2.9870995695495401</v>
      </c>
      <c r="F1290" s="116">
        <v>197.3</v>
      </c>
      <c r="G1290">
        <v>1706</v>
      </c>
      <c r="H1290" s="116"/>
      <c r="I1290" s="116"/>
      <c r="L1290" s="170">
        <v>43906</v>
      </c>
      <c r="M1290" s="116">
        <v>363.2</v>
      </c>
      <c r="N1290" s="116">
        <v>379.9</v>
      </c>
      <c r="O1290" s="116">
        <v>357.35</v>
      </c>
      <c r="P1290" s="116">
        <v>366.55</v>
      </c>
      <c r="Q1290" s="116">
        <v>363.2</v>
      </c>
      <c r="R1290">
        <v>227491</v>
      </c>
    </row>
    <row r="1291" spans="1:18" x14ac:dyDescent="0.25">
      <c r="A1291" s="170">
        <v>43908</v>
      </c>
      <c r="B1291" s="116">
        <v>3.2310090784099001</v>
      </c>
      <c r="C1291" s="116">
        <v>2.8279248575984699</v>
      </c>
      <c r="D1291" s="116">
        <v>2.6766692855454499</v>
      </c>
      <c r="E1291" s="116">
        <v>2.9308736762732899</v>
      </c>
      <c r="F1291" s="116">
        <v>178.55</v>
      </c>
      <c r="G1291">
        <v>5305</v>
      </c>
      <c r="H1291" s="116"/>
      <c r="I1291" s="116"/>
      <c r="L1291" s="170">
        <v>43907</v>
      </c>
      <c r="M1291" s="116">
        <v>363</v>
      </c>
      <c r="N1291" s="116">
        <v>367.8</v>
      </c>
      <c r="O1291" s="116">
        <v>350</v>
      </c>
      <c r="P1291" s="116">
        <v>363.2</v>
      </c>
      <c r="Q1291" s="116">
        <v>363</v>
      </c>
      <c r="R1291">
        <v>407792</v>
      </c>
    </row>
    <row r="1292" spans="1:18" x14ac:dyDescent="0.25">
      <c r="A1292" s="170">
        <v>43909</v>
      </c>
      <c r="B1292" s="116">
        <v>2.95938257990632</v>
      </c>
      <c r="C1292" s="116">
        <v>2.88890223481356</v>
      </c>
      <c r="D1292" s="116">
        <v>2.5507549611662501</v>
      </c>
      <c r="E1292" s="116">
        <v>2.5578821870745001</v>
      </c>
      <c r="F1292" s="116">
        <v>182.4</v>
      </c>
      <c r="G1292">
        <v>4793</v>
      </c>
      <c r="H1292" s="116"/>
      <c r="I1292" s="116"/>
      <c r="L1292" s="170">
        <v>43908</v>
      </c>
      <c r="M1292" s="116">
        <v>331.6</v>
      </c>
      <c r="N1292" s="116">
        <v>369.95</v>
      </c>
      <c r="O1292" s="116">
        <v>318.14999999999998</v>
      </c>
      <c r="P1292" s="116">
        <v>363</v>
      </c>
      <c r="Q1292" s="116">
        <v>331.6</v>
      </c>
      <c r="R1292">
        <v>421641</v>
      </c>
    </row>
    <row r="1293" spans="1:18" x14ac:dyDescent="0.25">
      <c r="A1293" s="170">
        <v>43910</v>
      </c>
      <c r="B1293" s="116">
        <v>3.0164003871723799</v>
      </c>
      <c r="C1293" s="116">
        <v>2.93008176228349</v>
      </c>
      <c r="D1293" s="116">
        <v>2.7716989643222201</v>
      </c>
      <c r="E1293" s="116">
        <v>2.86672864309898</v>
      </c>
      <c r="F1293" s="116">
        <v>185</v>
      </c>
      <c r="G1293">
        <v>15456</v>
      </c>
      <c r="H1293" s="116"/>
      <c r="I1293" s="116"/>
      <c r="L1293" s="170">
        <v>43909</v>
      </c>
      <c r="M1293" s="116">
        <v>319.75</v>
      </c>
      <c r="N1293" s="116">
        <v>342.95</v>
      </c>
      <c r="O1293" s="116">
        <v>266</v>
      </c>
      <c r="P1293" s="116">
        <v>296</v>
      </c>
      <c r="Q1293" s="116">
        <v>319.75</v>
      </c>
      <c r="R1293">
        <v>845755</v>
      </c>
    </row>
    <row r="1294" spans="1:18" x14ac:dyDescent="0.25">
      <c r="A1294" s="170">
        <v>43913</v>
      </c>
      <c r="B1294" s="116">
        <v>3.1359793996331402</v>
      </c>
      <c r="C1294" s="116">
        <v>2.6093565964119101</v>
      </c>
      <c r="D1294" s="116">
        <v>2.4074185290112999</v>
      </c>
      <c r="E1294" s="116">
        <v>2.8984052026912299</v>
      </c>
      <c r="F1294" s="116">
        <v>164.75</v>
      </c>
      <c r="G1294">
        <v>3255</v>
      </c>
      <c r="H1294" s="116"/>
      <c r="I1294" s="116"/>
      <c r="L1294" s="170">
        <v>43910</v>
      </c>
      <c r="M1294" s="116">
        <v>335.7</v>
      </c>
      <c r="N1294" s="116">
        <v>347.4</v>
      </c>
      <c r="O1294" s="116">
        <v>310.25</v>
      </c>
      <c r="P1294" s="116">
        <v>320.39999999999998</v>
      </c>
      <c r="Q1294" s="116">
        <v>335.7</v>
      </c>
      <c r="R1294">
        <v>583965</v>
      </c>
    </row>
    <row r="1295" spans="1:18" x14ac:dyDescent="0.25">
      <c r="A1295" s="170">
        <v>43914</v>
      </c>
      <c r="B1295" s="116">
        <v>2.80020786795524</v>
      </c>
      <c r="C1295" s="116">
        <v>2.6069808544424999</v>
      </c>
      <c r="D1295" s="116">
        <v>2.5182864875841799</v>
      </c>
      <c r="E1295" s="116">
        <v>2.6608310057493298</v>
      </c>
      <c r="F1295" s="116">
        <v>164.6</v>
      </c>
      <c r="G1295">
        <v>2146</v>
      </c>
      <c r="H1295" s="116"/>
      <c r="I1295" s="116"/>
      <c r="L1295" s="170">
        <v>43913</v>
      </c>
      <c r="M1295" s="116">
        <v>283.10000000000002</v>
      </c>
      <c r="N1295" s="116">
        <v>316.5</v>
      </c>
      <c r="O1295" s="116">
        <v>268.60000000000002</v>
      </c>
      <c r="P1295" s="116">
        <v>300</v>
      </c>
      <c r="Q1295" s="116">
        <v>283.10000000000002</v>
      </c>
      <c r="R1295">
        <v>553636</v>
      </c>
    </row>
    <row r="1296" spans="1:18" x14ac:dyDescent="0.25">
      <c r="A1296" s="170">
        <v>43915</v>
      </c>
      <c r="B1296" s="116">
        <v>3.0243195270704399</v>
      </c>
      <c r="C1296" s="116">
        <v>2.7321032648318999</v>
      </c>
      <c r="D1296" s="116">
        <v>2.3757419694190398</v>
      </c>
      <c r="E1296" s="116">
        <v>2.4074185290112999</v>
      </c>
      <c r="F1296" s="116">
        <v>172.5</v>
      </c>
      <c r="G1296">
        <v>7850</v>
      </c>
      <c r="H1296" s="116"/>
      <c r="I1296" s="116"/>
      <c r="L1296" s="170">
        <v>43914</v>
      </c>
      <c r="M1296" s="116">
        <v>288.95</v>
      </c>
      <c r="N1296" s="116">
        <v>304.39999999999998</v>
      </c>
      <c r="O1296" s="116">
        <v>264.10000000000002</v>
      </c>
      <c r="P1296" s="116">
        <v>290.7</v>
      </c>
      <c r="Q1296" s="116">
        <v>288.95</v>
      </c>
      <c r="R1296">
        <v>345082</v>
      </c>
    </row>
    <row r="1297" spans="1:18" x14ac:dyDescent="0.25">
      <c r="A1297" s="170">
        <v>43916</v>
      </c>
      <c r="B1297" s="116">
        <v>3.0559960866626898</v>
      </c>
      <c r="C1297" s="116">
        <v>2.9316655902630999</v>
      </c>
      <c r="D1297" s="116">
        <v>2.7724908783120199</v>
      </c>
      <c r="E1297" s="116">
        <v>3.0092731612641201</v>
      </c>
      <c r="F1297" s="116">
        <v>185.1</v>
      </c>
      <c r="G1297">
        <v>750</v>
      </c>
      <c r="H1297" s="116"/>
      <c r="I1297" s="116"/>
      <c r="L1297" s="170">
        <v>43915</v>
      </c>
      <c r="M1297" s="116">
        <v>301.60000000000002</v>
      </c>
      <c r="N1297" s="116">
        <v>305.85000000000002</v>
      </c>
      <c r="O1297" s="116">
        <v>275.45</v>
      </c>
      <c r="P1297" s="116">
        <v>283</v>
      </c>
      <c r="Q1297" s="116">
        <v>301.60000000000002</v>
      </c>
      <c r="R1297">
        <v>207322</v>
      </c>
    </row>
    <row r="1298" spans="1:18" x14ac:dyDescent="0.25">
      <c r="A1298" s="170">
        <v>43917</v>
      </c>
      <c r="B1298" s="116">
        <v>3.0559960866626898</v>
      </c>
      <c r="C1298" s="116">
        <v>2.6283625321672699</v>
      </c>
      <c r="D1298" s="116">
        <v>2.5341247673803098</v>
      </c>
      <c r="E1298" s="116">
        <v>3.0559960866626898</v>
      </c>
      <c r="F1298" s="116">
        <v>165.95</v>
      </c>
      <c r="G1298">
        <v>5505</v>
      </c>
      <c r="H1298" s="116"/>
      <c r="I1298" s="116"/>
      <c r="L1298" s="170">
        <v>43916</v>
      </c>
      <c r="M1298" s="116">
        <v>308.55</v>
      </c>
      <c r="N1298" s="116">
        <v>348.9</v>
      </c>
      <c r="O1298" s="116">
        <v>300.7</v>
      </c>
      <c r="P1298" s="116">
        <v>301</v>
      </c>
      <c r="Q1298" s="116">
        <v>308.55</v>
      </c>
      <c r="R1298">
        <v>653135</v>
      </c>
    </row>
    <row r="1299" spans="1:18" x14ac:dyDescent="0.25">
      <c r="A1299" s="170">
        <v>43920</v>
      </c>
      <c r="B1299" s="116">
        <v>2.6917156513517702</v>
      </c>
      <c r="C1299" s="116">
        <v>2.48581801400212</v>
      </c>
      <c r="D1299" s="116">
        <v>2.2173591714577698</v>
      </c>
      <c r="E1299" s="116">
        <v>2.6766692855454499</v>
      </c>
      <c r="F1299" s="116">
        <v>156.94999999999999</v>
      </c>
      <c r="G1299">
        <v>6287</v>
      </c>
      <c r="H1299" s="116"/>
      <c r="I1299" s="116"/>
      <c r="L1299" s="170">
        <v>43917</v>
      </c>
      <c r="M1299" s="116">
        <v>305.3</v>
      </c>
      <c r="N1299" s="116">
        <v>337.75</v>
      </c>
      <c r="O1299" s="116">
        <v>295.75</v>
      </c>
      <c r="P1299" s="116">
        <v>320</v>
      </c>
      <c r="Q1299" s="116">
        <v>305.3</v>
      </c>
      <c r="R1299">
        <v>280615</v>
      </c>
    </row>
    <row r="1300" spans="1:18" x14ac:dyDescent="0.25">
      <c r="A1300" s="170">
        <v>43921</v>
      </c>
      <c r="B1300" s="116">
        <v>2.76298791043435</v>
      </c>
      <c r="C1300" s="116">
        <v>2.6172757363099799</v>
      </c>
      <c r="D1300" s="116">
        <v>2.5024482077880599</v>
      </c>
      <c r="E1300" s="116">
        <v>2.5024482077880599</v>
      </c>
      <c r="F1300" s="116">
        <v>165.25</v>
      </c>
      <c r="G1300">
        <v>565</v>
      </c>
      <c r="H1300" s="116"/>
      <c r="I1300" s="116"/>
      <c r="L1300" s="170">
        <v>43920</v>
      </c>
      <c r="M1300" s="116">
        <v>286.25</v>
      </c>
      <c r="N1300" s="116">
        <v>298.55</v>
      </c>
      <c r="O1300" s="116">
        <v>281.39999999999998</v>
      </c>
      <c r="P1300" s="116">
        <v>284.10000000000002</v>
      </c>
      <c r="Q1300" s="116">
        <v>286.25</v>
      </c>
      <c r="R1300">
        <v>184906</v>
      </c>
    </row>
    <row r="1301" spans="1:18" x14ac:dyDescent="0.25">
      <c r="A1301" s="170">
        <v>43922</v>
      </c>
      <c r="B1301" s="116">
        <v>2.85484993325188</v>
      </c>
      <c r="C1301" s="116">
        <v>2.7336870928115098</v>
      </c>
      <c r="D1301" s="116">
        <v>2.5499630471764401</v>
      </c>
      <c r="E1301" s="116">
        <v>2.6449927259532</v>
      </c>
      <c r="F1301" s="116">
        <v>172.6</v>
      </c>
      <c r="G1301">
        <v>1052</v>
      </c>
      <c r="H1301" s="116"/>
      <c r="I1301" s="116"/>
      <c r="L1301" s="170">
        <v>43921</v>
      </c>
      <c r="M1301" s="116">
        <v>279.05</v>
      </c>
      <c r="N1301" s="116">
        <v>301</v>
      </c>
      <c r="O1301" s="116">
        <v>276.2</v>
      </c>
      <c r="P1301" s="116">
        <v>301</v>
      </c>
      <c r="Q1301" s="116">
        <v>279.05</v>
      </c>
      <c r="R1301">
        <v>309579</v>
      </c>
    </row>
    <row r="1302" spans="1:18" x14ac:dyDescent="0.25">
      <c r="A1302" s="170">
        <v>43924</v>
      </c>
      <c r="B1302" s="116">
        <v>2.6766692855454499</v>
      </c>
      <c r="C1302" s="116">
        <v>2.66637440367797</v>
      </c>
      <c r="D1302" s="116">
        <v>2.5832234347483101</v>
      </c>
      <c r="E1302" s="116">
        <v>2.6291544461570702</v>
      </c>
      <c r="F1302" s="116">
        <v>168.35</v>
      </c>
      <c r="G1302">
        <v>328</v>
      </c>
      <c r="H1302" s="116"/>
      <c r="I1302" s="116"/>
      <c r="L1302" s="170">
        <v>43922</v>
      </c>
      <c r="M1302" s="116">
        <v>275</v>
      </c>
      <c r="N1302" s="116">
        <v>287</v>
      </c>
      <c r="O1302" s="116">
        <v>271.3</v>
      </c>
      <c r="P1302" s="116">
        <v>275.2</v>
      </c>
      <c r="Q1302" s="116">
        <v>275</v>
      </c>
      <c r="R1302">
        <v>162682</v>
      </c>
    </row>
    <row r="1303" spans="1:18" x14ac:dyDescent="0.25">
      <c r="A1303" s="170">
        <v>43928</v>
      </c>
      <c r="B1303" s="116">
        <v>2.9221626223854198</v>
      </c>
      <c r="C1303" s="116">
        <v>2.84138739542517</v>
      </c>
      <c r="D1303" s="116">
        <v>2.7400224047299599</v>
      </c>
      <c r="E1303" s="116">
        <v>2.7400224047299599</v>
      </c>
      <c r="F1303" s="116">
        <v>179.4</v>
      </c>
      <c r="G1303">
        <v>1481</v>
      </c>
      <c r="H1303" s="116"/>
      <c r="I1303" s="116"/>
      <c r="L1303" s="170">
        <v>43924</v>
      </c>
      <c r="M1303" s="116">
        <v>263.2</v>
      </c>
      <c r="N1303" s="116">
        <v>278.64999999999998</v>
      </c>
      <c r="O1303" s="116">
        <v>253.3</v>
      </c>
      <c r="P1303" s="116">
        <v>275.8</v>
      </c>
      <c r="Q1303" s="116">
        <v>263.2</v>
      </c>
      <c r="R1303">
        <v>456486</v>
      </c>
    </row>
    <row r="1304" spans="1:18" x14ac:dyDescent="0.25">
      <c r="A1304" s="170">
        <v>43929</v>
      </c>
      <c r="B1304" s="116">
        <v>2.93008176228349</v>
      </c>
      <c r="C1304" s="116">
        <v>2.86593672910917</v>
      </c>
      <c r="D1304" s="116">
        <v>2.8350520835067199</v>
      </c>
      <c r="E1304" s="116">
        <v>2.8984052026912299</v>
      </c>
      <c r="F1304" s="116">
        <v>180.95</v>
      </c>
      <c r="G1304">
        <v>4470</v>
      </c>
      <c r="H1304" s="116"/>
      <c r="I1304" s="116"/>
      <c r="L1304" s="170">
        <v>43928</v>
      </c>
      <c r="M1304" s="116">
        <v>274.64999999999998</v>
      </c>
      <c r="N1304" s="116">
        <v>278.8</v>
      </c>
      <c r="O1304" s="116">
        <v>258.05</v>
      </c>
      <c r="P1304" s="116">
        <v>269.25</v>
      </c>
      <c r="Q1304" s="116">
        <v>274.64999999999998</v>
      </c>
      <c r="R1304">
        <v>473914</v>
      </c>
    </row>
    <row r="1305" spans="1:18" x14ac:dyDescent="0.25">
      <c r="A1305" s="170">
        <v>43930</v>
      </c>
      <c r="B1305" s="116">
        <v>2.9142434824873602</v>
      </c>
      <c r="C1305" s="116">
        <v>2.9047405146096801</v>
      </c>
      <c r="D1305" s="116">
        <v>2.7804100182100902</v>
      </c>
      <c r="E1305" s="116">
        <v>2.8825669228951001</v>
      </c>
      <c r="F1305" s="116">
        <v>183.4</v>
      </c>
      <c r="G1305">
        <v>2202</v>
      </c>
      <c r="H1305" s="116"/>
      <c r="I1305" s="116"/>
      <c r="L1305" s="170">
        <v>43929</v>
      </c>
      <c r="M1305" s="116">
        <v>283.39999999999998</v>
      </c>
      <c r="N1305" s="116">
        <v>302</v>
      </c>
      <c r="O1305" s="116">
        <v>269</v>
      </c>
      <c r="P1305" s="116">
        <v>275</v>
      </c>
      <c r="Q1305" s="116">
        <v>283.39999999999998</v>
      </c>
      <c r="R1305">
        <v>603068</v>
      </c>
    </row>
    <row r="1306" spans="1:18" x14ac:dyDescent="0.25">
      <c r="A1306" s="170">
        <v>43934</v>
      </c>
      <c r="B1306" s="116">
        <v>2.93008176228349</v>
      </c>
      <c r="C1306" s="116">
        <v>2.8833588368849101</v>
      </c>
      <c r="D1306" s="116">
        <v>2.8508903633028502</v>
      </c>
      <c r="E1306" s="116">
        <v>2.90632434258929</v>
      </c>
      <c r="F1306" s="116">
        <v>182.05</v>
      </c>
      <c r="G1306">
        <v>4728</v>
      </c>
      <c r="H1306" s="116"/>
      <c r="I1306" s="116"/>
      <c r="L1306" s="170">
        <v>43930</v>
      </c>
      <c r="M1306" s="116">
        <v>284.3</v>
      </c>
      <c r="N1306" s="116">
        <v>291.85000000000002</v>
      </c>
      <c r="O1306" s="116">
        <v>279</v>
      </c>
      <c r="P1306" s="116">
        <v>284.95</v>
      </c>
      <c r="Q1306" s="116">
        <v>284.3</v>
      </c>
      <c r="R1306">
        <v>607661</v>
      </c>
    </row>
    <row r="1307" spans="1:18" x14ac:dyDescent="0.25">
      <c r="A1307" s="170">
        <v>43936</v>
      </c>
      <c r="B1307" s="116">
        <v>3.0805454203466902</v>
      </c>
      <c r="C1307" s="116">
        <v>2.9126596545077499</v>
      </c>
      <c r="D1307" s="116">
        <v>2.8445550513844</v>
      </c>
      <c r="E1307" s="116">
        <v>2.8833588368849101</v>
      </c>
      <c r="F1307" s="116">
        <v>183.9</v>
      </c>
      <c r="G1307">
        <v>1694</v>
      </c>
      <c r="H1307" s="116"/>
      <c r="I1307" s="116"/>
      <c r="L1307" s="170">
        <v>43934</v>
      </c>
      <c r="M1307" s="116">
        <v>267.45</v>
      </c>
      <c r="N1307" s="116">
        <v>288.95</v>
      </c>
      <c r="O1307" s="116">
        <v>264.05</v>
      </c>
      <c r="P1307" s="116">
        <v>288.95</v>
      </c>
      <c r="Q1307" s="116">
        <v>267.45</v>
      </c>
      <c r="R1307">
        <v>353033</v>
      </c>
    </row>
    <row r="1308" spans="1:18" x14ac:dyDescent="0.25">
      <c r="A1308" s="170">
        <v>43937</v>
      </c>
      <c r="B1308" s="116">
        <v>3.0401578068665698</v>
      </c>
      <c r="C1308" s="116">
        <v>2.9554230099572898</v>
      </c>
      <c r="D1308" s="116">
        <v>2.5824315207585</v>
      </c>
      <c r="E1308" s="116">
        <v>2.7724908783120199</v>
      </c>
      <c r="F1308" s="116">
        <v>186.6</v>
      </c>
      <c r="G1308">
        <v>320</v>
      </c>
      <c r="H1308" s="116"/>
      <c r="I1308" s="116"/>
      <c r="L1308" s="170">
        <v>43936</v>
      </c>
      <c r="M1308" s="116">
        <v>270.14999999999998</v>
      </c>
      <c r="N1308" s="116">
        <v>277.95</v>
      </c>
      <c r="O1308" s="116">
        <v>266</v>
      </c>
      <c r="P1308" s="116">
        <v>269</v>
      </c>
      <c r="Q1308" s="116">
        <v>270.14999999999998</v>
      </c>
      <c r="R1308">
        <v>283528</v>
      </c>
    </row>
    <row r="1309" spans="1:18" x14ac:dyDescent="0.25">
      <c r="A1309" s="170">
        <v>43938</v>
      </c>
      <c r="B1309" s="116">
        <v>2.96175832187574</v>
      </c>
      <c r="C1309" s="116">
        <v>2.93008176228349</v>
      </c>
      <c r="D1309" s="116">
        <v>2.8508903633028502</v>
      </c>
      <c r="E1309" s="116">
        <v>2.96175832187574</v>
      </c>
      <c r="F1309" s="116">
        <v>185</v>
      </c>
      <c r="G1309">
        <v>4524</v>
      </c>
      <c r="H1309" s="116"/>
      <c r="I1309" s="116"/>
      <c r="L1309" s="170">
        <v>43937</v>
      </c>
      <c r="M1309" s="116">
        <v>284.5</v>
      </c>
      <c r="N1309" s="116">
        <v>288.39999999999998</v>
      </c>
      <c r="O1309" s="116">
        <v>265.5</v>
      </c>
      <c r="P1309" s="116">
        <v>268</v>
      </c>
      <c r="Q1309" s="116">
        <v>284.5</v>
      </c>
      <c r="R1309">
        <v>426973</v>
      </c>
    </row>
    <row r="1310" spans="1:18" x14ac:dyDescent="0.25">
      <c r="A1310" s="170">
        <v>43941</v>
      </c>
      <c r="B1310" s="116">
        <v>3.08767264625495</v>
      </c>
      <c r="C1310" s="116">
        <v>2.9657178918247702</v>
      </c>
      <c r="D1310" s="116">
        <v>2.8999890306708398</v>
      </c>
      <c r="E1310" s="116">
        <v>2.93008176228349</v>
      </c>
      <c r="F1310" s="116">
        <v>187.25</v>
      </c>
      <c r="G1310">
        <v>804</v>
      </c>
      <c r="H1310" s="116"/>
      <c r="I1310" s="116"/>
      <c r="L1310" s="170">
        <v>43938</v>
      </c>
      <c r="M1310" s="116">
        <v>307.85000000000002</v>
      </c>
      <c r="N1310" s="116">
        <v>312</v>
      </c>
      <c r="O1310" s="116">
        <v>286.10000000000002</v>
      </c>
      <c r="P1310" s="116">
        <v>293.75</v>
      </c>
      <c r="Q1310" s="116">
        <v>307.85000000000002</v>
      </c>
      <c r="R1310">
        <v>2389268</v>
      </c>
    </row>
    <row r="1311" spans="1:18" x14ac:dyDescent="0.25">
      <c r="A1311" s="170">
        <v>43942</v>
      </c>
      <c r="B1311" s="116">
        <v>2.99264296747819</v>
      </c>
      <c r="C1311" s="116">
        <v>2.9189949664262</v>
      </c>
      <c r="D1311" s="116">
        <v>2.7716989643222201</v>
      </c>
      <c r="E1311" s="116">
        <v>2.8841507508747202</v>
      </c>
      <c r="F1311" s="116">
        <v>184.3</v>
      </c>
      <c r="G1311">
        <v>1538</v>
      </c>
      <c r="H1311" s="116"/>
      <c r="I1311" s="116"/>
      <c r="L1311" s="170">
        <v>43941</v>
      </c>
      <c r="M1311" s="116">
        <v>311.35000000000002</v>
      </c>
      <c r="N1311" s="116">
        <v>320.7</v>
      </c>
      <c r="O1311" s="116">
        <v>303.3</v>
      </c>
      <c r="P1311" s="116">
        <v>312.5</v>
      </c>
      <c r="Q1311" s="116">
        <v>311.35000000000002</v>
      </c>
      <c r="R1311">
        <v>1221919</v>
      </c>
    </row>
    <row r="1312" spans="1:18" x14ac:dyDescent="0.25">
      <c r="A1312" s="170">
        <v>43943</v>
      </c>
      <c r="B1312" s="116">
        <v>2.93008176228349</v>
      </c>
      <c r="C1312" s="116">
        <v>2.8390116534557599</v>
      </c>
      <c r="D1312" s="116">
        <v>2.8192138037105998</v>
      </c>
      <c r="E1312" s="116">
        <v>2.8508903633028502</v>
      </c>
      <c r="F1312" s="116">
        <v>179.25</v>
      </c>
      <c r="G1312">
        <v>99</v>
      </c>
      <c r="H1312" s="116"/>
      <c r="I1312" s="116"/>
      <c r="L1312" s="170">
        <v>43942</v>
      </c>
      <c r="M1312" s="116">
        <v>291.3</v>
      </c>
      <c r="N1312" s="116">
        <v>302.85000000000002</v>
      </c>
      <c r="O1312" s="116">
        <v>285</v>
      </c>
      <c r="P1312" s="116">
        <v>300.2</v>
      </c>
      <c r="Q1312" s="116">
        <v>291.3</v>
      </c>
      <c r="R1312">
        <v>329873</v>
      </c>
    </row>
    <row r="1313" spans="1:18" x14ac:dyDescent="0.25">
      <c r="A1313" s="170">
        <v>43944</v>
      </c>
      <c r="B1313" s="116">
        <v>3.1185572918574</v>
      </c>
      <c r="C1313" s="116">
        <v>2.8976132887014199</v>
      </c>
      <c r="D1313" s="116">
        <v>2.85247419128246</v>
      </c>
      <c r="E1313" s="116">
        <v>3.1185572918574</v>
      </c>
      <c r="F1313" s="116">
        <v>182.95</v>
      </c>
      <c r="G1313">
        <v>631</v>
      </c>
      <c r="H1313" s="116"/>
      <c r="I1313" s="116"/>
      <c r="L1313" s="170">
        <v>43943</v>
      </c>
      <c r="M1313" s="116">
        <v>290.89999999999998</v>
      </c>
      <c r="N1313" s="116">
        <v>294.89999999999998</v>
      </c>
      <c r="O1313" s="116">
        <v>285.25</v>
      </c>
      <c r="P1313" s="116">
        <v>291.3</v>
      </c>
      <c r="Q1313" s="116">
        <v>290.89999999999998</v>
      </c>
      <c r="R1313">
        <v>186696</v>
      </c>
    </row>
    <row r="1314" spans="1:18" x14ac:dyDescent="0.25">
      <c r="A1314" s="170">
        <v>43945</v>
      </c>
      <c r="B1314" s="116">
        <v>2.93008176228349</v>
      </c>
      <c r="C1314" s="116">
        <v>2.8469307933538199</v>
      </c>
      <c r="D1314" s="116">
        <v>2.8231733736596301</v>
      </c>
      <c r="E1314" s="116">
        <v>2.8683124710785899</v>
      </c>
      <c r="F1314" s="116">
        <v>179.75</v>
      </c>
      <c r="G1314">
        <v>748</v>
      </c>
      <c r="H1314" s="116"/>
      <c r="I1314" s="116"/>
      <c r="L1314" s="170">
        <v>43944</v>
      </c>
      <c r="M1314" s="116">
        <v>312.25</v>
      </c>
      <c r="N1314" s="116">
        <v>317</v>
      </c>
      <c r="O1314" s="116">
        <v>293</v>
      </c>
      <c r="P1314" s="116">
        <v>293</v>
      </c>
      <c r="Q1314" s="116">
        <v>312.25</v>
      </c>
      <c r="R1314">
        <v>776685</v>
      </c>
    </row>
    <row r="1315" spans="1:18" x14ac:dyDescent="0.25">
      <c r="A1315" s="170">
        <v>43948</v>
      </c>
      <c r="B1315" s="116">
        <v>2.9142434824873602</v>
      </c>
      <c r="C1315" s="116">
        <v>2.8984052026912299</v>
      </c>
      <c r="D1315" s="116">
        <v>2.7883291581081502</v>
      </c>
      <c r="E1315" s="116">
        <v>2.7883291581081502</v>
      </c>
      <c r="F1315" s="116">
        <v>183</v>
      </c>
      <c r="G1315">
        <v>510</v>
      </c>
      <c r="H1315" s="116"/>
      <c r="I1315" s="116"/>
      <c r="L1315" s="170">
        <v>43945</v>
      </c>
      <c r="M1315" s="116">
        <v>292.2</v>
      </c>
      <c r="N1315" s="116">
        <v>304.89999999999998</v>
      </c>
      <c r="O1315" s="116">
        <v>290</v>
      </c>
      <c r="P1315" s="116">
        <v>299.95</v>
      </c>
      <c r="Q1315" s="116">
        <v>292.2</v>
      </c>
      <c r="R1315">
        <v>319376</v>
      </c>
    </row>
    <row r="1316" spans="1:18" x14ac:dyDescent="0.25">
      <c r="A1316" s="170">
        <v>43949</v>
      </c>
      <c r="B1316" s="116">
        <v>2.93008176228349</v>
      </c>
      <c r="C1316" s="116">
        <v>2.90632434258929</v>
      </c>
      <c r="D1316" s="116">
        <v>2.85247419128246</v>
      </c>
      <c r="E1316" s="116">
        <v>2.85247419128246</v>
      </c>
      <c r="F1316" s="116">
        <v>183.5</v>
      </c>
      <c r="G1316">
        <v>511</v>
      </c>
      <c r="H1316" s="116"/>
      <c r="I1316" s="116"/>
      <c r="L1316" s="170">
        <v>43948</v>
      </c>
      <c r="M1316" s="116">
        <v>289.85000000000002</v>
      </c>
      <c r="N1316" s="116">
        <v>299.5</v>
      </c>
      <c r="O1316" s="116">
        <v>287.95</v>
      </c>
      <c r="P1316" s="116">
        <v>299</v>
      </c>
      <c r="Q1316" s="116">
        <v>289.85000000000002</v>
      </c>
      <c r="R1316">
        <v>263749</v>
      </c>
    </row>
    <row r="1317" spans="1:18" x14ac:dyDescent="0.25">
      <c r="A1317" s="170">
        <v>43950</v>
      </c>
      <c r="B1317" s="116">
        <v>3.3402932090031698</v>
      </c>
      <c r="C1317" s="116">
        <v>3.1866618949807402</v>
      </c>
      <c r="D1317" s="116">
        <v>2.6608310057493298</v>
      </c>
      <c r="E1317" s="116">
        <v>2.6608310057493298</v>
      </c>
      <c r="F1317" s="116">
        <v>201.2</v>
      </c>
      <c r="G1317">
        <v>3672</v>
      </c>
      <c r="H1317" s="116"/>
      <c r="I1317" s="116"/>
      <c r="L1317" s="170">
        <v>43949</v>
      </c>
      <c r="M1317" s="116">
        <v>309.45</v>
      </c>
      <c r="N1317" s="116">
        <v>313</v>
      </c>
      <c r="O1317" s="116">
        <v>286.39999999999998</v>
      </c>
      <c r="P1317" s="116">
        <v>295</v>
      </c>
      <c r="Q1317" s="116">
        <v>309.45</v>
      </c>
      <c r="R1317">
        <v>809300</v>
      </c>
    </row>
    <row r="1318" spans="1:18" x14ac:dyDescent="0.25">
      <c r="A1318" s="170">
        <v>43951</v>
      </c>
      <c r="B1318" s="116">
        <v>3.6428043531092</v>
      </c>
      <c r="C1318" s="116">
        <v>3.37196976859543</v>
      </c>
      <c r="D1318" s="116">
        <v>3.1716155291744199</v>
      </c>
      <c r="E1318" s="116">
        <v>3.2310090784099001</v>
      </c>
      <c r="F1318" s="116">
        <v>212.9</v>
      </c>
      <c r="G1318">
        <v>5867</v>
      </c>
      <c r="H1318" s="116"/>
      <c r="I1318" s="116"/>
      <c r="L1318" s="170">
        <v>43950</v>
      </c>
      <c r="M1318" s="116">
        <v>313.55</v>
      </c>
      <c r="N1318" s="116">
        <v>325.8</v>
      </c>
      <c r="O1318" s="116">
        <v>306.5</v>
      </c>
      <c r="P1318" s="116">
        <v>312.5</v>
      </c>
      <c r="Q1318" s="116">
        <v>313.55</v>
      </c>
      <c r="R1318">
        <v>1043579</v>
      </c>
    </row>
    <row r="1319" spans="1:18" x14ac:dyDescent="0.25">
      <c r="A1319" s="170">
        <v>43955</v>
      </c>
      <c r="B1319" s="116">
        <v>3.2452635302264099</v>
      </c>
      <c r="C1319" s="116">
        <v>3.1890376369501601</v>
      </c>
      <c r="D1319" s="116">
        <v>3.0884645602447498</v>
      </c>
      <c r="E1319" s="116">
        <v>3.1676559592253901</v>
      </c>
      <c r="F1319" s="116">
        <v>201.35</v>
      </c>
      <c r="G1319">
        <v>1419</v>
      </c>
      <c r="H1319" s="116"/>
      <c r="I1319" s="116"/>
      <c r="L1319" s="170">
        <v>43951</v>
      </c>
      <c r="M1319" s="116">
        <v>320.10000000000002</v>
      </c>
      <c r="N1319" s="116">
        <v>324.95</v>
      </c>
      <c r="O1319" s="116">
        <v>313.5</v>
      </c>
      <c r="P1319" s="116">
        <v>322</v>
      </c>
      <c r="Q1319" s="116">
        <v>320.10000000000002</v>
      </c>
      <c r="R1319">
        <v>734522</v>
      </c>
    </row>
    <row r="1320" spans="1:18" x14ac:dyDescent="0.25">
      <c r="A1320" s="170">
        <v>43956</v>
      </c>
      <c r="B1320" s="116">
        <v>3.35771531677891</v>
      </c>
      <c r="C1320" s="116">
        <v>3.1518176794292598</v>
      </c>
      <c r="D1320" s="116">
        <v>3.1438985395311998</v>
      </c>
      <c r="E1320" s="116">
        <v>3.35771531677891</v>
      </c>
      <c r="F1320" s="116">
        <v>199</v>
      </c>
      <c r="G1320">
        <v>2565</v>
      </c>
      <c r="H1320" s="116"/>
      <c r="I1320" s="116"/>
      <c r="L1320" s="170">
        <v>43955</v>
      </c>
      <c r="M1320" s="116">
        <v>300.2</v>
      </c>
      <c r="N1320" s="116">
        <v>310</v>
      </c>
      <c r="O1320" s="116">
        <v>295.85000000000002</v>
      </c>
      <c r="P1320" s="116">
        <v>304</v>
      </c>
      <c r="Q1320" s="116">
        <v>300.2</v>
      </c>
      <c r="R1320">
        <v>290205</v>
      </c>
    </row>
    <row r="1321" spans="1:18" x14ac:dyDescent="0.25">
      <c r="A1321" s="170">
        <v>43957</v>
      </c>
      <c r="B1321" s="116">
        <v>3.2626856380021501</v>
      </c>
      <c r="C1321" s="116">
        <v>3.0884645602447498</v>
      </c>
      <c r="D1321" s="116">
        <v>3.02511144106025</v>
      </c>
      <c r="E1321" s="116">
        <v>3.2626856380021501</v>
      </c>
      <c r="F1321" s="116">
        <v>195</v>
      </c>
      <c r="G1321">
        <v>1532</v>
      </c>
      <c r="H1321" s="116"/>
      <c r="I1321" s="116"/>
      <c r="L1321" s="170">
        <v>43956</v>
      </c>
      <c r="M1321" s="116">
        <v>290.75</v>
      </c>
      <c r="N1321" s="116">
        <v>308.25</v>
      </c>
      <c r="O1321" s="116">
        <v>290</v>
      </c>
      <c r="P1321" s="116">
        <v>297.05</v>
      </c>
      <c r="Q1321" s="116">
        <v>290.75</v>
      </c>
      <c r="R1321">
        <v>221646</v>
      </c>
    </row>
    <row r="1322" spans="1:18" x14ac:dyDescent="0.25">
      <c r="A1322" s="170">
        <v>43958</v>
      </c>
      <c r="B1322" s="116">
        <v>3.1676559592253901</v>
      </c>
      <c r="C1322" s="116">
        <v>3.0575799146423099</v>
      </c>
      <c r="D1322" s="116">
        <v>3.0409497208563701</v>
      </c>
      <c r="E1322" s="116">
        <v>3.1676559592253901</v>
      </c>
      <c r="F1322" s="116">
        <v>193.05</v>
      </c>
      <c r="G1322">
        <v>39341</v>
      </c>
      <c r="H1322" s="116"/>
      <c r="I1322" s="116"/>
      <c r="L1322" s="170">
        <v>43957</v>
      </c>
      <c r="M1322" s="116">
        <v>296.45</v>
      </c>
      <c r="N1322" s="116">
        <v>303.60000000000002</v>
      </c>
      <c r="O1322" s="116">
        <v>286.10000000000002</v>
      </c>
      <c r="P1322" s="116">
        <v>292.8</v>
      </c>
      <c r="Q1322" s="116">
        <v>296.45</v>
      </c>
      <c r="R1322">
        <v>370446</v>
      </c>
    </row>
    <row r="1323" spans="1:18" x14ac:dyDescent="0.25">
      <c r="A1323" s="170">
        <v>43959</v>
      </c>
      <c r="B1323" s="116">
        <v>3.3181196172886001</v>
      </c>
      <c r="C1323" s="116">
        <v>3.20250017477687</v>
      </c>
      <c r="D1323" s="116">
        <v>2.8873184068339399</v>
      </c>
      <c r="E1323" s="116">
        <v>3.3102004773905298</v>
      </c>
      <c r="F1323" s="116">
        <v>202.2</v>
      </c>
      <c r="G1323">
        <v>3812</v>
      </c>
      <c r="H1323" s="116"/>
      <c r="I1323" s="116"/>
      <c r="L1323" s="170">
        <v>43958</v>
      </c>
      <c r="M1323" s="116">
        <v>302.8</v>
      </c>
      <c r="N1323" s="116">
        <v>314.89999999999998</v>
      </c>
      <c r="O1323" s="116">
        <v>293.10000000000002</v>
      </c>
      <c r="P1323" s="116">
        <v>297</v>
      </c>
      <c r="Q1323" s="116">
        <v>302.8</v>
      </c>
      <c r="R1323">
        <v>473717</v>
      </c>
    </row>
    <row r="1324" spans="1:18" x14ac:dyDescent="0.25">
      <c r="A1324" s="170">
        <v>43962</v>
      </c>
      <c r="B1324" s="116">
        <v>3.7148685261815801</v>
      </c>
      <c r="C1324" s="116">
        <v>3.4527449955556699</v>
      </c>
      <c r="D1324" s="116">
        <v>3.26585329396138</v>
      </c>
      <c r="E1324" s="116">
        <v>3.4828377271683202</v>
      </c>
      <c r="F1324" s="116">
        <v>218</v>
      </c>
      <c r="G1324">
        <v>14257</v>
      </c>
      <c r="H1324" s="116"/>
      <c r="I1324" s="116"/>
      <c r="L1324" s="170">
        <v>43959</v>
      </c>
      <c r="M1324" s="116">
        <v>299.7</v>
      </c>
      <c r="N1324" s="116">
        <v>312.89999999999998</v>
      </c>
      <c r="O1324" s="116">
        <v>297.3</v>
      </c>
      <c r="P1324" s="116">
        <v>312.89999999999998</v>
      </c>
      <c r="Q1324" s="116">
        <v>299.7</v>
      </c>
      <c r="R1324">
        <v>251482</v>
      </c>
    </row>
    <row r="1325" spans="1:18" x14ac:dyDescent="0.25">
      <c r="A1325" s="170">
        <v>43963</v>
      </c>
      <c r="B1325" s="116">
        <v>3.4844215551479301</v>
      </c>
      <c r="C1325" s="116">
        <v>3.2793158317880802</v>
      </c>
      <c r="D1325" s="116">
        <v>3.2341767343691199</v>
      </c>
      <c r="E1325" s="116">
        <v>3.4844215551479301</v>
      </c>
      <c r="F1325" s="116">
        <v>207.05</v>
      </c>
      <c r="G1325">
        <v>3212</v>
      </c>
      <c r="H1325" s="116"/>
      <c r="I1325" s="116"/>
      <c r="L1325" s="170">
        <v>43962</v>
      </c>
      <c r="M1325" s="116">
        <v>307</v>
      </c>
      <c r="N1325" s="116">
        <v>308.75</v>
      </c>
      <c r="O1325" s="116">
        <v>298.25</v>
      </c>
      <c r="P1325" s="116">
        <v>308</v>
      </c>
      <c r="Q1325" s="116">
        <v>307</v>
      </c>
      <c r="R1325">
        <v>210591</v>
      </c>
    </row>
    <row r="1326" spans="1:18" x14ac:dyDescent="0.25">
      <c r="A1326" s="170">
        <v>43964</v>
      </c>
      <c r="B1326" s="116">
        <v>3.48362964115812</v>
      </c>
      <c r="C1326" s="116">
        <v>3.4163169520245802</v>
      </c>
      <c r="D1326" s="116">
        <v>3.2785239177982799</v>
      </c>
      <c r="E1326" s="116">
        <v>3.42106843596342</v>
      </c>
      <c r="F1326" s="116">
        <v>215.7</v>
      </c>
      <c r="G1326">
        <v>3733</v>
      </c>
      <c r="H1326" s="116"/>
      <c r="I1326" s="116"/>
      <c r="L1326" s="170">
        <v>43963</v>
      </c>
      <c r="M1326" s="116">
        <v>296</v>
      </c>
      <c r="N1326" s="116">
        <v>306</v>
      </c>
      <c r="O1326" s="116">
        <v>292.95</v>
      </c>
      <c r="P1326" s="116">
        <v>301.39999999999998</v>
      </c>
      <c r="Q1326" s="116">
        <v>296</v>
      </c>
      <c r="R1326">
        <v>200372</v>
      </c>
    </row>
    <row r="1327" spans="1:18" x14ac:dyDescent="0.25">
      <c r="A1327" s="170">
        <v>43965</v>
      </c>
      <c r="B1327" s="116">
        <v>3.4780862432294799</v>
      </c>
      <c r="C1327" s="116">
        <v>3.3339578970847201</v>
      </c>
      <c r="D1327" s="116">
        <v>3.3102004773905298</v>
      </c>
      <c r="E1327" s="116">
        <v>3.4780862432294799</v>
      </c>
      <c r="F1327" s="116">
        <v>210.5</v>
      </c>
      <c r="G1327">
        <v>2286</v>
      </c>
      <c r="H1327" s="116"/>
      <c r="I1327" s="116"/>
      <c r="L1327" s="170">
        <v>43964</v>
      </c>
      <c r="M1327" s="116">
        <v>308</v>
      </c>
      <c r="N1327" s="116">
        <v>315.8</v>
      </c>
      <c r="O1327" s="116">
        <v>300</v>
      </c>
      <c r="P1327" s="116">
        <v>309.45</v>
      </c>
      <c r="Q1327" s="116">
        <v>308</v>
      </c>
      <c r="R1327">
        <v>474491</v>
      </c>
    </row>
    <row r="1328" spans="1:18" x14ac:dyDescent="0.25">
      <c r="A1328" s="170">
        <v>43966</v>
      </c>
      <c r="B1328" s="116">
        <v>3.35771531677891</v>
      </c>
      <c r="C1328" s="116">
        <v>3.2801077457778902</v>
      </c>
      <c r="D1328" s="116">
        <v>3.2785239177982799</v>
      </c>
      <c r="E1328" s="116">
        <v>3.2793158317880802</v>
      </c>
      <c r="F1328" s="116">
        <v>207.1</v>
      </c>
      <c r="G1328">
        <v>1604</v>
      </c>
      <c r="H1328" s="116"/>
      <c r="I1328" s="116"/>
      <c r="L1328" s="170">
        <v>43965</v>
      </c>
      <c r="M1328" s="116">
        <v>303.85000000000002</v>
      </c>
      <c r="N1328" s="116">
        <v>321.7</v>
      </c>
      <c r="O1328" s="116">
        <v>300.25</v>
      </c>
      <c r="P1328" s="116">
        <v>309</v>
      </c>
      <c r="Q1328" s="116">
        <v>303.85000000000002</v>
      </c>
      <c r="R1328">
        <v>1175355</v>
      </c>
    </row>
    <row r="1329" spans="1:18" x14ac:dyDescent="0.25">
      <c r="A1329" s="170">
        <v>43969</v>
      </c>
      <c r="B1329" s="116">
        <v>3.4448258556576099</v>
      </c>
      <c r="C1329" s="116">
        <v>3.3307902411254999</v>
      </c>
      <c r="D1329" s="116">
        <v>3.2523907561346701</v>
      </c>
      <c r="E1329" s="116">
        <v>3.3260387571866601</v>
      </c>
      <c r="F1329" s="116">
        <v>210.3</v>
      </c>
      <c r="G1329">
        <v>3339</v>
      </c>
      <c r="H1329" s="116"/>
      <c r="I1329" s="116"/>
      <c r="L1329" s="170">
        <v>43966</v>
      </c>
      <c r="M1329" s="116">
        <v>295.7</v>
      </c>
      <c r="N1329" s="116">
        <v>306.95</v>
      </c>
      <c r="O1329" s="116">
        <v>294</v>
      </c>
      <c r="P1329" s="116">
        <v>303.85000000000002</v>
      </c>
      <c r="Q1329" s="116">
        <v>295.7</v>
      </c>
      <c r="R1329">
        <v>297662</v>
      </c>
    </row>
    <row r="1330" spans="1:18" x14ac:dyDescent="0.25">
      <c r="A1330" s="170">
        <v>43970</v>
      </c>
      <c r="B1330" s="116">
        <v>3.4519530815658701</v>
      </c>
      <c r="C1330" s="116">
        <v>3.2698128639104098</v>
      </c>
      <c r="D1330" s="116">
        <v>3.1763670131132602</v>
      </c>
      <c r="E1330" s="116">
        <v>3.35771531677891</v>
      </c>
      <c r="F1330" s="116">
        <v>206.45</v>
      </c>
      <c r="G1330">
        <v>3228</v>
      </c>
      <c r="H1330" s="116"/>
      <c r="I1330" s="116"/>
      <c r="L1330" s="170">
        <v>43969</v>
      </c>
      <c r="M1330" s="116">
        <v>277.05</v>
      </c>
      <c r="N1330" s="116">
        <v>296.95</v>
      </c>
      <c r="O1330" s="116">
        <v>274</v>
      </c>
      <c r="P1330" s="116">
        <v>295.7</v>
      </c>
      <c r="Q1330" s="116">
        <v>277.05</v>
      </c>
      <c r="R1330">
        <v>291334</v>
      </c>
    </row>
    <row r="1331" spans="1:18" x14ac:dyDescent="0.25">
      <c r="A1331" s="170">
        <v>43971</v>
      </c>
      <c r="B1331" s="116">
        <v>3.4052301561672902</v>
      </c>
      <c r="C1331" s="116">
        <v>3.2888187996657599</v>
      </c>
      <c r="D1331" s="116">
        <v>3.0963837001428201</v>
      </c>
      <c r="E1331" s="116">
        <v>3.0963837001428201</v>
      </c>
      <c r="F1331" s="116">
        <v>207.65</v>
      </c>
      <c r="G1331">
        <v>1778</v>
      </c>
      <c r="H1331" s="116"/>
      <c r="I1331" s="116"/>
      <c r="L1331" s="170">
        <v>43970</v>
      </c>
      <c r="M1331" s="116">
        <v>278.39999999999998</v>
      </c>
      <c r="N1331" s="116">
        <v>287.89999999999998</v>
      </c>
      <c r="O1331" s="116">
        <v>273.60000000000002</v>
      </c>
      <c r="P1331" s="116">
        <v>278.10000000000002</v>
      </c>
      <c r="Q1331" s="116">
        <v>278.39999999999998</v>
      </c>
      <c r="R1331">
        <v>280894</v>
      </c>
    </row>
    <row r="1332" spans="1:18" x14ac:dyDescent="0.25">
      <c r="A1332" s="170">
        <v>43972</v>
      </c>
      <c r="B1332" s="116">
        <v>3.3632587147075599</v>
      </c>
      <c r="C1332" s="116">
        <v>3.2927783696147901</v>
      </c>
      <c r="D1332" s="116">
        <v>3.2515988421448601</v>
      </c>
      <c r="E1332" s="116">
        <v>3.3260387571866601</v>
      </c>
      <c r="F1332" s="116">
        <v>207.9</v>
      </c>
      <c r="G1332">
        <v>367</v>
      </c>
      <c r="H1332" s="116"/>
      <c r="I1332" s="116"/>
      <c r="L1332" s="170">
        <v>43971</v>
      </c>
      <c r="M1332" s="116">
        <v>284.25</v>
      </c>
      <c r="N1332" s="116">
        <v>285.45</v>
      </c>
      <c r="O1332" s="116">
        <v>275.25</v>
      </c>
      <c r="P1332" s="116">
        <v>278.45</v>
      </c>
      <c r="Q1332" s="116">
        <v>284.25</v>
      </c>
      <c r="R1332">
        <v>286493</v>
      </c>
    </row>
    <row r="1333" spans="1:18" x14ac:dyDescent="0.25">
      <c r="A1333" s="170">
        <v>43973</v>
      </c>
      <c r="B1333" s="116">
        <v>3.3569234027891102</v>
      </c>
      <c r="C1333" s="116">
        <v>3.2682290359307999</v>
      </c>
      <c r="D1333" s="116">
        <v>3.1842861530113198</v>
      </c>
      <c r="E1333" s="116">
        <v>3.3569234027891102</v>
      </c>
      <c r="F1333" s="116">
        <v>206.35</v>
      </c>
      <c r="G1333">
        <v>1115</v>
      </c>
      <c r="H1333" s="116"/>
      <c r="I1333" s="116"/>
      <c r="L1333" s="170">
        <v>43972</v>
      </c>
      <c r="M1333" s="116">
        <v>285</v>
      </c>
      <c r="N1333" s="116">
        <v>292</v>
      </c>
      <c r="O1333" s="116">
        <v>281.3</v>
      </c>
      <c r="P1333" s="116">
        <v>285.45</v>
      </c>
      <c r="Q1333" s="116">
        <v>285</v>
      </c>
      <c r="R1333">
        <v>246932</v>
      </c>
    </row>
    <row r="1334" spans="1:18" x14ac:dyDescent="0.25">
      <c r="A1334" s="170">
        <v>43977</v>
      </c>
      <c r="B1334" s="116">
        <v>3.3846403924323298</v>
      </c>
      <c r="C1334" s="116">
        <v>3.1343955716535201</v>
      </c>
      <c r="D1334" s="116">
        <v>3.0971756141326199</v>
      </c>
      <c r="E1334" s="116">
        <v>3.3260387571866601</v>
      </c>
      <c r="F1334" s="116">
        <v>197.9</v>
      </c>
      <c r="G1334">
        <v>2003</v>
      </c>
      <c r="H1334" s="116"/>
      <c r="I1334" s="116"/>
      <c r="L1334" s="170">
        <v>43973</v>
      </c>
      <c r="M1334" s="116">
        <v>274.05</v>
      </c>
      <c r="N1334" s="116">
        <v>287.60000000000002</v>
      </c>
      <c r="O1334" s="116">
        <v>267.35000000000002</v>
      </c>
      <c r="P1334" s="116">
        <v>284.5</v>
      </c>
      <c r="Q1334" s="116">
        <v>274.05</v>
      </c>
      <c r="R1334">
        <v>294130</v>
      </c>
    </row>
    <row r="1335" spans="1:18" x14ac:dyDescent="0.25">
      <c r="A1335" s="170">
        <v>43978</v>
      </c>
      <c r="B1335" s="116">
        <v>3.1359793996331402</v>
      </c>
      <c r="C1335" s="116">
        <v>3.0164003871723799</v>
      </c>
      <c r="D1335" s="116">
        <v>2.9791804296514801</v>
      </c>
      <c r="E1335" s="116">
        <v>3.1343955716535201</v>
      </c>
      <c r="F1335" s="116">
        <v>190.45</v>
      </c>
      <c r="G1335">
        <v>4083</v>
      </c>
      <c r="H1335" s="116"/>
      <c r="I1335" s="116"/>
      <c r="L1335" s="170">
        <v>43977</v>
      </c>
      <c r="M1335" s="116">
        <v>271.35000000000002</v>
      </c>
      <c r="N1335" s="116">
        <v>279.85000000000002</v>
      </c>
      <c r="O1335" s="116">
        <v>270.3</v>
      </c>
      <c r="P1335" s="116">
        <v>275.2</v>
      </c>
      <c r="Q1335" s="116">
        <v>271.35000000000002</v>
      </c>
      <c r="R1335">
        <v>176079</v>
      </c>
    </row>
    <row r="1336" spans="1:18" x14ac:dyDescent="0.25">
      <c r="A1336" s="170">
        <v>43979</v>
      </c>
      <c r="B1336" s="116">
        <v>3.2310090784099001</v>
      </c>
      <c r="C1336" s="116">
        <v>3.2191303685628001</v>
      </c>
      <c r="D1336" s="116">
        <v>3.0409497208563701</v>
      </c>
      <c r="E1336" s="116">
        <v>3.2127950566443499</v>
      </c>
      <c r="F1336" s="116">
        <v>203.25</v>
      </c>
      <c r="G1336">
        <v>1819</v>
      </c>
      <c r="H1336" s="116"/>
      <c r="I1336" s="116"/>
      <c r="L1336" s="170">
        <v>43978</v>
      </c>
      <c r="M1336" s="116">
        <v>275.75</v>
      </c>
      <c r="N1336" s="116">
        <v>278.39999999999998</v>
      </c>
      <c r="O1336" s="116">
        <v>268.39999999999998</v>
      </c>
      <c r="P1336" s="116">
        <v>271.7</v>
      </c>
      <c r="Q1336" s="116">
        <v>275.75</v>
      </c>
      <c r="R1336">
        <v>228875</v>
      </c>
    </row>
    <row r="1337" spans="1:18" x14ac:dyDescent="0.25">
      <c r="A1337" s="170">
        <v>43980</v>
      </c>
      <c r="B1337" s="116">
        <v>3.3014894235026602</v>
      </c>
      <c r="C1337" s="116">
        <v>3.1977486908380302</v>
      </c>
      <c r="D1337" s="116">
        <v>3.07737776438747</v>
      </c>
      <c r="E1337" s="116">
        <v>3.07737776438747</v>
      </c>
      <c r="F1337" s="116">
        <v>201.9</v>
      </c>
      <c r="G1337">
        <v>3734</v>
      </c>
      <c r="H1337" s="116"/>
      <c r="I1337" s="116"/>
      <c r="L1337" s="170">
        <v>43979</v>
      </c>
      <c r="M1337" s="116">
        <v>282.2</v>
      </c>
      <c r="N1337" s="116">
        <v>285.89999999999998</v>
      </c>
      <c r="O1337" s="116">
        <v>276.05</v>
      </c>
      <c r="P1337" s="116">
        <v>277.89999999999998</v>
      </c>
      <c r="Q1337" s="116">
        <v>282.2</v>
      </c>
      <c r="R1337">
        <v>495767</v>
      </c>
    </row>
    <row r="1338" spans="1:18" x14ac:dyDescent="0.25">
      <c r="A1338" s="170">
        <v>43983</v>
      </c>
      <c r="B1338" s="116">
        <v>3.5319363945363098</v>
      </c>
      <c r="C1338" s="116">
        <v>3.44245011368819</v>
      </c>
      <c r="D1338" s="116">
        <v>3.1977486908380302</v>
      </c>
      <c r="E1338" s="116">
        <v>3.1977486908380302</v>
      </c>
      <c r="F1338" s="116">
        <v>217.35</v>
      </c>
      <c r="G1338">
        <v>7251</v>
      </c>
      <c r="H1338" s="116"/>
      <c r="I1338" s="116"/>
      <c r="L1338" s="170">
        <v>43980</v>
      </c>
      <c r="M1338" s="116">
        <v>277.25</v>
      </c>
      <c r="N1338" s="116">
        <v>290</v>
      </c>
      <c r="O1338" s="116">
        <v>271</v>
      </c>
      <c r="P1338" s="116">
        <v>283.39999999999998</v>
      </c>
      <c r="Q1338" s="116">
        <v>277.25</v>
      </c>
      <c r="R1338">
        <v>429095</v>
      </c>
    </row>
    <row r="1339" spans="1:18" x14ac:dyDescent="0.25">
      <c r="A1339" s="170">
        <v>43984</v>
      </c>
      <c r="B1339" s="116">
        <v>3.5477746743324401</v>
      </c>
      <c r="C1339" s="116">
        <v>3.4250280059124498</v>
      </c>
      <c r="D1339" s="116">
        <v>3.4068139841469098</v>
      </c>
      <c r="E1339" s="116">
        <v>3.51609811474018</v>
      </c>
      <c r="F1339" s="116">
        <v>216.25</v>
      </c>
      <c r="G1339">
        <v>6318</v>
      </c>
      <c r="H1339" s="116"/>
      <c r="I1339" s="116"/>
      <c r="L1339" s="170">
        <v>43983</v>
      </c>
      <c r="M1339" s="116">
        <v>291.7</v>
      </c>
      <c r="N1339" s="116">
        <v>295</v>
      </c>
      <c r="O1339" s="116">
        <v>279.95</v>
      </c>
      <c r="P1339" s="116">
        <v>280</v>
      </c>
      <c r="Q1339" s="116">
        <v>291.7</v>
      </c>
      <c r="R1339">
        <v>725814</v>
      </c>
    </row>
    <row r="1340" spans="1:18" x14ac:dyDescent="0.25">
      <c r="A1340" s="170">
        <v>43985</v>
      </c>
      <c r="B1340" s="116">
        <v>3.5477746743324401</v>
      </c>
      <c r="C1340" s="116">
        <v>3.5081789748421199</v>
      </c>
      <c r="D1340" s="116">
        <v>3.35771531677891</v>
      </c>
      <c r="E1340" s="116">
        <v>3.4685832753518002</v>
      </c>
      <c r="F1340" s="116">
        <v>221.5</v>
      </c>
      <c r="G1340">
        <v>3887</v>
      </c>
      <c r="H1340" s="116"/>
      <c r="I1340" s="116"/>
      <c r="L1340" s="170">
        <v>43984</v>
      </c>
      <c r="M1340" s="116">
        <v>305.25</v>
      </c>
      <c r="N1340" s="116">
        <v>309</v>
      </c>
      <c r="O1340" s="116">
        <v>289.10000000000002</v>
      </c>
      <c r="P1340" s="116">
        <v>292</v>
      </c>
      <c r="Q1340" s="116">
        <v>305.25</v>
      </c>
      <c r="R1340">
        <v>589982</v>
      </c>
    </row>
    <row r="1341" spans="1:18" x14ac:dyDescent="0.25">
      <c r="A1341" s="170">
        <v>43986</v>
      </c>
      <c r="B1341" s="116">
        <v>3.5952895137208198</v>
      </c>
      <c r="C1341" s="116">
        <v>3.5596533841795299</v>
      </c>
      <c r="D1341" s="116">
        <v>3.4527449955556699</v>
      </c>
      <c r="E1341" s="116">
        <v>3.4527449955556699</v>
      </c>
      <c r="F1341" s="116">
        <v>224.75</v>
      </c>
      <c r="G1341">
        <v>2571</v>
      </c>
      <c r="H1341" s="116"/>
      <c r="I1341" s="116"/>
      <c r="L1341" s="170">
        <v>43985</v>
      </c>
      <c r="M1341" s="116">
        <v>315.14999999999998</v>
      </c>
      <c r="N1341" s="116">
        <v>325.8</v>
      </c>
      <c r="O1341" s="116">
        <v>308.5</v>
      </c>
      <c r="P1341" s="116">
        <v>308.5</v>
      </c>
      <c r="Q1341" s="116">
        <v>315.14999999999998</v>
      </c>
      <c r="R1341">
        <v>1129927</v>
      </c>
    </row>
    <row r="1342" spans="1:18" x14ac:dyDescent="0.25">
      <c r="A1342" s="170">
        <v>43987</v>
      </c>
      <c r="B1342" s="116">
        <v>3.6744809127014499</v>
      </c>
      <c r="C1342" s="116">
        <v>3.5944975997310098</v>
      </c>
      <c r="D1342" s="116">
        <v>3.5651967821081798</v>
      </c>
      <c r="E1342" s="116">
        <v>3.5952895137208198</v>
      </c>
      <c r="F1342" s="116">
        <v>226.95</v>
      </c>
      <c r="G1342">
        <v>2761</v>
      </c>
      <c r="H1342" s="116"/>
      <c r="I1342" s="116"/>
      <c r="L1342" s="170">
        <v>43986</v>
      </c>
      <c r="M1342" s="116">
        <v>302.55</v>
      </c>
      <c r="N1342" s="116">
        <v>320.89999999999998</v>
      </c>
      <c r="O1342" s="116">
        <v>299.25</v>
      </c>
      <c r="P1342" s="116">
        <v>314.3</v>
      </c>
      <c r="Q1342" s="116">
        <v>302.55</v>
      </c>
      <c r="R1342">
        <v>350305</v>
      </c>
    </row>
    <row r="1343" spans="1:18" x14ac:dyDescent="0.25">
      <c r="A1343" s="170">
        <v>43990</v>
      </c>
      <c r="B1343" s="116">
        <v>3.7607995375903398</v>
      </c>
      <c r="C1343" s="116">
        <v>3.57865931993488</v>
      </c>
      <c r="D1343" s="116">
        <v>3.4052301561672902</v>
      </c>
      <c r="E1343" s="116">
        <v>3.6428043531092</v>
      </c>
      <c r="F1343" s="116">
        <v>225.95</v>
      </c>
      <c r="G1343">
        <v>10223</v>
      </c>
      <c r="H1343" s="116"/>
      <c r="I1343" s="116"/>
      <c r="L1343" s="170">
        <v>43987</v>
      </c>
      <c r="M1343" s="116">
        <v>313.5</v>
      </c>
      <c r="N1343" s="116">
        <v>316</v>
      </c>
      <c r="O1343" s="116">
        <v>303</v>
      </c>
      <c r="P1343" s="116">
        <v>305</v>
      </c>
      <c r="Q1343" s="116">
        <v>313.5</v>
      </c>
      <c r="R1343">
        <v>333189</v>
      </c>
    </row>
    <row r="1344" spans="1:18" x14ac:dyDescent="0.25">
      <c r="A1344" s="170">
        <v>43991</v>
      </c>
      <c r="B1344" s="116">
        <v>3.8764189801020699</v>
      </c>
      <c r="C1344" s="116">
        <v>3.6776485686606799</v>
      </c>
      <c r="D1344" s="116">
        <v>3.61271162149656</v>
      </c>
      <c r="E1344" s="116">
        <v>3.61271162149656</v>
      </c>
      <c r="F1344" s="116">
        <v>232.2</v>
      </c>
      <c r="G1344">
        <v>7412</v>
      </c>
      <c r="H1344" s="116"/>
      <c r="I1344" s="116"/>
      <c r="L1344" s="170">
        <v>43990</v>
      </c>
      <c r="M1344" s="116">
        <v>315.64999999999998</v>
      </c>
      <c r="N1344" s="116">
        <v>329.6</v>
      </c>
      <c r="O1344" s="116">
        <v>314</v>
      </c>
      <c r="P1344" s="116">
        <v>316.39999999999998</v>
      </c>
      <c r="Q1344" s="116">
        <v>315.64999999999998</v>
      </c>
      <c r="R1344">
        <v>675500</v>
      </c>
    </row>
    <row r="1345" spans="1:18" x14ac:dyDescent="0.25">
      <c r="A1345" s="170">
        <v>43992</v>
      </c>
      <c r="B1345" s="116">
        <v>3.7615914515801498</v>
      </c>
      <c r="C1345" s="116">
        <v>3.7505046557228598</v>
      </c>
      <c r="D1345" s="116">
        <v>3.60162482563927</v>
      </c>
      <c r="E1345" s="116">
        <v>3.6428043531092</v>
      </c>
      <c r="F1345" s="116">
        <v>236.8</v>
      </c>
      <c r="G1345">
        <v>1441</v>
      </c>
      <c r="H1345" s="116"/>
      <c r="I1345" s="116"/>
      <c r="L1345" s="170">
        <v>43991</v>
      </c>
      <c r="M1345" s="116">
        <v>310.5</v>
      </c>
      <c r="N1345" s="116">
        <v>320.75</v>
      </c>
      <c r="O1345" s="116">
        <v>308</v>
      </c>
      <c r="P1345" s="116">
        <v>318.7</v>
      </c>
      <c r="Q1345" s="116">
        <v>310.5</v>
      </c>
      <c r="R1345">
        <v>309696</v>
      </c>
    </row>
    <row r="1346" spans="1:18" x14ac:dyDescent="0.25">
      <c r="A1346" s="170">
        <v>43993</v>
      </c>
      <c r="B1346" s="116">
        <v>3.80118715107047</v>
      </c>
      <c r="C1346" s="116">
        <v>3.6435962670989999</v>
      </c>
      <c r="D1346" s="116">
        <v>3.6277579873028798</v>
      </c>
      <c r="E1346" s="116">
        <v>3.7219957520898301</v>
      </c>
      <c r="F1346" s="116">
        <v>230.05</v>
      </c>
      <c r="G1346">
        <v>2886</v>
      </c>
      <c r="H1346" s="116"/>
      <c r="I1346" s="116"/>
      <c r="L1346" s="170">
        <v>43992</v>
      </c>
      <c r="M1346" s="116">
        <v>310.3</v>
      </c>
      <c r="N1346" s="116">
        <v>314.64999999999998</v>
      </c>
      <c r="O1346" s="116">
        <v>306</v>
      </c>
      <c r="P1346" s="116">
        <v>312.85000000000002</v>
      </c>
      <c r="Q1346" s="116">
        <v>310.3</v>
      </c>
      <c r="R1346">
        <v>177581</v>
      </c>
    </row>
    <row r="1347" spans="1:18" x14ac:dyDescent="0.25">
      <c r="A1347" s="170">
        <v>43994</v>
      </c>
      <c r="B1347" s="116">
        <v>3.6744809127014499</v>
      </c>
      <c r="C1347" s="116">
        <v>3.5588614701897199</v>
      </c>
      <c r="D1347" s="116">
        <v>3.35771531677891</v>
      </c>
      <c r="E1347" s="116">
        <v>3.4844215551479301</v>
      </c>
      <c r="F1347" s="116">
        <v>224.7</v>
      </c>
      <c r="G1347">
        <v>4080</v>
      </c>
      <c r="H1347" s="116"/>
      <c r="I1347" s="116"/>
      <c r="L1347" s="170">
        <v>43993</v>
      </c>
      <c r="M1347" s="116">
        <v>311.35000000000002</v>
      </c>
      <c r="N1347" s="116">
        <v>325</v>
      </c>
      <c r="O1347" s="116">
        <v>307</v>
      </c>
      <c r="P1347" s="116">
        <v>310</v>
      </c>
      <c r="Q1347" s="116">
        <v>311.35000000000002</v>
      </c>
      <c r="R1347">
        <v>497411</v>
      </c>
    </row>
    <row r="1348" spans="1:18" x14ac:dyDescent="0.25">
      <c r="A1348" s="170">
        <v>43997</v>
      </c>
      <c r="B1348" s="116">
        <v>3.8795866360612998</v>
      </c>
      <c r="C1348" s="116">
        <v>3.74892082774325</v>
      </c>
      <c r="D1348" s="116">
        <v>3.5659886960979801</v>
      </c>
      <c r="E1348" s="116">
        <v>3.7014059883548698</v>
      </c>
      <c r="F1348" s="116">
        <v>236.7</v>
      </c>
      <c r="G1348">
        <v>3283</v>
      </c>
      <c r="H1348" s="116"/>
      <c r="I1348" s="116"/>
      <c r="L1348" s="170">
        <v>43994</v>
      </c>
      <c r="M1348" s="116">
        <v>311.2</v>
      </c>
      <c r="N1348" s="116">
        <v>314.5</v>
      </c>
      <c r="O1348" s="116">
        <v>297.60000000000002</v>
      </c>
      <c r="P1348" s="116">
        <v>299.2</v>
      </c>
      <c r="Q1348" s="116">
        <v>311.2</v>
      </c>
      <c r="R1348">
        <v>316164</v>
      </c>
    </row>
    <row r="1349" spans="1:18" x14ac:dyDescent="0.25">
      <c r="A1349" s="170">
        <v>43998</v>
      </c>
      <c r="B1349" s="116">
        <v>4.2121905117799603</v>
      </c>
      <c r="C1349" s="116">
        <v>3.9809516267565099</v>
      </c>
      <c r="D1349" s="116">
        <v>3.80118715107047</v>
      </c>
      <c r="E1349" s="116">
        <v>3.8803785500511001</v>
      </c>
      <c r="F1349" s="116">
        <v>251.35</v>
      </c>
      <c r="G1349">
        <v>11226</v>
      </c>
      <c r="H1349" s="116"/>
      <c r="I1349" s="116"/>
      <c r="L1349" s="170">
        <v>43997</v>
      </c>
      <c r="M1349" s="116">
        <v>303.5</v>
      </c>
      <c r="N1349" s="116">
        <v>315.8</v>
      </c>
      <c r="O1349" s="116">
        <v>300.55</v>
      </c>
      <c r="P1349" s="116">
        <v>312</v>
      </c>
      <c r="Q1349" s="116">
        <v>303.5</v>
      </c>
      <c r="R1349">
        <v>332099</v>
      </c>
    </row>
    <row r="1350" spans="1:18" x14ac:dyDescent="0.25">
      <c r="A1350" s="170">
        <v>43999</v>
      </c>
      <c r="B1350" s="116">
        <v>4.1179527469930104</v>
      </c>
      <c r="C1350" s="116">
        <v>3.93818827130697</v>
      </c>
      <c r="D1350" s="116">
        <v>3.91601467959239</v>
      </c>
      <c r="E1350" s="116">
        <v>4.1179527469930104</v>
      </c>
      <c r="F1350" s="116">
        <v>248.65</v>
      </c>
      <c r="G1350">
        <v>3464</v>
      </c>
      <c r="H1350" s="116"/>
      <c r="I1350" s="116"/>
      <c r="L1350" s="170">
        <v>43998</v>
      </c>
      <c r="M1350" s="116">
        <v>318.89999999999998</v>
      </c>
      <c r="N1350" s="116">
        <v>339</v>
      </c>
      <c r="O1350" s="116">
        <v>312</v>
      </c>
      <c r="P1350" s="116">
        <v>325</v>
      </c>
      <c r="Q1350" s="116">
        <v>318.89999999999998</v>
      </c>
      <c r="R1350">
        <v>3925401</v>
      </c>
    </row>
    <row r="1351" spans="1:18" x14ac:dyDescent="0.25">
      <c r="A1351" s="170">
        <v>44000</v>
      </c>
      <c r="B1351" s="116">
        <v>4.0379694340225596</v>
      </c>
      <c r="C1351" s="116">
        <v>3.9587780350419299</v>
      </c>
      <c r="D1351" s="116">
        <v>3.86454027025498</v>
      </c>
      <c r="E1351" s="116">
        <v>3.9278933894394799</v>
      </c>
      <c r="F1351" s="116">
        <v>249.95</v>
      </c>
      <c r="G1351">
        <v>2235</v>
      </c>
      <c r="H1351" s="116"/>
      <c r="I1351" s="116"/>
      <c r="L1351" s="170">
        <v>43999</v>
      </c>
      <c r="M1351" s="116">
        <v>332.4</v>
      </c>
      <c r="N1351" s="116">
        <v>335.4</v>
      </c>
      <c r="O1351" s="116">
        <v>315.5</v>
      </c>
      <c r="P1351" s="116">
        <v>320</v>
      </c>
      <c r="Q1351" s="116">
        <v>332.4</v>
      </c>
      <c r="R1351">
        <v>1638217</v>
      </c>
    </row>
    <row r="1352" spans="1:18" x14ac:dyDescent="0.25">
      <c r="A1352" s="170">
        <v>44001</v>
      </c>
      <c r="B1352" s="116">
        <v>4.1813058661775102</v>
      </c>
      <c r="C1352" s="116">
        <v>3.9967899065526402</v>
      </c>
      <c r="D1352" s="116">
        <v>3.8803785500511001</v>
      </c>
      <c r="E1352" s="116">
        <v>3.9611537770113499</v>
      </c>
      <c r="F1352" s="116">
        <v>252.35</v>
      </c>
      <c r="G1352">
        <v>3261</v>
      </c>
      <c r="H1352" s="116"/>
      <c r="I1352" s="116"/>
      <c r="L1352" s="170">
        <v>44000</v>
      </c>
      <c r="M1352" s="116">
        <v>349.8</v>
      </c>
      <c r="N1352" s="116">
        <v>353.45</v>
      </c>
      <c r="O1352" s="116">
        <v>335</v>
      </c>
      <c r="P1352" s="116">
        <v>335.8</v>
      </c>
      <c r="Q1352" s="116">
        <v>349.8</v>
      </c>
      <c r="R1352">
        <v>1518072</v>
      </c>
    </row>
    <row r="1353" spans="1:18" x14ac:dyDescent="0.25">
      <c r="A1353" s="170">
        <v>44004</v>
      </c>
      <c r="B1353" s="116">
        <v>4.2763355449542804</v>
      </c>
      <c r="C1353" s="116">
        <v>4.1132012630541697</v>
      </c>
      <c r="D1353" s="116">
        <v>4.0387613480123701</v>
      </c>
      <c r="E1353" s="116">
        <v>4.1488373925954498</v>
      </c>
      <c r="F1353" s="116">
        <v>259.7</v>
      </c>
      <c r="G1353">
        <v>5444</v>
      </c>
      <c r="H1353" s="116"/>
      <c r="I1353" s="116"/>
      <c r="L1353" s="170">
        <v>44001</v>
      </c>
      <c r="M1353" s="116">
        <v>360.05</v>
      </c>
      <c r="N1353" s="116">
        <v>365.65</v>
      </c>
      <c r="O1353" s="116">
        <v>346.7</v>
      </c>
      <c r="P1353" s="116">
        <v>356.9</v>
      </c>
      <c r="Q1353" s="116">
        <v>360.05</v>
      </c>
      <c r="R1353">
        <v>972099</v>
      </c>
    </row>
    <row r="1354" spans="1:18" x14ac:dyDescent="0.25">
      <c r="A1354" s="170">
        <v>44005</v>
      </c>
      <c r="B1354" s="116">
        <v>4.2209015656678304</v>
      </c>
      <c r="C1354" s="116">
        <v>4.0363856060429502</v>
      </c>
      <c r="D1354" s="116">
        <v>4.0070847884201202</v>
      </c>
      <c r="E1354" s="116">
        <v>4.2209015656678304</v>
      </c>
      <c r="F1354" s="116">
        <v>254.85</v>
      </c>
      <c r="G1354">
        <v>2526</v>
      </c>
      <c r="H1354" s="116"/>
      <c r="I1354" s="116"/>
      <c r="L1354" s="170">
        <v>44004</v>
      </c>
      <c r="M1354" s="116">
        <v>368.5</v>
      </c>
      <c r="N1354" s="116">
        <v>375</v>
      </c>
      <c r="O1354" s="116">
        <v>361.1</v>
      </c>
      <c r="P1354" s="116">
        <v>365</v>
      </c>
      <c r="Q1354" s="116">
        <v>368.5</v>
      </c>
      <c r="R1354">
        <v>577598</v>
      </c>
    </row>
    <row r="1355" spans="1:18" x14ac:dyDescent="0.25">
      <c r="A1355" s="170">
        <v>44006</v>
      </c>
      <c r="B1355" s="116">
        <v>4.1694271563304204</v>
      </c>
      <c r="C1355" s="116">
        <v>3.8566211303569098</v>
      </c>
      <c r="D1355" s="116">
        <v>3.73783403188596</v>
      </c>
      <c r="E1355" s="116">
        <v>3.8186092588462102</v>
      </c>
      <c r="F1355" s="116">
        <v>243.5</v>
      </c>
      <c r="G1355">
        <v>5043</v>
      </c>
      <c r="H1355" s="116"/>
      <c r="I1355" s="116"/>
      <c r="L1355" s="170">
        <v>44005</v>
      </c>
      <c r="M1355" s="116">
        <v>363.05</v>
      </c>
      <c r="N1355" s="116">
        <v>371</v>
      </c>
      <c r="O1355" s="116">
        <v>351.45</v>
      </c>
      <c r="P1355" s="116">
        <v>367.9</v>
      </c>
      <c r="Q1355" s="116">
        <v>363.05</v>
      </c>
      <c r="R1355">
        <v>644843</v>
      </c>
    </row>
    <row r="1356" spans="1:18" x14ac:dyDescent="0.25">
      <c r="A1356" s="170">
        <v>44007</v>
      </c>
      <c r="B1356" s="116">
        <v>4.62794535642829</v>
      </c>
      <c r="C1356" s="116">
        <v>4.4188800631194196</v>
      </c>
      <c r="D1356" s="116">
        <v>3.8962168298472299</v>
      </c>
      <c r="E1356" s="116">
        <v>3.9120551096433598</v>
      </c>
      <c r="F1356" s="116">
        <v>279</v>
      </c>
      <c r="G1356">
        <v>33996</v>
      </c>
      <c r="H1356" s="116"/>
      <c r="I1356" s="116"/>
      <c r="L1356" s="170">
        <v>44006</v>
      </c>
      <c r="M1356" s="116">
        <v>367.7</v>
      </c>
      <c r="N1356" s="116">
        <v>370</v>
      </c>
      <c r="O1356" s="116">
        <v>361.45</v>
      </c>
      <c r="P1356" s="116">
        <v>369.8</v>
      </c>
      <c r="Q1356" s="116">
        <v>367.7</v>
      </c>
      <c r="R1356">
        <v>470636</v>
      </c>
    </row>
    <row r="1357" spans="1:18" x14ac:dyDescent="0.25">
      <c r="A1357" s="170">
        <v>44008</v>
      </c>
      <c r="B1357" s="116">
        <v>4.7483162828788599</v>
      </c>
      <c r="C1357" s="116">
        <v>4.4125447512009703</v>
      </c>
      <c r="D1357" s="116">
        <v>4.3238503843426601</v>
      </c>
      <c r="E1357" s="116">
        <v>4.4054175252927097</v>
      </c>
      <c r="F1357" s="116">
        <v>278.60000000000002</v>
      </c>
      <c r="G1357">
        <v>7635</v>
      </c>
      <c r="H1357" s="116"/>
      <c r="I1357" s="116"/>
      <c r="L1357" s="170">
        <v>44007</v>
      </c>
      <c r="M1357" s="116">
        <v>361.5</v>
      </c>
      <c r="N1357" s="116">
        <v>368.9</v>
      </c>
      <c r="O1357" s="116">
        <v>356.55</v>
      </c>
      <c r="P1357" s="116">
        <v>360.1</v>
      </c>
      <c r="Q1357" s="116">
        <v>361.5</v>
      </c>
      <c r="R1357">
        <v>420141</v>
      </c>
    </row>
    <row r="1358" spans="1:18" x14ac:dyDescent="0.25">
      <c r="A1358" s="170">
        <v>44011</v>
      </c>
      <c r="B1358" s="116">
        <v>4.5772628610806896</v>
      </c>
      <c r="C1358" s="116">
        <v>4.2890061687911798</v>
      </c>
      <c r="D1358" s="116">
        <v>4.1813058661775102</v>
      </c>
      <c r="E1358" s="116">
        <v>4.4980714621000502</v>
      </c>
      <c r="F1358" s="116">
        <v>270.8</v>
      </c>
      <c r="G1358">
        <v>2575</v>
      </c>
      <c r="H1358" s="116"/>
      <c r="I1358" s="116"/>
      <c r="L1358" s="170">
        <v>44008</v>
      </c>
      <c r="M1358" s="116">
        <v>354.4</v>
      </c>
      <c r="N1358" s="116">
        <v>365</v>
      </c>
      <c r="O1358" s="116">
        <v>351.4</v>
      </c>
      <c r="P1358" s="116">
        <v>363.9</v>
      </c>
      <c r="Q1358" s="116">
        <v>354.4</v>
      </c>
      <c r="R1358">
        <v>321865</v>
      </c>
    </row>
    <row r="1359" spans="1:18" x14ac:dyDescent="0.25">
      <c r="A1359" s="170">
        <v>44012</v>
      </c>
      <c r="B1359" s="116">
        <v>4.4980714621000502</v>
      </c>
      <c r="C1359" s="116">
        <v>4.1425020806769997</v>
      </c>
      <c r="D1359" s="116">
        <v>4.1021144671968797</v>
      </c>
      <c r="E1359" s="116">
        <v>4.3713652237310399</v>
      </c>
      <c r="F1359" s="116">
        <v>261.55</v>
      </c>
      <c r="G1359">
        <v>1644</v>
      </c>
      <c r="H1359" s="116"/>
      <c r="I1359" s="116"/>
      <c r="L1359" s="170">
        <v>44011</v>
      </c>
      <c r="M1359" s="116">
        <v>343.3</v>
      </c>
      <c r="N1359" s="116">
        <v>352.75</v>
      </c>
      <c r="O1359" s="116">
        <v>340.1</v>
      </c>
      <c r="P1359" s="116">
        <v>350</v>
      </c>
      <c r="Q1359" s="116">
        <v>343.3</v>
      </c>
      <c r="R1359">
        <v>254290</v>
      </c>
    </row>
    <row r="1360" spans="1:18" x14ac:dyDescent="0.25">
      <c r="A1360" s="170">
        <v>44013</v>
      </c>
      <c r="B1360" s="116">
        <v>4.4648110745281899</v>
      </c>
      <c r="C1360" s="116">
        <v>4.4434293968034204</v>
      </c>
      <c r="D1360" s="116">
        <v>4.0070847884201202</v>
      </c>
      <c r="E1360" s="116">
        <v>4.0070847884201202</v>
      </c>
      <c r="F1360" s="116">
        <v>280.55</v>
      </c>
      <c r="G1360">
        <v>1452</v>
      </c>
      <c r="H1360" s="116"/>
      <c r="I1360" s="116"/>
      <c r="L1360" s="170">
        <v>44012</v>
      </c>
      <c r="M1360" s="116">
        <v>337.85</v>
      </c>
      <c r="N1360" s="116">
        <v>360</v>
      </c>
      <c r="O1360" s="116">
        <v>332</v>
      </c>
      <c r="P1360" s="116">
        <v>343.45</v>
      </c>
      <c r="Q1360" s="116">
        <v>337.85</v>
      </c>
      <c r="R1360">
        <v>581889</v>
      </c>
    </row>
    <row r="1361" spans="1:18" x14ac:dyDescent="0.25">
      <c r="A1361" s="170">
        <v>44014</v>
      </c>
      <c r="B1361" s="116">
        <v>4.5131178279063704</v>
      </c>
      <c r="C1361" s="116">
        <v>4.3357290941897499</v>
      </c>
      <c r="D1361" s="116">
        <v>4.3246422983324599</v>
      </c>
      <c r="E1361" s="116">
        <v>4.5131178279063704</v>
      </c>
      <c r="F1361" s="116">
        <v>273.75</v>
      </c>
      <c r="G1361">
        <v>1962</v>
      </c>
      <c r="H1361" s="116"/>
      <c r="I1361" s="116"/>
      <c r="L1361" s="170">
        <v>44013</v>
      </c>
      <c r="M1361" s="116">
        <v>345.7</v>
      </c>
      <c r="N1361" s="116">
        <v>349.9</v>
      </c>
      <c r="O1361" s="116">
        <v>331.15</v>
      </c>
      <c r="P1361" s="116">
        <v>337.9</v>
      </c>
      <c r="Q1361" s="116">
        <v>345.7</v>
      </c>
      <c r="R1361">
        <v>506583</v>
      </c>
    </row>
    <row r="1362" spans="1:18" x14ac:dyDescent="0.25">
      <c r="A1362" s="170">
        <v>44015</v>
      </c>
      <c r="B1362" s="116">
        <v>4.8845254891255498</v>
      </c>
      <c r="C1362" s="116">
        <v>4.75465159479731</v>
      </c>
      <c r="D1362" s="116">
        <v>4.25257812526009</v>
      </c>
      <c r="E1362" s="116">
        <v>4.4822331823039301</v>
      </c>
      <c r="F1362" s="116">
        <v>300.2</v>
      </c>
      <c r="G1362">
        <v>7403</v>
      </c>
      <c r="H1362" s="116"/>
      <c r="I1362" s="116"/>
      <c r="L1362" s="170">
        <v>44014</v>
      </c>
      <c r="M1362" s="116">
        <v>358.6</v>
      </c>
      <c r="N1362" s="116">
        <v>366.8</v>
      </c>
      <c r="O1362" s="116">
        <v>347.25</v>
      </c>
      <c r="P1362" s="116">
        <v>349.45</v>
      </c>
      <c r="Q1362" s="116">
        <v>358.6</v>
      </c>
      <c r="R1362">
        <v>833878</v>
      </c>
    </row>
    <row r="1363" spans="1:18" x14ac:dyDescent="0.25">
      <c r="A1363" s="170">
        <v>44018</v>
      </c>
      <c r="B1363" s="116">
        <v>5.6701041670134504</v>
      </c>
      <c r="C1363" s="116">
        <v>5.4784609814803096</v>
      </c>
      <c r="D1363" s="116">
        <v>4.8005826062060803</v>
      </c>
      <c r="E1363" s="116">
        <v>4.8781901772070997</v>
      </c>
      <c r="F1363" s="116">
        <v>345.9</v>
      </c>
      <c r="G1363">
        <v>27090</v>
      </c>
      <c r="H1363" s="116"/>
      <c r="I1363" s="116"/>
      <c r="L1363" s="170">
        <v>44015</v>
      </c>
      <c r="M1363" s="116">
        <v>353.35</v>
      </c>
      <c r="N1363" s="116">
        <v>360.25</v>
      </c>
      <c r="O1363" s="116">
        <v>349.2</v>
      </c>
      <c r="P1363" s="116">
        <v>359.95</v>
      </c>
      <c r="Q1363" s="116">
        <v>353.35</v>
      </c>
      <c r="R1363">
        <v>451113</v>
      </c>
    </row>
    <row r="1364" spans="1:18" x14ac:dyDescent="0.25">
      <c r="A1364" s="170">
        <v>44019</v>
      </c>
      <c r="B1364" s="116">
        <v>5.4800448094599199</v>
      </c>
      <c r="C1364" s="116">
        <v>5.2971126778146598</v>
      </c>
      <c r="D1364" s="116">
        <v>5.1474409337412599</v>
      </c>
      <c r="E1364" s="116">
        <v>5.4800448094599199</v>
      </c>
      <c r="F1364" s="116">
        <v>334.45</v>
      </c>
      <c r="G1364">
        <v>11490</v>
      </c>
      <c r="H1364" s="116"/>
      <c r="I1364" s="116"/>
      <c r="L1364" s="170">
        <v>44018</v>
      </c>
      <c r="M1364" s="116">
        <v>371.05</v>
      </c>
      <c r="N1364" s="116">
        <v>375.5</v>
      </c>
      <c r="O1364" s="116">
        <v>353.35</v>
      </c>
      <c r="P1364" s="116">
        <v>354.05</v>
      </c>
      <c r="Q1364" s="116">
        <v>371.05</v>
      </c>
      <c r="R1364">
        <v>1277477</v>
      </c>
    </row>
    <row r="1365" spans="1:18" x14ac:dyDescent="0.25">
      <c r="A1365" s="170">
        <v>44020</v>
      </c>
      <c r="B1365" s="116">
        <v>5.3850151306831604</v>
      </c>
      <c r="C1365" s="116">
        <v>5.2036668270175097</v>
      </c>
      <c r="D1365" s="116">
        <v>4.9906419637596002</v>
      </c>
      <c r="E1365" s="116">
        <v>5.3850151306831604</v>
      </c>
      <c r="F1365" s="116">
        <v>328.55</v>
      </c>
      <c r="G1365">
        <v>4854</v>
      </c>
      <c r="H1365" s="116"/>
      <c r="I1365" s="116"/>
      <c r="L1365" s="170">
        <v>44019</v>
      </c>
      <c r="M1365" s="116">
        <v>371.8</v>
      </c>
      <c r="N1365" s="116">
        <v>378</v>
      </c>
      <c r="O1365" s="116">
        <v>361.05</v>
      </c>
      <c r="P1365" s="116">
        <v>369.85</v>
      </c>
      <c r="Q1365" s="116">
        <v>371.8</v>
      </c>
      <c r="R1365">
        <v>569405</v>
      </c>
    </row>
    <row r="1366" spans="1:18" x14ac:dyDescent="0.25">
      <c r="A1366" s="170">
        <v>44021</v>
      </c>
      <c r="B1366" s="116">
        <v>5.3058237317025299</v>
      </c>
      <c r="C1366" s="116">
        <v>5.1086371482407502</v>
      </c>
      <c r="D1366" s="116">
        <v>4.9946015337086296</v>
      </c>
      <c r="E1366" s="116">
        <v>5.1632792135373897</v>
      </c>
      <c r="F1366" s="116">
        <v>322.55</v>
      </c>
      <c r="G1366">
        <v>3483</v>
      </c>
      <c r="H1366" s="116"/>
      <c r="I1366" s="116"/>
      <c r="L1366" s="170">
        <v>44020</v>
      </c>
      <c r="M1366" s="116">
        <v>362.8</v>
      </c>
      <c r="N1366" s="116">
        <v>377.5</v>
      </c>
      <c r="O1366" s="116">
        <v>358.1</v>
      </c>
      <c r="P1366" s="116">
        <v>377</v>
      </c>
      <c r="Q1366" s="116">
        <v>362.8</v>
      </c>
      <c r="R1366">
        <v>336731</v>
      </c>
    </row>
    <row r="1367" spans="1:18" x14ac:dyDescent="0.25">
      <c r="A1367" s="170">
        <v>44022</v>
      </c>
      <c r="B1367" s="116">
        <v>5.3691768508870403</v>
      </c>
      <c r="C1367" s="116">
        <v>5.06033039486256</v>
      </c>
      <c r="D1367" s="116">
        <v>5.0064802435557301</v>
      </c>
      <c r="E1367" s="116">
        <v>5.3691768508870403</v>
      </c>
      <c r="F1367" s="116">
        <v>319.5</v>
      </c>
      <c r="G1367">
        <v>6694</v>
      </c>
      <c r="H1367" s="116"/>
      <c r="I1367" s="116"/>
      <c r="L1367" s="170">
        <v>44021</v>
      </c>
      <c r="M1367" s="116">
        <v>367</v>
      </c>
      <c r="N1367" s="116">
        <v>377.75</v>
      </c>
      <c r="O1367" s="116">
        <v>365.2</v>
      </c>
      <c r="P1367" s="116">
        <v>366.4</v>
      </c>
      <c r="Q1367" s="116">
        <v>367</v>
      </c>
      <c r="R1367">
        <v>400620</v>
      </c>
    </row>
    <row r="1368" spans="1:18" x14ac:dyDescent="0.25">
      <c r="A1368" s="170">
        <v>44025</v>
      </c>
      <c r="B1368" s="116">
        <v>5.2266323327218904</v>
      </c>
      <c r="C1368" s="116">
        <v>5.0801282446077201</v>
      </c>
      <c r="D1368" s="116">
        <v>4.9890581357799899</v>
      </c>
      <c r="E1368" s="116">
        <v>5.06033039486256</v>
      </c>
      <c r="F1368" s="116">
        <v>320.75</v>
      </c>
      <c r="G1368">
        <v>6069</v>
      </c>
      <c r="H1368" s="116"/>
      <c r="I1368" s="116"/>
      <c r="L1368" s="170">
        <v>44022</v>
      </c>
      <c r="M1368" s="116">
        <v>360.65</v>
      </c>
      <c r="N1368" s="116">
        <v>368.05</v>
      </c>
      <c r="O1368" s="116">
        <v>357.65</v>
      </c>
      <c r="P1368" s="116">
        <v>365</v>
      </c>
      <c r="Q1368" s="116">
        <v>360.65</v>
      </c>
      <c r="R1368">
        <v>186751</v>
      </c>
    </row>
    <row r="1369" spans="1:18" x14ac:dyDescent="0.25">
      <c r="A1369" s="170">
        <v>44026</v>
      </c>
      <c r="B1369" s="116">
        <v>5.5592362084405602</v>
      </c>
      <c r="C1369" s="116">
        <v>5.3873908726525803</v>
      </c>
      <c r="D1369" s="116">
        <v>5.0437002010766303</v>
      </c>
      <c r="E1369" s="116">
        <v>5.0674576207708197</v>
      </c>
      <c r="F1369" s="116">
        <v>340.15</v>
      </c>
      <c r="G1369">
        <v>13942</v>
      </c>
      <c r="H1369" s="116"/>
      <c r="I1369" s="116"/>
      <c r="L1369" s="170">
        <v>44025</v>
      </c>
      <c r="M1369" s="116">
        <v>360.3</v>
      </c>
      <c r="N1369" s="116">
        <v>367</v>
      </c>
      <c r="O1369" s="116">
        <v>358.05</v>
      </c>
      <c r="P1369" s="116">
        <v>362.25</v>
      </c>
      <c r="Q1369" s="116">
        <v>360.3</v>
      </c>
      <c r="R1369">
        <v>206810</v>
      </c>
    </row>
    <row r="1370" spans="1:18" x14ac:dyDescent="0.25">
      <c r="A1370" s="170">
        <v>44027</v>
      </c>
      <c r="B1370" s="116">
        <v>6.0185463225282403</v>
      </c>
      <c r="C1370" s="116">
        <v>5.7374168561469903</v>
      </c>
      <c r="D1370" s="116">
        <v>5.3850151306831604</v>
      </c>
      <c r="E1370" s="116">
        <v>5.5829936281347496</v>
      </c>
      <c r="F1370" s="116">
        <v>362.25</v>
      </c>
      <c r="G1370">
        <v>22721</v>
      </c>
      <c r="H1370" s="116"/>
      <c r="I1370" s="116"/>
      <c r="L1370" s="170">
        <v>44026</v>
      </c>
      <c r="M1370" s="116">
        <v>349.35</v>
      </c>
      <c r="N1370" s="116">
        <v>361</v>
      </c>
      <c r="O1370" s="116">
        <v>348</v>
      </c>
      <c r="P1370" s="116">
        <v>358.1</v>
      </c>
      <c r="Q1370" s="116">
        <v>349.35</v>
      </c>
      <c r="R1370">
        <v>188057</v>
      </c>
    </row>
    <row r="1371" spans="1:18" x14ac:dyDescent="0.25">
      <c r="A1371" s="170">
        <v>44028</v>
      </c>
      <c r="B1371" s="116">
        <v>6.0177544085384298</v>
      </c>
      <c r="C1371" s="116">
        <v>5.7239543183202803</v>
      </c>
      <c r="D1371" s="116">
        <v>5.6233812416148696</v>
      </c>
      <c r="E1371" s="116">
        <v>5.8926319981490298</v>
      </c>
      <c r="F1371" s="116">
        <v>361.4</v>
      </c>
      <c r="G1371">
        <v>9875</v>
      </c>
      <c r="H1371" s="116"/>
      <c r="I1371" s="116"/>
      <c r="L1371" s="170">
        <v>44027</v>
      </c>
      <c r="M1371" s="116">
        <v>365.4</v>
      </c>
      <c r="N1371" s="116">
        <v>368.1</v>
      </c>
      <c r="O1371" s="116">
        <v>350.65</v>
      </c>
      <c r="P1371" s="116">
        <v>351</v>
      </c>
      <c r="Q1371" s="116">
        <v>365.4</v>
      </c>
      <c r="R1371">
        <v>438861</v>
      </c>
    </row>
    <row r="1372" spans="1:18" x14ac:dyDescent="0.25">
      <c r="A1372" s="170">
        <v>44029</v>
      </c>
      <c r="B1372" s="116">
        <v>5.9068864499655396</v>
      </c>
      <c r="C1372" s="116">
        <v>5.64872248928868</v>
      </c>
      <c r="D1372" s="116">
        <v>5.5275596488483103</v>
      </c>
      <c r="E1372" s="116">
        <v>5.5275596488483103</v>
      </c>
      <c r="F1372" s="116">
        <v>356.65</v>
      </c>
      <c r="G1372">
        <v>5446</v>
      </c>
      <c r="H1372" s="116"/>
      <c r="I1372" s="116"/>
      <c r="L1372" s="170">
        <v>44028</v>
      </c>
      <c r="M1372" s="116">
        <v>359.3</v>
      </c>
      <c r="N1372" s="116">
        <v>367.55</v>
      </c>
      <c r="O1372" s="116">
        <v>355.35</v>
      </c>
      <c r="P1372" s="116">
        <v>367.55</v>
      </c>
      <c r="Q1372" s="116">
        <v>359.3</v>
      </c>
      <c r="R1372">
        <v>214953</v>
      </c>
    </row>
    <row r="1373" spans="1:18" x14ac:dyDescent="0.25">
      <c r="A1373" s="170">
        <v>44032</v>
      </c>
      <c r="B1373" s="116">
        <v>5.8601635245669703</v>
      </c>
      <c r="C1373" s="116">
        <v>5.6724799089828704</v>
      </c>
      <c r="D1373" s="116">
        <v>5.4008534104792902</v>
      </c>
      <c r="E1373" s="116">
        <v>5.6225893276250698</v>
      </c>
      <c r="F1373" s="116">
        <v>358.15</v>
      </c>
      <c r="G1373">
        <v>7636</v>
      </c>
      <c r="H1373" s="116"/>
      <c r="I1373" s="116"/>
      <c r="L1373" s="170">
        <v>44029</v>
      </c>
      <c r="M1373" s="116">
        <v>357.95</v>
      </c>
      <c r="N1373" s="116">
        <v>365.95</v>
      </c>
      <c r="O1373" s="116">
        <v>354.5</v>
      </c>
      <c r="P1373" s="116">
        <v>360</v>
      </c>
      <c r="Q1373" s="116">
        <v>357.95</v>
      </c>
      <c r="R1373">
        <v>298362</v>
      </c>
    </row>
    <row r="1374" spans="1:18" x14ac:dyDescent="0.25">
      <c r="A1374" s="170">
        <v>44033</v>
      </c>
      <c r="B1374" s="116">
        <v>5.9235166437514799</v>
      </c>
      <c r="C1374" s="116">
        <v>5.6827747908503499</v>
      </c>
      <c r="D1374" s="116">
        <v>5.54418984263424</v>
      </c>
      <c r="E1374" s="116">
        <v>5.54418984263424</v>
      </c>
      <c r="F1374" s="116">
        <v>358.8</v>
      </c>
      <c r="G1374">
        <v>3542</v>
      </c>
      <c r="H1374" s="116"/>
      <c r="I1374" s="116"/>
      <c r="L1374" s="170">
        <v>44032</v>
      </c>
      <c r="M1374" s="116">
        <v>371.25</v>
      </c>
      <c r="N1374" s="116">
        <v>373.95</v>
      </c>
      <c r="O1374" s="116">
        <v>356.45</v>
      </c>
      <c r="P1374" s="116">
        <v>362.8</v>
      </c>
      <c r="Q1374" s="116">
        <v>371.25</v>
      </c>
      <c r="R1374">
        <v>552336</v>
      </c>
    </row>
    <row r="1375" spans="1:18" x14ac:dyDescent="0.25">
      <c r="A1375" s="170">
        <v>44034</v>
      </c>
      <c r="B1375" s="116">
        <v>5.9235166437514799</v>
      </c>
      <c r="C1375" s="116">
        <v>5.6859424468095696</v>
      </c>
      <c r="D1375" s="116">
        <v>5.5592362084405602</v>
      </c>
      <c r="E1375" s="116">
        <v>5.5608200364201696</v>
      </c>
      <c r="F1375" s="116">
        <v>359</v>
      </c>
      <c r="G1375">
        <v>4136</v>
      </c>
      <c r="H1375" s="116"/>
      <c r="I1375" s="116"/>
      <c r="L1375" s="170">
        <v>44033</v>
      </c>
      <c r="M1375" s="116">
        <v>370</v>
      </c>
      <c r="N1375" s="116">
        <v>376.7</v>
      </c>
      <c r="O1375" s="116">
        <v>365</v>
      </c>
      <c r="P1375" s="116">
        <v>371.5</v>
      </c>
      <c r="Q1375" s="116">
        <v>370</v>
      </c>
      <c r="R1375">
        <v>269246</v>
      </c>
    </row>
    <row r="1376" spans="1:18" x14ac:dyDescent="0.25">
      <c r="A1376" s="170">
        <v>44035</v>
      </c>
      <c r="B1376" s="116">
        <v>5.8601635245669703</v>
      </c>
      <c r="C1376" s="116">
        <v>5.8514524706791002</v>
      </c>
      <c r="D1376" s="116">
        <v>5.7192028343814396</v>
      </c>
      <c r="E1376" s="116">
        <v>5.8443252447708396</v>
      </c>
      <c r="F1376" s="116">
        <v>369.45</v>
      </c>
      <c r="G1376">
        <v>2465</v>
      </c>
      <c r="H1376" s="116"/>
      <c r="I1376" s="116"/>
      <c r="L1376" s="170">
        <v>44034</v>
      </c>
      <c r="M1376" s="116">
        <v>378.15</v>
      </c>
      <c r="N1376" s="116">
        <v>379.9</v>
      </c>
      <c r="O1376" s="116">
        <v>363.35</v>
      </c>
      <c r="P1376" s="116">
        <v>372.7</v>
      </c>
      <c r="Q1376" s="116">
        <v>378.15</v>
      </c>
      <c r="R1376">
        <v>658057</v>
      </c>
    </row>
    <row r="1377" spans="1:18" x14ac:dyDescent="0.25">
      <c r="A1377" s="170">
        <v>44036</v>
      </c>
      <c r="B1377" s="116">
        <v>5.9551932033437298</v>
      </c>
      <c r="C1377" s="116">
        <v>5.9124298478941899</v>
      </c>
      <c r="D1377" s="116">
        <v>5.7342492001877599</v>
      </c>
      <c r="E1377" s="116">
        <v>5.8601635245669703</v>
      </c>
      <c r="F1377" s="116">
        <v>373.3</v>
      </c>
      <c r="G1377">
        <v>5982</v>
      </c>
      <c r="H1377" s="116"/>
      <c r="I1377" s="116"/>
      <c r="L1377" s="170">
        <v>44035</v>
      </c>
      <c r="M1377" s="116">
        <v>399.5</v>
      </c>
      <c r="N1377" s="116">
        <v>402.9</v>
      </c>
      <c r="O1377" s="116">
        <v>383</v>
      </c>
      <c r="P1377" s="116">
        <v>383.95</v>
      </c>
      <c r="Q1377" s="116">
        <v>399.5</v>
      </c>
      <c r="R1377">
        <v>1300155</v>
      </c>
    </row>
    <row r="1378" spans="1:18" x14ac:dyDescent="0.25">
      <c r="A1378" s="170">
        <v>44039</v>
      </c>
      <c r="B1378" s="116">
        <v>6.01696249454863</v>
      </c>
      <c r="C1378" s="116">
        <v>5.4618307876943799</v>
      </c>
      <c r="D1378" s="116">
        <v>5.3256215814476899</v>
      </c>
      <c r="E1378" s="116">
        <v>5.9314357836495404</v>
      </c>
      <c r="F1378" s="116">
        <v>344.85</v>
      </c>
      <c r="G1378">
        <v>14399</v>
      </c>
      <c r="H1378" s="116"/>
      <c r="I1378" s="116"/>
      <c r="L1378" s="170">
        <v>44036</v>
      </c>
      <c r="M1378" s="116">
        <v>395.8</v>
      </c>
      <c r="N1378" s="116">
        <v>407.45</v>
      </c>
      <c r="O1378" s="116">
        <v>390.1</v>
      </c>
      <c r="P1378" s="116">
        <v>402</v>
      </c>
      <c r="Q1378" s="116">
        <v>395.8</v>
      </c>
      <c r="R1378">
        <v>869114</v>
      </c>
    </row>
    <row r="1379" spans="1:18" x14ac:dyDescent="0.25">
      <c r="A1379" s="170">
        <v>44040</v>
      </c>
      <c r="B1379" s="116">
        <v>5.8443252447708396</v>
      </c>
      <c r="C1379" s="116">
        <v>5.56636343434882</v>
      </c>
      <c r="D1379" s="116">
        <v>5.1791174933335098</v>
      </c>
      <c r="E1379" s="116">
        <v>5.3818474747239398</v>
      </c>
      <c r="F1379" s="116">
        <v>351.45</v>
      </c>
      <c r="G1379">
        <v>8469</v>
      </c>
      <c r="H1379" s="116"/>
      <c r="I1379" s="116"/>
      <c r="L1379" s="170">
        <v>44039</v>
      </c>
      <c r="M1379" s="116">
        <v>386.35</v>
      </c>
      <c r="N1379" s="116">
        <v>398.9</v>
      </c>
      <c r="O1379" s="116">
        <v>380.15</v>
      </c>
      <c r="P1379" s="116">
        <v>390.05</v>
      </c>
      <c r="Q1379" s="116">
        <v>386.35</v>
      </c>
      <c r="R1379">
        <v>351675</v>
      </c>
    </row>
    <row r="1380" spans="1:18" x14ac:dyDescent="0.25">
      <c r="A1380" s="170">
        <v>44041</v>
      </c>
      <c r="B1380" s="116">
        <v>5.7089079525139601</v>
      </c>
      <c r="C1380" s="116">
        <v>5.3422517752336196</v>
      </c>
      <c r="D1380" s="116">
        <v>5.3066156456923297</v>
      </c>
      <c r="E1380" s="116">
        <v>5.6510982312581</v>
      </c>
      <c r="F1380" s="116">
        <v>337.3</v>
      </c>
      <c r="G1380">
        <v>4352</v>
      </c>
      <c r="H1380" s="116"/>
      <c r="I1380" s="116"/>
      <c r="L1380" s="170">
        <v>44040</v>
      </c>
      <c r="M1380" s="116">
        <v>375.95</v>
      </c>
      <c r="N1380" s="116">
        <v>394</v>
      </c>
      <c r="O1380" s="116">
        <v>374.05</v>
      </c>
      <c r="P1380" s="116">
        <v>385.05</v>
      </c>
      <c r="Q1380" s="116">
        <v>375.95</v>
      </c>
      <c r="R1380">
        <v>392865</v>
      </c>
    </row>
    <row r="1381" spans="1:18" x14ac:dyDescent="0.25">
      <c r="A1381" s="170">
        <v>44042</v>
      </c>
      <c r="B1381" s="116">
        <v>5.6796071348911203</v>
      </c>
      <c r="C1381" s="116">
        <v>5.2709795161510504</v>
      </c>
      <c r="D1381" s="116">
        <v>5.2266323327218904</v>
      </c>
      <c r="E1381" s="116">
        <v>5.3850151306831604</v>
      </c>
      <c r="F1381" s="116">
        <v>332.8</v>
      </c>
      <c r="G1381">
        <v>3668</v>
      </c>
      <c r="H1381" s="116"/>
      <c r="I1381" s="116"/>
      <c r="L1381" s="170">
        <v>44041</v>
      </c>
      <c r="M1381" s="116">
        <v>369.05</v>
      </c>
      <c r="N1381" s="116">
        <v>382.2</v>
      </c>
      <c r="O1381" s="116">
        <v>361.25</v>
      </c>
      <c r="P1381" s="116">
        <v>377.4</v>
      </c>
      <c r="Q1381" s="116">
        <v>369.05</v>
      </c>
      <c r="R1381">
        <v>326679</v>
      </c>
    </row>
    <row r="1382" spans="1:18" x14ac:dyDescent="0.25">
      <c r="A1382" s="170">
        <v>44043</v>
      </c>
      <c r="B1382" s="116">
        <v>5.5101375410725604</v>
      </c>
      <c r="C1382" s="116">
        <v>5.2139617088849901</v>
      </c>
      <c r="D1382" s="116">
        <v>5.0682495347606196</v>
      </c>
      <c r="E1382" s="116">
        <v>5.0682495347606196</v>
      </c>
      <c r="F1382" s="116">
        <v>329.2</v>
      </c>
      <c r="G1382">
        <v>4438</v>
      </c>
      <c r="H1382" s="116"/>
      <c r="I1382" s="116"/>
      <c r="L1382" s="170">
        <v>44042</v>
      </c>
      <c r="M1382" s="116">
        <v>361.8</v>
      </c>
      <c r="N1382" s="116">
        <v>377</v>
      </c>
      <c r="O1382" s="116">
        <v>358.1</v>
      </c>
      <c r="P1382" s="116">
        <v>370.65</v>
      </c>
      <c r="Q1382" s="116">
        <v>361.8</v>
      </c>
      <c r="R1382">
        <v>217927</v>
      </c>
    </row>
    <row r="1383" spans="1:18" x14ac:dyDescent="0.25">
      <c r="A1383" s="170">
        <v>44046</v>
      </c>
      <c r="B1383" s="116">
        <v>5.5418141006648201</v>
      </c>
      <c r="C1383" s="116">
        <v>5.2329676446403397</v>
      </c>
      <c r="D1383" s="116">
        <v>5.0682495347606196</v>
      </c>
      <c r="E1383" s="116">
        <v>5.5418141006648201</v>
      </c>
      <c r="F1383" s="116">
        <v>330.4</v>
      </c>
      <c r="G1383">
        <v>2797</v>
      </c>
      <c r="H1383" s="116"/>
      <c r="I1383" s="116"/>
      <c r="L1383" s="170">
        <v>44043</v>
      </c>
      <c r="M1383" s="116">
        <v>365.4</v>
      </c>
      <c r="N1383" s="116">
        <v>369.25</v>
      </c>
      <c r="O1383" s="116">
        <v>360</v>
      </c>
      <c r="P1383" s="116">
        <v>363</v>
      </c>
      <c r="Q1383" s="116">
        <v>365.4</v>
      </c>
      <c r="R1383">
        <v>178980</v>
      </c>
    </row>
    <row r="1384" spans="1:18" x14ac:dyDescent="0.25">
      <c r="A1384" s="170">
        <v>44047</v>
      </c>
      <c r="B1384" s="116">
        <v>5.4008534104792902</v>
      </c>
      <c r="C1384" s="116">
        <v>5.1973315150990604</v>
      </c>
      <c r="D1384" s="116">
        <v>5.1949557731296396</v>
      </c>
      <c r="E1384" s="116">
        <v>5.3058237317025299</v>
      </c>
      <c r="F1384" s="116">
        <v>328.15</v>
      </c>
      <c r="G1384">
        <v>5085</v>
      </c>
      <c r="H1384" s="116"/>
      <c r="I1384" s="116"/>
      <c r="L1384" s="170">
        <v>44046</v>
      </c>
      <c r="M1384" s="116">
        <v>370.15</v>
      </c>
      <c r="N1384" s="116">
        <v>373.25</v>
      </c>
      <c r="O1384" s="116">
        <v>361.6</v>
      </c>
      <c r="P1384" s="116">
        <v>365</v>
      </c>
      <c r="Q1384" s="116">
        <v>370.15</v>
      </c>
      <c r="R1384">
        <v>161276</v>
      </c>
    </row>
    <row r="1385" spans="1:18" x14ac:dyDescent="0.25">
      <c r="A1385" s="170">
        <v>44048</v>
      </c>
      <c r="B1385" s="116">
        <v>5.5433979286444304</v>
      </c>
      <c r="C1385" s="116">
        <v>5.3398760332641997</v>
      </c>
      <c r="D1385" s="116">
        <v>5.2266323327218904</v>
      </c>
      <c r="E1385" s="116">
        <v>5.2266323327218904</v>
      </c>
      <c r="F1385" s="116">
        <v>337.15</v>
      </c>
      <c r="G1385">
        <v>5181</v>
      </c>
      <c r="H1385" s="116"/>
      <c r="I1385" s="116"/>
      <c r="L1385" s="170">
        <v>44047</v>
      </c>
      <c r="M1385" s="116">
        <v>379.75</v>
      </c>
      <c r="N1385" s="116">
        <v>383.95</v>
      </c>
      <c r="O1385" s="116">
        <v>362.4</v>
      </c>
      <c r="P1385" s="116">
        <v>371</v>
      </c>
      <c r="Q1385" s="116">
        <v>379.75</v>
      </c>
      <c r="R1385">
        <v>505681</v>
      </c>
    </row>
    <row r="1386" spans="1:18" x14ac:dyDescent="0.25">
      <c r="A1386" s="170">
        <v>44049</v>
      </c>
      <c r="B1386" s="116">
        <v>5.7017807266057003</v>
      </c>
      <c r="C1386" s="116">
        <v>5.4515359058269004</v>
      </c>
      <c r="D1386" s="116">
        <v>5.2424706125180203</v>
      </c>
      <c r="E1386" s="116">
        <v>5.3533385710909096</v>
      </c>
      <c r="F1386" s="116">
        <v>344.2</v>
      </c>
      <c r="G1386">
        <v>7327</v>
      </c>
      <c r="H1386" s="116"/>
      <c r="I1386" s="116"/>
      <c r="L1386" s="170">
        <v>44048</v>
      </c>
      <c r="M1386" s="116">
        <v>369.65</v>
      </c>
      <c r="N1386" s="116">
        <v>384.9</v>
      </c>
      <c r="O1386" s="116">
        <v>368</v>
      </c>
      <c r="P1386" s="116">
        <v>381.85</v>
      </c>
      <c r="Q1386" s="116">
        <v>369.65</v>
      </c>
      <c r="R1386">
        <v>254633</v>
      </c>
    </row>
    <row r="1387" spans="1:18" x14ac:dyDescent="0.25">
      <c r="A1387" s="170">
        <v>44050</v>
      </c>
      <c r="B1387" s="116">
        <v>5.7017807266057003</v>
      </c>
      <c r="C1387" s="116">
        <v>5.3446275172030404</v>
      </c>
      <c r="D1387" s="116">
        <v>5.3058237317025299</v>
      </c>
      <c r="E1387" s="116">
        <v>5.6225893276250698</v>
      </c>
      <c r="F1387" s="116">
        <v>337.45</v>
      </c>
      <c r="G1387">
        <v>6183</v>
      </c>
      <c r="H1387" s="116"/>
      <c r="I1387" s="116"/>
      <c r="L1387" s="170">
        <v>44049</v>
      </c>
      <c r="M1387" s="116">
        <v>371</v>
      </c>
      <c r="N1387" s="116">
        <v>376</v>
      </c>
      <c r="O1387" s="116">
        <v>365.35</v>
      </c>
      <c r="P1387" s="116">
        <v>375</v>
      </c>
      <c r="Q1387" s="116">
        <v>371</v>
      </c>
      <c r="R1387">
        <v>408227</v>
      </c>
    </row>
    <row r="1388" spans="1:18" x14ac:dyDescent="0.25">
      <c r="A1388" s="170">
        <v>44053</v>
      </c>
      <c r="B1388" s="116">
        <v>6.4129194894517996</v>
      </c>
      <c r="C1388" s="116">
        <v>6.3266008645629102</v>
      </c>
      <c r="D1388" s="116">
        <v>5.6360518654517699</v>
      </c>
      <c r="E1388" s="116">
        <v>5.6368437794415804</v>
      </c>
      <c r="F1388" s="116">
        <v>399.45</v>
      </c>
      <c r="G1388">
        <v>49960</v>
      </c>
      <c r="H1388" s="116"/>
      <c r="I1388" s="116"/>
      <c r="L1388" s="170">
        <v>44050</v>
      </c>
      <c r="M1388" s="116">
        <v>372.7</v>
      </c>
      <c r="N1388" s="116">
        <v>378</v>
      </c>
      <c r="O1388" s="116">
        <v>367.2</v>
      </c>
      <c r="P1388" s="116">
        <v>371</v>
      </c>
      <c r="Q1388" s="116">
        <v>372.7</v>
      </c>
      <c r="R1388">
        <v>416232</v>
      </c>
    </row>
    <row r="1389" spans="1:18" x14ac:dyDescent="0.25">
      <c r="A1389" s="170">
        <v>44054</v>
      </c>
      <c r="B1389" s="116">
        <v>6.6520775143733202</v>
      </c>
      <c r="C1389" s="116">
        <v>6.12862236711132</v>
      </c>
      <c r="D1389" s="116">
        <v>6.0834832696923602</v>
      </c>
      <c r="E1389" s="116">
        <v>6.4216305433396697</v>
      </c>
      <c r="F1389" s="116">
        <v>386.95</v>
      </c>
      <c r="G1389">
        <v>14513</v>
      </c>
      <c r="H1389" s="116"/>
      <c r="I1389" s="116"/>
      <c r="L1389" s="170">
        <v>44053</v>
      </c>
      <c r="M1389" s="116">
        <v>389.5</v>
      </c>
      <c r="N1389" s="116">
        <v>394.9</v>
      </c>
      <c r="O1389" s="116">
        <v>368.25</v>
      </c>
      <c r="P1389" s="116">
        <v>372.8</v>
      </c>
      <c r="Q1389" s="116">
        <v>389.5</v>
      </c>
      <c r="R1389">
        <v>2165478</v>
      </c>
    </row>
    <row r="1390" spans="1:18" x14ac:dyDescent="0.25">
      <c r="A1390" s="170">
        <v>44055</v>
      </c>
      <c r="B1390" s="116">
        <v>6.3163059826954298</v>
      </c>
      <c r="C1390" s="116">
        <v>6.1500040448360904</v>
      </c>
      <c r="D1390" s="116">
        <v>5.9884535909155998</v>
      </c>
      <c r="E1390" s="116">
        <v>6.0818994417127499</v>
      </c>
      <c r="F1390" s="116">
        <v>388.3</v>
      </c>
      <c r="G1390">
        <v>10327</v>
      </c>
      <c r="H1390" s="116"/>
      <c r="I1390" s="116"/>
      <c r="L1390" s="170">
        <v>44054</v>
      </c>
      <c r="M1390" s="116">
        <v>373.55</v>
      </c>
      <c r="N1390" s="116">
        <v>387</v>
      </c>
      <c r="O1390" s="116">
        <v>371.7</v>
      </c>
      <c r="P1390" s="116">
        <v>384.95</v>
      </c>
      <c r="Q1390" s="116">
        <v>373.55</v>
      </c>
      <c r="R1390">
        <v>594642</v>
      </c>
    </row>
    <row r="1391" spans="1:18" x14ac:dyDescent="0.25">
      <c r="A1391" s="170">
        <v>44056</v>
      </c>
      <c r="B1391" s="116">
        <v>6.2877970790623996</v>
      </c>
      <c r="C1391" s="116">
        <v>5.9353953535985697</v>
      </c>
      <c r="D1391" s="116">
        <v>5.8593716105771598</v>
      </c>
      <c r="E1391" s="116">
        <v>6.2394903256842102</v>
      </c>
      <c r="F1391" s="116">
        <v>374.75</v>
      </c>
      <c r="G1391">
        <v>16567</v>
      </c>
      <c r="H1391" s="116"/>
      <c r="I1391" s="116"/>
      <c r="L1391" s="170">
        <v>44055</v>
      </c>
      <c r="M1391" s="116">
        <v>369.15</v>
      </c>
      <c r="N1391" s="116">
        <v>379</v>
      </c>
      <c r="O1391" s="116">
        <v>365.35</v>
      </c>
      <c r="P1391" s="116">
        <v>372.95</v>
      </c>
      <c r="Q1391" s="116">
        <v>369.15</v>
      </c>
      <c r="R1391">
        <v>349865</v>
      </c>
    </row>
    <row r="1392" spans="1:18" x14ac:dyDescent="0.25">
      <c r="A1392" s="170">
        <v>44057</v>
      </c>
      <c r="B1392" s="116">
        <v>6.1294142811011296</v>
      </c>
      <c r="C1392" s="116">
        <v>5.8395737608320104</v>
      </c>
      <c r="D1392" s="116">
        <v>5.6368437794415804</v>
      </c>
      <c r="E1392" s="116">
        <v>6.0898185816108104</v>
      </c>
      <c r="F1392" s="116">
        <v>368.7</v>
      </c>
      <c r="G1392">
        <v>13679</v>
      </c>
      <c r="H1392" s="116"/>
      <c r="I1392" s="116"/>
      <c r="L1392" s="170">
        <v>44056</v>
      </c>
      <c r="M1392" s="116">
        <v>366.6</v>
      </c>
      <c r="N1392" s="116">
        <v>374</v>
      </c>
      <c r="O1392" s="116">
        <v>365</v>
      </c>
      <c r="P1392" s="116">
        <v>371</v>
      </c>
      <c r="Q1392" s="116">
        <v>366.6</v>
      </c>
      <c r="R1392">
        <v>234728</v>
      </c>
    </row>
    <row r="1393" spans="1:18" x14ac:dyDescent="0.25">
      <c r="A1393" s="170">
        <v>44060</v>
      </c>
      <c r="B1393" s="116">
        <v>5.9868697629359904</v>
      </c>
      <c r="C1393" s="116">
        <v>5.8981753960776704</v>
      </c>
      <c r="D1393" s="116">
        <v>5.7817640395761396</v>
      </c>
      <c r="E1393" s="116">
        <v>5.8601635245669703</v>
      </c>
      <c r="F1393" s="116">
        <v>372.4</v>
      </c>
      <c r="G1393">
        <v>5252</v>
      </c>
      <c r="H1393" s="116"/>
      <c r="I1393" s="116"/>
      <c r="L1393" s="170">
        <v>44057</v>
      </c>
      <c r="M1393" s="116">
        <v>373</v>
      </c>
      <c r="N1393" s="116">
        <v>380.4</v>
      </c>
      <c r="O1393" s="116">
        <v>366</v>
      </c>
      <c r="P1393" s="116">
        <v>366</v>
      </c>
      <c r="Q1393" s="116">
        <v>373</v>
      </c>
      <c r="R1393">
        <v>688790</v>
      </c>
    </row>
    <row r="1394" spans="1:18" x14ac:dyDescent="0.25">
      <c r="A1394" s="170">
        <v>44061</v>
      </c>
      <c r="B1394" s="116">
        <v>6.0652692479268104</v>
      </c>
      <c r="C1394" s="116">
        <v>5.7833478675557499</v>
      </c>
      <c r="D1394" s="116">
        <v>5.7239543183202803</v>
      </c>
      <c r="E1394" s="116">
        <v>6.0652692479268104</v>
      </c>
      <c r="F1394" s="116">
        <v>365.15</v>
      </c>
      <c r="G1394">
        <v>9527</v>
      </c>
      <c r="H1394" s="116"/>
      <c r="I1394" s="116"/>
      <c r="L1394" s="170">
        <v>44060</v>
      </c>
      <c r="M1394" s="116">
        <v>368.6</v>
      </c>
      <c r="N1394" s="116">
        <v>376.75</v>
      </c>
      <c r="O1394" s="116">
        <v>367.8</v>
      </c>
      <c r="P1394" s="116">
        <v>376.5</v>
      </c>
      <c r="Q1394" s="116">
        <v>368.6</v>
      </c>
      <c r="R1394">
        <v>235127</v>
      </c>
    </row>
    <row r="1395" spans="1:18" x14ac:dyDescent="0.25">
      <c r="A1395" s="170">
        <v>44062</v>
      </c>
      <c r="B1395" s="116">
        <v>6.0502228821204902</v>
      </c>
      <c r="C1395" s="116">
        <v>5.7516713079635</v>
      </c>
      <c r="D1395" s="116">
        <v>5.7263300602897003</v>
      </c>
      <c r="E1395" s="116">
        <v>6.0502228821204902</v>
      </c>
      <c r="F1395" s="116">
        <v>363.15</v>
      </c>
      <c r="G1395">
        <v>7497</v>
      </c>
      <c r="H1395" s="116"/>
      <c r="I1395" s="116"/>
      <c r="L1395" s="170">
        <v>44061</v>
      </c>
      <c r="M1395" s="116">
        <v>372.75</v>
      </c>
      <c r="N1395" s="116">
        <v>379.45</v>
      </c>
      <c r="O1395" s="116">
        <v>366.05</v>
      </c>
      <c r="P1395" s="116">
        <v>370</v>
      </c>
      <c r="Q1395" s="116">
        <v>372.75</v>
      </c>
      <c r="R1395">
        <v>537469</v>
      </c>
    </row>
    <row r="1396" spans="1:18" x14ac:dyDescent="0.25">
      <c r="A1396" s="170">
        <v>44063</v>
      </c>
      <c r="B1396" s="116">
        <v>5.9860778489461799</v>
      </c>
      <c r="C1396" s="116">
        <v>5.7366249421571798</v>
      </c>
      <c r="D1396" s="116">
        <v>5.7176190064018302</v>
      </c>
      <c r="E1396" s="116">
        <v>5.7968104053824598</v>
      </c>
      <c r="F1396" s="116">
        <v>362.2</v>
      </c>
      <c r="G1396">
        <v>7264</v>
      </c>
      <c r="H1396" s="116"/>
      <c r="I1396" s="116"/>
      <c r="L1396" s="170">
        <v>44062</v>
      </c>
      <c r="M1396" s="116">
        <v>370.15</v>
      </c>
      <c r="N1396" s="116">
        <v>375.9</v>
      </c>
      <c r="O1396" s="116">
        <v>369.05</v>
      </c>
      <c r="P1396" s="116">
        <v>372.8</v>
      </c>
      <c r="Q1396" s="116">
        <v>370.15</v>
      </c>
      <c r="R1396">
        <v>314726</v>
      </c>
    </row>
    <row r="1397" spans="1:18" x14ac:dyDescent="0.25">
      <c r="A1397" s="170">
        <v>44064</v>
      </c>
      <c r="B1397" s="116">
        <v>6.3194736386546504</v>
      </c>
      <c r="C1397" s="116">
        <v>6.19118357230602</v>
      </c>
      <c r="D1397" s="116">
        <v>5.7199947483712501</v>
      </c>
      <c r="E1397" s="116">
        <v>5.8126486851785897</v>
      </c>
      <c r="F1397" s="116">
        <v>390.9</v>
      </c>
      <c r="G1397">
        <v>26813</v>
      </c>
      <c r="H1397" s="116"/>
      <c r="I1397" s="116"/>
      <c r="L1397" s="170">
        <v>44063</v>
      </c>
      <c r="M1397" s="116">
        <v>366.85</v>
      </c>
      <c r="N1397" s="116">
        <v>372.7</v>
      </c>
      <c r="O1397" s="116">
        <v>366</v>
      </c>
      <c r="P1397" s="116">
        <v>370</v>
      </c>
      <c r="Q1397" s="116">
        <v>366.85</v>
      </c>
      <c r="R1397">
        <v>185560</v>
      </c>
    </row>
    <row r="1398" spans="1:18" x14ac:dyDescent="0.25">
      <c r="A1398" s="170">
        <v>44067</v>
      </c>
      <c r="B1398" s="116">
        <v>6.3178898106750401</v>
      </c>
      <c r="C1398" s="116">
        <v>5.9551932033437298</v>
      </c>
      <c r="D1398" s="116">
        <v>5.8601635245669703</v>
      </c>
      <c r="E1398" s="116">
        <v>6.2394903256842102</v>
      </c>
      <c r="F1398" s="116">
        <v>376</v>
      </c>
      <c r="G1398">
        <v>8410</v>
      </c>
      <c r="H1398" s="116"/>
      <c r="I1398" s="116"/>
      <c r="L1398" s="170">
        <v>44064</v>
      </c>
      <c r="M1398" s="116">
        <v>371.15</v>
      </c>
      <c r="N1398" s="116">
        <v>376</v>
      </c>
      <c r="O1398" s="116">
        <v>369.45</v>
      </c>
      <c r="P1398" s="116">
        <v>370</v>
      </c>
      <c r="Q1398" s="116">
        <v>371.15</v>
      </c>
      <c r="R1398">
        <v>373993</v>
      </c>
    </row>
    <row r="1399" spans="1:18" x14ac:dyDescent="0.25">
      <c r="A1399" s="170">
        <v>44068</v>
      </c>
      <c r="B1399" s="116">
        <v>6.4731049526770796</v>
      </c>
      <c r="C1399" s="116">
        <v>6.1785129484691197</v>
      </c>
      <c r="D1399" s="116">
        <v>5.9884535909155998</v>
      </c>
      <c r="E1399" s="116">
        <v>6.4731049526770796</v>
      </c>
      <c r="F1399" s="116">
        <v>390.1</v>
      </c>
      <c r="G1399">
        <v>14654</v>
      </c>
      <c r="H1399" s="116"/>
      <c r="I1399" s="116"/>
      <c r="L1399" s="170">
        <v>44067</v>
      </c>
      <c r="M1399" s="116">
        <v>378.9</v>
      </c>
      <c r="N1399" s="116">
        <v>384.9</v>
      </c>
      <c r="O1399" s="116">
        <v>372.5</v>
      </c>
      <c r="P1399" s="116">
        <v>372.5</v>
      </c>
      <c r="Q1399" s="116">
        <v>378.9</v>
      </c>
      <c r="R1399">
        <v>988087</v>
      </c>
    </row>
    <row r="1400" spans="1:18" x14ac:dyDescent="0.25">
      <c r="A1400" s="170">
        <v>44069</v>
      </c>
      <c r="B1400" s="116">
        <v>6.3115544987565899</v>
      </c>
      <c r="C1400" s="116">
        <v>6.0256735484365</v>
      </c>
      <c r="D1400" s="116">
        <v>5.9868697629359904</v>
      </c>
      <c r="E1400" s="116">
        <v>6.22444395987789</v>
      </c>
      <c r="F1400" s="116">
        <v>380.45</v>
      </c>
      <c r="G1400">
        <v>24415</v>
      </c>
      <c r="H1400" s="116"/>
      <c r="I1400" s="116"/>
      <c r="L1400" s="170">
        <v>44068</v>
      </c>
      <c r="M1400" s="116">
        <v>386.2</v>
      </c>
      <c r="N1400" s="116">
        <v>391.85</v>
      </c>
      <c r="O1400" s="116">
        <v>380.25</v>
      </c>
      <c r="P1400" s="116">
        <v>382.65</v>
      </c>
      <c r="Q1400" s="116">
        <v>386.2</v>
      </c>
      <c r="R1400">
        <v>1495815</v>
      </c>
    </row>
    <row r="1401" spans="1:18" x14ac:dyDescent="0.25">
      <c r="A1401" s="170">
        <v>44070</v>
      </c>
      <c r="B1401" s="116">
        <v>6.4145033174314099</v>
      </c>
      <c r="C1401" s="116">
        <v>6.3701561340022597</v>
      </c>
      <c r="D1401" s="116">
        <v>6.0137948385893996</v>
      </c>
      <c r="E1401" s="116">
        <v>6.0137948385893996</v>
      </c>
      <c r="F1401" s="116">
        <v>402.2</v>
      </c>
      <c r="G1401">
        <v>31803</v>
      </c>
      <c r="H1401" s="116"/>
      <c r="I1401" s="116"/>
      <c r="L1401" s="170">
        <v>44069</v>
      </c>
      <c r="M1401" s="116">
        <v>392.9</v>
      </c>
      <c r="N1401" s="116">
        <v>419.9</v>
      </c>
      <c r="O1401" s="116">
        <v>390</v>
      </c>
      <c r="P1401" s="116">
        <v>407.05</v>
      </c>
      <c r="Q1401" s="116">
        <v>392.9</v>
      </c>
      <c r="R1401">
        <v>3831288</v>
      </c>
    </row>
    <row r="1402" spans="1:18" x14ac:dyDescent="0.25">
      <c r="A1402" s="170">
        <v>44071</v>
      </c>
      <c r="B1402" s="116">
        <v>7.5849521943651901</v>
      </c>
      <c r="C1402" s="116">
        <v>6.9743865082244998</v>
      </c>
      <c r="D1402" s="116">
        <v>6.5253712760043001</v>
      </c>
      <c r="E1402" s="116">
        <v>6.5253712760043001</v>
      </c>
      <c r="F1402" s="116">
        <v>440.35</v>
      </c>
      <c r="G1402">
        <v>96033</v>
      </c>
      <c r="H1402" s="116"/>
      <c r="I1402" s="116"/>
      <c r="L1402" s="170">
        <v>44070</v>
      </c>
      <c r="M1402" s="116">
        <v>382.55</v>
      </c>
      <c r="N1402" s="116">
        <v>403</v>
      </c>
      <c r="O1402" s="116">
        <v>369.3</v>
      </c>
      <c r="P1402" s="116">
        <v>393.5</v>
      </c>
      <c r="Q1402" s="116">
        <v>382.55</v>
      </c>
      <c r="R1402">
        <v>1165301</v>
      </c>
    </row>
    <row r="1403" spans="1:18" x14ac:dyDescent="0.25">
      <c r="A1403" s="170">
        <v>44074</v>
      </c>
      <c r="B1403" s="116">
        <v>7.1272259082571301</v>
      </c>
      <c r="C1403" s="116">
        <v>6.3661965640532303</v>
      </c>
      <c r="D1403" s="116">
        <v>5.7017807266057003</v>
      </c>
      <c r="E1403" s="116">
        <v>7.0401153693784302</v>
      </c>
      <c r="F1403" s="116">
        <v>401.95</v>
      </c>
      <c r="G1403">
        <v>43360</v>
      </c>
      <c r="H1403" s="116"/>
      <c r="I1403" s="116"/>
      <c r="L1403" s="170">
        <v>44071</v>
      </c>
      <c r="M1403" s="116">
        <v>387.2</v>
      </c>
      <c r="N1403" s="116">
        <v>392.55</v>
      </c>
      <c r="O1403" s="116">
        <v>384.2</v>
      </c>
      <c r="P1403" s="116">
        <v>384.25</v>
      </c>
      <c r="Q1403" s="116">
        <v>387.2</v>
      </c>
      <c r="R1403">
        <v>847657</v>
      </c>
    </row>
    <row r="1404" spans="1:18" x14ac:dyDescent="0.25">
      <c r="A1404" s="170">
        <v>44075</v>
      </c>
      <c r="B1404" s="116">
        <v>6.4921108884324399</v>
      </c>
      <c r="C1404" s="116">
        <v>6.0818994417127499</v>
      </c>
      <c r="D1404" s="116">
        <v>5.9781587090481203</v>
      </c>
      <c r="E1404" s="116">
        <v>6.0375522582835899</v>
      </c>
      <c r="F1404" s="116">
        <v>384</v>
      </c>
      <c r="G1404">
        <v>18288</v>
      </c>
      <c r="H1404" s="116"/>
      <c r="I1404" s="116"/>
      <c r="L1404" s="170">
        <v>44074</v>
      </c>
      <c r="M1404" s="116">
        <v>371.2</v>
      </c>
      <c r="N1404" s="116">
        <v>395.45</v>
      </c>
      <c r="O1404" s="116">
        <v>361.35</v>
      </c>
      <c r="P1404" s="116">
        <v>395</v>
      </c>
      <c r="Q1404" s="116">
        <v>371.2</v>
      </c>
      <c r="R1404">
        <v>724362</v>
      </c>
    </row>
    <row r="1405" spans="1:18" x14ac:dyDescent="0.25">
      <c r="A1405" s="170">
        <v>44076</v>
      </c>
      <c r="B1405" s="116">
        <v>6.5372499858513997</v>
      </c>
      <c r="C1405" s="116">
        <v>6.4659777267688296</v>
      </c>
      <c r="D1405" s="116">
        <v>5.9868697629359904</v>
      </c>
      <c r="E1405" s="116">
        <v>6.0850670976719696</v>
      </c>
      <c r="F1405" s="116">
        <v>408.25</v>
      </c>
      <c r="G1405">
        <v>9166</v>
      </c>
      <c r="H1405" s="116"/>
      <c r="I1405" s="116"/>
      <c r="L1405" s="170">
        <v>44075</v>
      </c>
      <c r="M1405" s="116">
        <v>381.85</v>
      </c>
      <c r="N1405" s="116">
        <v>383</v>
      </c>
      <c r="O1405" s="116">
        <v>370.95</v>
      </c>
      <c r="P1405" s="116">
        <v>371</v>
      </c>
      <c r="Q1405" s="116">
        <v>381.85</v>
      </c>
      <c r="R1405">
        <v>444391</v>
      </c>
    </row>
    <row r="1406" spans="1:18" x14ac:dyDescent="0.25">
      <c r="A1406" s="170">
        <v>44077</v>
      </c>
      <c r="B1406" s="116">
        <v>7.0480345092764898</v>
      </c>
      <c r="C1406" s="116">
        <v>6.9419180346424403</v>
      </c>
      <c r="D1406" s="116">
        <v>6.4620181568198003</v>
      </c>
      <c r="E1406" s="116">
        <v>6.4620181568198003</v>
      </c>
      <c r="F1406" s="116">
        <v>438.3</v>
      </c>
      <c r="G1406">
        <v>14683</v>
      </c>
      <c r="H1406" s="116"/>
      <c r="I1406" s="116"/>
      <c r="L1406" s="170">
        <v>44076</v>
      </c>
      <c r="M1406" s="116">
        <v>384.7</v>
      </c>
      <c r="N1406" s="116">
        <v>387</v>
      </c>
      <c r="O1406" s="116">
        <v>379.5</v>
      </c>
      <c r="P1406" s="116">
        <v>380.1</v>
      </c>
      <c r="Q1406" s="116">
        <v>384.7</v>
      </c>
      <c r="R1406">
        <v>282187</v>
      </c>
    </row>
    <row r="1407" spans="1:18" x14ac:dyDescent="0.25">
      <c r="A1407" s="170">
        <v>44078</v>
      </c>
      <c r="B1407" s="116">
        <v>6.9490452605507</v>
      </c>
      <c r="C1407" s="116">
        <v>6.91578487297883</v>
      </c>
      <c r="D1407" s="116">
        <v>6.5443772117596604</v>
      </c>
      <c r="E1407" s="116">
        <v>6.8104603123345901</v>
      </c>
      <c r="F1407" s="116">
        <v>436.65</v>
      </c>
      <c r="G1407">
        <v>10890</v>
      </c>
      <c r="H1407" s="116"/>
      <c r="I1407" s="116"/>
      <c r="L1407" s="170">
        <v>44077</v>
      </c>
      <c r="M1407" s="116">
        <v>384.9</v>
      </c>
      <c r="N1407" s="116">
        <v>387.75</v>
      </c>
      <c r="O1407" s="116">
        <v>381.4</v>
      </c>
      <c r="P1407" s="116">
        <v>386.7</v>
      </c>
      <c r="Q1407" s="116">
        <v>384.9</v>
      </c>
      <c r="R1407">
        <v>180495</v>
      </c>
    </row>
    <row r="1408" spans="1:18" x14ac:dyDescent="0.25">
      <c r="A1408" s="170">
        <v>44081</v>
      </c>
      <c r="B1408" s="116">
        <v>7.2380938668300203</v>
      </c>
      <c r="C1408" s="116">
        <v>6.8429287859166497</v>
      </c>
      <c r="D1408" s="116">
        <v>6.7312689133539498</v>
      </c>
      <c r="E1408" s="116">
        <v>6.9530048304997303</v>
      </c>
      <c r="F1408" s="116">
        <v>432.05</v>
      </c>
      <c r="G1408">
        <v>9320</v>
      </c>
      <c r="H1408" s="116"/>
      <c r="I1408" s="116"/>
      <c r="L1408" s="170">
        <v>44078</v>
      </c>
      <c r="M1408" s="116">
        <v>375.25</v>
      </c>
      <c r="N1408" s="116">
        <v>380.8</v>
      </c>
      <c r="O1408" s="116">
        <v>372.75</v>
      </c>
      <c r="P1408" s="116">
        <v>375.9</v>
      </c>
      <c r="Q1408" s="116">
        <v>375.25</v>
      </c>
      <c r="R1408">
        <v>200159</v>
      </c>
    </row>
    <row r="1409" spans="1:18" x14ac:dyDescent="0.25">
      <c r="A1409" s="170">
        <v>44082</v>
      </c>
      <c r="B1409" s="116">
        <v>7.12564208027751</v>
      </c>
      <c r="C1409" s="116">
        <v>6.8215471081918801</v>
      </c>
      <c r="D1409" s="116">
        <v>6.6837540739655701</v>
      </c>
      <c r="E1409" s="116">
        <v>7.12564208027751</v>
      </c>
      <c r="F1409" s="116">
        <v>430.7</v>
      </c>
      <c r="G1409">
        <v>8034</v>
      </c>
      <c r="H1409" s="116"/>
      <c r="I1409" s="116"/>
      <c r="L1409" s="170">
        <v>44081</v>
      </c>
      <c r="M1409" s="116">
        <v>371.15</v>
      </c>
      <c r="N1409" s="116">
        <v>383.1</v>
      </c>
      <c r="O1409" s="116">
        <v>370.05</v>
      </c>
      <c r="P1409" s="116">
        <v>375</v>
      </c>
      <c r="Q1409" s="116">
        <v>371.15</v>
      </c>
      <c r="R1409">
        <v>289255</v>
      </c>
    </row>
    <row r="1410" spans="1:18" x14ac:dyDescent="0.25">
      <c r="A1410" s="170">
        <v>44083</v>
      </c>
      <c r="B1410" s="116">
        <v>6.8880678833356104</v>
      </c>
      <c r="C1410" s="116">
        <v>6.7724484408238803</v>
      </c>
      <c r="D1410" s="116">
        <v>6.3353119184507802</v>
      </c>
      <c r="E1410" s="116">
        <v>6.7312689133539498</v>
      </c>
      <c r="F1410" s="116">
        <v>427.6</v>
      </c>
      <c r="G1410">
        <v>11816</v>
      </c>
      <c r="H1410" s="116"/>
      <c r="I1410" s="116"/>
      <c r="L1410" s="170">
        <v>44082</v>
      </c>
      <c r="M1410" s="116">
        <v>370.85</v>
      </c>
      <c r="N1410" s="116">
        <v>378</v>
      </c>
      <c r="O1410" s="116">
        <v>370</v>
      </c>
      <c r="P1410" s="116">
        <v>373.3</v>
      </c>
      <c r="Q1410" s="116">
        <v>370.85</v>
      </c>
      <c r="R1410">
        <v>184374</v>
      </c>
    </row>
    <row r="1411" spans="1:18" x14ac:dyDescent="0.25">
      <c r="A1411" s="170">
        <v>44084</v>
      </c>
      <c r="B1411" s="116">
        <v>7.0480345092764898</v>
      </c>
      <c r="C1411" s="116">
        <v>6.6813783319961502</v>
      </c>
      <c r="D1411" s="116">
        <v>6.5728861153926799</v>
      </c>
      <c r="E1411" s="116">
        <v>6.9838894761021804</v>
      </c>
      <c r="F1411" s="116">
        <v>421.85</v>
      </c>
      <c r="G1411">
        <v>9876</v>
      </c>
      <c r="H1411" s="116"/>
      <c r="I1411" s="116"/>
      <c r="L1411" s="170">
        <v>44083</v>
      </c>
      <c r="M1411" s="116">
        <v>371.85</v>
      </c>
      <c r="N1411" s="116">
        <v>373</v>
      </c>
      <c r="O1411" s="116">
        <v>364.1</v>
      </c>
      <c r="P1411" s="116">
        <v>365</v>
      </c>
      <c r="Q1411" s="116">
        <v>371.85</v>
      </c>
      <c r="R1411">
        <v>323640</v>
      </c>
    </row>
    <row r="1412" spans="1:18" x14ac:dyDescent="0.25">
      <c r="A1412" s="170">
        <v>44085</v>
      </c>
      <c r="B1412" s="116">
        <v>6.9197444429278603</v>
      </c>
      <c r="C1412" s="116">
        <v>6.7574020750175601</v>
      </c>
      <c r="D1412" s="116">
        <v>6.7075114936597604</v>
      </c>
      <c r="E1412" s="116">
        <v>6.9197444429278603</v>
      </c>
      <c r="F1412" s="116">
        <v>426.65</v>
      </c>
      <c r="G1412">
        <v>3449</v>
      </c>
      <c r="H1412" s="116"/>
      <c r="I1412" s="116"/>
      <c r="L1412" s="170">
        <v>44084</v>
      </c>
      <c r="M1412" s="116">
        <v>380.55</v>
      </c>
      <c r="N1412" s="116">
        <v>383</v>
      </c>
      <c r="O1412" s="116">
        <v>372.8</v>
      </c>
      <c r="P1412" s="116">
        <v>372.8</v>
      </c>
      <c r="Q1412" s="116">
        <v>380.55</v>
      </c>
      <c r="R1412">
        <v>491249</v>
      </c>
    </row>
    <row r="1413" spans="1:18" x14ac:dyDescent="0.25">
      <c r="A1413" s="170">
        <v>44088</v>
      </c>
      <c r="B1413" s="116">
        <v>7.0163579496842399</v>
      </c>
      <c r="C1413" s="116">
        <v>6.9609239703977899</v>
      </c>
      <c r="D1413" s="116">
        <v>6.5808052552907501</v>
      </c>
      <c r="E1413" s="116">
        <v>6.9688431102958601</v>
      </c>
      <c r="F1413" s="116">
        <v>439.5</v>
      </c>
      <c r="G1413">
        <v>8887</v>
      </c>
      <c r="H1413" s="116"/>
      <c r="I1413" s="116"/>
      <c r="L1413" s="170">
        <v>44085</v>
      </c>
      <c r="M1413" s="116">
        <v>391.45</v>
      </c>
      <c r="N1413" s="116">
        <v>392.9</v>
      </c>
      <c r="O1413" s="116">
        <v>379.4</v>
      </c>
      <c r="P1413" s="116">
        <v>382</v>
      </c>
      <c r="Q1413" s="116">
        <v>391.45</v>
      </c>
      <c r="R1413">
        <v>473941</v>
      </c>
    </row>
    <row r="1414" spans="1:18" x14ac:dyDescent="0.25">
      <c r="A1414" s="170">
        <v>44089</v>
      </c>
      <c r="B1414" s="116">
        <v>7.0480345092764898</v>
      </c>
      <c r="C1414" s="116">
        <v>6.8714376895496798</v>
      </c>
      <c r="D1414" s="116">
        <v>6.8104603123345901</v>
      </c>
      <c r="E1414" s="116">
        <v>7.04486685331727</v>
      </c>
      <c r="F1414" s="116">
        <v>433.85</v>
      </c>
      <c r="G1414">
        <v>5720</v>
      </c>
      <c r="H1414" s="116"/>
      <c r="I1414" s="116"/>
      <c r="L1414" s="170">
        <v>44088</v>
      </c>
      <c r="M1414" s="116">
        <v>425.75</v>
      </c>
      <c r="N1414" s="116">
        <v>439.6</v>
      </c>
      <c r="O1414" s="116">
        <v>400.8</v>
      </c>
      <c r="P1414" s="116">
        <v>402</v>
      </c>
      <c r="Q1414" s="116">
        <v>425.75</v>
      </c>
      <c r="R1414">
        <v>2424262</v>
      </c>
    </row>
    <row r="1415" spans="1:18" x14ac:dyDescent="0.25">
      <c r="A1415" s="170">
        <v>44090</v>
      </c>
      <c r="B1415" s="116">
        <v>7.0385315413988199</v>
      </c>
      <c r="C1415" s="116">
        <v>6.8262985921307102</v>
      </c>
      <c r="D1415" s="116">
        <v>6.6687077081592498</v>
      </c>
      <c r="E1415" s="116">
        <v>7.0385315413988199</v>
      </c>
      <c r="F1415" s="116">
        <v>431</v>
      </c>
      <c r="G1415">
        <v>5089</v>
      </c>
      <c r="H1415" s="116"/>
      <c r="I1415" s="116"/>
      <c r="L1415" s="170">
        <v>44089</v>
      </c>
      <c r="M1415" s="116">
        <v>434.3</v>
      </c>
      <c r="N1415" s="116">
        <v>439</v>
      </c>
      <c r="O1415" s="116">
        <v>417.75</v>
      </c>
      <c r="P1415" s="116">
        <v>428.95</v>
      </c>
      <c r="Q1415" s="116">
        <v>434.3</v>
      </c>
      <c r="R1415">
        <v>673855</v>
      </c>
    </row>
    <row r="1416" spans="1:18" x14ac:dyDescent="0.25">
      <c r="A1416" s="170">
        <v>44091</v>
      </c>
      <c r="B1416" s="116">
        <v>6.9371665507036004</v>
      </c>
      <c r="C1416" s="116">
        <v>6.6631643102306102</v>
      </c>
      <c r="D1416" s="116">
        <v>6.5728861153926799</v>
      </c>
      <c r="E1416" s="116">
        <v>6.6995923537616999</v>
      </c>
      <c r="F1416" s="116">
        <v>420.7</v>
      </c>
      <c r="G1416">
        <v>3069</v>
      </c>
      <c r="H1416" s="116"/>
      <c r="I1416" s="116"/>
      <c r="L1416" s="170">
        <v>44090</v>
      </c>
      <c r="M1416" s="116">
        <v>450.55</v>
      </c>
      <c r="N1416" s="116">
        <v>459.5</v>
      </c>
      <c r="O1416" s="116">
        <v>425.3</v>
      </c>
      <c r="P1416" s="116">
        <v>430</v>
      </c>
      <c r="Q1416" s="116">
        <v>450.55</v>
      </c>
      <c r="R1416">
        <v>1687709</v>
      </c>
    </row>
    <row r="1417" spans="1:18" x14ac:dyDescent="0.25">
      <c r="A1417" s="170">
        <v>44092</v>
      </c>
      <c r="B1417" s="116">
        <v>6.9688431102958601</v>
      </c>
      <c r="C1417" s="116">
        <v>6.42321437131928</v>
      </c>
      <c r="D1417" s="116">
        <v>6.0977377215088797</v>
      </c>
      <c r="E1417" s="116">
        <v>6.6837540739655701</v>
      </c>
      <c r="F1417" s="116">
        <v>405.55</v>
      </c>
      <c r="G1417">
        <v>73479</v>
      </c>
      <c r="H1417" s="116"/>
      <c r="I1417" s="116"/>
      <c r="L1417" s="170">
        <v>44091</v>
      </c>
      <c r="M1417" s="116">
        <v>434.85</v>
      </c>
      <c r="N1417" s="116">
        <v>448</v>
      </c>
      <c r="O1417" s="116">
        <v>430.3</v>
      </c>
      <c r="P1417" s="116">
        <v>448</v>
      </c>
      <c r="Q1417" s="116">
        <v>434.85</v>
      </c>
      <c r="R1417">
        <v>903990</v>
      </c>
    </row>
    <row r="1418" spans="1:18" x14ac:dyDescent="0.25">
      <c r="A1418" s="170">
        <v>44095</v>
      </c>
      <c r="B1418" s="116">
        <v>6.9324150667647704</v>
      </c>
      <c r="C1418" s="116">
        <v>6.5420014697902404</v>
      </c>
      <c r="D1418" s="116">
        <v>6.3511501982469101</v>
      </c>
      <c r="E1418" s="116">
        <v>6.5887243951888097</v>
      </c>
      <c r="F1418" s="116">
        <v>413.05</v>
      </c>
      <c r="G1418">
        <v>24284</v>
      </c>
      <c r="H1418" s="116"/>
      <c r="I1418" s="116"/>
      <c r="L1418" s="170">
        <v>44092</v>
      </c>
      <c r="M1418" s="116">
        <v>420.5</v>
      </c>
      <c r="N1418" s="116">
        <v>440.95</v>
      </c>
      <c r="O1418" s="116">
        <v>416</v>
      </c>
      <c r="P1418" s="116">
        <v>438.6</v>
      </c>
      <c r="Q1418" s="116">
        <v>420.5</v>
      </c>
      <c r="R1418">
        <v>1329428</v>
      </c>
    </row>
    <row r="1419" spans="1:18" x14ac:dyDescent="0.25">
      <c r="A1419" s="170">
        <v>44096</v>
      </c>
      <c r="B1419" s="116">
        <v>6.63465540659758</v>
      </c>
      <c r="C1419" s="116">
        <v>6.5285389319635296</v>
      </c>
      <c r="D1419" s="116">
        <v>6.2086056800817602</v>
      </c>
      <c r="E1419" s="116">
        <v>6.3194736386546504</v>
      </c>
      <c r="F1419" s="116">
        <v>412.2</v>
      </c>
      <c r="G1419">
        <v>10221</v>
      </c>
      <c r="H1419" s="116"/>
      <c r="I1419" s="116"/>
      <c r="L1419" s="170">
        <v>44095</v>
      </c>
      <c r="M1419" s="116">
        <v>418.55</v>
      </c>
      <c r="N1419" s="116">
        <v>423.9</v>
      </c>
      <c r="O1419" s="116">
        <v>415.55</v>
      </c>
      <c r="P1419" s="116">
        <v>420.5</v>
      </c>
      <c r="Q1419" s="116">
        <v>418.55</v>
      </c>
      <c r="R1419">
        <v>381487</v>
      </c>
    </row>
    <row r="1420" spans="1:18" x14ac:dyDescent="0.25">
      <c r="A1420" s="170">
        <v>44097</v>
      </c>
      <c r="B1420" s="116">
        <v>6.7787837527423296</v>
      </c>
      <c r="C1420" s="116">
        <v>6.4311335112173502</v>
      </c>
      <c r="D1420" s="116">
        <v>6.3353119184507802</v>
      </c>
      <c r="E1420" s="116">
        <v>6.5285389319635296</v>
      </c>
      <c r="F1420" s="116">
        <v>406.05</v>
      </c>
      <c r="G1420">
        <v>7299</v>
      </c>
      <c r="H1420" s="116"/>
      <c r="I1420" s="116"/>
      <c r="L1420" s="170">
        <v>44096</v>
      </c>
      <c r="M1420" s="116">
        <v>413.05</v>
      </c>
      <c r="N1420" s="116">
        <v>425.65</v>
      </c>
      <c r="O1420" s="116">
        <v>390.25</v>
      </c>
      <c r="P1420" s="116">
        <v>420.95</v>
      </c>
      <c r="Q1420" s="116">
        <v>413.05</v>
      </c>
      <c r="R1420">
        <v>543234</v>
      </c>
    </row>
    <row r="1421" spans="1:18" x14ac:dyDescent="0.25">
      <c r="A1421" s="170">
        <v>44098</v>
      </c>
      <c r="B1421" s="116">
        <v>6.4620181568198003</v>
      </c>
      <c r="C1421" s="116">
        <v>6.2624558313885901</v>
      </c>
      <c r="D1421" s="116">
        <v>6.1769291204895103</v>
      </c>
      <c r="E1421" s="116">
        <v>6.1785129484691197</v>
      </c>
      <c r="F1421" s="116">
        <v>395.4</v>
      </c>
      <c r="G1421">
        <v>9972</v>
      </c>
      <c r="H1421" s="116"/>
      <c r="I1421" s="116"/>
      <c r="L1421" s="170">
        <v>44097</v>
      </c>
      <c r="M1421" s="116">
        <v>415.6</v>
      </c>
      <c r="N1421" s="116">
        <v>422.35</v>
      </c>
      <c r="O1421" s="116">
        <v>411.1</v>
      </c>
      <c r="P1421" s="116">
        <v>415</v>
      </c>
      <c r="Q1421" s="116">
        <v>415.6</v>
      </c>
      <c r="R1421">
        <v>383045</v>
      </c>
    </row>
    <row r="1422" spans="1:18" x14ac:dyDescent="0.25">
      <c r="A1422" s="170">
        <v>44099</v>
      </c>
      <c r="B1422" s="116">
        <v>6.4936947164120502</v>
      </c>
      <c r="C1422" s="116">
        <v>6.4802321785853403</v>
      </c>
      <c r="D1422" s="116">
        <v>6.3756995319309002</v>
      </c>
      <c r="E1422" s="116">
        <v>6.3756995319309002</v>
      </c>
      <c r="F1422" s="116">
        <v>409.15</v>
      </c>
      <c r="G1422">
        <v>5910</v>
      </c>
      <c r="H1422" s="116"/>
      <c r="I1422" s="116"/>
      <c r="L1422" s="170">
        <v>44098</v>
      </c>
      <c r="M1422" s="116">
        <v>403.7</v>
      </c>
      <c r="N1422" s="116">
        <v>413.95</v>
      </c>
      <c r="O1422" s="116">
        <v>391.25</v>
      </c>
      <c r="P1422" s="116">
        <v>410.1</v>
      </c>
      <c r="Q1422" s="116">
        <v>403.7</v>
      </c>
      <c r="R1422">
        <v>268414</v>
      </c>
    </row>
    <row r="1423" spans="1:18" x14ac:dyDescent="0.25">
      <c r="A1423" s="170">
        <v>44102</v>
      </c>
      <c r="B1423" s="116">
        <v>6.7946220325384603</v>
      </c>
      <c r="C1423" s="116">
        <v>6.5237874480246898</v>
      </c>
      <c r="D1423" s="116">
        <v>6.4936947164120502</v>
      </c>
      <c r="E1423" s="116">
        <v>6.6679157941694402</v>
      </c>
      <c r="F1423" s="116">
        <v>411.9</v>
      </c>
      <c r="G1423">
        <v>8494</v>
      </c>
      <c r="H1423" s="116"/>
      <c r="I1423" s="116"/>
      <c r="L1423" s="170">
        <v>44099</v>
      </c>
      <c r="M1423" s="116">
        <v>409.2</v>
      </c>
      <c r="N1423" s="116">
        <v>419.8</v>
      </c>
      <c r="O1423" s="116">
        <v>397.05</v>
      </c>
      <c r="P1423" s="116">
        <v>405</v>
      </c>
      <c r="Q1423" s="116">
        <v>409.2</v>
      </c>
      <c r="R1423">
        <v>249202</v>
      </c>
    </row>
    <row r="1424" spans="1:18" x14ac:dyDescent="0.25">
      <c r="A1424" s="170">
        <v>44103</v>
      </c>
      <c r="B1424" s="116">
        <v>6.7906624625894301</v>
      </c>
      <c r="C1424" s="116">
        <v>6.4873594044936</v>
      </c>
      <c r="D1424" s="116">
        <v>6.3986650376352898</v>
      </c>
      <c r="E1424" s="116">
        <v>6.7906624625894301</v>
      </c>
      <c r="F1424" s="116">
        <v>409.6</v>
      </c>
      <c r="G1424">
        <v>4422</v>
      </c>
      <c r="H1424" s="116"/>
      <c r="I1424" s="116"/>
      <c r="L1424" s="170">
        <v>44102</v>
      </c>
      <c r="M1424" s="116">
        <v>418.65</v>
      </c>
      <c r="N1424" s="116">
        <v>420.9</v>
      </c>
      <c r="O1424" s="116">
        <v>412</v>
      </c>
      <c r="P1424" s="116">
        <v>414</v>
      </c>
      <c r="Q1424" s="116">
        <v>418.65</v>
      </c>
      <c r="R1424">
        <v>277696</v>
      </c>
    </row>
    <row r="1425" spans="1:18" x14ac:dyDescent="0.25">
      <c r="A1425" s="170">
        <v>44104</v>
      </c>
      <c r="B1425" s="116">
        <v>6.5404176418106204</v>
      </c>
      <c r="C1425" s="116">
        <v>6.3614450801143896</v>
      </c>
      <c r="D1425" s="116">
        <v>6.2719587992662698</v>
      </c>
      <c r="E1425" s="116">
        <v>6.45409901692173</v>
      </c>
      <c r="F1425" s="116">
        <v>401.65</v>
      </c>
      <c r="G1425">
        <v>7064</v>
      </c>
      <c r="H1425" s="116"/>
      <c r="I1425" s="116"/>
      <c r="L1425" s="170">
        <v>44103</v>
      </c>
      <c r="M1425" s="116">
        <v>422.1</v>
      </c>
      <c r="N1425" s="116">
        <v>427.35</v>
      </c>
      <c r="O1425" s="116">
        <v>416.45</v>
      </c>
      <c r="P1425" s="116">
        <v>420</v>
      </c>
      <c r="Q1425" s="116">
        <v>422.1</v>
      </c>
      <c r="R1425">
        <v>988668</v>
      </c>
    </row>
    <row r="1426" spans="1:18" x14ac:dyDescent="0.25">
      <c r="A1426" s="170">
        <v>44105</v>
      </c>
      <c r="B1426" s="116">
        <v>6.4873594044936</v>
      </c>
      <c r="C1426" s="116">
        <v>6.1547555287749303</v>
      </c>
      <c r="D1426" s="116">
        <v>6.0818994417127499</v>
      </c>
      <c r="E1426" s="116">
        <v>6.4873594044936</v>
      </c>
      <c r="F1426" s="116">
        <v>388.6</v>
      </c>
      <c r="G1426">
        <v>15087</v>
      </c>
      <c r="H1426" s="116"/>
      <c r="I1426" s="116"/>
      <c r="L1426" s="170">
        <v>44104</v>
      </c>
      <c r="M1426" s="116">
        <v>415.75</v>
      </c>
      <c r="N1426" s="116">
        <v>424.9</v>
      </c>
      <c r="O1426" s="116">
        <v>411.05</v>
      </c>
      <c r="P1426" s="116">
        <v>424.85</v>
      </c>
      <c r="Q1426" s="116">
        <v>415.75</v>
      </c>
      <c r="R1426">
        <v>373794</v>
      </c>
    </row>
    <row r="1427" spans="1:18" x14ac:dyDescent="0.25">
      <c r="A1427" s="170">
        <v>44109</v>
      </c>
      <c r="B1427" s="116">
        <v>6.3186817246648497</v>
      </c>
      <c r="C1427" s="116">
        <v>6.2189005619492503</v>
      </c>
      <c r="D1427" s="116">
        <v>6.10169729145791</v>
      </c>
      <c r="E1427" s="116">
        <v>6.3186817246648497</v>
      </c>
      <c r="F1427" s="116">
        <v>392.65</v>
      </c>
      <c r="G1427">
        <v>6631</v>
      </c>
      <c r="H1427" s="116"/>
      <c r="I1427" s="116"/>
      <c r="L1427" s="170">
        <v>44105</v>
      </c>
      <c r="M1427" s="116">
        <v>416.45</v>
      </c>
      <c r="N1427" s="116">
        <v>432</v>
      </c>
      <c r="O1427" s="116">
        <v>412.2</v>
      </c>
      <c r="P1427" s="116">
        <v>417.85</v>
      </c>
      <c r="Q1427" s="116">
        <v>416.45</v>
      </c>
      <c r="R1427">
        <v>2686213</v>
      </c>
    </row>
    <row r="1428" spans="1:18" x14ac:dyDescent="0.25">
      <c r="A1428" s="170">
        <v>44110</v>
      </c>
      <c r="B1428" s="116">
        <v>6.44538796303386</v>
      </c>
      <c r="C1428" s="116">
        <v>6.3226412946138799</v>
      </c>
      <c r="D1428" s="116">
        <v>6.1991027122040903</v>
      </c>
      <c r="E1428" s="116">
        <v>6.3194736386546504</v>
      </c>
      <c r="F1428" s="116">
        <v>399.2</v>
      </c>
      <c r="G1428">
        <v>6204</v>
      </c>
      <c r="H1428" s="116"/>
      <c r="I1428" s="116"/>
      <c r="L1428" s="170">
        <v>44109</v>
      </c>
      <c r="M1428" s="116">
        <v>419.05</v>
      </c>
      <c r="N1428" s="116">
        <v>422.7</v>
      </c>
      <c r="O1428" s="116">
        <v>411.9</v>
      </c>
      <c r="P1428" s="116">
        <v>413</v>
      </c>
      <c r="Q1428" s="116">
        <v>419.05</v>
      </c>
      <c r="R1428">
        <v>238435</v>
      </c>
    </row>
    <row r="1429" spans="1:18" x14ac:dyDescent="0.25">
      <c r="A1429" s="170">
        <v>44111</v>
      </c>
      <c r="B1429" s="116">
        <v>6.4770645226261196</v>
      </c>
      <c r="C1429" s="116">
        <v>6.2632477453783997</v>
      </c>
      <c r="D1429" s="116">
        <v>6.22444395987789</v>
      </c>
      <c r="E1429" s="116">
        <v>6.4770645226261196</v>
      </c>
      <c r="F1429" s="116">
        <v>395.45</v>
      </c>
      <c r="G1429">
        <v>5754</v>
      </c>
      <c r="H1429" s="116"/>
      <c r="I1429" s="116"/>
      <c r="L1429" s="170">
        <v>44110</v>
      </c>
      <c r="M1429" s="116">
        <v>422.65</v>
      </c>
      <c r="N1429" s="116">
        <v>429.45</v>
      </c>
      <c r="O1429" s="116">
        <v>417.85</v>
      </c>
      <c r="P1429" s="116">
        <v>421.15</v>
      </c>
      <c r="Q1429" s="116">
        <v>422.65</v>
      </c>
      <c r="R1429">
        <v>712252</v>
      </c>
    </row>
    <row r="1430" spans="1:18" x14ac:dyDescent="0.25">
      <c r="A1430" s="170">
        <v>44112</v>
      </c>
      <c r="B1430" s="116">
        <v>6.3194736386546504</v>
      </c>
      <c r="C1430" s="116">
        <v>6.1959350562448599</v>
      </c>
      <c r="D1430" s="116">
        <v>6.1135760013049998</v>
      </c>
      <c r="E1430" s="116">
        <v>6.2569124334599504</v>
      </c>
      <c r="F1430" s="116">
        <v>391.2</v>
      </c>
      <c r="G1430">
        <v>2952</v>
      </c>
      <c r="H1430" s="116"/>
      <c r="I1430" s="116"/>
      <c r="L1430" s="170">
        <v>44111</v>
      </c>
      <c r="M1430" s="116">
        <v>429.75</v>
      </c>
      <c r="N1430" s="116">
        <v>433.55</v>
      </c>
      <c r="O1430" s="116">
        <v>419.6</v>
      </c>
      <c r="P1430" s="116">
        <v>424</v>
      </c>
      <c r="Q1430" s="116">
        <v>429.75</v>
      </c>
      <c r="R1430">
        <v>385282</v>
      </c>
    </row>
    <row r="1431" spans="1:18" x14ac:dyDescent="0.25">
      <c r="A1431" s="170">
        <v>44113</v>
      </c>
      <c r="B1431" s="116">
        <v>6.3194736386546504</v>
      </c>
      <c r="C1431" s="116">
        <v>6.1666342386220299</v>
      </c>
      <c r="D1431" s="116">
        <v>6.0343846023243701</v>
      </c>
      <c r="E1431" s="116">
        <v>6.3194736386546504</v>
      </c>
      <c r="F1431" s="116">
        <v>389.35</v>
      </c>
      <c r="G1431">
        <v>7946</v>
      </c>
      <c r="H1431" s="116"/>
      <c r="I1431" s="116"/>
      <c r="L1431" s="170">
        <v>44112</v>
      </c>
      <c r="M1431" s="116">
        <v>440.05</v>
      </c>
      <c r="N1431" s="116">
        <v>442.7</v>
      </c>
      <c r="O1431" s="116">
        <v>428.9</v>
      </c>
      <c r="P1431" s="116">
        <v>430.1</v>
      </c>
      <c r="Q1431" s="116">
        <v>440.05</v>
      </c>
      <c r="R1431">
        <v>829286</v>
      </c>
    </row>
    <row r="1432" spans="1:18" x14ac:dyDescent="0.25">
      <c r="A1432" s="170">
        <v>44116</v>
      </c>
      <c r="B1432" s="116">
        <v>6.3115544987565899</v>
      </c>
      <c r="C1432" s="116">
        <v>5.9876616769257902</v>
      </c>
      <c r="D1432" s="116">
        <v>5.9393549235476097</v>
      </c>
      <c r="E1432" s="116">
        <v>6.3115544987565899</v>
      </c>
      <c r="F1432" s="116">
        <v>378.05</v>
      </c>
      <c r="G1432">
        <v>5723</v>
      </c>
      <c r="H1432" s="116"/>
      <c r="I1432" s="116"/>
      <c r="L1432" s="170">
        <v>44113</v>
      </c>
      <c r="M1432" s="116">
        <v>463.7</v>
      </c>
      <c r="N1432" s="116">
        <v>478.7</v>
      </c>
      <c r="O1432" s="116">
        <v>437.5</v>
      </c>
      <c r="P1432" s="116">
        <v>441.25</v>
      </c>
      <c r="Q1432" s="116">
        <v>463.7</v>
      </c>
      <c r="R1432">
        <v>2589846</v>
      </c>
    </row>
    <row r="1433" spans="1:18" x14ac:dyDescent="0.25">
      <c r="A1433" s="170">
        <v>44117</v>
      </c>
      <c r="B1433" s="116">
        <v>6.1769291204895103</v>
      </c>
      <c r="C1433" s="116">
        <v>5.88788051421019</v>
      </c>
      <c r="D1433" s="116">
        <v>5.7983942333620799</v>
      </c>
      <c r="E1433" s="116">
        <v>5.9393549235476097</v>
      </c>
      <c r="F1433" s="116">
        <v>371.75</v>
      </c>
      <c r="G1433">
        <v>10622</v>
      </c>
      <c r="H1433" s="116"/>
      <c r="I1433" s="116"/>
      <c r="L1433" s="170">
        <v>44116</v>
      </c>
      <c r="M1433" s="116">
        <v>474</v>
      </c>
      <c r="N1433" s="116">
        <v>479.7</v>
      </c>
      <c r="O1433" s="116">
        <v>460.3</v>
      </c>
      <c r="P1433" s="116">
        <v>464.7</v>
      </c>
      <c r="Q1433" s="116">
        <v>474</v>
      </c>
      <c r="R1433">
        <v>978375</v>
      </c>
    </row>
    <row r="1434" spans="1:18" x14ac:dyDescent="0.25">
      <c r="A1434" s="170">
        <v>44118</v>
      </c>
      <c r="B1434" s="116">
        <v>5.9868697629359904</v>
      </c>
      <c r="C1434" s="116">
        <v>5.7437521680654404</v>
      </c>
      <c r="D1434" s="116">
        <v>5.6463467473192601</v>
      </c>
      <c r="E1434" s="116">
        <v>5.7999780613416902</v>
      </c>
      <c r="F1434" s="116">
        <v>362.65</v>
      </c>
      <c r="G1434">
        <v>4537</v>
      </c>
      <c r="H1434" s="116"/>
      <c r="I1434" s="116"/>
      <c r="L1434" s="170">
        <v>44117</v>
      </c>
      <c r="M1434" s="116">
        <v>466.1</v>
      </c>
      <c r="N1434" s="116">
        <v>473.7</v>
      </c>
      <c r="O1434" s="116">
        <v>452.9</v>
      </c>
      <c r="P1434" s="116">
        <v>473.25</v>
      </c>
      <c r="Q1434" s="116">
        <v>466.1</v>
      </c>
      <c r="R1434">
        <v>419459</v>
      </c>
    </row>
    <row r="1435" spans="1:18" x14ac:dyDescent="0.25">
      <c r="A1435" s="170">
        <v>44119</v>
      </c>
      <c r="B1435" s="116">
        <v>6.0185463225282403</v>
      </c>
      <c r="C1435" s="116">
        <v>5.7271219742795001</v>
      </c>
      <c r="D1435" s="116">
        <v>5.6225893276250698</v>
      </c>
      <c r="E1435" s="116">
        <v>5.7025726405955099</v>
      </c>
      <c r="F1435" s="116">
        <v>361.6</v>
      </c>
      <c r="G1435">
        <v>5456</v>
      </c>
      <c r="H1435" s="116"/>
      <c r="I1435" s="116"/>
      <c r="L1435" s="170">
        <v>44118</v>
      </c>
      <c r="M1435" s="116">
        <v>470.5</v>
      </c>
      <c r="N1435" s="116">
        <v>477.7</v>
      </c>
      <c r="O1435" s="116">
        <v>464.55</v>
      </c>
      <c r="P1435" s="116">
        <v>466.3</v>
      </c>
      <c r="Q1435" s="116">
        <v>470.5</v>
      </c>
      <c r="R1435">
        <v>474775</v>
      </c>
    </row>
    <row r="1436" spans="1:18" x14ac:dyDescent="0.25">
      <c r="A1436" s="170">
        <v>44120</v>
      </c>
      <c r="B1436" s="116">
        <v>5.9053026219859301</v>
      </c>
      <c r="C1436" s="116">
        <v>5.8601635245669703</v>
      </c>
      <c r="D1436" s="116">
        <v>5.6732718229726702</v>
      </c>
      <c r="E1436" s="116">
        <v>5.6732718229726702</v>
      </c>
      <c r="F1436" s="116">
        <v>370</v>
      </c>
      <c r="G1436">
        <v>3299</v>
      </c>
      <c r="H1436" s="116"/>
      <c r="I1436" s="116"/>
      <c r="L1436" s="170">
        <v>44119</v>
      </c>
      <c r="M1436" s="116">
        <v>447.1</v>
      </c>
      <c r="N1436" s="116">
        <v>475</v>
      </c>
      <c r="O1436" s="116">
        <v>438</v>
      </c>
      <c r="P1436" s="116">
        <v>469.9</v>
      </c>
      <c r="Q1436" s="116">
        <v>447.1</v>
      </c>
      <c r="R1436">
        <v>261217</v>
      </c>
    </row>
    <row r="1437" spans="1:18" x14ac:dyDescent="0.25">
      <c r="A1437" s="170">
        <v>44123</v>
      </c>
      <c r="B1437" s="116">
        <v>6.1610908406933804</v>
      </c>
      <c r="C1437" s="116">
        <v>6.1009053774681004</v>
      </c>
      <c r="D1437" s="116">
        <v>5.5521089825322996</v>
      </c>
      <c r="E1437" s="116">
        <v>5.8918400841592202</v>
      </c>
      <c r="F1437" s="116">
        <v>385.2</v>
      </c>
      <c r="G1437">
        <v>3523</v>
      </c>
      <c r="H1437" s="116"/>
      <c r="I1437" s="116"/>
      <c r="L1437" s="170">
        <v>44120</v>
      </c>
      <c r="M1437" s="116">
        <v>468.35</v>
      </c>
      <c r="N1437" s="116">
        <v>475</v>
      </c>
      <c r="O1437" s="116">
        <v>440.2</v>
      </c>
      <c r="P1437" s="116">
        <v>446.25</v>
      </c>
      <c r="Q1437" s="116">
        <v>468.35</v>
      </c>
      <c r="R1437">
        <v>335168</v>
      </c>
    </row>
    <row r="1438" spans="1:18" x14ac:dyDescent="0.25">
      <c r="A1438" s="170">
        <v>44124</v>
      </c>
      <c r="B1438" s="116">
        <v>6.4137114034416101</v>
      </c>
      <c r="C1438" s="116">
        <v>6.26879114330705</v>
      </c>
      <c r="D1438" s="116">
        <v>6.1009053774681004</v>
      </c>
      <c r="E1438" s="116">
        <v>6.1009053774681004</v>
      </c>
      <c r="F1438" s="116">
        <v>395.8</v>
      </c>
      <c r="G1438">
        <v>9610</v>
      </c>
      <c r="H1438" s="116"/>
      <c r="I1438" s="116"/>
      <c r="L1438" s="170">
        <v>44123</v>
      </c>
      <c r="M1438" s="116">
        <v>466.1</v>
      </c>
      <c r="N1438" s="116">
        <v>478</v>
      </c>
      <c r="O1438" s="116">
        <v>451.2</v>
      </c>
      <c r="P1438" s="116">
        <v>468.05</v>
      </c>
      <c r="Q1438" s="116">
        <v>466.1</v>
      </c>
      <c r="R1438">
        <v>749331</v>
      </c>
    </row>
    <row r="1439" spans="1:18" x14ac:dyDescent="0.25">
      <c r="A1439" s="170">
        <v>44125</v>
      </c>
      <c r="B1439" s="116">
        <v>6.4145033174314099</v>
      </c>
      <c r="C1439" s="116">
        <v>6.1895997443264097</v>
      </c>
      <c r="D1439" s="116">
        <v>5.8284869649747204</v>
      </c>
      <c r="E1439" s="116">
        <v>6.4137114034416101</v>
      </c>
      <c r="F1439" s="116">
        <v>390.8</v>
      </c>
      <c r="G1439">
        <v>13277</v>
      </c>
      <c r="H1439" s="116"/>
      <c r="I1439" s="116"/>
      <c r="L1439" s="170">
        <v>44124</v>
      </c>
      <c r="M1439" s="116">
        <v>470.2</v>
      </c>
      <c r="N1439" s="116">
        <v>472</v>
      </c>
      <c r="O1439" s="116">
        <v>461.35</v>
      </c>
      <c r="P1439" s="116">
        <v>462.9</v>
      </c>
      <c r="Q1439" s="116">
        <v>470.2</v>
      </c>
      <c r="R1439">
        <v>217680</v>
      </c>
    </row>
    <row r="1440" spans="1:18" x14ac:dyDescent="0.25">
      <c r="A1440" s="170">
        <v>44126</v>
      </c>
      <c r="B1440" s="116">
        <v>6.3986650376352898</v>
      </c>
      <c r="C1440" s="116">
        <v>6.2458256376026604</v>
      </c>
      <c r="D1440" s="116">
        <v>6.1975188842244702</v>
      </c>
      <c r="E1440" s="116">
        <v>6.3353119184507802</v>
      </c>
      <c r="F1440" s="116">
        <v>394.35</v>
      </c>
      <c r="G1440">
        <v>8568</v>
      </c>
      <c r="H1440" s="116"/>
      <c r="I1440" s="116"/>
      <c r="L1440" s="170">
        <v>44125</v>
      </c>
      <c r="M1440" s="116">
        <v>468.5</v>
      </c>
      <c r="N1440" s="116">
        <v>484.35</v>
      </c>
      <c r="O1440" s="116">
        <v>458</v>
      </c>
      <c r="P1440" s="116">
        <v>468</v>
      </c>
      <c r="Q1440" s="116">
        <v>468.5</v>
      </c>
      <c r="R1440">
        <v>577939</v>
      </c>
    </row>
    <row r="1441" spans="1:18" x14ac:dyDescent="0.25">
      <c r="A1441" s="170">
        <v>44127</v>
      </c>
      <c r="B1441" s="116">
        <v>6.3574855101653602</v>
      </c>
      <c r="C1441" s="116">
        <v>6.0985296354986804</v>
      </c>
      <c r="D1441" s="116">
        <v>6.0193382365180499</v>
      </c>
      <c r="E1441" s="116">
        <v>6.3574855101653602</v>
      </c>
      <c r="F1441" s="116">
        <v>385.05</v>
      </c>
      <c r="G1441">
        <v>2849</v>
      </c>
      <c r="H1441" s="116"/>
      <c r="I1441" s="116"/>
      <c r="L1441" s="170">
        <v>44126</v>
      </c>
      <c r="M1441" s="116">
        <v>454.15</v>
      </c>
      <c r="N1441" s="116">
        <v>472.35</v>
      </c>
      <c r="O1441" s="116">
        <v>450.1</v>
      </c>
      <c r="P1441" s="116">
        <v>465.05</v>
      </c>
      <c r="Q1441" s="116">
        <v>454.15</v>
      </c>
      <c r="R1441">
        <v>315942</v>
      </c>
    </row>
    <row r="1442" spans="1:18" x14ac:dyDescent="0.25">
      <c r="A1442" s="170">
        <v>44130</v>
      </c>
      <c r="B1442" s="116">
        <v>6.1183274852438396</v>
      </c>
      <c r="C1442" s="116">
        <v>5.8379899328523903</v>
      </c>
      <c r="D1442" s="116">
        <v>5.8126486851785897</v>
      </c>
      <c r="E1442" s="116">
        <v>6.1143679152948103</v>
      </c>
      <c r="F1442" s="116">
        <v>368.6</v>
      </c>
      <c r="G1442">
        <v>5931</v>
      </c>
      <c r="H1442" s="116"/>
      <c r="I1442" s="116"/>
      <c r="L1442" s="170">
        <v>44127</v>
      </c>
      <c r="M1442" s="116">
        <v>458.3</v>
      </c>
      <c r="N1442" s="116">
        <v>461.9</v>
      </c>
      <c r="O1442" s="116">
        <v>454.35</v>
      </c>
      <c r="P1442" s="116">
        <v>455</v>
      </c>
      <c r="Q1442" s="116">
        <v>458.3</v>
      </c>
      <c r="R1442">
        <v>157576</v>
      </c>
    </row>
    <row r="1443" spans="1:18" x14ac:dyDescent="0.25">
      <c r="A1443" s="170">
        <v>44131</v>
      </c>
      <c r="B1443" s="116">
        <v>5.9203489877922504</v>
      </c>
      <c r="C1443" s="116">
        <v>5.8451171587606501</v>
      </c>
      <c r="D1443" s="116">
        <v>5.71841092039163</v>
      </c>
      <c r="E1443" s="116">
        <v>5.8379899328523903</v>
      </c>
      <c r="F1443" s="116">
        <v>369.05</v>
      </c>
      <c r="G1443">
        <v>2513</v>
      </c>
      <c r="H1443" s="116"/>
      <c r="I1443" s="116"/>
      <c r="L1443" s="170">
        <v>44130</v>
      </c>
      <c r="M1443" s="116">
        <v>446.45</v>
      </c>
      <c r="N1443" s="116">
        <v>465</v>
      </c>
      <c r="O1443" s="116">
        <v>444</v>
      </c>
      <c r="P1443" s="116">
        <v>460.6</v>
      </c>
      <c r="Q1443" s="116">
        <v>446.45</v>
      </c>
      <c r="R1443">
        <v>164818</v>
      </c>
    </row>
    <row r="1444" spans="1:18" x14ac:dyDescent="0.25">
      <c r="A1444" s="170">
        <v>44132</v>
      </c>
      <c r="B1444" s="116">
        <v>5.9694476551602502</v>
      </c>
      <c r="C1444" s="116">
        <v>5.8245273950256804</v>
      </c>
      <c r="D1444" s="116">
        <v>5.7651338457902099</v>
      </c>
      <c r="E1444" s="116">
        <v>5.9694476551602502</v>
      </c>
      <c r="F1444" s="116">
        <v>367.75</v>
      </c>
      <c r="G1444">
        <v>5769</v>
      </c>
      <c r="H1444" s="116"/>
      <c r="I1444" s="116"/>
      <c r="L1444" s="170">
        <v>44131</v>
      </c>
      <c r="M1444" s="116">
        <v>452.65</v>
      </c>
      <c r="N1444" s="116">
        <v>457.9</v>
      </c>
      <c r="O1444" s="116">
        <v>435.15</v>
      </c>
      <c r="P1444" s="116">
        <v>445.1</v>
      </c>
      <c r="Q1444" s="116">
        <v>452.65</v>
      </c>
      <c r="R1444">
        <v>237051</v>
      </c>
    </row>
    <row r="1445" spans="1:18" x14ac:dyDescent="0.25">
      <c r="A1445" s="170">
        <v>44133</v>
      </c>
      <c r="B1445" s="116">
        <v>5.8427414167912302</v>
      </c>
      <c r="C1445" s="116">
        <v>5.72237049034067</v>
      </c>
      <c r="D1445" s="116">
        <v>5.6574335431765501</v>
      </c>
      <c r="E1445" s="116">
        <v>5.6574335431765501</v>
      </c>
      <c r="F1445" s="116">
        <v>361.3</v>
      </c>
      <c r="G1445">
        <v>3270</v>
      </c>
      <c r="H1445" s="116"/>
      <c r="I1445" s="116"/>
      <c r="L1445" s="170">
        <v>44132</v>
      </c>
      <c r="M1445" s="116">
        <v>449.5</v>
      </c>
      <c r="N1445" s="116">
        <v>460</v>
      </c>
      <c r="O1445" s="116">
        <v>446.05</v>
      </c>
      <c r="P1445" s="116">
        <v>455.25</v>
      </c>
      <c r="Q1445" s="116">
        <v>449.5</v>
      </c>
      <c r="R1445">
        <v>122291</v>
      </c>
    </row>
    <row r="1446" spans="1:18" x14ac:dyDescent="0.25">
      <c r="A1446" s="170">
        <v>44134</v>
      </c>
      <c r="B1446" s="116">
        <v>5.8443252447708396</v>
      </c>
      <c r="C1446" s="116">
        <v>5.6788152209013196</v>
      </c>
      <c r="D1446" s="116">
        <v>5.6225893276250698</v>
      </c>
      <c r="E1446" s="116">
        <v>5.8443252447708396</v>
      </c>
      <c r="F1446" s="116">
        <v>358.55</v>
      </c>
      <c r="G1446">
        <v>3197</v>
      </c>
      <c r="H1446" s="116"/>
      <c r="I1446" s="116"/>
      <c r="L1446" s="170">
        <v>44133</v>
      </c>
      <c r="M1446" s="116">
        <v>463.25</v>
      </c>
      <c r="N1446" s="116">
        <v>465</v>
      </c>
      <c r="O1446" s="116">
        <v>452</v>
      </c>
      <c r="P1446" s="116">
        <v>452</v>
      </c>
      <c r="Q1446" s="116">
        <v>463.25</v>
      </c>
      <c r="R1446">
        <v>331963</v>
      </c>
    </row>
    <row r="1447" spans="1:18" x14ac:dyDescent="0.25">
      <c r="A1447" s="170">
        <v>44137</v>
      </c>
      <c r="B1447" s="116">
        <v>5.8569958686077497</v>
      </c>
      <c r="C1447" s="116">
        <v>5.7572147058921503</v>
      </c>
      <c r="D1447" s="116">
        <v>5.6384276074211899</v>
      </c>
      <c r="E1447" s="116">
        <v>5.8569958686077497</v>
      </c>
      <c r="F1447" s="116">
        <v>363.5</v>
      </c>
      <c r="G1447">
        <v>2903</v>
      </c>
      <c r="H1447" s="116"/>
      <c r="I1447" s="116"/>
      <c r="L1447" s="170">
        <v>44134</v>
      </c>
      <c r="M1447" s="116">
        <v>457.25</v>
      </c>
      <c r="N1447" s="116">
        <v>471</v>
      </c>
      <c r="O1447" s="116">
        <v>452.75</v>
      </c>
      <c r="P1447" s="116">
        <v>467.05</v>
      </c>
      <c r="Q1447" s="116">
        <v>457.25</v>
      </c>
      <c r="R1447">
        <v>185244</v>
      </c>
    </row>
    <row r="1448" spans="1:18" x14ac:dyDescent="0.25">
      <c r="A1448" s="170">
        <v>44138</v>
      </c>
      <c r="B1448" s="116">
        <v>5.8435333307810398</v>
      </c>
      <c r="C1448" s="116">
        <v>5.7595904478615596</v>
      </c>
      <c r="D1448" s="116">
        <v>5.7017807266057003</v>
      </c>
      <c r="E1448" s="116">
        <v>5.8284869649747204</v>
      </c>
      <c r="F1448" s="116">
        <v>363.65</v>
      </c>
      <c r="G1448">
        <v>1037</v>
      </c>
      <c r="H1448" s="116"/>
      <c r="I1448" s="116"/>
      <c r="L1448" s="170">
        <v>44137</v>
      </c>
      <c r="M1448" s="116">
        <v>462.3</v>
      </c>
      <c r="N1448" s="116">
        <v>469.65</v>
      </c>
      <c r="O1448" s="116">
        <v>455.05</v>
      </c>
      <c r="P1448" s="116">
        <v>457.2</v>
      </c>
      <c r="Q1448" s="116">
        <v>462.3</v>
      </c>
      <c r="R1448">
        <v>173542</v>
      </c>
    </row>
    <row r="1449" spans="1:18" x14ac:dyDescent="0.25">
      <c r="A1449" s="170">
        <v>44139</v>
      </c>
      <c r="B1449" s="116">
        <v>5.83640610487278</v>
      </c>
      <c r="C1449" s="116">
        <v>5.6716879949930599</v>
      </c>
      <c r="D1449" s="116">
        <v>5.5521089825322996</v>
      </c>
      <c r="E1449" s="116">
        <v>5.7025726405955099</v>
      </c>
      <c r="F1449" s="116">
        <v>358.1</v>
      </c>
      <c r="G1449">
        <v>2539</v>
      </c>
      <c r="H1449" s="116"/>
      <c r="I1449" s="116"/>
      <c r="L1449" s="170">
        <v>44138</v>
      </c>
      <c r="M1449" s="116">
        <v>462.95</v>
      </c>
      <c r="N1449" s="116">
        <v>474.5</v>
      </c>
      <c r="O1449" s="116">
        <v>460</v>
      </c>
      <c r="P1449" s="116">
        <v>469.95</v>
      </c>
      <c r="Q1449" s="116">
        <v>462.95</v>
      </c>
      <c r="R1449">
        <v>241137</v>
      </c>
    </row>
    <row r="1450" spans="1:18" x14ac:dyDescent="0.25">
      <c r="A1450" s="170">
        <v>44140</v>
      </c>
      <c r="B1450" s="116">
        <v>5.7730529856882704</v>
      </c>
      <c r="C1450" s="116">
        <v>5.6946535006974397</v>
      </c>
      <c r="D1450" s="116">
        <v>5.6257569835842904</v>
      </c>
      <c r="E1450" s="116">
        <v>5.6701041670134504</v>
      </c>
      <c r="F1450" s="116">
        <v>359.55</v>
      </c>
      <c r="G1450">
        <v>3096</v>
      </c>
      <c r="H1450" s="116"/>
      <c r="I1450" s="116"/>
      <c r="L1450" s="170">
        <v>44139</v>
      </c>
      <c r="M1450" s="116">
        <v>454.8</v>
      </c>
      <c r="N1450" s="116">
        <v>467.95</v>
      </c>
      <c r="O1450" s="116">
        <v>448.5</v>
      </c>
      <c r="P1450" s="116">
        <v>463</v>
      </c>
      <c r="Q1450" s="116">
        <v>454.8</v>
      </c>
      <c r="R1450">
        <v>229651</v>
      </c>
    </row>
    <row r="1451" spans="1:18" x14ac:dyDescent="0.25">
      <c r="A1451" s="170">
        <v>44141</v>
      </c>
      <c r="B1451" s="116">
        <v>5.8023538033111102</v>
      </c>
      <c r="C1451" s="116">
        <v>5.6930696727178303</v>
      </c>
      <c r="D1451" s="116">
        <v>5.5608200364201696</v>
      </c>
      <c r="E1451" s="116">
        <v>5.7453359960450499</v>
      </c>
      <c r="F1451" s="116">
        <v>359.45</v>
      </c>
      <c r="G1451">
        <v>5390</v>
      </c>
      <c r="H1451" s="116"/>
      <c r="I1451" s="116"/>
      <c r="L1451" s="170">
        <v>44140</v>
      </c>
      <c r="M1451" s="116">
        <v>464.15</v>
      </c>
      <c r="N1451" s="116">
        <v>465.85</v>
      </c>
      <c r="O1451" s="116">
        <v>456</v>
      </c>
      <c r="P1451" s="116">
        <v>457.1</v>
      </c>
      <c r="Q1451" s="116">
        <v>464.15</v>
      </c>
      <c r="R1451">
        <v>153681</v>
      </c>
    </row>
    <row r="1452" spans="1:18" x14ac:dyDescent="0.25">
      <c r="A1452" s="170">
        <v>44144</v>
      </c>
      <c r="B1452" s="116">
        <v>5.8443252447708396</v>
      </c>
      <c r="C1452" s="116">
        <v>5.7746368136678896</v>
      </c>
      <c r="D1452" s="116">
        <v>5.6701041670134504</v>
      </c>
      <c r="E1452" s="116">
        <v>5.7968104053824598</v>
      </c>
      <c r="F1452" s="116">
        <v>364.6</v>
      </c>
      <c r="G1452">
        <v>11030</v>
      </c>
      <c r="H1452" s="116"/>
      <c r="I1452" s="116"/>
      <c r="L1452" s="170">
        <v>44141</v>
      </c>
      <c r="M1452" s="116">
        <v>471.95</v>
      </c>
      <c r="N1452" s="116">
        <v>474.8</v>
      </c>
      <c r="O1452" s="116">
        <v>459.6</v>
      </c>
      <c r="P1452" s="116">
        <v>461.95</v>
      </c>
      <c r="Q1452" s="116">
        <v>471.95</v>
      </c>
      <c r="R1452">
        <v>206238</v>
      </c>
    </row>
    <row r="1453" spans="1:18" x14ac:dyDescent="0.25">
      <c r="A1453" s="170">
        <v>44145</v>
      </c>
      <c r="B1453" s="116">
        <v>5.83640610487278</v>
      </c>
      <c r="C1453" s="116">
        <v>5.6613931131255804</v>
      </c>
      <c r="D1453" s="116">
        <v>5.6233812416148696</v>
      </c>
      <c r="E1453" s="116">
        <v>5.7730529856882704</v>
      </c>
      <c r="F1453" s="116">
        <v>357.45</v>
      </c>
      <c r="G1453">
        <v>4248</v>
      </c>
      <c r="H1453" s="116"/>
      <c r="I1453" s="116"/>
      <c r="L1453" s="170">
        <v>44144</v>
      </c>
      <c r="M1453" s="116">
        <v>476.35</v>
      </c>
      <c r="N1453" s="116">
        <v>482</v>
      </c>
      <c r="O1453" s="116">
        <v>465</v>
      </c>
      <c r="P1453" s="116">
        <v>471.95</v>
      </c>
      <c r="Q1453" s="116">
        <v>476.35</v>
      </c>
      <c r="R1453">
        <v>241404</v>
      </c>
    </row>
    <row r="1454" spans="1:18" x14ac:dyDescent="0.25">
      <c r="A1454" s="170">
        <v>44146</v>
      </c>
      <c r="B1454" s="116">
        <v>5.8443252447708396</v>
      </c>
      <c r="C1454" s="116">
        <v>5.7508793939736904</v>
      </c>
      <c r="D1454" s="116">
        <v>5.6225893276250698</v>
      </c>
      <c r="E1454" s="116">
        <v>5.6233812416148696</v>
      </c>
      <c r="F1454" s="116">
        <v>363.1</v>
      </c>
      <c r="G1454">
        <v>3854</v>
      </c>
      <c r="H1454" s="116"/>
      <c r="I1454" s="116"/>
      <c r="L1454" s="170">
        <v>44145</v>
      </c>
      <c r="M1454" s="116">
        <v>481.1</v>
      </c>
      <c r="N1454" s="116">
        <v>485</v>
      </c>
      <c r="O1454" s="116">
        <v>472.9</v>
      </c>
      <c r="P1454" s="116">
        <v>480</v>
      </c>
      <c r="Q1454" s="116">
        <v>481.1</v>
      </c>
      <c r="R1454">
        <v>582840</v>
      </c>
    </row>
    <row r="1455" spans="1:18" x14ac:dyDescent="0.25">
      <c r="A1455" s="170">
        <v>44147</v>
      </c>
      <c r="B1455" s="116">
        <v>5.7888912654844003</v>
      </c>
      <c r="C1455" s="116">
        <v>5.71128369448338</v>
      </c>
      <c r="D1455" s="116">
        <v>5.59566425197165</v>
      </c>
      <c r="E1455" s="116">
        <v>5.7888912654844003</v>
      </c>
      <c r="F1455" s="116">
        <v>360.6</v>
      </c>
      <c r="G1455">
        <v>2729</v>
      </c>
      <c r="H1455" s="116"/>
      <c r="I1455" s="116"/>
      <c r="L1455" s="170">
        <v>44146</v>
      </c>
      <c r="M1455" s="116">
        <v>477.15</v>
      </c>
      <c r="N1455" s="116">
        <v>488.2</v>
      </c>
      <c r="O1455" s="116">
        <v>475.1</v>
      </c>
      <c r="P1455" s="116">
        <v>480.8</v>
      </c>
      <c r="Q1455" s="116">
        <v>477.15</v>
      </c>
      <c r="R1455">
        <v>404736</v>
      </c>
    </row>
    <row r="1456" spans="1:18" x14ac:dyDescent="0.25">
      <c r="A1456" s="170">
        <v>44148</v>
      </c>
      <c r="B1456" s="116">
        <v>5.7968104053824598</v>
      </c>
      <c r="C1456" s="116">
        <v>5.7128675224629903</v>
      </c>
      <c r="D1456" s="116">
        <v>5.6233812416148696</v>
      </c>
      <c r="E1456" s="116">
        <v>5.7968104053824598</v>
      </c>
      <c r="F1456" s="116">
        <v>360.7</v>
      </c>
      <c r="G1456">
        <v>3524</v>
      </c>
      <c r="H1456" s="116"/>
      <c r="I1456" s="116"/>
      <c r="L1456" s="170">
        <v>44147</v>
      </c>
      <c r="M1456" s="116">
        <v>479.6</v>
      </c>
      <c r="N1456" s="116">
        <v>485</v>
      </c>
      <c r="O1456" s="116">
        <v>475.75</v>
      </c>
      <c r="P1456" s="116">
        <v>478.4</v>
      </c>
      <c r="Q1456" s="116">
        <v>479.6</v>
      </c>
      <c r="R1456">
        <v>358979</v>
      </c>
    </row>
    <row r="1457" spans="1:18" x14ac:dyDescent="0.25">
      <c r="A1457" s="170">
        <v>44149</v>
      </c>
      <c r="B1457" s="116">
        <v>6.0177544085384298</v>
      </c>
      <c r="C1457" s="116">
        <v>5.82531930901549</v>
      </c>
      <c r="D1457" s="116">
        <v>5.7017807266057003</v>
      </c>
      <c r="E1457" s="116">
        <v>6.0177544085384298</v>
      </c>
      <c r="F1457" s="116">
        <v>367.8</v>
      </c>
      <c r="G1457">
        <v>2886</v>
      </c>
      <c r="H1457" s="116"/>
      <c r="I1457" s="116"/>
      <c r="L1457" s="170">
        <v>44148</v>
      </c>
      <c r="M1457" s="116">
        <v>473.5</v>
      </c>
      <c r="N1457" s="116">
        <v>480.5</v>
      </c>
      <c r="O1457" s="116">
        <v>471.1</v>
      </c>
      <c r="P1457" s="116">
        <v>478.8</v>
      </c>
      <c r="Q1457" s="116">
        <v>473.5</v>
      </c>
      <c r="R1457">
        <v>113813</v>
      </c>
    </row>
    <row r="1458" spans="1:18" x14ac:dyDescent="0.25">
      <c r="A1458" s="170">
        <v>44152</v>
      </c>
      <c r="B1458" s="116">
        <v>5.8918400841592202</v>
      </c>
      <c r="C1458" s="116">
        <v>5.7492955659940801</v>
      </c>
      <c r="D1458" s="116">
        <v>5.6859424468095696</v>
      </c>
      <c r="E1458" s="116">
        <v>5.7033645545853098</v>
      </c>
      <c r="F1458" s="116">
        <v>363</v>
      </c>
      <c r="G1458">
        <v>4268</v>
      </c>
      <c r="H1458" s="116"/>
      <c r="I1458" s="116"/>
      <c r="L1458" s="170">
        <v>44149</v>
      </c>
      <c r="M1458" s="116">
        <v>480.2</v>
      </c>
      <c r="N1458" s="116">
        <v>481</v>
      </c>
      <c r="O1458" s="116">
        <v>475</v>
      </c>
      <c r="P1458" s="116">
        <v>477.85</v>
      </c>
      <c r="Q1458" s="116">
        <v>480.2</v>
      </c>
      <c r="R1458">
        <v>34450</v>
      </c>
    </row>
    <row r="1459" spans="1:18" x14ac:dyDescent="0.25">
      <c r="A1459" s="170">
        <v>44153</v>
      </c>
      <c r="B1459" s="116">
        <v>5.79601849139266</v>
      </c>
      <c r="C1459" s="116">
        <v>5.65584971519693</v>
      </c>
      <c r="D1459" s="116">
        <v>5.5275596488483103</v>
      </c>
      <c r="E1459" s="116">
        <v>5.6701041670134504</v>
      </c>
      <c r="F1459" s="116">
        <v>357.1</v>
      </c>
      <c r="G1459">
        <v>3966</v>
      </c>
      <c r="H1459" s="116"/>
      <c r="I1459" s="116"/>
      <c r="L1459" s="170">
        <v>44152</v>
      </c>
      <c r="M1459" s="116">
        <v>484.8</v>
      </c>
      <c r="N1459" s="116">
        <v>485.5</v>
      </c>
      <c r="O1459" s="116">
        <v>471.5</v>
      </c>
      <c r="P1459" s="116">
        <v>480.2</v>
      </c>
      <c r="Q1459" s="116">
        <v>484.8</v>
      </c>
      <c r="R1459">
        <v>500016</v>
      </c>
    </row>
    <row r="1460" spans="1:18" x14ac:dyDescent="0.25">
      <c r="A1460" s="170">
        <v>44154</v>
      </c>
      <c r="B1460" s="116">
        <v>5.7492955659940801</v>
      </c>
      <c r="C1460" s="116">
        <v>5.6051672198493296</v>
      </c>
      <c r="D1460" s="116">
        <v>5.54418984263424</v>
      </c>
      <c r="E1460" s="116">
        <v>5.7492955659940801</v>
      </c>
      <c r="F1460" s="116">
        <v>353.9</v>
      </c>
      <c r="G1460">
        <v>2849</v>
      </c>
      <c r="H1460" s="116"/>
      <c r="I1460" s="116"/>
      <c r="L1460" s="170">
        <v>44153</v>
      </c>
      <c r="M1460" s="116">
        <v>479.7</v>
      </c>
      <c r="N1460" s="116">
        <v>485.6</v>
      </c>
      <c r="O1460" s="116">
        <v>475.7</v>
      </c>
      <c r="P1460" s="116">
        <v>485.6</v>
      </c>
      <c r="Q1460" s="116">
        <v>479.7</v>
      </c>
      <c r="R1460">
        <v>244471</v>
      </c>
    </row>
    <row r="1461" spans="1:18" x14ac:dyDescent="0.25">
      <c r="A1461" s="170">
        <v>44155</v>
      </c>
      <c r="B1461" s="116">
        <v>5.7017807266057003</v>
      </c>
      <c r="C1461" s="116">
        <v>5.5853693701041696</v>
      </c>
      <c r="D1461" s="116">
        <v>5.5449817566240496</v>
      </c>
      <c r="E1461" s="116">
        <v>5.7017807266057003</v>
      </c>
      <c r="F1461" s="116">
        <v>352.65</v>
      </c>
      <c r="G1461">
        <v>3963</v>
      </c>
      <c r="H1461" s="116"/>
      <c r="I1461" s="116"/>
      <c r="L1461" s="170">
        <v>44154</v>
      </c>
      <c r="M1461" s="116">
        <v>460.35</v>
      </c>
      <c r="N1461" s="116">
        <v>478.75</v>
      </c>
      <c r="O1461" s="116">
        <v>457.1</v>
      </c>
      <c r="P1461" s="116">
        <v>476</v>
      </c>
      <c r="Q1461" s="116">
        <v>460.35</v>
      </c>
      <c r="R1461">
        <v>658647</v>
      </c>
    </row>
    <row r="1462" spans="1:18" x14ac:dyDescent="0.25">
      <c r="A1462" s="170">
        <v>44158</v>
      </c>
      <c r="B1462" s="116">
        <v>5.7025726405955099</v>
      </c>
      <c r="C1462" s="116">
        <v>5.6059591338391304</v>
      </c>
      <c r="D1462" s="116">
        <v>5.5766583162163004</v>
      </c>
      <c r="E1462" s="116">
        <v>5.7009888126158899</v>
      </c>
      <c r="F1462" s="116">
        <v>353.95</v>
      </c>
      <c r="G1462">
        <v>5888</v>
      </c>
      <c r="H1462" s="116"/>
      <c r="I1462" s="116"/>
      <c r="L1462" s="170">
        <v>44155</v>
      </c>
      <c r="M1462" s="116">
        <v>464</v>
      </c>
      <c r="N1462" s="116">
        <v>468</v>
      </c>
      <c r="O1462" s="116">
        <v>459</v>
      </c>
      <c r="P1462" s="116">
        <v>463.9</v>
      </c>
      <c r="Q1462" s="116">
        <v>464</v>
      </c>
      <c r="R1462">
        <v>170520</v>
      </c>
    </row>
    <row r="1463" spans="1:18" x14ac:dyDescent="0.25">
      <c r="A1463" s="170">
        <v>44159</v>
      </c>
      <c r="B1463" s="116">
        <v>5.6859424468095696</v>
      </c>
      <c r="C1463" s="116">
        <v>5.60437530585952</v>
      </c>
      <c r="D1463" s="116">
        <v>5.5909127680328101</v>
      </c>
      <c r="E1463" s="116">
        <v>5.6859424468095696</v>
      </c>
      <c r="F1463" s="116">
        <v>353.85</v>
      </c>
      <c r="G1463">
        <v>2466</v>
      </c>
      <c r="H1463" s="116"/>
      <c r="I1463" s="116"/>
      <c r="L1463" s="170">
        <v>44158</v>
      </c>
      <c r="M1463" s="116">
        <v>469.8</v>
      </c>
      <c r="N1463" s="116">
        <v>476.95</v>
      </c>
      <c r="O1463" s="116">
        <v>467</v>
      </c>
      <c r="P1463" s="116">
        <v>470</v>
      </c>
      <c r="Q1463" s="116">
        <v>469.8</v>
      </c>
      <c r="R1463">
        <v>663871</v>
      </c>
    </row>
    <row r="1464" spans="1:18" x14ac:dyDescent="0.25">
      <c r="A1464" s="170">
        <v>44160</v>
      </c>
      <c r="B1464" s="116">
        <v>5.6859424468095696</v>
      </c>
      <c r="C1464" s="116">
        <v>5.5774502302061002</v>
      </c>
      <c r="D1464" s="116">
        <v>5.5457736706138503</v>
      </c>
      <c r="E1464" s="116">
        <v>5.5988319079308804</v>
      </c>
      <c r="F1464" s="116">
        <v>352.15</v>
      </c>
      <c r="G1464">
        <v>1502</v>
      </c>
      <c r="H1464" s="116"/>
      <c r="I1464" s="116"/>
      <c r="L1464" s="170">
        <v>44159</v>
      </c>
      <c r="M1464" s="116">
        <v>480</v>
      </c>
      <c r="N1464" s="116">
        <v>480.5</v>
      </c>
      <c r="O1464" s="116">
        <v>470.05</v>
      </c>
      <c r="P1464" s="116">
        <v>474.2</v>
      </c>
      <c r="Q1464" s="116">
        <v>480</v>
      </c>
      <c r="R1464">
        <v>209413</v>
      </c>
    </row>
    <row r="1465" spans="1:18" x14ac:dyDescent="0.25">
      <c r="A1465" s="170">
        <v>44161</v>
      </c>
      <c r="B1465" s="116">
        <v>5.6859424468095696</v>
      </c>
      <c r="C1465" s="116">
        <v>5.5774502302061002</v>
      </c>
      <c r="D1465" s="116">
        <v>5.5433979286444304</v>
      </c>
      <c r="E1465" s="116">
        <v>5.6859424468095696</v>
      </c>
      <c r="F1465" s="116">
        <v>352.15</v>
      </c>
      <c r="G1465">
        <v>2611</v>
      </c>
      <c r="H1465" s="116"/>
      <c r="I1465" s="116"/>
      <c r="L1465" s="170">
        <v>44160</v>
      </c>
      <c r="M1465" s="116">
        <v>470.25</v>
      </c>
      <c r="N1465" s="116">
        <v>485</v>
      </c>
      <c r="O1465" s="116">
        <v>468</v>
      </c>
      <c r="P1465" s="116">
        <v>483</v>
      </c>
      <c r="Q1465" s="116">
        <v>470.25</v>
      </c>
      <c r="R1465">
        <v>210688</v>
      </c>
    </row>
    <row r="1466" spans="1:18" x14ac:dyDescent="0.25">
      <c r="A1466" s="170">
        <v>44162</v>
      </c>
      <c r="B1466" s="116">
        <v>5.6859424468095696</v>
      </c>
      <c r="C1466" s="116">
        <v>5.6653526830746097</v>
      </c>
      <c r="D1466" s="116">
        <v>5.5592362084405602</v>
      </c>
      <c r="E1466" s="116">
        <v>5.6384276074211899</v>
      </c>
      <c r="F1466" s="116">
        <v>357.7</v>
      </c>
      <c r="G1466">
        <v>2895</v>
      </c>
      <c r="H1466" s="116"/>
      <c r="I1466" s="116"/>
      <c r="L1466" s="170">
        <v>44161</v>
      </c>
      <c r="M1466" s="116">
        <v>469.55</v>
      </c>
      <c r="N1466" s="116">
        <v>474.65</v>
      </c>
      <c r="O1466" s="116">
        <v>464.4</v>
      </c>
      <c r="P1466" s="116">
        <v>474</v>
      </c>
      <c r="Q1466" s="116">
        <v>469.55</v>
      </c>
      <c r="R1466">
        <v>126409</v>
      </c>
    </row>
    <row r="1467" spans="1:18" x14ac:dyDescent="0.25">
      <c r="A1467" s="170">
        <v>44166</v>
      </c>
      <c r="B1467" s="116">
        <v>5.6851505328197698</v>
      </c>
      <c r="C1467" s="116">
        <v>5.5647796063691999</v>
      </c>
      <c r="D1467" s="116">
        <v>5.44836824986767</v>
      </c>
      <c r="E1467" s="116">
        <v>5.6225893276250698</v>
      </c>
      <c r="F1467" s="116">
        <v>351.35</v>
      </c>
      <c r="G1467">
        <v>11514</v>
      </c>
      <c r="H1467" s="116"/>
      <c r="I1467" s="116"/>
      <c r="L1467" s="170">
        <v>44162</v>
      </c>
      <c r="M1467" s="116">
        <v>481.95</v>
      </c>
      <c r="N1467" s="116">
        <v>485</v>
      </c>
      <c r="O1467" s="116">
        <v>471</v>
      </c>
      <c r="P1467" s="116">
        <v>471</v>
      </c>
      <c r="Q1467" s="116">
        <v>481.95</v>
      </c>
      <c r="R1467">
        <v>528032</v>
      </c>
    </row>
    <row r="1468" spans="1:18" x14ac:dyDescent="0.25">
      <c r="A1468" s="170">
        <v>44167</v>
      </c>
      <c r="B1468" s="116">
        <v>5.67802330691151</v>
      </c>
      <c r="C1468" s="116">
        <v>5.6051672198493296</v>
      </c>
      <c r="D1468" s="116">
        <v>5.5481494125832702</v>
      </c>
      <c r="E1468" s="116">
        <v>5.67802330691151</v>
      </c>
      <c r="F1468" s="116">
        <v>353.9</v>
      </c>
      <c r="G1468">
        <v>4845</v>
      </c>
      <c r="H1468" s="116"/>
      <c r="I1468" s="116"/>
      <c r="L1468" s="170">
        <v>44166</v>
      </c>
      <c r="M1468" s="116">
        <v>489.15</v>
      </c>
      <c r="N1468" s="116">
        <v>495</v>
      </c>
      <c r="O1468" s="116">
        <v>478.45</v>
      </c>
      <c r="P1468" s="116">
        <v>485</v>
      </c>
      <c r="Q1468" s="116">
        <v>489.15</v>
      </c>
      <c r="R1468">
        <v>604921</v>
      </c>
    </row>
    <row r="1469" spans="1:18" x14ac:dyDescent="0.25">
      <c r="A1469" s="170">
        <v>44168</v>
      </c>
      <c r="B1469" s="116">
        <v>5.7017807266057003</v>
      </c>
      <c r="C1469" s="116">
        <v>5.6796071348911203</v>
      </c>
      <c r="D1469" s="116">
        <v>5.5750744882366901</v>
      </c>
      <c r="E1469" s="116">
        <v>5.6384276074211899</v>
      </c>
      <c r="F1469" s="116">
        <v>358.6</v>
      </c>
      <c r="G1469">
        <v>2827</v>
      </c>
      <c r="H1469" s="116"/>
      <c r="I1469" s="116"/>
      <c r="L1469" s="170">
        <v>44167</v>
      </c>
      <c r="M1469" s="116">
        <v>479.15</v>
      </c>
      <c r="N1469" s="116">
        <v>493.65</v>
      </c>
      <c r="O1469" s="116">
        <v>476.2</v>
      </c>
      <c r="P1469" s="116">
        <v>492</v>
      </c>
      <c r="Q1469" s="116">
        <v>479.15</v>
      </c>
      <c r="R1469">
        <v>266716</v>
      </c>
    </row>
    <row r="1470" spans="1:18" x14ac:dyDescent="0.25">
      <c r="A1470" s="170">
        <v>44169</v>
      </c>
      <c r="B1470" s="116">
        <v>6.0177544085384298</v>
      </c>
      <c r="C1470" s="116">
        <v>5.8506605566892897</v>
      </c>
      <c r="D1470" s="116">
        <v>5.6384276074211899</v>
      </c>
      <c r="E1470" s="116">
        <v>5.7017807266057003</v>
      </c>
      <c r="F1470" s="116">
        <v>369.4</v>
      </c>
      <c r="G1470">
        <v>9572</v>
      </c>
      <c r="H1470" s="116"/>
      <c r="I1470" s="116"/>
      <c r="L1470" s="170">
        <v>44168</v>
      </c>
      <c r="M1470" s="116">
        <v>490.4</v>
      </c>
      <c r="N1470" s="116">
        <v>492.5</v>
      </c>
      <c r="O1470" s="116">
        <v>480</v>
      </c>
      <c r="P1470" s="116">
        <v>484.75</v>
      </c>
      <c r="Q1470" s="116">
        <v>490.4</v>
      </c>
      <c r="R1470">
        <v>230293</v>
      </c>
    </row>
    <row r="1471" spans="1:18" x14ac:dyDescent="0.25">
      <c r="A1471" s="170">
        <v>44172</v>
      </c>
      <c r="B1471" s="116">
        <v>6.0027080427321096</v>
      </c>
      <c r="C1471" s="116">
        <v>5.89896731006748</v>
      </c>
      <c r="D1471" s="116">
        <v>5.7199947483712501</v>
      </c>
      <c r="E1471" s="116">
        <v>6.0027080427321096</v>
      </c>
      <c r="F1471" s="116">
        <v>372.45</v>
      </c>
      <c r="G1471">
        <v>6164</v>
      </c>
      <c r="H1471" s="116"/>
      <c r="I1471" s="116"/>
      <c r="L1471" s="170">
        <v>44169</v>
      </c>
      <c r="M1471" s="116">
        <v>484.5</v>
      </c>
      <c r="N1471" s="116">
        <v>494.9</v>
      </c>
      <c r="O1471" s="116">
        <v>481.15</v>
      </c>
      <c r="P1471" s="116">
        <v>492</v>
      </c>
      <c r="Q1471" s="116">
        <v>484.5</v>
      </c>
      <c r="R1471">
        <v>167717</v>
      </c>
    </row>
    <row r="1472" spans="1:18" x14ac:dyDescent="0.25">
      <c r="A1472" s="170">
        <v>44173</v>
      </c>
      <c r="B1472" s="116">
        <v>6.01696249454863</v>
      </c>
      <c r="C1472" s="116">
        <v>5.7785963836169199</v>
      </c>
      <c r="D1472" s="116">
        <v>5.7469198240246602</v>
      </c>
      <c r="E1472" s="116">
        <v>6.01696249454863</v>
      </c>
      <c r="F1472" s="116">
        <v>364.85</v>
      </c>
      <c r="G1472">
        <v>5561</v>
      </c>
      <c r="H1472" s="116"/>
      <c r="I1472" s="116"/>
      <c r="L1472" s="170">
        <v>44172</v>
      </c>
      <c r="M1472" s="116">
        <v>490.65</v>
      </c>
      <c r="N1472" s="116">
        <v>502.65</v>
      </c>
      <c r="O1472" s="116">
        <v>482.05</v>
      </c>
      <c r="P1472" s="116">
        <v>483</v>
      </c>
      <c r="Q1472" s="116">
        <v>490.65</v>
      </c>
      <c r="R1472">
        <v>656246</v>
      </c>
    </row>
    <row r="1473" spans="1:18" x14ac:dyDescent="0.25">
      <c r="A1473" s="170">
        <v>44174</v>
      </c>
      <c r="B1473" s="116">
        <v>6.0027080427321096</v>
      </c>
      <c r="C1473" s="116">
        <v>5.80314571730091</v>
      </c>
      <c r="D1473" s="116">
        <v>5.72237049034067</v>
      </c>
      <c r="E1473" s="116">
        <v>5.9385630095578001</v>
      </c>
      <c r="F1473" s="116">
        <v>366.4</v>
      </c>
      <c r="G1473">
        <v>8574</v>
      </c>
      <c r="H1473" s="116"/>
      <c r="I1473" s="116"/>
      <c r="L1473" s="170">
        <v>44173</v>
      </c>
      <c r="M1473" s="116">
        <v>482.25</v>
      </c>
      <c r="N1473" s="116">
        <v>490.75</v>
      </c>
      <c r="O1473" s="116">
        <v>480.6</v>
      </c>
      <c r="P1473" s="116">
        <v>490</v>
      </c>
      <c r="Q1473" s="116">
        <v>482.25</v>
      </c>
      <c r="R1473">
        <v>195335</v>
      </c>
    </row>
    <row r="1474" spans="1:18" x14ac:dyDescent="0.25">
      <c r="A1474" s="170">
        <v>44175</v>
      </c>
      <c r="B1474" s="116">
        <v>5.8601635245669703</v>
      </c>
      <c r="C1474" s="116">
        <v>5.7342492001877599</v>
      </c>
      <c r="D1474" s="116">
        <v>5.7017807266057003</v>
      </c>
      <c r="E1474" s="116">
        <v>5.8601635245669703</v>
      </c>
      <c r="F1474" s="116">
        <v>362.05</v>
      </c>
      <c r="G1474">
        <v>4296</v>
      </c>
      <c r="H1474" s="116"/>
      <c r="I1474" s="116"/>
      <c r="L1474" s="170">
        <v>44174</v>
      </c>
      <c r="M1474" s="116">
        <v>480.7</v>
      </c>
      <c r="N1474" s="116">
        <v>487.7</v>
      </c>
      <c r="O1474" s="116">
        <v>477.05</v>
      </c>
      <c r="P1474" s="116">
        <v>487.7</v>
      </c>
      <c r="Q1474" s="116">
        <v>480.7</v>
      </c>
      <c r="R1474">
        <v>160356</v>
      </c>
    </row>
    <row r="1475" spans="1:18" x14ac:dyDescent="0.25">
      <c r="A1475" s="170">
        <v>44176</v>
      </c>
      <c r="B1475" s="116">
        <v>5.9235166437514799</v>
      </c>
      <c r="C1475" s="116">
        <v>5.6811909628707404</v>
      </c>
      <c r="D1475" s="116">
        <v>5.5750744882366901</v>
      </c>
      <c r="E1475" s="116">
        <v>5.9235166437514799</v>
      </c>
      <c r="F1475" s="116">
        <v>358.7</v>
      </c>
      <c r="G1475">
        <v>3248</v>
      </c>
      <c r="H1475" s="116"/>
      <c r="I1475" s="116"/>
      <c r="L1475" s="170">
        <v>44175</v>
      </c>
      <c r="M1475" s="116">
        <v>468.05</v>
      </c>
      <c r="N1475" s="116">
        <v>483.7</v>
      </c>
      <c r="O1475" s="116">
        <v>465.8</v>
      </c>
      <c r="P1475" s="116">
        <v>483.3</v>
      </c>
      <c r="Q1475" s="116">
        <v>468.05</v>
      </c>
      <c r="R1475">
        <v>189107</v>
      </c>
    </row>
    <row r="1476" spans="1:18" x14ac:dyDescent="0.25">
      <c r="A1476" s="170">
        <v>44179</v>
      </c>
      <c r="B1476" s="116">
        <v>5.7793882976067197</v>
      </c>
      <c r="C1476" s="116">
        <v>5.6075429618187496</v>
      </c>
      <c r="D1476" s="116">
        <v>5.4958830892560497</v>
      </c>
      <c r="E1476" s="116">
        <v>5.6099187037881704</v>
      </c>
      <c r="F1476" s="116">
        <v>354.05</v>
      </c>
      <c r="G1476">
        <v>5193</v>
      </c>
      <c r="H1476" s="116"/>
      <c r="I1476" s="116"/>
      <c r="L1476" s="170">
        <v>44176</v>
      </c>
      <c r="M1476" s="116">
        <v>489.2</v>
      </c>
      <c r="N1476" s="116">
        <v>492</v>
      </c>
      <c r="O1476" s="116">
        <v>470.15</v>
      </c>
      <c r="P1476" s="116">
        <v>472</v>
      </c>
      <c r="Q1476" s="116">
        <v>489.2</v>
      </c>
      <c r="R1476">
        <v>471783</v>
      </c>
    </row>
    <row r="1477" spans="1:18" x14ac:dyDescent="0.25">
      <c r="A1477" s="170">
        <v>44180</v>
      </c>
      <c r="B1477" s="116">
        <v>5.7009888126158899</v>
      </c>
      <c r="C1477" s="116">
        <v>5.6265488975741</v>
      </c>
      <c r="D1477" s="116">
        <v>5.5433979286444304</v>
      </c>
      <c r="E1477" s="116">
        <v>5.5473574985934597</v>
      </c>
      <c r="F1477" s="116">
        <v>355.25</v>
      </c>
      <c r="G1477">
        <v>4961</v>
      </c>
      <c r="H1477" s="116"/>
      <c r="I1477" s="116"/>
      <c r="L1477" s="170">
        <v>44179</v>
      </c>
      <c r="M1477" s="116">
        <v>487.6</v>
      </c>
      <c r="N1477" s="116">
        <v>513.95000000000005</v>
      </c>
      <c r="O1477" s="116">
        <v>482.2</v>
      </c>
      <c r="P1477" s="116">
        <v>492.45</v>
      </c>
      <c r="Q1477" s="116">
        <v>487.6</v>
      </c>
      <c r="R1477">
        <v>486842</v>
      </c>
    </row>
    <row r="1478" spans="1:18" x14ac:dyDescent="0.25">
      <c r="A1478" s="170">
        <v>44181</v>
      </c>
      <c r="B1478" s="116">
        <v>5.7651338457902099</v>
      </c>
      <c r="C1478" s="116">
        <v>5.6012076499003003</v>
      </c>
      <c r="D1478" s="116">
        <v>5.5433979286444304</v>
      </c>
      <c r="E1478" s="116">
        <v>5.7176190064018302</v>
      </c>
      <c r="F1478" s="116">
        <v>353.65</v>
      </c>
      <c r="G1478">
        <v>3527</v>
      </c>
      <c r="H1478" s="116"/>
      <c r="I1478" s="116"/>
      <c r="L1478" s="170">
        <v>44180</v>
      </c>
      <c r="M1478" s="116">
        <v>485.45</v>
      </c>
      <c r="N1478" s="116">
        <v>490.2</v>
      </c>
      <c r="O1478" s="116">
        <v>477.05</v>
      </c>
      <c r="P1478" s="116">
        <v>490.2</v>
      </c>
      <c r="Q1478" s="116">
        <v>485.45</v>
      </c>
      <c r="R1478">
        <v>224391</v>
      </c>
    </row>
    <row r="1479" spans="1:18" x14ac:dyDescent="0.25">
      <c r="A1479" s="170">
        <v>44182</v>
      </c>
      <c r="B1479" s="116">
        <v>5.7492955659940801</v>
      </c>
      <c r="C1479" s="116">
        <v>5.5457736706138503</v>
      </c>
      <c r="D1479" s="116">
        <v>5.4958830892560497</v>
      </c>
      <c r="E1479" s="116">
        <v>5.7492955659940801</v>
      </c>
      <c r="F1479" s="116">
        <v>350.15</v>
      </c>
      <c r="G1479">
        <v>5403</v>
      </c>
      <c r="H1479" s="116"/>
      <c r="I1479" s="116"/>
      <c r="L1479" s="170">
        <v>44181</v>
      </c>
      <c r="M1479" s="116">
        <v>477.4</v>
      </c>
      <c r="N1479" s="116">
        <v>492.8</v>
      </c>
      <c r="O1479" s="116">
        <v>475</v>
      </c>
      <c r="P1479" s="116">
        <v>491.2</v>
      </c>
      <c r="Q1479" s="116">
        <v>477.4</v>
      </c>
      <c r="R1479">
        <v>540373</v>
      </c>
    </row>
    <row r="1480" spans="1:18" x14ac:dyDescent="0.25">
      <c r="A1480" s="170">
        <v>44183</v>
      </c>
      <c r="B1480" s="116">
        <v>5.6811909628707404</v>
      </c>
      <c r="C1480" s="116">
        <v>5.60675104782894</v>
      </c>
      <c r="D1480" s="116">
        <v>5.4958830892560497</v>
      </c>
      <c r="E1480" s="116">
        <v>5.6225893276250698</v>
      </c>
      <c r="F1480" s="116">
        <v>354</v>
      </c>
      <c r="G1480">
        <v>8419</v>
      </c>
      <c r="H1480" s="116"/>
      <c r="I1480" s="116"/>
      <c r="L1480" s="170">
        <v>44182</v>
      </c>
      <c r="M1480" s="116">
        <v>488.9</v>
      </c>
      <c r="N1480" s="116">
        <v>490.9</v>
      </c>
      <c r="O1480" s="116">
        <v>479.9</v>
      </c>
      <c r="P1480" s="116">
        <v>479.9</v>
      </c>
      <c r="Q1480" s="116">
        <v>488.9</v>
      </c>
      <c r="R1480">
        <v>395084</v>
      </c>
    </row>
    <row r="1481" spans="1:18" x14ac:dyDescent="0.25">
      <c r="A1481" s="170">
        <v>44186</v>
      </c>
      <c r="B1481" s="116">
        <v>5.7081160385241496</v>
      </c>
      <c r="C1481" s="116">
        <v>5.3327488073559399</v>
      </c>
      <c r="D1481" s="116">
        <v>5.2266323327218904</v>
      </c>
      <c r="E1481" s="116">
        <v>5.5117213690521796</v>
      </c>
      <c r="F1481" s="116">
        <v>336.7</v>
      </c>
      <c r="G1481">
        <v>6714</v>
      </c>
      <c r="H1481" s="116"/>
      <c r="I1481" s="116"/>
      <c r="L1481" s="170">
        <v>44183</v>
      </c>
      <c r="M1481" s="116">
        <v>490.2</v>
      </c>
      <c r="N1481" s="116">
        <v>493</v>
      </c>
      <c r="O1481" s="116">
        <v>481.25</v>
      </c>
      <c r="P1481" s="116">
        <v>484.75</v>
      </c>
      <c r="Q1481" s="116">
        <v>490.2</v>
      </c>
      <c r="R1481">
        <v>392647</v>
      </c>
    </row>
    <row r="1482" spans="1:18" x14ac:dyDescent="0.25">
      <c r="A1482" s="170">
        <v>44187</v>
      </c>
      <c r="B1482" s="116">
        <v>5.5267677348584998</v>
      </c>
      <c r="C1482" s="116">
        <v>5.4919235193070204</v>
      </c>
      <c r="D1482" s="116">
        <v>5.1490247617208702</v>
      </c>
      <c r="E1482" s="116">
        <v>5.1791174933335098</v>
      </c>
      <c r="F1482" s="116">
        <v>346.75</v>
      </c>
      <c r="G1482">
        <v>5605</v>
      </c>
      <c r="H1482" s="116"/>
      <c r="I1482" s="116"/>
      <c r="L1482" s="170">
        <v>44186</v>
      </c>
      <c r="M1482" s="116">
        <v>471</v>
      </c>
      <c r="N1482" s="116">
        <v>493</v>
      </c>
      <c r="O1482" s="116">
        <v>465.6</v>
      </c>
      <c r="P1482" s="116">
        <v>491.5</v>
      </c>
      <c r="Q1482" s="116">
        <v>471</v>
      </c>
      <c r="R1482">
        <v>247982</v>
      </c>
    </row>
    <row r="1483" spans="1:18" x14ac:dyDescent="0.25">
      <c r="A1483" s="170">
        <v>44188</v>
      </c>
      <c r="B1483" s="116">
        <v>5.6217974136352602</v>
      </c>
      <c r="C1483" s="116">
        <v>5.5156809390012098</v>
      </c>
      <c r="D1483" s="116">
        <v>5.2274242467117</v>
      </c>
      <c r="E1483" s="116">
        <v>5.5433979286444304</v>
      </c>
      <c r="F1483" s="116">
        <v>348.25</v>
      </c>
      <c r="G1483">
        <v>13675</v>
      </c>
      <c r="H1483" s="116"/>
      <c r="I1483" s="116"/>
      <c r="L1483" s="170">
        <v>44187</v>
      </c>
      <c r="M1483" s="116">
        <v>462.95</v>
      </c>
      <c r="N1483" s="116">
        <v>489.7</v>
      </c>
      <c r="O1483" s="116">
        <v>430</v>
      </c>
      <c r="P1483" s="116">
        <v>474.25</v>
      </c>
      <c r="Q1483" s="116">
        <v>462.95</v>
      </c>
      <c r="R1483">
        <v>428435</v>
      </c>
    </row>
    <row r="1484" spans="1:18" x14ac:dyDescent="0.25">
      <c r="A1484" s="170">
        <v>44189</v>
      </c>
      <c r="B1484" s="116">
        <v>5.6225893276250698</v>
      </c>
      <c r="C1484" s="116">
        <v>5.5901208540430103</v>
      </c>
      <c r="D1484" s="116">
        <v>5.4665822716332197</v>
      </c>
      <c r="E1484" s="116">
        <v>5.4665822716332197</v>
      </c>
      <c r="F1484" s="116">
        <v>352.95</v>
      </c>
      <c r="G1484">
        <v>2153</v>
      </c>
      <c r="H1484" s="116"/>
      <c r="I1484" s="116"/>
      <c r="L1484" s="170">
        <v>44188</v>
      </c>
      <c r="M1484" s="116">
        <v>479.7</v>
      </c>
      <c r="N1484" s="116">
        <v>484</v>
      </c>
      <c r="O1484" s="116">
        <v>466</v>
      </c>
      <c r="P1484" s="116">
        <v>466</v>
      </c>
      <c r="Q1484" s="116">
        <v>479.7</v>
      </c>
      <c r="R1484">
        <v>257513</v>
      </c>
    </row>
    <row r="1485" spans="1:18" x14ac:dyDescent="0.25">
      <c r="A1485" s="170">
        <v>44193</v>
      </c>
      <c r="B1485" s="116">
        <v>5.6305084675231303</v>
      </c>
      <c r="C1485" s="116">
        <v>5.5853693701041696</v>
      </c>
      <c r="D1485" s="116">
        <v>5.48162863743954</v>
      </c>
      <c r="E1485" s="116">
        <v>5.59566425197165</v>
      </c>
      <c r="F1485" s="116">
        <v>352.65</v>
      </c>
      <c r="G1485">
        <v>4168</v>
      </c>
      <c r="H1485" s="116"/>
      <c r="I1485" s="116"/>
      <c r="L1485" s="170">
        <v>44189</v>
      </c>
      <c r="M1485" s="116">
        <v>487.3</v>
      </c>
      <c r="N1485" s="116">
        <v>489</v>
      </c>
      <c r="O1485" s="116">
        <v>476.15</v>
      </c>
      <c r="P1485" s="116">
        <v>483.6</v>
      </c>
      <c r="Q1485" s="116">
        <v>487.3</v>
      </c>
      <c r="R1485">
        <v>247208</v>
      </c>
    </row>
    <row r="1486" spans="1:18" x14ac:dyDescent="0.25">
      <c r="A1486" s="170">
        <v>44194</v>
      </c>
      <c r="B1486" s="116">
        <v>5.6843586188299602</v>
      </c>
      <c r="C1486" s="116">
        <v>5.5592362084405602</v>
      </c>
      <c r="D1486" s="116">
        <v>5.4657903576434101</v>
      </c>
      <c r="E1486" s="116">
        <v>5.6843586188299602</v>
      </c>
      <c r="F1486" s="116">
        <v>351</v>
      </c>
      <c r="G1486">
        <v>3733</v>
      </c>
      <c r="H1486" s="116"/>
      <c r="I1486" s="116"/>
      <c r="L1486" s="170">
        <v>44193</v>
      </c>
      <c r="M1486" s="116">
        <v>486.4</v>
      </c>
      <c r="N1486" s="116">
        <v>489</v>
      </c>
      <c r="O1486" s="116">
        <v>483</v>
      </c>
      <c r="P1486" s="116">
        <v>487</v>
      </c>
      <c r="Q1486" s="116">
        <v>486.4</v>
      </c>
      <c r="R1486">
        <v>203483</v>
      </c>
    </row>
    <row r="1487" spans="1:18" x14ac:dyDescent="0.25">
      <c r="A1487" s="170">
        <v>44195</v>
      </c>
      <c r="B1487" s="116">
        <v>5.6518901452478998</v>
      </c>
      <c r="C1487" s="116">
        <v>5.5354787887463699</v>
      </c>
      <c r="D1487" s="116">
        <v>5.4649984436535997</v>
      </c>
      <c r="E1487" s="116">
        <v>5.6518901452478998</v>
      </c>
      <c r="F1487" s="116">
        <v>349.5</v>
      </c>
      <c r="G1487">
        <v>8304</v>
      </c>
      <c r="H1487" s="116"/>
      <c r="I1487" s="116"/>
      <c r="L1487" s="170">
        <v>44194</v>
      </c>
      <c r="M1487" s="116">
        <v>501</v>
      </c>
      <c r="N1487" s="116">
        <v>504.9</v>
      </c>
      <c r="O1487" s="116">
        <v>485.2</v>
      </c>
      <c r="P1487" s="116">
        <v>490</v>
      </c>
      <c r="Q1487" s="116">
        <v>501</v>
      </c>
      <c r="R1487">
        <v>615885</v>
      </c>
    </row>
    <row r="1488" spans="1:18" x14ac:dyDescent="0.25">
      <c r="A1488" s="170">
        <v>44196</v>
      </c>
      <c r="B1488" s="116">
        <v>5.5909127680328101</v>
      </c>
      <c r="C1488" s="116">
        <v>5.4364895400205704</v>
      </c>
      <c r="D1488" s="116">
        <v>5.3897666146220002</v>
      </c>
      <c r="E1488" s="116">
        <v>5.5909127680328101</v>
      </c>
      <c r="F1488" s="116">
        <v>343.25</v>
      </c>
      <c r="G1488">
        <v>5687</v>
      </c>
      <c r="H1488" s="116"/>
      <c r="I1488" s="116"/>
      <c r="L1488" s="170">
        <v>44195</v>
      </c>
      <c r="M1488" s="116">
        <v>496.65</v>
      </c>
      <c r="N1488" s="116">
        <v>501</v>
      </c>
      <c r="O1488" s="116">
        <v>490</v>
      </c>
      <c r="P1488" s="116">
        <v>500</v>
      </c>
      <c r="Q1488" s="116">
        <v>496.65</v>
      </c>
      <c r="R1488">
        <v>310217</v>
      </c>
    </row>
    <row r="1489" spans="1:18" x14ac:dyDescent="0.25">
      <c r="A1489" s="170">
        <v>44197</v>
      </c>
      <c r="B1489" s="116">
        <v>5.5901208540430103</v>
      </c>
      <c r="C1489" s="116">
        <v>5.4990507452152801</v>
      </c>
      <c r="D1489" s="116">
        <v>5.4642065296637998</v>
      </c>
      <c r="E1489" s="116">
        <v>5.4800448094599199</v>
      </c>
      <c r="F1489" s="116">
        <v>347.2</v>
      </c>
      <c r="G1489">
        <v>8195</v>
      </c>
      <c r="H1489" s="116"/>
      <c r="I1489" s="116"/>
      <c r="L1489" s="170">
        <v>44196</v>
      </c>
      <c r="M1489" s="116">
        <v>499.4</v>
      </c>
      <c r="N1489" s="116">
        <v>501</v>
      </c>
      <c r="O1489" s="116">
        <v>490</v>
      </c>
      <c r="P1489" s="116">
        <v>492.05</v>
      </c>
      <c r="Q1489" s="116">
        <v>499.4</v>
      </c>
      <c r="R1489">
        <v>259328</v>
      </c>
    </row>
    <row r="1490" spans="1:18" x14ac:dyDescent="0.25">
      <c r="A1490" s="170">
        <v>44200</v>
      </c>
      <c r="B1490" s="116">
        <v>6.0027080427321096</v>
      </c>
      <c r="C1490" s="116">
        <v>5.9021349660267104</v>
      </c>
      <c r="D1490" s="116">
        <v>5.4657903576434101</v>
      </c>
      <c r="E1490" s="116">
        <v>5.5433979286444304</v>
      </c>
      <c r="F1490" s="116">
        <v>372.65</v>
      </c>
      <c r="G1490">
        <v>23033</v>
      </c>
      <c r="H1490" s="116"/>
      <c r="I1490" s="116"/>
      <c r="L1490" s="170">
        <v>44197</v>
      </c>
      <c r="M1490" s="116">
        <v>496.6</v>
      </c>
      <c r="N1490" s="116">
        <v>510.6</v>
      </c>
      <c r="O1490" s="116">
        <v>491.15</v>
      </c>
      <c r="P1490" s="116">
        <v>491.15</v>
      </c>
      <c r="Q1490" s="116">
        <v>496.6</v>
      </c>
      <c r="R1490">
        <v>370947</v>
      </c>
    </row>
    <row r="1491" spans="1:18" x14ac:dyDescent="0.25">
      <c r="A1491" s="170">
        <v>44201</v>
      </c>
      <c r="B1491" s="116">
        <v>6.4620181568198003</v>
      </c>
      <c r="C1491" s="116">
        <v>6.3123464127464004</v>
      </c>
      <c r="D1491" s="116">
        <v>5.7057402965547297</v>
      </c>
      <c r="E1491" s="116">
        <v>5.9076783639553501</v>
      </c>
      <c r="F1491" s="116">
        <v>398.55</v>
      </c>
      <c r="G1491">
        <v>21437</v>
      </c>
      <c r="H1491" s="116"/>
      <c r="I1491" s="116"/>
      <c r="L1491" s="170">
        <v>44200</v>
      </c>
      <c r="M1491" s="116">
        <v>492.6</v>
      </c>
      <c r="N1491" s="116">
        <v>504.85</v>
      </c>
      <c r="O1491" s="116">
        <v>489.5</v>
      </c>
      <c r="P1491" s="116">
        <v>501.95</v>
      </c>
      <c r="Q1491" s="116">
        <v>492.6</v>
      </c>
      <c r="R1491">
        <v>320398</v>
      </c>
    </row>
    <row r="1492" spans="1:18" x14ac:dyDescent="0.25">
      <c r="A1492" s="170">
        <v>44202</v>
      </c>
      <c r="B1492" s="116">
        <v>6.5728861153926799</v>
      </c>
      <c r="C1492" s="116">
        <v>6.2703749712866603</v>
      </c>
      <c r="D1492" s="116">
        <v>6.18009677644873</v>
      </c>
      <c r="E1492" s="116">
        <v>6.4129194894517996</v>
      </c>
      <c r="F1492" s="116">
        <v>395.9</v>
      </c>
      <c r="G1492">
        <v>10377</v>
      </c>
      <c r="H1492" s="116"/>
      <c r="I1492" s="116"/>
      <c r="L1492" s="170">
        <v>44201</v>
      </c>
      <c r="M1492" s="116">
        <v>484.65</v>
      </c>
      <c r="N1492" s="116">
        <v>500.65</v>
      </c>
      <c r="O1492" s="116">
        <v>482.4</v>
      </c>
      <c r="P1492" s="116">
        <v>495</v>
      </c>
      <c r="Q1492" s="116">
        <v>484.65</v>
      </c>
      <c r="R1492">
        <v>601869</v>
      </c>
    </row>
    <row r="1493" spans="1:18" x14ac:dyDescent="0.25">
      <c r="A1493" s="170">
        <v>44203</v>
      </c>
      <c r="B1493" s="116">
        <v>6.5507125236781096</v>
      </c>
      <c r="C1493" s="116">
        <v>6.1088245173661599</v>
      </c>
      <c r="D1493" s="116">
        <v>5.7651338457902099</v>
      </c>
      <c r="E1493" s="116">
        <v>6.1927674002856401</v>
      </c>
      <c r="F1493" s="116">
        <v>385.7</v>
      </c>
      <c r="G1493">
        <v>8008</v>
      </c>
      <c r="H1493" s="116"/>
      <c r="I1493" s="116"/>
      <c r="L1493" s="170">
        <v>44202</v>
      </c>
      <c r="M1493" s="116">
        <v>482.7</v>
      </c>
      <c r="N1493" s="116">
        <v>499</v>
      </c>
      <c r="O1493" s="116">
        <v>480.3</v>
      </c>
      <c r="P1493" s="116">
        <v>488.9</v>
      </c>
      <c r="Q1493" s="116">
        <v>482.7</v>
      </c>
      <c r="R1493">
        <v>560531</v>
      </c>
    </row>
    <row r="1494" spans="1:18" x14ac:dyDescent="0.25">
      <c r="A1494" s="170">
        <v>44204</v>
      </c>
      <c r="B1494" s="116">
        <v>6.3036353588585303</v>
      </c>
      <c r="C1494" s="116">
        <v>6.0977377215088797</v>
      </c>
      <c r="D1494" s="116">
        <v>6.0185463225282403</v>
      </c>
      <c r="E1494" s="116">
        <v>6.3036353588585303</v>
      </c>
      <c r="F1494" s="116">
        <v>385</v>
      </c>
      <c r="G1494">
        <v>4339</v>
      </c>
      <c r="H1494" s="116"/>
      <c r="I1494" s="116"/>
      <c r="L1494" s="170">
        <v>44203</v>
      </c>
      <c r="M1494" s="116">
        <v>494.55</v>
      </c>
      <c r="N1494" s="116">
        <v>499</v>
      </c>
      <c r="O1494" s="116">
        <v>483.25</v>
      </c>
      <c r="P1494" s="116">
        <v>485.5</v>
      </c>
      <c r="Q1494" s="116">
        <v>494.55</v>
      </c>
      <c r="R1494">
        <v>581206</v>
      </c>
    </row>
    <row r="1495" spans="1:18" x14ac:dyDescent="0.25">
      <c r="A1495" s="170">
        <v>44207</v>
      </c>
      <c r="B1495" s="116">
        <v>6.3036353588585303</v>
      </c>
      <c r="C1495" s="116">
        <v>6.1341657650399704</v>
      </c>
      <c r="D1495" s="116">
        <v>5.9021349660267104</v>
      </c>
      <c r="E1495" s="116">
        <v>6.3036353588585303</v>
      </c>
      <c r="F1495" s="116">
        <v>387.3</v>
      </c>
      <c r="G1495">
        <v>7444</v>
      </c>
      <c r="H1495" s="116"/>
      <c r="I1495" s="116"/>
      <c r="L1495" s="170">
        <v>44204</v>
      </c>
      <c r="M1495" s="116">
        <v>503.5</v>
      </c>
      <c r="N1495" s="116">
        <v>509.5</v>
      </c>
      <c r="O1495" s="116">
        <v>491.2</v>
      </c>
      <c r="P1495" s="116">
        <v>497.85</v>
      </c>
      <c r="Q1495" s="116">
        <v>503.5</v>
      </c>
      <c r="R1495">
        <v>882576</v>
      </c>
    </row>
    <row r="1496" spans="1:18" x14ac:dyDescent="0.25">
      <c r="A1496" s="170">
        <v>44208</v>
      </c>
      <c r="B1496" s="116">
        <v>6.3226412946138799</v>
      </c>
      <c r="C1496" s="116">
        <v>6.2545366914905296</v>
      </c>
      <c r="D1496" s="116">
        <v>5.9646961712214104</v>
      </c>
      <c r="E1496" s="116">
        <v>5.9646961712214104</v>
      </c>
      <c r="F1496" s="116">
        <v>394.9</v>
      </c>
      <c r="G1496">
        <v>9555</v>
      </c>
      <c r="H1496" s="116"/>
      <c r="I1496" s="116"/>
      <c r="L1496" s="170">
        <v>44207</v>
      </c>
      <c r="M1496" s="116">
        <v>506.2</v>
      </c>
      <c r="N1496" s="116">
        <v>509</v>
      </c>
      <c r="O1496" s="116">
        <v>497.85</v>
      </c>
      <c r="P1496" s="116">
        <v>507.25</v>
      </c>
      <c r="Q1496" s="116">
        <v>506.2</v>
      </c>
      <c r="R1496">
        <v>418468</v>
      </c>
    </row>
    <row r="1497" spans="1:18" x14ac:dyDescent="0.25">
      <c r="A1497" s="170">
        <v>44209</v>
      </c>
      <c r="B1497" s="116">
        <v>6.4145033174314099</v>
      </c>
      <c r="C1497" s="116">
        <v>6.3368957464303897</v>
      </c>
      <c r="D1497" s="116">
        <v>6.1816806044283501</v>
      </c>
      <c r="E1497" s="116">
        <v>6.3353119184507802</v>
      </c>
      <c r="F1497" s="116">
        <v>400.1</v>
      </c>
      <c r="G1497">
        <v>6585</v>
      </c>
      <c r="H1497" s="116"/>
      <c r="I1497" s="116"/>
      <c r="L1497" s="170">
        <v>44208</v>
      </c>
      <c r="M1497" s="116">
        <v>497.6</v>
      </c>
      <c r="N1497" s="116">
        <v>507.1</v>
      </c>
      <c r="O1497" s="116">
        <v>496</v>
      </c>
      <c r="P1497" s="116">
        <v>506.2</v>
      </c>
      <c r="Q1497" s="116">
        <v>497.6</v>
      </c>
      <c r="R1497">
        <v>363157</v>
      </c>
    </row>
    <row r="1498" spans="1:18" x14ac:dyDescent="0.25">
      <c r="A1498" s="170">
        <v>44210</v>
      </c>
      <c r="B1498" s="116">
        <v>6.3986650376352898</v>
      </c>
      <c r="C1498" s="116">
        <v>6.2735426272458801</v>
      </c>
      <c r="D1498" s="116">
        <v>6.0977377215088797</v>
      </c>
      <c r="E1498" s="116">
        <v>6.2561205194701399</v>
      </c>
      <c r="F1498" s="116">
        <v>396.1</v>
      </c>
      <c r="G1498">
        <v>6088</v>
      </c>
      <c r="H1498" s="116"/>
      <c r="I1498" s="116"/>
      <c r="L1498" s="170">
        <v>44209</v>
      </c>
      <c r="M1498" s="116">
        <v>496</v>
      </c>
      <c r="N1498" s="116">
        <v>503.4</v>
      </c>
      <c r="O1498" s="116">
        <v>481</v>
      </c>
      <c r="P1498" s="116">
        <v>500</v>
      </c>
      <c r="Q1498" s="116">
        <v>496</v>
      </c>
      <c r="R1498">
        <v>603139</v>
      </c>
    </row>
    <row r="1499" spans="1:18" x14ac:dyDescent="0.25">
      <c r="A1499" s="170">
        <v>44211</v>
      </c>
      <c r="B1499" s="116">
        <v>6.3194736386546504</v>
      </c>
      <c r="C1499" s="116">
        <v>6.2149409920002103</v>
      </c>
      <c r="D1499" s="116">
        <v>6.1769291204895103</v>
      </c>
      <c r="E1499" s="116">
        <v>6.1943512282652504</v>
      </c>
      <c r="F1499" s="116">
        <v>392.4</v>
      </c>
      <c r="G1499">
        <v>4098</v>
      </c>
      <c r="H1499" s="116"/>
      <c r="I1499" s="116"/>
      <c r="L1499" s="170">
        <v>44210</v>
      </c>
      <c r="M1499" s="116">
        <v>499.95</v>
      </c>
      <c r="N1499" s="116">
        <v>506.55</v>
      </c>
      <c r="O1499" s="116">
        <v>492.15</v>
      </c>
      <c r="P1499" s="116">
        <v>492.15</v>
      </c>
      <c r="Q1499" s="116">
        <v>499.95</v>
      </c>
      <c r="R1499">
        <v>501092</v>
      </c>
    </row>
    <row r="1500" spans="1:18" x14ac:dyDescent="0.25">
      <c r="A1500" s="170">
        <v>44214</v>
      </c>
      <c r="B1500" s="116">
        <v>6.4065841775333503</v>
      </c>
      <c r="C1500" s="116">
        <v>6.0628935059574003</v>
      </c>
      <c r="D1500" s="116">
        <v>5.9868697629359904</v>
      </c>
      <c r="E1500" s="116">
        <v>6.2386984116943998</v>
      </c>
      <c r="F1500" s="116">
        <v>382.8</v>
      </c>
      <c r="G1500">
        <v>3341</v>
      </c>
      <c r="H1500" s="116"/>
      <c r="I1500" s="116"/>
      <c r="L1500" s="170">
        <v>44211</v>
      </c>
      <c r="M1500" s="116">
        <v>499.5</v>
      </c>
      <c r="N1500" s="116">
        <v>505.55</v>
      </c>
      <c r="O1500" s="116">
        <v>485.2</v>
      </c>
      <c r="P1500" s="116">
        <v>502.3</v>
      </c>
      <c r="Q1500" s="116">
        <v>499.5</v>
      </c>
      <c r="R1500">
        <v>410774</v>
      </c>
    </row>
    <row r="1501" spans="1:18" x14ac:dyDescent="0.25">
      <c r="A1501" s="170">
        <v>44215</v>
      </c>
      <c r="B1501" s="116">
        <v>6.3321442624915498</v>
      </c>
      <c r="C1501" s="116">
        <v>6.2703749712866603</v>
      </c>
      <c r="D1501" s="116">
        <v>6.1143679152948103</v>
      </c>
      <c r="E1501" s="116">
        <v>6.3321442624915498</v>
      </c>
      <c r="F1501" s="116">
        <v>395.9</v>
      </c>
      <c r="G1501">
        <v>5110</v>
      </c>
      <c r="H1501" s="116"/>
      <c r="I1501" s="116"/>
      <c r="L1501" s="170">
        <v>44214</v>
      </c>
      <c r="M1501" s="116">
        <v>500.9</v>
      </c>
      <c r="N1501" s="116">
        <v>502.7</v>
      </c>
      <c r="O1501" s="116">
        <v>490.55</v>
      </c>
      <c r="P1501" s="116">
        <v>498.5</v>
      </c>
      <c r="Q1501" s="116">
        <v>500.9</v>
      </c>
      <c r="R1501">
        <v>346706</v>
      </c>
    </row>
    <row r="1502" spans="1:18" x14ac:dyDescent="0.25">
      <c r="A1502" s="170">
        <v>44216</v>
      </c>
      <c r="B1502" s="116">
        <v>6.5570478355965598</v>
      </c>
      <c r="C1502" s="116">
        <v>6.4414283930848297</v>
      </c>
      <c r="D1502" s="116">
        <v>6.2759183692153</v>
      </c>
      <c r="E1502" s="116">
        <v>6.38282675783916</v>
      </c>
      <c r="F1502" s="116">
        <v>406.7</v>
      </c>
      <c r="G1502">
        <v>13949</v>
      </c>
      <c r="H1502" s="116"/>
      <c r="I1502" s="116"/>
      <c r="L1502" s="170">
        <v>44215</v>
      </c>
      <c r="M1502" s="116">
        <v>519.4</v>
      </c>
      <c r="N1502" s="116">
        <v>529.9</v>
      </c>
      <c r="O1502" s="116">
        <v>496.55</v>
      </c>
      <c r="P1502" s="116">
        <v>501.8</v>
      </c>
      <c r="Q1502" s="116">
        <v>519.4</v>
      </c>
      <c r="R1502">
        <v>1252370</v>
      </c>
    </row>
    <row r="1503" spans="1:18" x14ac:dyDescent="0.25">
      <c r="A1503" s="170">
        <v>44217</v>
      </c>
      <c r="B1503" s="116">
        <v>6.8579751517229699</v>
      </c>
      <c r="C1503" s="116">
        <v>6.6576209123019598</v>
      </c>
      <c r="D1503" s="116">
        <v>6.50953299620818</v>
      </c>
      <c r="E1503" s="116">
        <v>6.5253712760043001</v>
      </c>
      <c r="F1503" s="116">
        <v>420.35</v>
      </c>
      <c r="G1503">
        <v>28619</v>
      </c>
      <c r="H1503" s="116"/>
      <c r="I1503" s="116"/>
      <c r="L1503" s="170">
        <v>44216</v>
      </c>
      <c r="M1503" s="116">
        <v>513.4</v>
      </c>
      <c r="N1503" s="116">
        <v>526.65</v>
      </c>
      <c r="O1503" s="116">
        <v>509.1</v>
      </c>
      <c r="P1503" s="116">
        <v>520</v>
      </c>
      <c r="Q1503" s="116">
        <v>513.4</v>
      </c>
      <c r="R1503">
        <v>462685</v>
      </c>
    </row>
    <row r="1504" spans="1:18" x14ac:dyDescent="0.25">
      <c r="A1504" s="170">
        <v>44218</v>
      </c>
      <c r="B1504" s="116">
        <v>7.0947574346750697</v>
      </c>
      <c r="C1504" s="116">
        <v>6.8017492584467201</v>
      </c>
      <c r="D1504" s="116">
        <v>6.5736780293824904</v>
      </c>
      <c r="E1504" s="116">
        <v>6.9213282709074804</v>
      </c>
      <c r="F1504" s="116">
        <v>429.45</v>
      </c>
      <c r="G1504">
        <v>32259</v>
      </c>
      <c r="H1504" s="116"/>
      <c r="I1504" s="116"/>
      <c r="L1504" s="170">
        <v>44217</v>
      </c>
      <c r="M1504" s="116">
        <v>508.55</v>
      </c>
      <c r="N1504" s="116">
        <v>519.79999999999995</v>
      </c>
      <c r="O1504" s="116">
        <v>506.1</v>
      </c>
      <c r="P1504" s="116">
        <v>516</v>
      </c>
      <c r="Q1504" s="116">
        <v>508.55</v>
      </c>
      <c r="R1504">
        <v>366230</v>
      </c>
    </row>
    <row r="1505" spans="1:18" x14ac:dyDescent="0.25">
      <c r="A1505" s="170">
        <v>44221</v>
      </c>
      <c r="B1505" s="116">
        <v>7.2064173072377598</v>
      </c>
      <c r="C1505" s="116">
        <v>6.8967789372234796</v>
      </c>
      <c r="D1505" s="116">
        <v>6.7946220325384603</v>
      </c>
      <c r="E1505" s="116">
        <v>7.2064173072377598</v>
      </c>
      <c r="F1505" s="116">
        <v>435.45</v>
      </c>
      <c r="G1505">
        <v>30260</v>
      </c>
      <c r="H1505" s="116"/>
      <c r="I1505" s="116"/>
      <c r="L1505" s="170">
        <v>44218</v>
      </c>
      <c r="M1505" s="116">
        <v>491.05</v>
      </c>
      <c r="N1505" s="116">
        <v>508.3</v>
      </c>
      <c r="O1505" s="116">
        <v>482.1</v>
      </c>
      <c r="P1505" s="116">
        <v>506.7</v>
      </c>
      <c r="Q1505" s="116">
        <v>491.05</v>
      </c>
      <c r="R1505">
        <v>359988</v>
      </c>
    </row>
    <row r="1506" spans="1:18" x14ac:dyDescent="0.25">
      <c r="A1506" s="170">
        <v>44223</v>
      </c>
      <c r="B1506" s="116">
        <v>7.1105957144711898</v>
      </c>
      <c r="C1506" s="116">
        <v>6.8500560118249103</v>
      </c>
      <c r="D1506" s="116">
        <v>6.7787837527423296</v>
      </c>
      <c r="E1506" s="116">
        <v>7.1105957144711898</v>
      </c>
      <c r="F1506" s="116">
        <v>432.5</v>
      </c>
      <c r="G1506">
        <v>10552</v>
      </c>
      <c r="H1506" s="116"/>
      <c r="I1506" s="116"/>
      <c r="L1506" s="170">
        <v>44221</v>
      </c>
      <c r="M1506" s="116">
        <v>480.85</v>
      </c>
      <c r="N1506" s="116">
        <v>498</v>
      </c>
      <c r="O1506" s="116">
        <v>476</v>
      </c>
      <c r="P1506" s="116">
        <v>495.8</v>
      </c>
      <c r="Q1506" s="116">
        <v>480.85</v>
      </c>
      <c r="R1506">
        <v>314380</v>
      </c>
    </row>
    <row r="1507" spans="1:18" x14ac:dyDescent="0.25">
      <c r="A1507" s="170">
        <v>44224</v>
      </c>
      <c r="B1507" s="116">
        <v>6.88885979732542</v>
      </c>
      <c r="C1507" s="116">
        <v>6.8072926563753597</v>
      </c>
      <c r="D1507" s="116">
        <v>6.6243605247300996</v>
      </c>
      <c r="E1507" s="116">
        <v>6.6520775143733202</v>
      </c>
      <c r="F1507" s="116">
        <v>429.8</v>
      </c>
      <c r="G1507">
        <v>6963</v>
      </c>
      <c r="H1507" s="116"/>
      <c r="I1507" s="116"/>
      <c r="L1507" s="170">
        <v>44223</v>
      </c>
      <c r="M1507" s="116">
        <v>479.1</v>
      </c>
      <c r="N1507" s="116">
        <v>503</v>
      </c>
      <c r="O1507" s="116">
        <v>455.25</v>
      </c>
      <c r="P1507" s="116">
        <v>479</v>
      </c>
      <c r="Q1507" s="116">
        <v>479.1</v>
      </c>
      <c r="R1507">
        <v>1109995</v>
      </c>
    </row>
    <row r="1508" spans="1:18" x14ac:dyDescent="0.25">
      <c r="A1508" s="170">
        <v>44225</v>
      </c>
      <c r="B1508" s="116">
        <v>6.9363746367137997</v>
      </c>
      <c r="C1508" s="116">
        <v>6.6520775143733202</v>
      </c>
      <c r="D1508" s="116">
        <v>6.5142844801470101</v>
      </c>
      <c r="E1508" s="116">
        <v>6.7312689133539498</v>
      </c>
      <c r="F1508" s="116">
        <v>420</v>
      </c>
      <c r="G1508">
        <v>9946</v>
      </c>
      <c r="H1508" s="116"/>
      <c r="I1508" s="116"/>
      <c r="L1508" s="170">
        <v>44224</v>
      </c>
      <c r="M1508" s="116">
        <v>479.9</v>
      </c>
      <c r="N1508" s="116">
        <v>494.85</v>
      </c>
      <c r="O1508" s="116">
        <v>465.05</v>
      </c>
      <c r="P1508" s="116">
        <v>465.05</v>
      </c>
      <c r="Q1508" s="116">
        <v>479.9</v>
      </c>
      <c r="R1508">
        <v>586392</v>
      </c>
    </row>
    <row r="1509" spans="1:18" x14ac:dyDescent="0.25">
      <c r="A1509" s="170">
        <v>44228</v>
      </c>
      <c r="B1509" s="116">
        <v>6.7946220325384603</v>
      </c>
      <c r="C1509" s="116">
        <v>6.7090953216393796</v>
      </c>
      <c r="D1509" s="116">
        <v>6.6742511060879002</v>
      </c>
      <c r="E1509" s="116">
        <v>6.6742511060879002</v>
      </c>
      <c r="F1509" s="116">
        <v>423.6</v>
      </c>
      <c r="G1509">
        <v>5651</v>
      </c>
      <c r="H1509" s="116"/>
      <c r="I1509" s="116"/>
      <c r="L1509" s="170">
        <v>44225</v>
      </c>
      <c r="M1509" s="116">
        <v>480.3</v>
      </c>
      <c r="N1509" s="116">
        <v>493</v>
      </c>
      <c r="O1509" s="116">
        <v>477.75</v>
      </c>
      <c r="P1509" s="116">
        <v>493</v>
      </c>
      <c r="Q1509" s="116">
        <v>480.3</v>
      </c>
      <c r="R1509">
        <v>1056163</v>
      </c>
    </row>
    <row r="1510" spans="1:18" x14ac:dyDescent="0.25">
      <c r="A1510" s="170">
        <v>44229</v>
      </c>
      <c r="B1510" s="116">
        <v>6.8896517113152198</v>
      </c>
      <c r="C1510" s="116">
        <v>6.7605697309767896</v>
      </c>
      <c r="D1510" s="116">
        <v>6.6837540739655701</v>
      </c>
      <c r="E1510" s="116">
        <v>6.7312689133539498</v>
      </c>
      <c r="F1510" s="116">
        <v>426.85</v>
      </c>
      <c r="G1510">
        <v>6206</v>
      </c>
      <c r="H1510" s="116"/>
      <c r="I1510" s="116"/>
      <c r="L1510" s="170">
        <v>44228</v>
      </c>
      <c r="M1510" s="116">
        <v>484</v>
      </c>
      <c r="N1510" s="116">
        <v>496.95</v>
      </c>
      <c r="O1510" s="116">
        <v>477.25</v>
      </c>
      <c r="P1510" s="116">
        <v>483</v>
      </c>
      <c r="Q1510" s="116">
        <v>484</v>
      </c>
      <c r="R1510">
        <v>692638</v>
      </c>
    </row>
    <row r="1511" spans="1:18" x14ac:dyDescent="0.25">
      <c r="A1511" s="170">
        <v>44230</v>
      </c>
      <c r="B1511" s="116">
        <v>7.0274447455415299</v>
      </c>
      <c r="C1511" s="116">
        <v>6.7328527413335699</v>
      </c>
      <c r="D1511" s="116">
        <v>6.5427933837800403</v>
      </c>
      <c r="E1511" s="116">
        <v>7.0274447455415299</v>
      </c>
      <c r="F1511" s="116">
        <v>425.1</v>
      </c>
      <c r="G1511">
        <v>10452</v>
      </c>
      <c r="H1511" s="116"/>
      <c r="I1511" s="116"/>
      <c r="L1511" s="170">
        <v>44229</v>
      </c>
      <c r="M1511" s="116">
        <v>489.4</v>
      </c>
      <c r="N1511" s="116">
        <v>493.4</v>
      </c>
      <c r="O1511" s="116">
        <v>485</v>
      </c>
      <c r="P1511" s="116">
        <v>485.05</v>
      </c>
      <c r="Q1511" s="116">
        <v>489.4</v>
      </c>
      <c r="R1511">
        <v>662167</v>
      </c>
    </row>
    <row r="1512" spans="1:18" x14ac:dyDescent="0.25">
      <c r="A1512" s="170">
        <v>44231</v>
      </c>
      <c r="B1512" s="116">
        <v>6.8025411724365199</v>
      </c>
      <c r="C1512" s="116">
        <v>6.6306958366485498</v>
      </c>
      <c r="D1512" s="116">
        <v>6.5728861153926799</v>
      </c>
      <c r="E1512" s="116">
        <v>6.8025411724365199</v>
      </c>
      <c r="F1512" s="116">
        <v>418.65</v>
      </c>
      <c r="G1512">
        <v>5936</v>
      </c>
      <c r="H1512" s="116"/>
      <c r="I1512" s="116"/>
      <c r="L1512" s="170">
        <v>44230</v>
      </c>
      <c r="M1512" s="116">
        <v>491.5</v>
      </c>
      <c r="N1512" s="116">
        <v>498</v>
      </c>
      <c r="O1512" s="116">
        <v>488.5</v>
      </c>
      <c r="P1512" s="116">
        <v>492.8</v>
      </c>
      <c r="Q1512" s="116">
        <v>491.5</v>
      </c>
      <c r="R1512">
        <v>337331</v>
      </c>
    </row>
    <row r="1513" spans="1:18" x14ac:dyDescent="0.25">
      <c r="A1513" s="170">
        <v>44232</v>
      </c>
      <c r="B1513" s="116">
        <v>6.6995923537616999</v>
      </c>
      <c r="C1513" s="116">
        <v>6.3329361764813603</v>
      </c>
      <c r="D1513" s="116">
        <v>6.1135760013049998</v>
      </c>
      <c r="E1513" s="116">
        <v>6.5760537713519103</v>
      </c>
      <c r="F1513" s="116">
        <v>399.85</v>
      </c>
      <c r="G1513">
        <v>8854</v>
      </c>
      <c r="H1513" s="116"/>
      <c r="I1513" s="116"/>
      <c r="L1513" s="170">
        <v>44231</v>
      </c>
      <c r="M1513" s="116">
        <v>505.2</v>
      </c>
      <c r="N1513" s="116">
        <v>507.9</v>
      </c>
      <c r="O1513" s="116">
        <v>490</v>
      </c>
      <c r="P1513" s="116">
        <v>493</v>
      </c>
      <c r="Q1513" s="116">
        <v>505.2</v>
      </c>
      <c r="R1513">
        <v>457148</v>
      </c>
    </row>
    <row r="1514" spans="1:18" x14ac:dyDescent="0.25">
      <c r="A1514" s="170">
        <v>44235</v>
      </c>
      <c r="B1514" s="116">
        <v>6.5887243951888097</v>
      </c>
      <c r="C1514" s="116">
        <v>6.2679992293172404</v>
      </c>
      <c r="D1514" s="116">
        <v>6.1983107982142798</v>
      </c>
      <c r="E1514" s="116">
        <v>6.5728861153926799</v>
      </c>
      <c r="F1514" s="116">
        <v>395.75</v>
      </c>
      <c r="G1514">
        <v>5073</v>
      </c>
      <c r="H1514" s="116"/>
      <c r="I1514" s="116"/>
      <c r="L1514" s="170">
        <v>44232</v>
      </c>
      <c r="M1514" s="116">
        <v>498.95</v>
      </c>
      <c r="N1514" s="116">
        <v>514.6</v>
      </c>
      <c r="O1514" s="116">
        <v>496</v>
      </c>
      <c r="P1514" s="116">
        <v>507.65</v>
      </c>
      <c r="Q1514" s="116">
        <v>498.95</v>
      </c>
      <c r="R1514">
        <v>506970</v>
      </c>
    </row>
    <row r="1515" spans="1:18" x14ac:dyDescent="0.25">
      <c r="A1515" s="170">
        <v>44236</v>
      </c>
      <c r="B1515" s="116">
        <v>6.5713022874130704</v>
      </c>
      <c r="C1515" s="116">
        <v>6.2307792717963402</v>
      </c>
      <c r="D1515" s="116">
        <v>6.2086056800817602</v>
      </c>
      <c r="E1515" s="116">
        <v>6.5713022874130704</v>
      </c>
      <c r="F1515" s="116">
        <v>393.4</v>
      </c>
      <c r="G1515">
        <v>5776</v>
      </c>
      <c r="H1515" s="116"/>
      <c r="I1515" s="116"/>
      <c r="L1515" s="170">
        <v>44235</v>
      </c>
      <c r="M1515" s="116">
        <v>510.6</v>
      </c>
      <c r="N1515" s="116">
        <v>512.65</v>
      </c>
      <c r="O1515" s="116">
        <v>498.3</v>
      </c>
      <c r="P1515" s="116">
        <v>503.8</v>
      </c>
      <c r="Q1515" s="116">
        <v>510.6</v>
      </c>
      <c r="R1515">
        <v>311619</v>
      </c>
    </row>
    <row r="1516" spans="1:18" x14ac:dyDescent="0.25">
      <c r="A1516" s="170">
        <v>44237</v>
      </c>
      <c r="B1516" s="116">
        <v>6.4113356614721901</v>
      </c>
      <c r="C1516" s="116">
        <v>6.1674261526118297</v>
      </c>
      <c r="D1516" s="116">
        <v>6.1135760013049998</v>
      </c>
      <c r="E1516" s="116">
        <v>6.2482013795720803</v>
      </c>
      <c r="F1516" s="116">
        <v>389.4</v>
      </c>
      <c r="G1516">
        <v>3191</v>
      </c>
      <c r="H1516" s="116"/>
      <c r="I1516" s="116"/>
      <c r="L1516" s="170">
        <v>44236</v>
      </c>
      <c r="M1516" s="116">
        <v>500.55</v>
      </c>
      <c r="N1516" s="116">
        <v>509.8</v>
      </c>
      <c r="O1516" s="116">
        <v>496.6</v>
      </c>
      <c r="P1516" s="116">
        <v>507.1</v>
      </c>
      <c r="Q1516" s="116">
        <v>500.55</v>
      </c>
      <c r="R1516">
        <v>934318</v>
      </c>
    </row>
    <row r="1517" spans="1:18" x14ac:dyDescent="0.25">
      <c r="A1517" s="170">
        <v>44238</v>
      </c>
      <c r="B1517" s="116">
        <v>6.3970812096556697</v>
      </c>
      <c r="C1517" s="116">
        <v>6.05735010802875</v>
      </c>
      <c r="D1517" s="116">
        <v>6.0185463225282403</v>
      </c>
      <c r="E1517" s="116">
        <v>6.3954973816760603</v>
      </c>
      <c r="F1517" s="116">
        <v>382.45</v>
      </c>
      <c r="G1517">
        <v>4790</v>
      </c>
      <c r="H1517" s="116"/>
      <c r="I1517" s="116"/>
      <c r="L1517" s="170">
        <v>44237</v>
      </c>
      <c r="M1517" s="116">
        <v>491</v>
      </c>
      <c r="N1517" s="116">
        <v>504.1</v>
      </c>
      <c r="O1517" s="116">
        <v>486.2</v>
      </c>
      <c r="P1517" s="116">
        <v>501</v>
      </c>
      <c r="Q1517" s="116">
        <v>491</v>
      </c>
      <c r="R1517">
        <v>177453</v>
      </c>
    </row>
    <row r="1518" spans="1:18" x14ac:dyDescent="0.25">
      <c r="A1518" s="170">
        <v>44239</v>
      </c>
      <c r="B1518" s="116">
        <v>6.3075949288075597</v>
      </c>
      <c r="C1518" s="116">
        <v>6.0890266676210096</v>
      </c>
      <c r="D1518" s="116">
        <v>5.8680826644650299</v>
      </c>
      <c r="E1518" s="116">
        <v>6.05735010802875</v>
      </c>
      <c r="F1518" s="116">
        <v>384.45</v>
      </c>
      <c r="G1518">
        <v>7716</v>
      </c>
      <c r="H1518" s="116"/>
      <c r="I1518" s="116"/>
      <c r="L1518" s="170">
        <v>44238</v>
      </c>
      <c r="M1518" s="116">
        <v>489.3</v>
      </c>
      <c r="N1518" s="116">
        <v>502.4</v>
      </c>
      <c r="O1518" s="116">
        <v>485</v>
      </c>
      <c r="P1518" s="116">
        <v>490</v>
      </c>
      <c r="Q1518" s="116">
        <v>489.3</v>
      </c>
      <c r="R1518">
        <v>196321</v>
      </c>
    </row>
    <row r="1519" spans="1:18" x14ac:dyDescent="0.25">
      <c r="A1519" s="170">
        <v>44242</v>
      </c>
      <c r="B1519" s="116">
        <v>6.4936947164120502</v>
      </c>
      <c r="C1519" s="116">
        <v>6.3931216397066404</v>
      </c>
      <c r="D1519" s="116">
        <v>6.1238708831724802</v>
      </c>
      <c r="E1519" s="116">
        <v>6.3337280904711699</v>
      </c>
      <c r="F1519" s="116">
        <v>403.65</v>
      </c>
      <c r="G1519">
        <v>10800</v>
      </c>
      <c r="H1519" s="116"/>
      <c r="I1519" s="116"/>
      <c r="L1519" s="170">
        <v>44239</v>
      </c>
      <c r="M1519" s="116">
        <v>517.5</v>
      </c>
      <c r="N1519" s="116">
        <v>520</v>
      </c>
      <c r="O1519" s="116">
        <v>490.1</v>
      </c>
      <c r="P1519" s="116">
        <v>491</v>
      </c>
      <c r="Q1519" s="116">
        <v>517.5</v>
      </c>
      <c r="R1519">
        <v>1039146</v>
      </c>
    </row>
    <row r="1520" spans="1:18" x14ac:dyDescent="0.25">
      <c r="A1520" s="170">
        <v>44243</v>
      </c>
      <c r="B1520" s="116">
        <v>6.4936947164120502</v>
      </c>
      <c r="C1520" s="116">
        <v>6.2545366914905296</v>
      </c>
      <c r="D1520" s="116">
        <v>6.1294142811011296</v>
      </c>
      <c r="E1520" s="116">
        <v>6.4936947164120502</v>
      </c>
      <c r="F1520" s="116">
        <v>394.9</v>
      </c>
      <c r="G1520">
        <v>3831</v>
      </c>
      <c r="H1520" s="116"/>
      <c r="I1520" s="116"/>
      <c r="L1520" s="170">
        <v>44242</v>
      </c>
      <c r="M1520" s="116">
        <v>508.95</v>
      </c>
      <c r="N1520" s="116">
        <v>527.9</v>
      </c>
      <c r="O1520" s="116">
        <v>506</v>
      </c>
      <c r="P1520" s="116">
        <v>521.29999999999995</v>
      </c>
      <c r="Q1520" s="116">
        <v>508.95</v>
      </c>
      <c r="R1520">
        <v>829521</v>
      </c>
    </row>
    <row r="1521" spans="1:18" x14ac:dyDescent="0.25">
      <c r="A1521" s="170">
        <v>44244</v>
      </c>
      <c r="B1521" s="116">
        <v>6.4921108884324399</v>
      </c>
      <c r="C1521" s="116">
        <v>6.3852024998085799</v>
      </c>
      <c r="D1521" s="116">
        <v>6.1452525608972604</v>
      </c>
      <c r="E1521" s="116">
        <v>6.18009677644873</v>
      </c>
      <c r="F1521" s="116">
        <v>403.15</v>
      </c>
      <c r="G1521">
        <v>13390</v>
      </c>
      <c r="H1521" s="116"/>
      <c r="I1521" s="116"/>
      <c r="L1521" s="170">
        <v>44243</v>
      </c>
      <c r="M1521" s="116">
        <v>512.70000000000005</v>
      </c>
      <c r="N1521" s="116">
        <v>525</v>
      </c>
      <c r="O1521" s="116">
        <v>510.15</v>
      </c>
      <c r="P1521" s="116">
        <v>511.9</v>
      </c>
      <c r="Q1521" s="116">
        <v>512.70000000000005</v>
      </c>
      <c r="R1521">
        <v>844561</v>
      </c>
    </row>
    <row r="1522" spans="1:18" x14ac:dyDescent="0.25">
      <c r="A1522" s="170">
        <v>44245</v>
      </c>
      <c r="B1522" s="116">
        <v>6.9632997123672098</v>
      </c>
      <c r="C1522" s="116">
        <v>6.7312689133539498</v>
      </c>
      <c r="D1522" s="116">
        <v>6.2569124334599504</v>
      </c>
      <c r="E1522" s="116">
        <v>6.3852024998085799</v>
      </c>
      <c r="F1522" s="116">
        <v>425</v>
      </c>
      <c r="G1522">
        <v>32479</v>
      </c>
      <c r="H1522" s="116"/>
      <c r="I1522" s="116"/>
      <c r="L1522" s="170">
        <v>44244</v>
      </c>
      <c r="M1522" s="116">
        <v>506.6</v>
      </c>
      <c r="N1522" s="116">
        <v>520</v>
      </c>
      <c r="O1522" s="116">
        <v>501.1</v>
      </c>
      <c r="P1522" s="116">
        <v>513</v>
      </c>
      <c r="Q1522" s="116">
        <v>506.6</v>
      </c>
      <c r="R1522">
        <v>525160</v>
      </c>
    </row>
    <row r="1523" spans="1:18" x14ac:dyDescent="0.25">
      <c r="A1523" s="170">
        <v>44246</v>
      </c>
      <c r="B1523" s="116">
        <v>6.8690619475802599</v>
      </c>
      <c r="C1523" s="116">
        <v>6.8017492584467201</v>
      </c>
      <c r="D1523" s="116">
        <v>6.5293308459533304</v>
      </c>
      <c r="E1523" s="116">
        <v>6.8690619475802599</v>
      </c>
      <c r="F1523" s="116">
        <v>429.45</v>
      </c>
      <c r="G1523">
        <v>23804</v>
      </c>
      <c r="H1523" s="116"/>
      <c r="I1523" s="116"/>
      <c r="L1523" s="170">
        <v>44245</v>
      </c>
      <c r="M1523" s="116">
        <v>511.1</v>
      </c>
      <c r="N1523" s="116">
        <v>534.4</v>
      </c>
      <c r="O1523" s="116">
        <v>508.9</v>
      </c>
      <c r="P1523" s="116">
        <v>509.2</v>
      </c>
      <c r="Q1523" s="116">
        <v>511.1</v>
      </c>
      <c r="R1523">
        <v>1151893</v>
      </c>
    </row>
    <row r="1524" spans="1:18" x14ac:dyDescent="0.25">
      <c r="A1524" s="170">
        <v>44249</v>
      </c>
      <c r="B1524" s="116">
        <v>6.8896517113152198</v>
      </c>
      <c r="C1524" s="116">
        <v>6.5491286956984904</v>
      </c>
      <c r="D1524" s="116">
        <v>6.5016138563101098</v>
      </c>
      <c r="E1524" s="116">
        <v>6.8017492584467201</v>
      </c>
      <c r="F1524" s="116">
        <v>413.5</v>
      </c>
      <c r="G1524">
        <v>6643</v>
      </c>
      <c r="H1524" s="116"/>
      <c r="I1524" s="116"/>
      <c r="L1524" s="170">
        <v>44246</v>
      </c>
      <c r="M1524" s="116">
        <v>515.5</v>
      </c>
      <c r="N1524" s="116">
        <v>522.54999999999995</v>
      </c>
      <c r="O1524" s="116">
        <v>506.35</v>
      </c>
      <c r="P1524" s="116">
        <v>512</v>
      </c>
      <c r="Q1524" s="116">
        <v>515.5</v>
      </c>
      <c r="R1524">
        <v>619454</v>
      </c>
    </row>
    <row r="1525" spans="1:18" x14ac:dyDescent="0.25">
      <c r="A1525" s="170">
        <v>44250</v>
      </c>
      <c r="B1525" s="116">
        <v>6.8722296035394796</v>
      </c>
      <c r="C1525" s="116">
        <v>6.79303820455885</v>
      </c>
      <c r="D1525" s="116">
        <v>6.5016138563101098</v>
      </c>
      <c r="E1525" s="116">
        <v>6.6520775143733202</v>
      </c>
      <c r="F1525" s="116">
        <v>428.9</v>
      </c>
      <c r="G1525">
        <v>4548</v>
      </c>
      <c r="H1525" s="116"/>
      <c r="I1525" s="116"/>
      <c r="L1525" s="170">
        <v>44249</v>
      </c>
      <c r="M1525" s="116">
        <v>499.5</v>
      </c>
      <c r="N1525" s="116">
        <v>513.85</v>
      </c>
      <c r="O1525" s="116">
        <v>492.15</v>
      </c>
      <c r="P1525" s="116">
        <v>510.2</v>
      </c>
      <c r="Q1525" s="116">
        <v>499.5</v>
      </c>
      <c r="R1525">
        <v>330175</v>
      </c>
    </row>
    <row r="1526" spans="1:18" x14ac:dyDescent="0.25">
      <c r="A1526" s="170">
        <v>44251</v>
      </c>
      <c r="B1526" s="116">
        <v>6.8255066781409104</v>
      </c>
      <c r="C1526" s="116">
        <v>6.6370311485669999</v>
      </c>
      <c r="D1526" s="116">
        <v>6.5728861153926799</v>
      </c>
      <c r="E1526" s="116">
        <v>6.7914543765792397</v>
      </c>
      <c r="F1526" s="116">
        <v>419.05</v>
      </c>
      <c r="G1526">
        <v>3049</v>
      </c>
      <c r="H1526" s="116"/>
      <c r="I1526" s="116"/>
      <c r="L1526" s="170">
        <v>44250</v>
      </c>
      <c r="M1526" s="116">
        <v>485.85</v>
      </c>
      <c r="N1526" s="116">
        <v>503.85</v>
      </c>
      <c r="O1526" s="116">
        <v>484.3</v>
      </c>
      <c r="P1526" s="116">
        <v>500</v>
      </c>
      <c r="Q1526" s="116">
        <v>485.85</v>
      </c>
      <c r="R1526">
        <v>444424</v>
      </c>
    </row>
    <row r="1527" spans="1:18" x14ac:dyDescent="0.25">
      <c r="A1527" s="170">
        <v>44252</v>
      </c>
      <c r="B1527" s="116">
        <v>6.8421368719268401</v>
      </c>
      <c r="C1527" s="116">
        <v>6.6409907185160302</v>
      </c>
      <c r="D1527" s="116">
        <v>6.5895163091786202</v>
      </c>
      <c r="E1527" s="116">
        <v>6.6362392345771903</v>
      </c>
      <c r="F1527" s="116">
        <v>419.3</v>
      </c>
      <c r="G1527">
        <v>6315</v>
      </c>
      <c r="H1527" s="116"/>
      <c r="I1527" s="116"/>
      <c r="L1527" s="170">
        <v>44251</v>
      </c>
      <c r="M1527" s="116">
        <v>496.05</v>
      </c>
      <c r="N1527" s="116">
        <v>500</v>
      </c>
      <c r="O1527" s="116">
        <v>486</v>
      </c>
      <c r="P1527" s="116">
        <v>486</v>
      </c>
      <c r="Q1527" s="116">
        <v>496.05</v>
      </c>
      <c r="R1527">
        <v>172348</v>
      </c>
    </row>
    <row r="1528" spans="1:18" x14ac:dyDescent="0.25">
      <c r="A1528" s="170">
        <v>44253</v>
      </c>
      <c r="B1528" s="116">
        <v>6.7312689133539498</v>
      </c>
      <c r="C1528" s="116">
        <v>6.3194736386546504</v>
      </c>
      <c r="D1528" s="116">
        <v>6.2679992293172404</v>
      </c>
      <c r="E1528" s="116">
        <v>6.7312689133539498</v>
      </c>
      <c r="F1528" s="116">
        <v>399</v>
      </c>
      <c r="G1528">
        <v>10283</v>
      </c>
      <c r="H1528" s="116"/>
      <c r="I1528" s="116"/>
      <c r="L1528" s="170">
        <v>44252</v>
      </c>
      <c r="M1528" s="116">
        <v>489.3</v>
      </c>
      <c r="N1528" s="116">
        <v>513.25</v>
      </c>
      <c r="O1528" s="116">
        <v>488.35</v>
      </c>
      <c r="P1528" s="116">
        <v>496.15</v>
      </c>
      <c r="Q1528" s="116">
        <v>489.3</v>
      </c>
      <c r="R1528">
        <v>599512</v>
      </c>
    </row>
    <row r="1529" spans="1:18" x14ac:dyDescent="0.25">
      <c r="A1529" s="170">
        <v>44256</v>
      </c>
      <c r="B1529" s="116">
        <v>6.5253712760043001</v>
      </c>
      <c r="C1529" s="116">
        <v>6.4073760915231599</v>
      </c>
      <c r="D1529" s="116">
        <v>6.3036353588585303</v>
      </c>
      <c r="E1529" s="116">
        <v>6.4929028024222397</v>
      </c>
      <c r="F1529" s="116">
        <v>404.55</v>
      </c>
      <c r="G1529">
        <v>4737</v>
      </c>
      <c r="H1529" s="116"/>
      <c r="I1529" s="116"/>
      <c r="L1529" s="170">
        <v>44253</v>
      </c>
      <c r="M1529" s="116">
        <v>478.3</v>
      </c>
      <c r="N1529" s="116">
        <v>489.45</v>
      </c>
      <c r="O1529" s="116">
        <v>474.75</v>
      </c>
      <c r="P1529" s="116">
        <v>487.5</v>
      </c>
      <c r="Q1529" s="116">
        <v>478.3</v>
      </c>
      <c r="R1529">
        <v>434459</v>
      </c>
    </row>
    <row r="1530" spans="1:18" x14ac:dyDescent="0.25">
      <c r="A1530" s="170">
        <v>44257</v>
      </c>
      <c r="B1530" s="116">
        <v>6.54120955580043</v>
      </c>
      <c r="C1530" s="116">
        <v>6.3566935961755497</v>
      </c>
      <c r="D1530" s="116">
        <v>6.3036353588585303</v>
      </c>
      <c r="E1530" s="116">
        <v>6.3923297257168397</v>
      </c>
      <c r="F1530" s="116">
        <v>401.35</v>
      </c>
      <c r="G1530">
        <v>5377</v>
      </c>
      <c r="H1530" s="116"/>
      <c r="I1530" s="116"/>
      <c r="L1530" s="170">
        <v>44256</v>
      </c>
      <c r="M1530" s="116">
        <v>474.7</v>
      </c>
      <c r="N1530" s="116">
        <v>490</v>
      </c>
      <c r="O1530" s="116">
        <v>473.5</v>
      </c>
      <c r="P1530" s="116">
        <v>483.4</v>
      </c>
      <c r="Q1530" s="116">
        <v>474.7</v>
      </c>
      <c r="R1530">
        <v>266573</v>
      </c>
    </row>
    <row r="1531" spans="1:18" x14ac:dyDescent="0.25">
      <c r="A1531" s="170">
        <v>44258</v>
      </c>
      <c r="B1531" s="116">
        <v>6.54120955580043</v>
      </c>
      <c r="C1531" s="116">
        <v>6.4145033174314099</v>
      </c>
      <c r="D1531" s="116">
        <v>6.3115544987565899</v>
      </c>
      <c r="E1531" s="116">
        <v>6.3669884780430301</v>
      </c>
      <c r="F1531" s="116">
        <v>405</v>
      </c>
      <c r="G1531">
        <v>9296</v>
      </c>
      <c r="H1531" s="116"/>
      <c r="I1531" s="116"/>
      <c r="L1531" s="170">
        <v>44257</v>
      </c>
      <c r="M1531" s="116">
        <v>469.1</v>
      </c>
      <c r="N1531" s="116">
        <v>487.6</v>
      </c>
      <c r="O1531" s="116">
        <v>467.95</v>
      </c>
      <c r="P1531" s="116">
        <v>478.9</v>
      </c>
      <c r="Q1531" s="116">
        <v>469.1</v>
      </c>
      <c r="R1531">
        <v>418073</v>
      </c>
    </row>
    <row r="1532" spans="1:18" x14ac:dyDescent="0.25">
      <c r="A1532" s="170">
        <v>44259</v>
      </c>
      <c r="B1532" s="116">
        <v>6.7787837527423296</v>
      </c>
      <c r="C1532" s="116">
        <v>6.4398445651052203</v>
      </c>
      <c r="D1532" s="116">
        <v>6.3749076179411004</v>
      </c>
      <c r="E1532" s="116">
        <v>6.7787837527423296</v>
      </c>
      <c r="F1532" s="116">
        <v>406.6</v>
      </c>
      <c r="G1532">
        <v>10551</v>
      </c>
      <c r="H1532" s="116"/>
      <c r="I1532" s="116"/>
      <c r="L1532" s="170">
        <v>44258</v>
      </c>
      <c r="M1532" s="116">
        <v>486</v>
      </c>
      <c r="N1532" s="116">
        <v>490</v>
      </c>
      <c r="O1532" s="116">
        <v>471.15</v>
      </c>
      <c r="P1532" s="116">
        <v>474</v>
      </c>
      <c r="Q1532" s="116">
        <v>486</v>
      </c>
      <c r="R1532">
        <v>830146</v>
      </c>
    </row>
    <row r="1533" spans="1:18" x14ac:dyDescent="0.25">
      <c r="A1533" s="170">
        <v>44260</v>
      </c>
      <c r="B1533" s="116">
        <v>6.6449502884650604</v>
      </c>
      <c r="C1533" s="116">
        <v>6.3543178542061298</v>
      </c>
      <c r="D1533" s="116">
        <v>6.3353119184507802</v>
      </c>
      <c r="E1533" s="116">
        <v>6.4303415972275397</v>
      </c>
      <c r="F1533" s="116">
        <v>401.2</v>
      </c>
      <c r="G1533">
        <v>8480</v>
      </c>
      <c r="H1533" s="116"/>
      <c r="I1533" s="116"/>
      <c r="L1533" s="170">
        <v>44259</v>
      </c>
      <c r="M1533" s="116">
        <v>505.3</v>
      </c>
      <c r="N1533" s="116">
        <v>512.6</v>
      </c>
      <c r="O1533" s="116">
        <v>486</v>
      </c>
      <c r="P1533" s="116">
        <v>486</v>
      </c>
      <c r="Q1533" s="116">
        <v>505.3</v>
      </c>
      <c r="R1533">
        <v>1238853</v>
      </c>
    </row>
    <row r="1534" spans="1:18" x14ac:dyDescent="0.25">
      <c r="A1534" s="170">
        <v>44263</v>
      </c>
      <c r="B1534" s="116">
        <v>6.4936947164120502</v>
      </c>
      <c r="C1534" s="116">
        <v>6.3978731236454802</v>
      </c>
      <c r="D1534" s="116">
        <v>6.3511501982469101</v>
      </c>
      <c r="E1534" s="116">
        <v>6.4778564366159204</v>
      </c>
      <c r="F1534" s="116">
        <v>403.95</v>
      </c>
      <c r="G1534">
        <v>3580</v>
      </c>
      <c r="H1534" s="116"/>
      <c r="I1534" s="116"/>
      <c r="L1534" s="170">
        <v>44260</v>
      </c>
      <c r="M1534" s="116">
        <v>506.5</v>
      </c>
      <c r="N1534" s="116">
        <v>518</v>
      </c>
      <c r="O1534" s="116">
        <v>495.2</v>
      </c>
      <c r="P1534" s="116">
        <v>506.1</v>
      </c>
      <c r="Q1534" s="116">
        <v>506.5</v>
      </c>
      <c r="R1534">
        <v>615806</v>
      </c>
    </row>
    <row r="1535" spans="1:18" x14ac:dyDescent="0.25">
      <c r="A1535" s="170">
        <v>44264</v>
      </c>
      <c r="B1535" s="116">
        <v>6.4849836625241801</v>
      </c>
      <c r="C1535" s="116">
        <v>6.41608714541103</v>
      </c>
      <c r="D1535" s="116">
        <v>6.3511501982469101</v>
      </c>
      <c r="E1535" s="116">
        <v>6.3511501982469101</v>
      </c>
      <c r="F1535" s="116">
        <v>405.1</v>
      </c>
      <c r="G1535">
        <v>5022</v>
      </c>
      <c r="H1535" s="116"/>
      <c r="I1535" s="116"/>
      <c r="L1535" s="170">
        <v>44263</v>
      </c>
      <c r="M1535" s="116">
        <v>510.4</v>
      </c>
      <c r="N1535" s="116">
        <v>517.1</v>
      </c>
      <c r="O1535" s="116">
        <v>508</v>
      </c>
      <c r="P1535" s="116">
        <v>515</v>
      </c>
      <c r="Q1535" s="116">
        <v>510.4</v>
      </c>
      <c r="R1535">
        <v>627464</v>
      </c>
    </row>
    <row r="1536" spans="1:18" x14ac:dyDescent="0.25">
      <c r="A1536" s="170">
        <v>44265</v>
      </c>
      <c r="B1536" s="116">
        <v>6.4224224573294801</v>
      </c>
      <c r="C1536" s="116">
        <v>6.2592881754293703</v>
      </c>
      <c r="D1536" s="116">
        <v>6.2513690355313098</v>
      </c>
      <c r="E1536" s="116">
        <v>6.4224224573294801</v>
      </c>
      <c r="F1536" s="116">
        <v>395.2</v>
      </c>
      <c r="G1536">
        <v>8740</v>
      </c>
      <c r="H1536" s="116"/>
      <c r="I1536" s="116"/>
      <c r="L1536" s="170">
        <v>44264</v>
      </c>
      <c r="M1536" s="116">
        <v>540.85</v>
      </c>
      <c r="N1536" s="116">
        <v>545</v>
      </c>
      <c r="O1536" s="116">
        <v>515</v>
      </c>
      <c r="P1536" s="116">
        <v>515</v>
      </c>
      <c r="Q1536" s="116">
        <v>540.85</v>
      </c>
      <c r="R1536">
        <v>2777682</v>
      </c>
    </row>
    <row r="1537" spans="1:18" x14ac:dyDescent="0.25">
      <c r="A1537" s="170">
        <v>44267</v>
      </c>
      <c r="B1537" s="116">
        <v>6.4620181568198003</v>
      </c>
      <c r="C1537" s="116">
        <v>6.3646127360736102</v>
      </c>
      <c r="D1537" s="116">
        <v>6.2561205194701399</v>
      </c>
      <c r="E1537" s="116">
        <v>6.2592881754293703</v>
      </c>
      <c r="F1537" s="116">
        <v>401.85</v>
      </c>
      <c r="G1537">
        <v>6373</v>
      </c>
      <c r="H1537" s="116"/>
      <c r="I1537" s="116"/>
      <c r="L1537" s="170">
        <v>44265</v>
      </c>
      <c r="M1537" s="116">
        <v>562.1</v>
      </c>
      <c r="N1537" s="116">
        <v>573.85</v>
      </c>
      <c r="O1537" s="116">
        <v>536.04999999999995</v>
      </c>
      <c r="P1537" s="116">
        <v>542.15</v>
      </c>
      <c r="Q1537" s="116">
        <v>562.1</v>
      </c>
      <c r="R1537">
        <v>3397677</v>
      </c>
    </row>
    <row r="1538" spans="1:18" x14ac:dyDescent="0.25">
      <c r="A1538" s="170">
        <v>44270</v>
      </c>
      <c r="B1538" s="116">
        <v>6.4952785443916596</v>
      </c>
      <c r="C1538" s="116">
        <v>6.2965081329502697</v>
      </c>
      <c r="D1538" s="116">
        <v>6.2719587992662698</v>
      </c>
      <c r="E1538" s="116">
        <v>6.41608714541103</v>
      </c>
      <c r="F1538" s="116">
        <v>397.55</v>
      </c>
      <c r="G1538">
        <v>6837</v>
      </c>
      <c r="H1538" s="116"/>
      <c r="I1538" s="116"/>
      <c r="L1538" s="170">
        <v>44267</v>
      </c>
      <c r="M1538" s="116">
        <v>596.54999999999995</v>
      </c>
      <c r="N1538" s="116">
        <v>607.70000000000005</v>
      </c>
      <c r="O1538" s="116">
        <v>556</v>
      </c>
      <c r="P1538" s="116">
        <v>556</v>
      </c>
      <c r="Q1538" s="116">
        <v>596.54999999999995</v>
      </c>
      <c r="R1538">
        <v>4009397</v>
      </c>
    </row>
    <row r="1539" spans="1:18" x14ac:dyDescent="0.25">
      <c r="A1539" s="170">
        <v>44271</v>
      </c>
      <c r="B1539" s="116">
        <v>6.4461798770236696</v>
      </c>
      <c r="C1539" s="116">
        <v>6.3812429298595497</v>
      </c>
      <c r="D1539" s="116">
        <v>6.3511501982469101</v>
      </c>
      <c r="E1539" s="116">
        <v>6.4097518334925798</v>
      </c>
      <c r="F1539" s="116">
        <v>402.9</v>
      </c>
      <c r="G1539">
        <v>3113</v>
      </c>
      <c r="H1539" s="116"/>
      <c r="I1539" s="116"/>
      <c r="L1539" s="170">
        <v>44270</v>
      </c>
      <c r="M1539" s="116">
        <v>576.54999999999995</v>
      </c>
      <c r="N1539" s="116">
        <v>601.35</v>
      </c>
      <c r="O1539" s="116">
        <v>570.5</v>
      </c>
      <c r="P1539" s="116">
        <v>600.75</v>
      </c>
      <c r="Q1539" s="116">
        <v>576.54999999999995</v>
      </c>
      <c r="R1539">
        <v>936425</v>
      </c>
    </row>
    <row r="1540" spans="1:18" x14ac:dyDescent="0.25">
      <c r="A1540" s="170">
        <v>44272</v>
      </c>
      <c r="B1540" s="116">
        <v>6.4137114034416101</v>
      </c>
      <c r="C1540" s="116">
        <v>6.3194736386546504</v>
      </c>
      <c r="D1540" s="116">
        <v>6.26483157335801</v>
      </c>
      <c r="E1540" s="116">
        <v>6.3685723060226502</v>
      </c>
      <c r="F1540" s="116">
        <v>399</v>
      </c>
      <c r="G1540">
        <v>5716</v>
      </c>
      <c r="H1540" s="116"/>
      <c r="I1540" s="116"/>
      <c r="L1540" s="170">
        <v>44271</v>
      </c>
      <c r="M1540" s="116">
        <v>566.70000000000005</v>
      </c>
      <c r="N1540" s="116">
        <v>596.9</v>
      </c>
      <c r="O1540" s="116">
        <v>563.6</v>
      </c>
      <c r="P1540" s="116">
        <v>576.54999999999995</v>
      </c>
      <c r="Q1540" s="116">
        <v>566.70000000000005</v>
      </c>
      <c r="R1540">
        <v>693433</v>
      </c>
    </row>
    <row r="1541" spans="1:18" x14ac:dyDescent="0.25">
      <c r="A1541" s="170">
        <v>44273</v>
      </c>
      <c r="B1541" s="116">
        <v>6.3353119184507802</v>
      </c>
      <c r="C1541" s="116">
        <v>6.1436687329176403</v>
      </c>
      <c r="D1541" s="116">
        <v>6.0977377215088797</v>
      </c>
      <c r="E1541" s="116">
        <v>6.3353119184507802</v>
      </c>
      <c r="F1541" s="116">
        <v>387.9</v>
      </c>
      <c r="G1541">
        <v>10962</v>
      </c>
      <c r="H1541" s="116"/>
      <c r="I1541" s="116"/>
      <c r="L1541" s="170">
        <v>44272</v>
      </c>
      <c r="M1541" s="116">
        <v>575.29999999999995</v>
      </c>
      <c r="N1541" s="116">
        <v>584.79999999999995</v>
      </c>
      <c r="O1541" s="116">
        <v>552</v>
      </c>
      <c r="P1541" s="116">
        <v>568</v>
      </c>
      <c r="Q1541" s="116">
        <v>575.29999999999995</v>
      </c>
      <c r="R1541">
        <v>662471</v>
      </c>
    </row>
    <row r="1542" spans="1:18" x14ac:dyDescent="0.25">
      <c r="A1542" s="170">
        <v>44274</v>
      </c>
      <c r="B1542" s="116">
        <v>6.3353119184507802</v>
      </c>
      <c r="C1542" s="116">
        <v>6.32026555264446</v>
      </c>
      <c r="D1542" s="116">
        <v>5.8601635245669703</v>
      </c>
      <c r="E1542" s="116">
        <v>6.0977377215088797</v>
      </c>
      <c r="F1542" s="116">
        <v>399.05</v>
      </c>
      <c r="G1542">
        <v>4468</v>
      </c>
      <c r="H1542" s="116"/>
      <c r="I1542" s="116"/>
      <c r="L1542" s="170">
        <v>44273</v>
      </c>
      <c r="M1542" s="116">
        <v>568.5</v>
      </c>
      <c r="N1542" s="116">
        <v>582.25</v>
      </c>
      <c r="O1542" s="116">
        <v>558.6</v>
      </c>
      <c r="P1542" s="116">
        <v>581</v>
      </c>
      <c r="Q1542" s="116">
        <v>568.5</v>
      </c>
      <c r="R1542">
        <v>893766</v>
      </c>
    </row>
    <row r="1543" spans="1:18" x14ac:dyDescent="0.25">
      <c r="A1543" s="170">
        <v>44277</v>
      </c>
      <c r="B1543" s="116">
        <v>6.2877970790623996</v>
      </c>
      <c r="C1543" s="116">
        <v>6.1705938085710601</v>
      </c>
      <c r="D1543" s="116">
        <v>6.09932154948849</v>
      </c>
      <c r="E1543" s="116">
        <v>6.2814617671439503</v>
      </c>
      <c r="F1543" s="116">
        <v>389.6</v>
      </c>
      <c r="G1543">
        <v>9672</v>
      </c>
      <c r="H1543" s="116"/>
      <c r="I1543" s="116"/>
      <c r="L1543" s="170">
        <v>44274</v>
      </c>
      <c r="M1543" s="116">
        <v>578.54999999999995</v>
      </c>
      <c r="N1543" s="116">
        <v>587.85</v>
      </c>
      <c r="O1543" s="116">
        <v>557</v>
      </c>
      <c r="P1543" s="116">
        <v>560</v>
      </c>
      <c r="Q1543" s="116">
        <v>578.54999999999995</v>
      </c>
      <c r="R1543">
        <v>755387</v>
      </c>
    </row>
    <row r="1544" spans="1:18" x14ac:dyDescent="0.25">
      <c r="A1544" s="170">
        <v>44278</v>
      </c>
      <c r="B1544" s="116">
        <v>6.2086056800817602</v>
      </c>
      <c r="C1544" s="116">
        <v>6.13970916296861</v>
      </c>
      <c r="D1544" s="116">
        <v>6.06606116191662</v>
      </c>
      <c r="E1544" s="116">
        <v>6.1183274852438396</v>
      </c>
      <c r="F1544" s="116">
        <v>387.65</v>
      </c>
      <c r="G1544">
        <v>2837</v>
      </c>
      <c r="H1544" s="116"/>
      <c r="I1544" s="116"/>
      <c r="L1544" s="170">
        <v>44277</v>
      </c>
      <c r="M1544" s="116">
        <v>602.4</v>
      </c>
      <c r="N1544" s="116">
        <v>612</v>
      </c>
      <c r="O1544" s="116">
        <v>577.95000000000005</v>
      </c>
      <c r="P1544" s="116">
        <v>580.95000000000005</v>
      </c>
      <c r="Q1544" s="116">
        <v>602.4</v>
      </c>
      <c r="R1544">
        <v>1378357</v>
      </c>
    </row>
    <row r="1545" spans="1:18" x14ac:dyDescent="0.25">
      <c r="A1545" s="170">
        <v>44279</v>
      </c>
      <c r="B1545" s="116">
        <v>6.2482013795720803</v>
      </c>
      <c r="C1545" s="116">
        <v>6.0423037422224297</v>
      </c>
      <c r="D1545" s="116">
        <v>5.9409387515272201</v>
      </c>
      <c r="E1545" s="116">
        <v>6.0818994417127499</v>
      </c>
      <c r="F1545" s="116">
        <v>381.5</v>
      </c>
      <c r="G1545">
        <v>5444</v>
      </c>
      <c r="H1545" s="116"/>
      <c r="I1545" s="116"/>
      <c r="L1545" s="170">
        <v>44278</v>
      </c>
      <c r="M1545" s="116">
        <v>602.65</v>
      </c>
      <c r="N1545" s="116">
        <v>619.79999999999995</v>
      </c>
      <c r="O1545" s="116">
        <v>592.4</v>
      </c>
      <c r="P1545" s="116">
        <v>603.5</v>
      </c>
      <c r="Q1545" s="116">
        <v>602.65</v>
      </c>
      <c r="R1545">
        <v>1200651</v>
      </c>
    </row>
    <row r="1546" spans="1:18" x14ac:dyDescent="0.25">
      <c r="A1546" s="170">
        <v>44280</v>
      </c>
      <c r="B1546" s="116">
        <v>6.0977377215088797</v>
      </c>
      <c r="C1546" s="116">
        <v>5.7310815442285401</v>
      </c>
      <c r="D1546" s="116">
        <v>5.7104917804935704</v>
      </c>
      <c r="E1546" s="116">
        <v>5.9409387515272201</v>
      </c>
      <c r="F1546" s="116">
        <v>361.85</v>
      </c>
      <c r="G1546">
        <v>9922</v>
      </c>
      <c r="H1546" s="116"/>
      <c r="I1546" s="116"/>
      <c r="L1546" s="170">
        <v>44279</v>
      </c>
      <c r="M1546" s="116">
        <v>578.6</v>
      </c>
      <c r="N1546" s="116">
        <v>602.1</v>
      </c>
      <c r="O1546" s="116">
        <v>575.1</v>
      </c>
      <c r="P1546" s="116">
        <v>595.25</v>
      </c>
      <c r="Q1546" s="116">
        <v>578.6</v>
      </c>
      <c r="R1546">
        <v>357208</v>
      </c>
    </row>
    <row r="1547" spans="1:18" x14ac:dyDescent="0.25">
      <c r="A1547" s="170">
        <v>44281</v>
      </c>
      <c r="B1547" s="116">
        <v>5.8538282126485202</v>
      </c>
      <c r="C1547" s="116">
        <v>5.7968104053824598</v>
      </c>
      <c r="D1547" s="116">
        <v>5.7374168561469903</v>
      </c>
      <c r="E1547" s="116">
        <v>5.7651338457902099</v>
      </c>
      <c r="F1547" s="116">
        <v>366</v>
      </c>
      <c r="G1547">
        <v>18477</v>
      </c>
      <c r="H1547" s="116"/>
      <c r="I1547" s="116"/>
      <c r="L1547" s="170">
        <v>44280</v>
      </c>
      <c r="M1547" s="116">
        <v>566.4</v>
      </c>
      <c r="N1547" s="116">
        <v>580</v>
      </c>
      <c r="O1547" s="116">
        <v>556.65</v>
      </c>
      <c r="P1547" s="116">
        <v>577.6</v>
      </c>
      <c r="Q1547" s="116">
        <v>566.4</v>
      </c>
      <c r="R1547">
        <v>654222</v>
      </c>
    </row>
    <row r="1548" spans="1:18" x14ac:dyDescent="0.25">
      <c r="A1548" s="170">
        <v>44285</v>
      </c>
      <c r="B1548" s="116">
        <v>6.2545366914905296</v>
      </c>
      <c r="C1548" s="116">
        <v>6.04784714015108</v>
      </c>
      <c r="D1548" s="116">
        <v>5.8942158261286401</v>
      </c>
      <c r="E1548" s="116">
        <v>6.0708126458554599</v>
      </c>
      <c r="F1548" s="116">
        <v>381.85</v>
      </c>
      <c r="G1548">
        <v>11185</v>
      </c>
      <c r="H1548" s="116"/>
      <c r="I1548" s="116"/>
      <c r="L1548" s="170">
        <v>44281</v>
      </c>
      <c r="M1548" s="116">
        <v>575.95000000000005</v>
      </c>
      <c r="N1548" s="116">
        <v>591</v>
      </c>
      <c r="O1548" s="116">
        <v>565.65</v>
      </c>
      <c r="P1548" s="116">
        <v>574.75</v>
      </c>
      <c r="Q1548" s="116">
        <v>575.95000000000005</v>
      </c>
      <c r="R1548">
        <v>635685</v>
      </c>
    </row>
    <row r="1549" spans="1:18" x14ac:dyDescent="0.25">
      <c r="A1549" s="170">
        <v>44286</v>
      </c>
      <c r="B1549" s="116">
        <v>6.2054380241225404</v>
      </c>
      <c r="C1549" s="116">
        <v>5.9916212468748196</v>
      </c>
      <c r="D1549" s="116">
        <v>5.9551932033437298</v>
      </c>
      <c r="E1549" s="116">
        <v>6.0486390541408799</v>
      </c>
      <c r="F1549" s="116">
        <v>378.3</v>
      </c>
      <c r="G1549">
        <v>4861</v>
      </c>
      <c r="H1549" s="116"/>
      <c r="I1549" s="116"/>
      <c r="L1549" s="170">
        <v>44285</v>
      </c>
      <c r="M1549" s="116">
        <v>600.4</v>
      </c>
      <c r="N1549" s="116">
        <v>604.29999999999995</v>
      </c>
      <c r="O1549" s="116">
        <v>580</v>
      </c>
      <c r="P1549" s="116">
        <v>585.95000000000005</v>
      </c>
      <c r="Q1549" s="116">
        <v>600.4</v>
      </c>
      <c r="R1549">
        <v>424229</v>
      </c>
    </row>
    <row r="1550" spans="1:18" x14ac:dyDescent="0.25">
      <c r="A1550" s="170">
        <v>44287</v>
      </c>
      <c r="B1550" s="116">
        <v>6.2561205194701399</v>
      </c>
      <c r="C1550" s="116">
        <v>6.2236520458880804</v>
      </c>
      <c r="D1550" s="116">
        <v>5.9393549235476097</v>
      </c>
      <c r="E1550" s="116">
        <v>5.9393549235476097</v>
      </c>
      <c r="F1550" s="116">
        <v>392.95</v>
      </c>
      <c r="G1550">
        <v>3867</v>
      </c>
      <c r="H1550" s="116"/>
      <c r="I1550" s="116"/>
      <c r="L1550" s="170">
        <v>44286</v>
      </c>
      <c r="M1550" s="116">
        <v>613.75</v>
      </c>
      <c r="N1550" s="116">
        <v>619.4</v>
      </c>
      <c r="O1550" s="116">
        <v>585.4</v>
      </c>
      <c r="P1550" s="116">
        <v>601.9</v>
      </c>
      <c r="Q1550" s="116">
        <v>613.75</v>
      </c>
      <c r="R1550">
        <v>1105967</v>
      </c>
    </row>
    <row r="1551" spans="1:18" x14ac:dyDescent="0.25">
      <c r="A1551" s="170">
        <v>44291</v>
      </c>
      <c r="B1551" s="116">
        <v>6.2877970790623996</v>
      </c>
      <c r="C1551" s="116">
        <v>5.9678638271806301</v>
      </c>
      <c r="D1551" s="116">
        <v>5.8760018043631002</v>
      </c>
      <c r="E1551" s="116">
        <v>6.2561205194701399</v>
      </c>
      <c r="F1551" s="116">
        <v>376.8</v>
      </c>
      <c r="G1551">
        <v>7971</v>
      </c>
      <c r="H1551" s="116"/>
      <c r="I1551" s="116"/>
      <c r="L1551" s="170">
        <v>44287</v>
      </c>
      <c r="M1551" s="116">
        <v>611.45000000000005</v>
      </c>
      <c r="N1551" s="116">
        <v>619.9</v>
      </c>
      <c r="O1551" s="116">
        <v>602.54999999999995</v>
      </c>
      <c r="P1551" s="116">
        <v>617</v>
      </c>
      <c r="Q1551" s="116">
        <v>611.45000000000005</v>
      </c>
      <c r="R1551">
        <v>330083</v>
      </c>
    </row>
    <row r="1552" spans="1:18" x14ac:dyDescent="0.25">
      <c r="A1552" s="170">
        <v>44292</v>
      </c>
      <c r="B1552" s="116">
        <v>6.2553286054803401</v>
      </c>
      <c r="C1552" s="116">
        <v>6.05497436605933</v>
      </c>
      <c r="D1552" s="116">
        <v>5.9583608593029602</v>
      </c>
      <c r="E1552" s="116">
        <v>6.0818994417127499</v>
      </c>
      <c r="F1552" s="116">
        <v>382.3</v>
      </c>
      <c r="G1552">
        <v>4118</v>
      </c>
      <c r="H1552" s="116"/>
      <c r="I1552" s="116"/>
      <c r="L1552" s="170">
        <v>44291</v>
      </c>
      <c r="M1552" s="116">
        <v>578.65</v>
      </c>
      <c r="N1552" s="116">
        <v>610</v>
      </c>
      <c r="O1552" s="116">
        <v>571.79999999999995</v>
      </c>
      <c r="P1552" s="116">
        <v>610</v>
      </c>
      <c r="Q1552" s="116">
        <v>578.65</v>
      </c>
      <c r="R1552">
        <v>395667</v>
      </c>
    </row>
    <row r="1553" spans="1:18" x14ac:dyDescent="0.25">
      <c r="A1553" s="170">
        <v>44293</v>
      </c>
      <c r="B1553" s="116">
        <v>6.2553286054803401</v>
      </c>
      <c r="C1553" s="116">
        <v>6.0977377215088797</v>
      </c>
      <c r="D1553" s="116">
        <v>6.06606116191662</v>
      </c>
      <c r="E1553" s="116">
        <v>6.0977377215088797</v>
      </c>
      <c r="F1553" s="116">
        <v>385</v>
      </c>
      <c r="G1553">
        <v>1566</v>
      </c>
      <c r="H1553" s="116"/>
      <c r="I1553" s="116"/>
      <c r="L1553" s="170">
        <v>44292</v>
      </c>
      <c r="M1553" s="116">
        <v>567</v>
      </c>
      <c r="N1553" s="116">
        <v>582.20000000000005</v>
      </c>
      <c r="O1553" s="116">
        <v>564.45000000000005</v>
      </c>
      <c r="P1553" s="116">
        <v>581.70000000000005</v>
      </c>
      <c r="Q1553" s="116">
        <v>567</v>
      </c>
      <c r="R1553">
        <v>387239</v>
      </c>
    </row>
    <row r="1554" spans="1:18" x14ac:dyDescent="0.25">
      <c r="A1554" s="170">
        <v>44294</v>
      </c>
      <c r="B1554" s="116">
        <v>6.3353119184507802</v>
      </c>
      <c r="C1554" s="116">
        <v>6.2941323909808498</v>
      </c>
      <c r="D1554" s="116">
        <v>6.0375522582835899</v>
      </c>
      <c r="E1554" s="116">
        <v>6.1024892054477098</v>
      </c>
      <c r="F1554" s="116">
        <v>397.4</v>
      </c>
      <c r="G1554">
        <v>6983</v>
      </c>
      <c r="H1554" s="116"/>
      <c r="I1554" s="116"/>
      <c r="L1554" s="170">
        <v>44293</v>
      </c>
      <c r="M1554" s="116">
        <v>567.29999999999995</v>
      </c>
      <c r="N1554" s="116">
        <v>578</v>
      </c>
      <c r="O1554" s="116">
        <v>564.45000000000005</v>
      </c>
      <c r="P1554" s="116">
        <v>567</v>
      </c>
      <c r="Q1554" s="116">
        <v>567.29999999999995</v>
      </c>
      <c r="R1554">
        <v>363319</v>
      </c>
    </row>
    <row r="1555" spans="1:18" x14ac:dyDescent="0.25">
      <c r="A1555" s="170">
        <v>44295</v>
      </c>
      <c r="B1555" s="116">
        <v>6.4461798770236696</v>
      </c>
      <c r="C1555" s="116">
        <v>6.3479825422876797</v>
      </c>
      <c r="D1555" s="116">
        <v>6.1864320883671899</v>
      </c>
      <c r="E1555" s="116">
        <v>6.1864320883671899</v>
      </c>
      <c r="F1555" s="116">
        <v>400.8</v>
      </c>
      <c r="G1555">
        <v>4789</v>
      </c>
      <c r="H1555" s="116"/>
      <c r="I1555" s="116"/>
      <c r="L1555" s="170">
        <v>44294</v>
      </c>
      <c r="M1555" s="116">
        <v>566.79999999999995</v>
      </c>
      <c r="N1555" s="116">
        <v>573.29999999999995</v>
      </c>
      <c r="O1555" s="116">
        <v>565</v>
      </c>
      <c r="P1555" s="116">
        <v>573.29999999999995</v>
      </c>
      <c r="Q1555" s="116">
        <v>566.79999999999995</v>
      </c>
      <c r="R1555">
        <v>143346</v>
      </c>
    </row>
    <row r="1556" spans="1:18" x14ac:dyDescent="0.25">
      <c r="A1556" s="170">
        <v>44298</v>
      </c>
      <c r="B1556" s="116">
        <v>6.4936947164120502</v>
      </c>
      <c r="C1556" s="116">
        <v>6.00587569869134</v>
      </c>
      <c r="D1556" s="116">
        <v>5.8918400841592202</v>
      </c>
      <c r="E1556" s="116">
        <v>6.3685723060226502</v>
      </c>
      <c r="F1556" s="116">
        <v>379.2</v>
      </c>
      <c r="G1556">
        <v>10244</v>
      </c>
      <c r="H1556" s="116"/>
      <c r="I1556" s="116"/>
      <c r="L1556" s="170">
        <v>44295</v>
      </c>
      <c r="M1556" s="116">
        <v>552.5</v>
      </c>
      <c r="N1556" s="116">
        <v>569.79999999999995</v>
      </c>
      <c r="O1556" s="116">
        <v>547.25</v>
      </c>
      <c r="P1556" s="116">
        <v>566.79999999999995</v>
      </c>
      <c r="Q1556" s="116">
        <v>552.5</v>
      </c>
      <c r="R1556">
        <v>373986</v>
      </c>
    </row>
    <row r="1557" spans="1:18" x14ac:dyDescent="0.25">
      <c r="A1557" s="170">
        <v>44299</v>
      </c>
      <c r="B1557" s="116">
        <v>6.2561205194701399</v>
      </c>
      <c r="C1557" s="116">
        <v>6.1563393567545397</v>
      </c>
      <c r="D1557" s="116">
        <v>5.9868697629359904</v>
      </c>
      <c r="E1557" s="116">
        <v>6.1135760013049998</v>
      </c>
      <c r="F1557" s="116">
        <v>388.7</v>
      </c>
      <c r="G1557">
        <v>3388</v>
      </c>
      <c r="H1557" s="116"/>
      <c r="I1557" s="116"/>
      <c r="L1557" s="170">
        <v>44298</v>
      </c>
      <c r="M1557" s="116">
        <v>512.15</v>
      </c>
      <c r="N1557" s="116">
        <v>546</v>
      </c>
      <c r="O1557" s="116">
        <v>494.25</v>
      </c>
      <c r="P1557" s="116">
        <v>544</v>
      </c>
      <c r="Q1557" s="116">
        <v>512.15</v>
      </c>
      <c r="R1557">
        <v>686602</v>
      </c>
    </row>
    <row r="1558" spans="1:18" x14ac:dyDescent="0.25">
      <c r="A1558" s="170">
        <v>44301</v>
      </c>
      <c r="B1558" s="116">
        <v>6.1769291204895103</v>
      </c>
      <c r="C1558" s="116">
        <v>6.1349576790297702</v>
      </c>
      <c r="D1558" s="116">
        <v>5.9876616769257902</v>
      </c>
      <c r="E1558" s="116">
        <v>6.0502228821204902</v>
      </c>
      <c r="F1558" s="116">
        <v>387.35</v>
      </c>
      <c r="G1558">
        <v>2536</v>
      </c>
      <c r="H1558" s="116"/>
      <c r="I1558" s="116"/>
      <c r="L1558" s="170">
        <v>44299</v>
      </c>
      <c r="M1558" s="116">
        <v>516.1</v>
      </c>
      <c r="N1558" s="116">
        <v>518</v>
      </c>
      <c r="O1558" s="116">
        <v>495.15</v>
      </c>
      <c r="P1558" s="116">
        <v>510.1</v>
      </c>
      <c r="Q1558" s="116">
        <v>516.1</v>
      </c>
      <c r="R1558">
        <v>399805</v>
      </c>
    </row>
    <row r="1559" spans="1:18" x14ac:dyDescent="0.25">
      <c r="A1559" s="170">
        <v>44302</v>
      </c>
      <c r="B1559" s="116">
        <v>6.6204009547810596</v>
      </c>
      <c r="C1559" s="116">
        <v>6.50953299620818</v>
      </c>
      <c r="D1559" s="116">
        <v>6.0502228821204902</v>
      </c>
      <c r="E1559" s="116">
        <v>6.0502228821204902</v>
      </c>
      <c r="F1559" s="116">
        <v>411</v>
      </c>
      <c r="G1559">
        <v>10768</v>
      </c>
      <c r="H1559" s="116"/>
      <c r="I1559" s="116"/>
      <c r="L1559" s="170">
        <v>44301</v>
      </c>
      <c r="M1559" s="116">
        <v>512.6</v>
      </c>
      <c r="N1559" s="116">
        <v>527.95000000000005</v>
      </c>
      <c r="O1559" s="116">
        <v>502</v>
      </c>
      <c r="P1559" s="116">
        <v>507</v>
      </c>
      <c r="Q1559" s="116">
        <v>512.6</v>
      </c>
      <c r="R1559">
        <v>543655</v>
      </c>
    </row>
    <row r="1560" spans="1:18" x14ac:dyDescent="0.25">
      <c r="A1560" s="170">
        <v>44305</v>
      </c>
      <c r="B1560" s="116">
        <v>6.7296850853743404</v>
      </c>
      <c r="C1560" s="116">
        <v>6.6259443527097099</v>
      </c>
      <c r="D1560" s="116">
        <v>6.3511501982469101</v>
      </c>
      <c r="E1560" s="116">
        <v>6.5206197920654603</v>
      </c>
      <c r="F1560" s="116">
        <v>418.35</v>
      </c>
      <c r="G1560">
        <v>19999</v>
      </c>
      <c r="H1560" s="116"/>
      <c r="I1560" s="116"/>
      <c r="L1560" s="170">
        <v>44302</v>
      </c>
      <c r="M1560" s="116">
        <v>514.65</v>
      </c>
      <c r="N1560" s="116">
        <v>532</v>
      </c>
      <c r="O1560" s="116">
        <v>510.5</v>
      </c>
      <c r="P1560" s="116">
        <v>512.75</v>
      </c>
      <c r="Q1560" s="116">
        <v>514.65</v>
      </c>
      <c r="R1560">
        <v>515230</v>
      </c>
    </row>
    <row r="1561" spans="1:18" x14ac:dyDescent="0.25">
      <c r="A1561" s="170">
        <v>44306</v>
      </c>
      <c r="B1561" s="116">
        <v>7.00051966988811</v>
      </c>
      <c r="C1561" s="116">
        <v>6.8247147641510999</v>
      </c>
      <c r="D1561" s="116">
        <v>6.6544532563427401</v>
      </c>
      <c r="E1561" s="116">
        <v>6.7312689133539498</v>
      </c>
      <c r="F1561" s="116">
        <v>430.9</v>
      </c>
      <c r="G1561">
        <v>14094</v>
      </c>
      <c r="H1561" s="116"/>
      <c r="I1561" s="116"/>
      <c r="L1561" s="170">
        <v>44305</v>
      </c>
      <c r="M1561" s="116">
        <v>500.6</v>
      </c>
      <c r="N1561" s="116">
        <v>505</v>
      </c>
      <c r="O1561" s="116">
        <v>489.2</v>
      </c>
      <c r="P1561" s="116">
        <v>498</v>
      </c>
      <c r="Q1561" s="116">
        <v>500.6</v>
      </c>
      <c r="R1561">
        <v>293658</v>
      </c>
    </row>
    <row r="1562" spans="1:18" x14ac:dyDescent="0.25">
      <c r="A1562" s="170">
        <v>44308</v>
      </c>
      <c r="B1562" s="116">
        <v>7.0955493486648704</v>
      </c>
      <c r="C1562" s="116">
        <v>7.0250690035721099</v>
      </c>
      <c r="D1562" s="116">
        <v>6.7510667630991099</v>
      </c>
      <c r="E1562" s="116">
        <v>6.7510667630991099</v>
      </c>
      <c r="F1562" s="116">
        <v>443.55</v>
      </c>
      <c r="G1562">
        <v>9085</v>
      </c>
      <c r="H1562" s="116"/>
      <c r="I1562" s="116"/>
      <c r="L1562" s="170">
        <v>44306</v>
      </c>
      <c r="M1562" s="116">
        <v>512.4</v>
      </c>
      <c r="N1562" s="116">
        <v>518</v>
      </c>
      <c r="O1562" s="116">
        <v>501.5</v>
      </c>
      <c r="P1562" s="116">
        <v>508</v>
      </c>
      <c r="Q1562" s="116">
        <v>512.4</v>
      </c>
      <c r="R1562">
        <v>253757</v>
      </c>
    </row>
    <row r="1563" spans="1:18" x14ac:dyDescent="0.25">
      <c r="A1563" s="170">
        <v>44309</v>
      </c>
      <c r="B1563" s="116">
        <v>7.2848167922285896</v>
      </c>
      <c r="C1563" s="116">
        <v>7.0496183372561001</v>
      </c>
      <c r="D1563" s="116">
        <v>6.8896517113152198</v>
      </c>
      <c r="E1563" s="116">
        <v>7.15890246784938</v>
      </c>
      <c r="F1563" s="116">
        <v>445.1</v>
      </c>
      <c r="G1563">
        <v>14257</v>
      </c>
      <c r="H1563" s="116"/>
      <c r="I1563" s="116"/>
      <c r="L1563" s="170">
        <v>44308</v>
      </c>
      <c r="M1563" s="116">
        <v>508.75</v>
      </c>
      <c r="N1563" s="116">
        <v>519.9</v>
      </c>
      <c r="O1563" s="116">
        <v>503</v>
      </c>
      <c r="P1563" s="116">
        <v>508</v>
      </c>
      <c r="Q1563" s="116">
        <v>508.75</v>
      </c>
      <c r="R1563">
        <v>242353</v>
      </c>
    </row>
    <row r="1564" spans="1:18" x14ac:dyDescent="0.25">
      <c r="A1564" s="170">
        <v>44312</v>
      </c>
      <c r="B1564" s="116">
        <v>7.4091472886281897</v>
      </c>
      <c r="C1564" s="116">
        <v>6.9593401424181804</v>
      </c>
      <c r="D1564" s="116">
        <v>6.8508479258147101</v>
      </c>
      <c r="E1564" s="116">
        <v>7.1430641880532502</v>
      </c>
      <c r="F1564" s="116">
        <v>439.4</v>
      </c>
      <c r="G1564">
        <v>32421</v>
      </c>
      <c r="H1564" s="116"/>
      <c r="I1564" s="116"/>
      <c r="L1564" s="170">
        <v>44309</v>
      </c>
      <c r="M1564" s="116">
        <v>523.5</v>
      </c>
      <c r="N1564" s="116">
        <v>528.9</v>
      </c>
      <c r="O1564" s="116">
        <v>504.35</v>
      </c>
      <c r="P1564" s="116">
        <v>504.35</v>
      </c>
      <c r="Q1564" s="116">
        <v>523.5</v>
      </c>
      <c r="R1564">
        <v>996130</v>
      </c>
    </row>
    <row r="1565" spans="1:18" x14ac:dyDescent="0.25">
      <c r="A1565" s="170">
        <v>44313</v>
      </c>
      <c r="B1565" s="116">
        <v>7.1905790274416299</v>
      </c>
      <c r="C1565" s="116">
        <v>6.9395422926730204</v>
      </c>
      <c r="D1565" s="116">
        <v>6.8421368719268401</v>
      </c>
      <c r="E1565" s="116">
        <v>7.00051966988811</v>
      </c>
      <c r="F1565" s="116">
        <v>438.15</v>
      </c>
      <c r="G1565">
        <v>19399</v>
      </c>
      <c r="H1565" s="116"/>
      <c r="I1565" s="116"/>
      <c r="L1565" s="170">
        <v>44312</v>
      </c>
      <c r="M1565" s="116">
        <v>570.29999999999995</v>
      </c>
      <c r="N1565" s="116">
        <v>586.25</v>
      </c>
      <c r="O1565" s="116">
        <v>525</v>
      </c>
      <c r="P1565" s="116">
        <v>525</v>
      </c>
      <c r="Q1565" s="116">
        <v>570.29999999999995</v>
      </c>
      <c r="R1565">
        <v>1404552</v>
      </c>
    </row>
    <row r="1566" spans="1:18" x14ac:dyDescent="0.25">
      <c r="A1566" s="170">
        <v>44314</v>
      </c>
      <c r="B1566" s="116">
        <v>7.1272259082571301</v>
      </c>
      <c r="C1566" s="116">
        <v>6.8896517113152198</v>
      </c>
      <c r="D1566" s="116">
        <v>6.8595589797025802</v>
      </c>
      <c r="E1566" s="116">
        <v>7.0480345092764898</v>
      </c>
      <c r="F1566" s="116">
        <v>435</v>
      </c>
      <c r="G1566">
        <v>18212</v>
      </c>
      <c r="H1566" s="116"/>
      <c r="I1566" s="116"/>
      <c r="L1566" s="170">
        <v>44313</v>
      </c>
      <c r="M1566" s="116">
        <v>572.65</v>
      </c>
      <c r="N1566" s="116">
        <v>579.54999999999995</v>
      </c>
      <c r="O1566" s="116">
        <v>566.15</v>
      </c>
      <c r="P1566" s="116">
        <v>574</v>
      </c>
      <c r="Q1566" s="116">
        <v>572.65</v>
      </c>
      <c r="R1566">
        <v>410664</v>
      </c>
    </row>
    <row r="1567" spans="1:18" x14ac:dyDescent="0.25">
      <c r="A1567" s="170">
        <v>44315</v>
      </c>
      <c r="B1567" s="116">
        <v>7.1272259082571301</v>
      </c>
      <c r="C1567" s="116">
        <v>6.8714376895496798</v>
      </c>
      <c r="D1567" s="116">
        <v>6.8278824201103303</v>
      </c>
      <c r="E1567" s="116">
        <v>7.0480345092764898</v>
      </c>
      <c r="F1567" s="116">
        <v>433.85</v>
      </c>
      <c r="G1567">
        <v>11187</v>
      </c>
      <c r="H1567" s="116"/>
      <c r="I1567" s="116"/>
      <c r="L1567" s="170">
        <v>44314</v>
      </c>
      <c r="M1567" s="116">
        <v>593.25</v>
      </c>
      <c r="N1567" s="116">
        <v>598</v>
      </c>
      <c r="O1567" s="116">
        <v>572.6</v>
      </c>
      <c r="P1567" s="116">
        <v>572.65</v>
      </c>
      <c r="Q1567" s="116">
        <v>593.25</v>
      </c>
      <c r="R1567">
        <v>544308</v>
      </c>
    </row>
    <row r="1568" spans="1:18" x14ac:dyDescent="0.25">
      <c r="A1568" s="170">
        <v>44316</v>
      </c>
      <c r="B1568" s="116">
        <v>7.0401153693784302</v>
      </c>
      <c r="C1568" s="116">
        <v>6.8563913237433596</v>
      </c>
      <c r="D1568" s="116">
        <v>6.8262985921307102</v>
      </c>
      <c r="E1568" s="116">
        <v>6.8714376895496798</v>
      </c>
      <c r="F1568" s="116">
        <v>432.9</v>
      </c>
      <c r="G1568">
        <v>7430</v>
      </c>
      <c r="H1568" s="116"/>
      <c r="I1568" s="116"/>
      <c r="L1568" s="170">
        <v>44315</v>
      </c>
      <c r="M1568" s="116">
        <v>580.29999999999995</v>
      </c>
      <c r="N1568" s="116">
        <v>606</v>
      </c>
      <c r="O1568" s="116">
        <v>576</v>
      </c>
      <c r="P1568" s="116">
        <v>597.20000000000005</v>
      </c>
      <c r="Q1568" s="116">
        <v>580.29999999999995</v>
      </c>
      <c r="R1568">
        <v>1115398</v>
      </c>
    </row>
    <row r="1569" spans="1:18" x14ac:dyDescent="0.25">
      <c r="A1569" s="170">
        <v>44319</v>
      </c>
      <c r="B1569" s="116">
        <v>7.0139822077148199</v>
      </c>
      <c r="C1569" s="116">
        <v>6.79303820455885</v>
      </c>
      <c r="D1569" s="116">
        <v>6.7328527413335699</v>
      </c>
      <c r="E1569" s="116">
        <v>6.74869102112969</v>
      </c>
      <c r="F1569" s="116">
        <v>428.9</v>
      </c>
      <c r="G1569">
        <v>11834</v>
      </c>
      <c r="H1569" s="116"/>
      <c r="I1569" s="116"/>
      <c r="L1569" s="170">
        <v>44316</v>
      </c>
      <c r="M1569" s="116">
        <v>581.45000000000005</v>
      </c>
      <c r="N1569" s="116">
        <v>589.20000000000005</v>
      </c>
      <c r="O1569" s="116">
        <v>570.6</v>
      </c>
      <c r="P1569" s="116">
        <v>571.1</v>
      </c>
      <c r="Q1569" s="116">
        <v>581.45000000000005</v>
      </c>
      <c r="R1569">
        <v>291905</v>
      </c>
    </row>
    <row r="1570" spans="1:18" x14ac:dyDescent="0.25">
      <c r="A1570" s="170">
        <v>44320</v>
      </c>
      <c r="B1570" s="116">
        <v>6.9054899911113496</v>
      </c>
      <c r="C1570" s="116">
        <v>6.6782106760369304</v>
      </c>
      <c r="D1570" s="116">
        <v>6.5427933837800403</v>
      </c>
      <c r="E1570" s="116">
        <v>6.8421368719268401</v>
      </c>
      <c r="F1570" s="116">
        <v>421.65</v>
      </c>
      <c r="G1570">
        <v>8245</v>
      </c>
      <c r="H1570" s="116"/>
      <c r="I1570" s="116"/>
      <c r="L1570" s="170">
        <v>44319</v>
      </c>
      <c r="M1570" s="116">
        <v>547.75</v>
      </c>
      <c r="N1570" s="116">
        <v>568</v>
      </c>
      <c r="O1570" s="116">
        <v>545.5</v>
      </c>
      <c r="P1570" s="116">
        <v>565</v>
      </c>
      <c r="Q1570" s="116">
        <v>547.75</v>
      </c>
      <c r="R1570">
        <v>714057</v>
      </c>
    </row>
    <row r="1571" spans="1:18" x14ac:dyDescent="0.25">
      <c r="A1571" s="170">
        <v>44321</v>
      </c>
      <c r="B1571" s="116">
        <v>6.8421368719268401</v>
      </c>
      <c r="C1571" s="116">
        <v>6.6655400522000301</v>
      </c>
      <c r="D1571" s="116">
        <v>6.5768456853417199</v>
      </c>
      <c r="E1571" s="116">
        <v>6.8421368719268401</v>
      </c>
      <c r="F1571" s="116">
        <v>420.85</v>
      </c>
      <c r="G1571">
        <v>7796</v>
      </c>
      <c r="H1571" s="116"/>
      <c r="I1571" s="116"/>
      <c r="L1571" s="170">
        <v>44320</v>
      </c>
      <c r="M1571" s="116">
        <v>526.35</v>
      </c>
      <c r="N1571" s="116">
        <v>560.65</v>
      </c>
      <c r="O1571" s="116">
        <v>522.20000000000005</v>
      </c>
      <c r="P1571" s="116">
        <v>550</v>
      </c>
      <c r="Q1571" s="116">
        <v>526.35</v>
      </c>
      <c r="R1571">
        <v>463277</v>
      </c>
    </row>
    <row r="1572" spans="1:18" x14ac:dyDescent="0.25">
      <c r="A1572" s="170">
        <v>44322</v>
      </c>
      <c r="B1572" s="116">
        <v>6.7938301185486498</v>
      </c>
      <c r="C1572" s="116">
        <v>6.6465341164446698</v>
      </c>
      <c r="D1572" s="116">
        <v>6.5427933837800403</v>
      </c>
      <c r="E1572" s="116">
        <v>6.6552451703325399</v>
      </c>
      <c r="F1572" s="116">
        <v>419.65</v>
      </c>
      <c r="G1572">
        <v>9335</v>
      </c>
      <c r="H1572" s="116"/>
      <c r="I1572" s="116"/>
      <c r="L1572" s="170">
        <v>44321</v>
      </c>
      <c r="M1572" s="116">
        <v>532.85</v>
      </c>
      <c r="N1572" s="116">
        <v>538.04999999999995</v>
      </c>
      <c r="O1572" s="116">
        <v>530.1</v>
      </c>
      <c r="P1572" s="116">
        <v>534</v>
      </c>
      <c r="Q1572" s="116">
        <v>532.85</v>
      </c>
      <c r="R1572">
        <v>515577</v>
      </c>
    </row>
    <row r="1573" spans="1:18" x14ac:dyDescent="0.25">
      <c r="A1573" s="170">
        <v>44323</v>
      </c>
      <c r="B1573" s="116">
        <v>6.8080845703651702</v>
      </c>
      <c r="C1573" s="116">
        <v>6.6679157941694402</v>
      </c>
      <c r="D1573" s="116">
        <v>6.4936947164120502</v>
      </c>
      <c r="E1573" s="116">
        <v>6.7605697309767896</v>
      </c>
      <c r="F1573" s="116">
        <v>421</v>
      </c>
      <c r="G1573">
        <v>15707</v>
      </c>
      <c r="H1573" s="116"/>
      <c r="I1573" s="116"/>
      <c r="L1573" s="170">
        <v>44322</v>
      </c>
      <c r="M1573" s="116">
        <v>524.29999999999995</v>
      </c>
      <c r="N1573" s="116">
        <v>537.54999999999995</v>
      </c>
      <c r="O1573" s="116">
        <v>521</v>
      </c>
      <c r="P1573" s="116">
        <v>532.85</v>
      </c>
      <c r="Q1573" s="116">
        <v>524.29999999999995</v>
      </c>
      <c r="R1573">
        <v>209855</v>
      </c>
    </row>
    <row r="1574" spans="1:18" x14ac:dyDescent="0.25">
      <c r="A1574" s="170">
        <v>44326</v>
      </c>
      <c r="B1574" s="116">
        <v>7.1113876284610003</v>
      </c>
      <c r="C1574" s="116">
        <v>7.0741676709401</v>
      </c>
      <c r="D1574" s="116">
        <v>6.8088764843549701</v>
      </c>
      <c r="E1574" s="116">
        <v>6.8088764843549701</v>
      </c>
      <c r="F1574" s="116">
        <v>446.65</v>
      </c>
      <c r="G1574">
        <v>19963</v>
      </c>
      <c r="H1574" s="116"/>
      <c r="I1574" s="116"/>
      <c r="L1574" s="170">
        <v>44323</v>
      </c>
      <c r="M1574" s="116">
        <v>522.75</v>
      </c>
      <c r="N1574" s="116">
        <v>532.5</v>
      </c>
      <c r="O1574" s="116">
        <v>521.04999999999995</v>
      </c>
      <c r="P1574" s="116">
        <v>529.29999999999995</v>
      </c>
      <c r="Q1574" s="116">
        <v>522.75</v>
      </c>
      <c r="R1574">
        <v>144514</v>
      </c>
    </row>
    <row r="1575" spans="1:18" x14ac:dyDescent="0.25">
      <c r="A1575" s="170">
        <v>44327</v>
      </c>
      <c r="B1575" s="116">
        <v>7.0131902937250103</v>
      </c>
      <c r="C1575" s="116">
        <v>6.8516398398045197</v>
      </c>
      <c r="D1575" s="116">
        <v>6.7803675807219497</v>
      </c>
      <c r="E1575" s="116">
        <v>7.0131902937250103</v>
      </c>
      <c r="F1575" s="116">
        <v>432.6</v>
      </c>
      <c r="G1575">
        <v>8822</v>
      </c>
      <c r="H1575" s="116"/>
      <c r="I1575" s="116"/>
      <c r="L1575" s="170">
        <v>44326</v>
      </c>
      <c r="M1575" s="116">
        <v>513.1</v>
      </c>
      <c r="N1575" s="116">
        <v>528</v>
      </c>
      <c r="O1575" s="116">
        <v>510.05</v>
      </c>
      <c r="P1575" s="116">
        <v>523.5</v>
      </c>
      <c r="Q1575" s="116">
        <v>513.1</v>
      </c>
      <c r="R1575">
        <v>304134</v>
      </c>
    </row>
    <row r="1576" spans="1:18" x14ac:dyDescent="0.25">
      <c r="A1576" s="170">
        <v>44328</v>
      </c>
      <c r="B1576" s="116">
        <v>7.0163579496842399</v>
      </c>
      <c r="C1576" s="116">
        <v>6.9039061631317402</v>
      </c>
      <c r="D1576" s="116">
        <v>6.8532236677841301</v>
      </c>
      <c r="E1576" s="116">
        <v>7.0163579496842399</v>
      </c>
      <c r="F1576" s="116">
        <v>435.9</v>
      </c>
      <c r="G1576">
        <v>6175</v>
      </c>
      <c r="H1576" s="116"/>
      <c r="I1576" s="116"/>
      <c r="L1576" s="170">
        <v>44327</v>
      </c>
      <c r="M1576" s="116">
        <v>512.5</v>
      </c>
      <c r="N1576" s="116">
        <v>520.75</v>
      </c>
      <c r="O1576" s="116">
        <v>505.5</v>
      </c>
      <c r="P1576" s="116">
        <v>505.5</v>
      </c>
      <c r="Q1576" s="116">
        <v>512.5</v>
      </c>
      <c r="R1576">
        <v>1121580</v>
      </c>
    </row>
    <row r="1577" spans="1:18" x14ac:dyDescent="0.25">
      <c r="A1577" s="170">
        <v>44330</v>
      </c>
      <c r="B1577" s="116">
        <v>7.0131902937250103</v>
      </c>
      <c r="C1577" s="116">
        <v>6.7732403548136899</v>
      </c>
      <c r="D1577" s="116">
        <v>6.6520775143733202</v>
      </c>
      <c r="E1577" s="116">
        <v>6.9775541641837302</v>
      </c>
      <c r="F1577" s="116">
        <v>427.65</v>
      </c>
      <c r="G1577">
        <v>7524</v>
      </c>
      <c r="H1577" s="116"/>
      <c r="I1577" s="116"/>
      <c r="L1577" s="170">
        <v>44328</v>
      </c>
      <c r="M1577" s="116">
        <v>507.2</v>
      </c>
      <c r="N1577" s="116">
        <v>520.1</v>
      </c>
      <c r="O1577" s="116">
        <v>505.55</v>
      </c>
      <c r="P1577" s="116">
        <v>517.9</v>
      </c>
      <c r="Q1577" s="116">
        <v>507.2</v>
      </c>
      <c r="R1577">
        <v>331193</v>
      </c>
    </row>
    <row r="1578" spans="1:18" x14ac:dyDescent="0.25">
      <c r="A1578" s="170">
        <v>44333</v>
      </c>
      <c r="B1578" s="116">
        <v>7.7615490140920098</v>
      </c>
      <c r="C1578" s="116">
        <v>7.6863171850604104</v>
      </c>
      <c r="D1578" s="116">
        <v>6.8104603123345901</v>
      </c>
      <c r="E1578" s="116">
        <v>6.8104603123345901</v>
      </c>
      <c r="F1578" s="116">
        <v>485.3</v>
      </c>
      <c r="G1578">
        <v>71409</v>
      </c>
      <c r="H1578" s="116"/>
      <c r="I1578" s="116"/>
      <c r="L1578" s="170">
        <v>44330</v>
      </c>
      <c r="M1578" s="116">
        <v>509.3</v>
      </c>
      <c r="N1578" s="116">
        <v>526.4</v>
      </c>
      <c r="O1578" s="116">
        <v>502.45</v>
      </c>
      <c r="P1578" s="116">
        <v>511</v>
      </c>
      <c r="Q1578" s="116">
        <v>509.3</v>
      </c>
      <c r="R1578">
        <v>455418</v>
      </c>
    </row>
    <row r="1579" spans="1:18" x14ac:dyDescent="0.25">
      <c r="A1579" s="170">
        <v>44334</v>
      </c>
      <c r="B1579" s="116">
        <v>8.0759388680451298</v>
      </c>
      <c r="C1579" s="116">
        <v>7.8716250586750904</v>
      </c>
      <c r="D1579" s="116">
        <v>7.7140341747036301</v>
      </c>
      <c r="E1579" s="116">
        <v>7.7607571001022002</v>
      </c>
      <c r="F1579" s="116">
        <v>497</v>
      </c>
      <c r="G1579">
        <v>35062</v>
      </c>
      <c r="H1579" s="116"/>
      <c r="I1579" s="116"/>
      <c r="L1579" s="170">
        <v>44333</v>
      </c>
      <c r="M1579" s="116">
        <v>511.5</v>
      </c>
      <c r="N1579" s="116">
        <v>518.9</v>
      </c>
      <c r="O1579" s="116">
        <v>506.25</v>
      </c>
      <c r="P1579" s="116">
        <v>516.4</v>
      </c>
      <c r="Q1579" s="116">
        <v>511.5</v>
      </c>
      <c r="R1579">
        <v>763043</v>
      </c>
    </row>
    <row r="1580" spans="1:18" x14ac:dyDescent="0.25">
      <c r="A1580" s="170">
        <v>44335</v>
      </c>
      <c r="B1580" s="116">
        <v>8.6928398661042792</v>
      </c>
      <c r="C1580" s="116">
        <v>8.5843476495008098</v>
      </c>
      <c r="D1580" s="116">
        <v>7.7615490140920098</v>
      </c>
      <c r="E1580" s="116">
        <v>7.7615490140920098</v>
      </c>
      <c r="F1580" s="116">
        <v>542</v>
      </c>
      <c r="G1580">
        <v>32915</v>
      </c>
      <c r="H1580" s="116"/>
      <c r="I1580" s="116"/>
      <c r="L1580" s="170">
        <v>44334</v>
      </c>
      <c r="M1580" s="116">
        <v>526.54999999999995</v>
      </c>
      <c r="N1580" s="116">
        <v>529.6</v>
      </c>
      <c r="O1580" s="116">
        <v>512.5</v>
      </c>
      <c r="P1580" s="116">
        <v>514.29999999999995</v>
      </c>
      <c r="Q1580" s="116">
        <v>526.54999999999995</v>
      </c>
      <c r="R1580">
        <v>381638</v>
      </c>
    </row>
    <row r="1581" spans="1:18" x14ac:dyDescent="0.25">
      <c r="A1581" s="170">
        <v>44336</v>
      </c>
      <c r="B1581" s="116">
        <v>8.9834723003632106</v>
      </c>
      <c r="C1581" s="116">
        <v>8.3356866567016095</v>
      </c>
      <c r="D1581" s="116">
        <v>8.2366974079758197</v>
      </c>
      <c r="E1581" s="116">
        <v>8.5922667893988702</v>
      </c>
      <c r="F1581" s="116">
        <v>526.29999999999995</v>
      </c>
      <c r="G1581">
        <v>19053</v>
      </c>
      <c r="H1581" s="116"/>
      <c r="I1581" s="116"/>
      <c r="L1581" s="170">
        <v>44335</v>
      </c>
      <c r="M1581" s="116">
        <v>521.85</v>
      </c>
      <c r="N1581" s="116">
        <v>534.4</v>
      </c>
      <c r="O1581" s="116">
        <v>520</v>
      </c>
      <c r="P1581" s="116">
        <v>524.25</v>
      </c>
      <c r="Q1581" s="116">
        <v>521.85</v>
      </c>
      <c r="R1581">
        <v>332627</v>
      </c>
    </row>
    <row r="1582" spans="1:18" x14ac:dyDescent="0.25">
      <c r="A1582" s="170">
        <v>44337</v>
      </c>
      <c r="B1582" s="116">
        <v>8.6952156080736902</v>
      </c>
      <c r="C1582" s="116">
        <v>8.5146592183978491</v>
      </c>
      <c r="D1582" s="116">
        <v>8.3467734525588995</v>
      </c>
      <c r="E1582" s="116">
        <v>8.3467734525588995</v>
      </c>
      <c r="F1582" s="116">
        <v>537.6</v>
      </c>
      <c r="G1582">
        <v>18752</v>
      </c>
      <c r="H1582" s="116"/>
      <c r="I1582" s="116"/>
      <c r="L1582" s="170">
        <v>44336</v>
      </c>
      <c r="M1582" s="116">
        <v>516.9</v>
      </c>
      <c r="N1582" s="116">
        <v>528.65</v>
      </c>
      <c r="O1582" s="116">
        <v>514.1</v>
      </c>
      <c r="P1582" s="116">
        <v>521.85</v>
      </c>
      <c r="Q1582" s="116">
        <v>516.9</v>
      </c>
      <c r="R1582">
        <v>139809</v>
      </c>
    </row>
    <row r="1583" spans="1:18" x14ac:dyDescent="0.25">
      <c r="A1583" s="170">
        <v>44340</v>
      </c>
      <c r="B1583" s="116">
        <v>8.86943668583109</v>
      </c>
      <c r="C1583" s="116">
        <v>8.6556199085833807</v>
      </c>
      <c r="D1583" s="116">
        <v>8.5685093697046799</v>
      </c>
      <c r="E1583" s="116">
        <v>8.71105388786982</v>
      </c>
      <c r="F1583" s="116">
        <v>546.5</v>
      </c>
      <c r="G1583">
        <v>8749</v>
      </c>
      <c r="H1583" s="116"/>
      <c r="I1583" s="116"/>
      <c r="L1583" s="170">
        <v>44337</v>
      </c>
      <c r="M1583" s="116">
        <v>511.45</v>
      </c>
      <c r="N1583" s="116">
        <v>523.75</v>
      </c>
      <c r="O1583" s="116">
        <v>507.9</v>
      </c>
      <c r="P1583" s="116">
        <v>521.5</v>
      </c>
      <c r="Q1583" s="116">
        <v>511.45</v>
      </c>
      <c r="R1583">
        <v>376779</v>
      </c>
    </row>
    <row r="1584" spans="1:18" x14ac:dyDescent="0.25">
      <c r="A1584" s="170">
        <v>44341</v>
      </c>
      <c r="B1584" s="116">
        <v>8.71105388786982</v>
      </c>
      <c r="C1584" s="116">
        <v>8.5851395634906105</v>
      </c>
      <c r="D1584" s="116">
        <v>8.4132942277026395</v>
      </c>
      <c r="E1584" s="116">
        <v>8.6793773282775692</v>
      </c>
      <c r="F1584" s="116">
        <v>542.04999999999995</v>
      </c>
      <c r="G1584">
        <v>8984</v>
      </c>
      <c r="H1584" s="116"/>
      <c r="I1584" s="116"/>
      <c r="L1584" s="170">
        <v>44340</v>
      </c>
      <c r="M1584" s="116">
        <v>536.65</v>
      </c>
      <c r="N1584" s="116">
        <v>540</v>
      </c>
      <c r="O1584" s="116">
        <v>513.95000000000005</v>
      </c>
      <c r="P1584" s="116">
        <v>514</v>
      </c>
      <c r="Q1584" s="116">
        <v>536.65</v>
      </c>
      <c r="R1584">
        <v>567469</v>
      </c>
    </row>
    <row r="1585" spans="1:18" x14ac:dyDescent="0.25">
      <c r="A1585" s="170">
        <v>44342</v>
      </c>
      <c r="B1585" s="116">
        <v>8.7728231790747202</v>
      </c>
      <c r="C1585" s="116">
        <v>8.74669001741111</v>
      </c>
      <c r="D1585" s="116">
        <v>8.4307163354783707</v>
      </c>
      <c r="E1585" s="116">
        <v>8.6793773282775692</v>
      </c>
      <c r="F1585" s="116">
        <v>552.25</v>
      </c>
      <c r="G1585">
        <v>7900</v>
      </c>
      <c r="H1585" s="116"/>
      <c r="I1585" s="116"/>
      <c r="L1585" s="170">
        <v>44341</v>
      </c>
      <c r="M1585" s="116">
        <v>525.75</v>
      </c>
      <c r="N1585" s="116">
        <v>557</v>
      </c>
      <c r="O1585" s="116">
        <v>516.20000000000005</v>
      </c>
      <c r="P1585" s="116">
        <v>548</v>
      </c>
      <c r="Q1585" s="116">
        <v>525.75</v>
      </c>
      <c r="R1585">
        <v>1037883</v>
      </c>
    </row>
    <row r="1586" spans="1:18" x14ac:dyDescent="0.25">
      <c r="A1586" s="170">
        <v>44343</v>
      </c>
      <c r="B1586" s="116">
        <v>8.8488469220961292</v>
      </c>
      <c r="C1586" s="116">
        <v>8.3578602484161895</v>
      </c>
      <c r="D1586" s="116">
        <v>8.1638413209136402</v>
      </c>
      <c r="E1586" s="116">
        <v>8.8488469220961292</v>
      </c>
      <c r="F1586" s="116">
        <v>527.70000000000005</v>
      </c>
      <c r="G1586">
        <v>8396</v>
      </c>
      <c r="H1586" s="116"/>
      <c r="I1586" s="116"/>
      <c r="L1586" s="170">
        <v>44342</v>
      </c>
      <c r="M1586" s="116">
        <v>538.95000000000005</v>
      </c>
      <c r="N1586" s="116">
        <v>541.45000000000005</v>
      </c>
      <c r="O1586" s="116">
        <v>522.4</v>
      </c>
      <c r="P1586" s="116">
        <v>526.9</v>
      </c>
      <c r="Q1586" s="116">
        <v>538.95000000000005</v>
      </c>
      <c r="R1586">
        <v>329298</v>
      </c>
    </row>
    <row r="1587" spans="1:18" x14ac:dyDescent="0.25">
      <c r="A1587" s="170">
        <v>44344</v>
      </c>
      <c r="B1587" s="116">
        <v>8.5368328101124291</v>
      </c>
      <c r="C1587" s="116">
        <v>8.1511706970767293</v>
      </c>
      <c r="D1587" s="116">
        <v>7.9983312970441096</v>
      </c>
      <c r="E1587" s="116">
        <v>8.2366974079758197</v>
      </c>
      <c r="F1587" s="116">
        <v>514.65</v>
      </c>
      <c r="G1587">
        <v>14268</v>
      </c>
      <c r="H1587" s="116"/>
      <c r="I1587" s="116"/>
      <c r="L1587" s="170">
        <v>44343</v>
      </c>
      <c r="M1587" s="116">
        <v>546.70000000000005</v>
      </c>
      <c r="N1587" s="116">
        <v>553</v>
      </c>
      <c r="O1587" s="116">
        <v>539.4</v>
      </c>
      <c r="P1587" s="116">
        <v>539.4</v>
      </c>
      <c r="Q1587" s="116">
        <v>546.70000000000005</v>
      </c>
      <c r="R1587">
        <v>910226</v>
      </c>
    </row>
    <row r="1588" spans="1:18" x14ac:dyDescent="0.25">
      <c r="A1588" s="170">
        <v>44347</v>
      </c>
      <c r="B1588" s="116">
        <v>8.6635390484814394</v>
      </c>
      <c r="C1588" s="116">
        <v>8.2612467416598196</v>
      </c>
      <c r="D1588" s="116">
        <v>7.9191398980634702</v>
      </c>
      <c r="E1588" s="116">
        <v>7.9508164576557299</v>
      </c>
      <c r="F1588" s="116">
        <v>521.6</v>
      </c>
      <c r="G1588">
        <v>7370</v>
      </c>
      <c r="H1588" s="116"/>
      <c r="I1588" s="116"/>
      <c r="L1588" s="170">
        <v>44344</v>
      </c>
      <c r="M1588" s="116">
        <v>531.04999999999995</v>
      </c>
      <c r="N1588" s="116">
        <v>552</v>
      </c>
      <c r="O1588" s="116">
        <v>528.20000000000005</v>
      </c>
      <c r="P1588" s="116">
        <v>551</v>
      </c>
      <c r="Q1588" s="116">
        <v>531.04999999999995</v>
      </c>
      <c r="R1588">
        <v>242956</v>
      </c>
    </row>
    <row r="1589" spans="1:18" x14ac:dyDescent="0.25">
      <c r="A1589" s="170">
        <v>44348</v>
      </c>
      <c r="B1589" s="116">
        <v>8.4576414111317906</v>
      </c>
      <c r="C1589" s="116">
        <v>8.1258294494029304</v>
      </c>
      <c r="D1589" s="116">
        <v>7.9223075540226997</v>
      </c>
      <c r="E1589" s="116">
        <v>8.3942882919472801</v>
      </c>
      <c r="F1589" s="116">
        <v>513.04999999999995</v>
      </c>
      <c r="G1589">
        <v>6347</v>
      </c>
      <c r="H1589" s="116"/>
      <c r="I1589" s="116"/>
      <c r="L1589" s="170">
        <v>44347</v>
      </c>
      <c r="M1589" s="116">
        <v>548.4</v>
      </c>
      <c r="N1589" s="116">
        <v>596.6</v>
      </c>
      <c r="O1589" s="116">
        <v>526.65</v>
      </c>
      <c r="P1589" s="116">
        <v>533.79999999999995</v>
      </c>
      <c r="Q1589" s="116">
        <v>548.4</v>
      </c>
      <c r="R1589">
        <v>3623605</v>
      </c>
    </row>
    <row r="1590" spans="1:18" x14ac:dyDescent="0.25">
      <c r="A1590" s="170">
        <v>44349</v>
      </c>
      <c r="B1590" s="116">
        <v>8.1875987406078305</v>
      </c>
      <c r="C1590" s="116">
        <v>8.0331755125955908</v>
      </c>
      <c r="D1590" s="116">
        <v>7.9357700918494096</v>
      </c>
      <c r="E1590" s="116">
        <v>8.1408758152092506</v>
      </c>
      <c r="F1590" s="116">
        <v>507.2</v>
      </c>
      <c r="G1590">
        <v>5954</v>
      </c>
      <c r="H1590" s="116"/>
      <c r="I1590" s="116"/>
      <c r="L1590" s="170">
        <v>44348</v>
      </c>
      <c r="M1590" s="116">
        <v>557.45000000000005</v>
      </c>
      <c r="N1590" s="116">
        <v>570</v>
      </c>
      <c r="O1590" s="116">
        <v>550.54999999999995</v>
      </c>
      <c r="P1590" s="116">
        <v>557.79999999999995</v>
      </c>
      <c r="Q1590" s="116">
        <v>557.45000000000005</v>
      </c>
      <c r="R1590">
        <v>1158218</v>
      </c>
    </row>
    <row r="1591" spans="1:18" x14ac:dyDescent="0.25">
      <c r="A1591" s="170">
        <v>44350</v>
      </c>
      <c r="B1591" s="116">
        <v>8.3467734525588995</v>
      </c>
      <c r="C1591" s="116">
        <v>8.3111373230176202</v>
      </c>
      <c r="D1591" s="116">
        <v>8.1567140950053805</v>
      </c>
      <c r="E1591" s="116">
        <v>8.1883906545976295</v>
      </c>
      <c r="F1591" s="116">
        <v>524.75</v>
      </c>
      <c r="G1591">
        <v>4904</v>
      </c>
      <c r="H1591" s="116"/>
      <c r="I1591" s="116"/>
      <c r="L1591" s="170">
        <v>44349</v>
      </c>
      <c r="M1591" s="116">
        <v>555.5</v>
      </c>
      <c r="N1591" s="116">
        <v>561</v>
      </c>
      <c r="O1591" s="116">
        <v>550.25</v>
      </c>
      <c r="P1591" s="116">
        <v>557.70000000000005</v>
      </c>
      <c r="Q1591" s="116">
        <v>555.5</v>
      </c>
      <c r="R1591">
        <v>401535</v>
      </c>
    </row>
    <row r="1592" spans="1:18" x14ac:dyDescent="0.25">
      <c r="A1592" s="170">
        <v>44351</v>
      </c>
      <c r="B1592" s="116">
        <v>8.9169515252194707</v>
      </c>
      <c r="C1592" s="116">
        <v>8.8599337179534103</v>
      </c>
      <c r="D1592" s="116">
        <v>8.4734796909279204</v>
      </c>
      <c r="E1592" s="116">
        <v>8.6746258443387294</v>
      </c>
      <c r="F1592" s="116">
        <v>559.4</v>
      </c>
      <c r="G1592">
        <v>22657</v>
      </c>
      <c r="H1592" s="116"/>
      <c r="I1592" s="116"/>
      <c r="L1592" s="170">
        <v>44350</v>
      </c>
      <c r="M1592" s="116">
        <v>542.1</v>
      </c>
      <c r="N1592" s="116">
        <v>564.95000000000005</v>
      </c>
      <c r="O1592" s="116">
        <v>540.6</v>
      </c>
      <c r="P1592" s="116">
        <v>559.70000000000005</v>
      </c>
      <c r="Q1592" s="116">
        <v>542.1</v>
      </c>
      <c r="R1592">
        <v>937648</v>
      </c>
    </row>
    <row r="1593" spans="1:18" x14ac:dyDescent="0.25">
      <c r="A1593" s="170">
        <v>44354</v>
      </c>
      <c r="B1593" s="116">
        <v>9.3430012517352896</v>
      </c>
      <c r="C1593" s="116">
        <v>8.9446685148626894</v>
      </c>
      <c r="D1593" s="116">
        <v>8.8599337179534103</v>
      </c>
      <c r="E1593" s="116">
        <v>8.9803046444039794</v>
      </c>
      <c r="F1593" s="116">
        <v>564.75</v>
      </c>
      <c r="G1593">
        <v>15719</v>
      </c>
      <c r="H1593" s="116"/>
      <c r="I1593" s="116"/>
      <c r="L1593" s="170">
        <v>44351</v>
      </c>
      <c r="M1593" s="116">
        <v>550.6</v>
      </c>
      <c r="N1593" s="116">
        <v>562</v>
      </c>
      <c r="O1593" s="116">
        <v>542.1</v>
      </c>
      <c r="P1593" s="116">
        <v>545.1</v>
      </c>
      <c r="Q1593" s="116">
        <v>550.6</v>
      </c>
      <c r="R1593">
        <v>1293219</v>
      </c>
    </row>
    <row r="1594" spans="1:18" x14ac:dyDescent="0.25">
      <c r="A1594" s="170">
        <v>44355</v>
      </c>
      <c r="B1594" s="116">
        <v>9.1703640019575001</v>
      </c>
      <c r="C1594" s="116">
        <v>8.5352489821328099</v>
      </c>
      <c r="D1594" s="116">
        <v>8.4766473468871393</v>
      </c>
      <c r="E1594" s="116">
        <v>9.02781948379236</v>
      </c>
      <c r="F1594" s="116">
        <v>538.9</v>
      </c>
      <c r="G1594">
        <v>19394</v>
      </c>
      <c r="H1594" s="116"/>
      <c r="I1594" s="116"/>
      <c r="L1594" s="170">
        <v>44354</v>
      </c>
      <c r="M1594" s="116">
        <v>544</v>
      </c>
      <c r="N1594" s="116">
        <v>557.9</v>
      </c>
      <c r="O1594" s="116">
        <v>541.54999999999995</v>
      </c>
      <c r="P1594" s="116">
        <v>557.5</v>
      </c>
      <c r="Q1594" s="116">
        <v>544</v>
      </c>
      <c r="R1594">
        <v>453616</v>
      </c>
    </row>
    <row r="1595" spans="1:18" x14ac:dyDescent="0.25">
      <c r="A1595" s="170">
        <v>44356</v>
      </c>
      <c r="B1595" s="116">
        <v>8.8060835666465795</v>
      </c>
      <c r="C1595" s="116">
        <v>8.3665713023040595</v>
      </c>
      <c r="D1595" s="116">
        <v>8.25174377378214</v>
      </c>
      <c r="E1595" s="116">
        <v>8.8060835666465795</v>
      </c>
      <c r="F1595" s="116">
        <v>528.25</v>
      </c>
      <c r="G1595">
        <v>12055</v>
      </c>
      <c r="H1595" s="116"/>
      <c r="I1595" s="116"/>
      <c r="L1595" s="170">
        <v>44355</v>
      </c>
      <c r="M1595" s="116">
        <v>543.25</v>
      </c>
      <c r="N1595" s="116">
        <v>548.45000000000005</v>
      </c>
      <c r="O1595" s="116">
        <v>541</v>
      </c>
      <c r="P1595" s="116">
        <v>544</v>
      </c>
      <c r="Q1595" s="116">
        <v>543.25</v>
      </c>
      <c r="R1595">
        <v>634050</v>
      </c>
    </row>
    <row r="1596" spans="1:18" x14ac:dyDescent="0.25">
      <c r="A1596" s="170">
        <v>44357</v>
      </c>
      <c r="B1596" s="116">
        <v>8.7522334153397505</v>
      </c>
      <c r="C1596" s="116">
        <v>8.6674986184304696</v>
      </c>
      <c r="D1596" s="116">
        <v>8.3166807209462608</v>
      </c>
      <c r="E1596" s="116">
        <v>8.4734796909279204</v>
      </c>
      <c r="F1596" s="116">
        <v>547.25</v>
      </c>
      <c r="G1596">
        <v>9553</v>
      </c>
      <c r="H1596" s="116"/>
      <c r="I1596" s="116"/>
      <c r="L1596" s="170">
        <v>44356</v>
      </c>
      <c r="M1596" s="116">
        <v>529.1</v>
      </c>
      <c r="N1596" s="116">
        <v>547</v>
      </c>
      <c r="O1596" s="116">
        <v>523</v>
      </c>
      <c r="P1596" s="116">
        <v>543.5</v>
      </c>
      <c r="Q1596" s="116">
        <v>529.1</v>
      </c>
      <c r="R1596">
        <v>546046</v>
      </c>
    </row>
    <row r="1597" spans="1:18" x14ac:dyDescent="0.25">
      <c r="A1597" s="170">
        <v>44358</v>
      </c>
      <c r="B1597" s="116">
        <v>8.8575579759839993</v>
      </c>
      <c r="C1597" s="116">
        <v>8.7458981034213004</v>
      </c>
      <c r="D1597" s="116">
        <v>8.4932775406730805</v>
      </c>
      <c r="E1597" s="116">
        <v>8.7902452868504604</v>
      </c>
      <c r="F1597" s="116">
        <v>552.20000000000005</v>
      </c>
      <c r="G1597">
        <v>11482</v>
      </c>
      <c r="H1597" s="116"/>
      <c r="I1597" s="116"/>
      <c r="L1597" s="170">
        <v>44357</v>
      </c>
      <c r="M1597" s="116">
        <v>520.04999999999995</v>
      </c>
      <c r="N1597" s="116">
        <v>531.29999999999995</v>
      </c>
      <c r="O1597" s="116">
        <v>519.45000000000005</v>
      </c>
      <c r="P1597" s="116">
        <v>530</v>
      </c>
      <c r="Q1597" s="116">
        <v>520.04999999999995</v>
      </c>
      <c r="R1597">
        <v>1236333</v>
      </c>
    </row>
    <row r="1598" spans="1:18" x14ac:dyDescent="0.25">
      <c r="A1598" s="170">
        <v>44361</v>
      </c>
      <c r="B1598" s="116">
        <v>8.7458981034213004</v>
      </c>
      <c r="C1598" s="116">
        <v>8.7126377158494304</v>
      </c>
      <c r="D1598" s="116">
        <v>8.3958721199268993</v>
      </c>
      <c r="E1598" s="116">
        <v>8.7458981034213004</v>
      </c>
      <c r="F1598" s="116">
        <v>550.1</v>
      </c>
      <c r="G1598">
        <v>6914</v>
      </c>
      <c r="H1598" s="116"/>
      <c r="I1598" s="116"/>
      <c r="L1598" s="170">
        <v>44358</v>
      </c>
      <c r="M1598" s="116">
        <v>527.29999999999995</v>
      </c>
      <c r="N1598" s="116">
        <v>567</v>
      </c>
      <c r="O1598" s="116">
        <v>522.25</v>
      </c>
      <c r="P1598" s="116">
        <v>527.25</v>
      </c>
      <c r="Q1598" s="116">
        <v>527.29999999999995</v>
      </c>
      <c r="R1598">
        <v>3113067</v>
      </c>
    </row>
    <row r="1599" spans="1:18" x14ac:dyDescent="0.25">
      <c r="A1599" s="170">
        <v>44362</v>
      </c>
      <c r="B1599" s="116">
        <v>8.7268921676659499</v>
      </c>
      <c r="C1599" s="116">
        <v>8.7102619738800193</v>
      </c>
      <c r="D1599" s="116">
        <v>8.5724689396537102</v>
      </c>
      <c r="E1599" s="116">
        <v>8.7268921676659499</v>
      </c>
      <c r="F1599" s="116">
        <v>549.95000000000005</v>
      </c>
      <c r="G1599">
        <v>18080</v>
      </c>
      <c r="H1599" s="116"/>
      <c r="I1599" s="116"/>
      <c r="L1599" s="170">
        <v>44361</v>
      </c>
      <c r="M1599" s="116">
        <v>522.35</v>
      </c>
      <c r="N1599" s="116">
        <v>529.95000000000005</v>
      </c>
      <c r="O1599" s="116">
        <v>515</v>
      </c>
      <c r="P1599" s="116">
        <v>529.1</v>
      </c>
      <c r="Q1599" s="116">
        <v>522.35</v>
      </c>
      <c r="R1599">
        <v>567181</v>
      </c>
    </row>
    <row r="1600" spans="1:18" x14ac:dyDescent="0.25">
      <c r="A1600" s="170">
        <v>44363</v>
      </c>
      <c r="B1600" s="116">
        <v>8.71105388786982</v>
      </c>
      <c r="C1600" s="116">
        <v>8.58830721944984</v>
      </c>
      <c r="D1600" s="116">
        <v>8.5225783582959096</v>
      </c>
      <c r="E1600" s="116">
        <v>8.7094700598902097</v>
      </c>
      <c r="F1600" s="116">
        <v>542.25</v>
      </c>
      <c r="G1600">
        <v>12506</v>
      </c>
      <c r="H1600" s="116"/>
      <c r="I1600" s="116"/>
      <c r="L1600" s="170">
        <v>44362</v>
      </c>
      <c r="M1600" s="116">
        <v>522.95000000000005</v>
      </c>
      <c r="N1600" s="116">
        <v>531.70000000000005</v>
      </c>
      <c r="O1600" s="116">
        <v>521.35</v>
      </c>
      <c r="P1600" s="116">
        <v>524.65</v>
      </c>
      <c r="Q1600" s="116">
        <v>522.95000000000005</v>
      </c>
      <c r="R1600">
        <v>487744</v>
      </c>
    </row>
    <row r="1601" spans="1:18" x14ac:dyDescent="0.25">
      <c r="A1601" s="170">
        <v>44364</v>
      </c>
      <c r="B1601" s="116">
        <v>8.71105388786982</v>
      </c>
      <c r="C1601" s="116">
        <v>8.5708851116740998</v>
      </c>
      <c r="D1601" s="116">
        <v>8.5526710899085501</v>
      </c>
      <c r="E1601" s="116">
        <v>8.5526710899085501</v>
      </c>
      <c r="F1601" s="116">
        <v>541.15</v>
      </c>
      <c r="G1601">
        <v>5190</v>
      </c>
      <c r="H1601" s="116"/>
      <c r="I1601" s="116"/>
      <c r="L1601" s="170">
        <v>44363</v>
      </c>
      <c r="M1601" s="116">
        <v>518.20000000000005</v>
      </c>
      <c r="N1601" s="116">
        <v>528.70000000000005</v>
      </c>
      <c r="O1601" s="116">
        <v>516</v>
      </c>
      <c r="P1601" s="116">
        <v>523</v>
      </c>
      <c r="Q1601" s="116">
        <v>518.20000000000005</v>
      </c>
      <c r="R1601">
        <v>371289</v>
      </c>
    </row>
    <row r="1602" spans="1:18" x14ac:dyDescent="0.25">
      <c r="A1602" s="170">
        <v>44365</v>
      </c>
      <c r="B1602" s="116">
        <v>8.6635390484814394</v>
      </c>
      <c r="C1602" s="116">
        <v>8.2857960753438107</v>
      </c>
      <c r="D1602" s="116">
        <v>8.0062504369421692</v>
      </c>
      <c r="E1602" s="116">
        <v>8.5526710899085501</v>
      </c>
      <c r="F1602" s="116">
        <v>523.15</v>
      </c>
      <c r="G1602">
        <v>13208</v>
      </c>
      <c r="H1602" s="116"/>
      <c r="I1602" s="116"/>
      <c r="L1602" s="170">
        <v>44364</v>
      </c>
      <c r="M1602" s="116">
        <v>514.54999999999995</v>
      </c>
      <c r="N1602" s="116">
        <v>524.95000000000005</v>
      </c>
      <c r="O1602" s="116">
        <v>511.45</v>
      </c>
      <c r="P1602" s="116">
        <v>515.5</v>
      </c>
      <c r="Q1602" s="116">
        <v>514.54999999999995</v>
      </c>
      <c r="R1602">
        <v>344276</v>
      </c>
    </row>
    <row r="1603" spans="1:18" x14ac:dyDescent="0.25">
      <c r="A1603" s="170">
        <v>44368</v>
      </c>
      <c r="B1603" s="116">
        <v>8.5368328101124291</v>
      </c>
      <c r="C1603" s="116">
        <v>8.40775082977399</v>
      </c>
      <c r="D1603" s="116">
        <v>8.0830660939533896</v>
      </c>
      <c r="E1603" s="116">
        <v>8.2366974079758197</v>
      </c>
      <c r="F1603" s="116">
        <v>530.85</v>
      </c>
      <c r="G1603">
        <v>7417</v>
      </c>
      <c r="H1603" s="116"/>
      <c r="I1603" s="116"/>
      <c r="L1603" s="170">
        <v>44365</v>
      </c>
      <c r="M1603" s="116">
        <v>513.35</v>
      </c>
      <c r="N1603" s="116">
        <v>518.79999999999995</v>
      </c>
      <c r="O1603" s="116">
        <v>501.5</v>
      </c>
      <c r="P1603" s="116">
        <v>518.4</v>
      </c>
      <c r="Q1603" s="116">
        <v>513.35</v>
      </c>
      <c r="R1603">
        <v>993857</v>
      </c>
    </row>
    <row r="1604" spans="1:18" x14ac:dyDescent="0.25">
      <c r="A1604" s="170">
        <v>44369</v>
      </c>
      <c r="B1604" s="116">
        <v>8.6952156080736902</v>
      </c>
      <c r="C1604" s="116">
        <v>8.5075319924895894</v>
      </c>
      <c r="D1604" s="116">
        <v>8.2675820535782698</v>
      </c>
      <c r="E1604" s="116">
        <v>8.2675820535782698</v>
      </c>
      <c r="F1604" s="116">
        <v>537.15</v>
      </c>
      <c r="G1604">
        <v>15423</v>
      </c>
      <c r="H1604" s="116"/>
      <c r="I1604" s="116"/>
      <c r="L1604" s="170">
        <v>44368</v>
      </c>
      <c r="M1604" s="116">
        <v>510.5</v>
      </c>
      <c r="N1604" s="116">
        <v>520</v>
      </c>
      <c r="O1604" s="116">
        <v>506.2</v>
      </c>
      <c r="P1604" s="116">
        <v>506.2</v>
      </c>
      <c r="Q1604" s="116">
        <v>510.5</v>
      </c>
      <c r="R1604">
        <v>558627</v>
      </c>
    </row>
    <row r="1605" spans="1:18" x14ac:dyDescent="0.25">
      <c r="A1605" s="170">
        <v>44370</v>
      </c>
      <c r="B1605" s="116">
        <v>8.7847018889218091</v>
      </c>
      <c r="C1605" s="116">
        <v>8.5534630038983597</v>
      </c>
      <c r="D1605" s="116">
        <v>8.4742716049177194</v>
      </c>
      <c r="E1605" s="116">
        <v>8.7847018889218091</v>
      </c>
      <c r="F1605" s="116">
        <v>540.04999999999995</v>
      </c>
      <c r="G1605">
        <v>7751</v>
      </c>
      <c r="H1605" s="116"/>
      <c r="I1605" s="116"/>
      <c r="L1605" s="170">
        <v>44369</v>
      </c>
      <c r="M1605" s="116">
        <v>524.4</v>
      </c>
      <c r="N1605" s="116">
        <v>531</v>
      </c>
      <c r="O1605" s="116">
        <v>513.20000000000005</v>
      </c>
      <c r="P1605" s="116">
        <v>514.79999999999995</v>
      </c>
      <c r="Q1605" s="116">
        <v>524.4</v>
      </c>
      <c r="R1605">
        <v>902175</v>
      </c>
    </row>
    <row r="1606" spans="1:18" x14ac:dyDescent="0.25">
      <c r="A1606" s="170">
        <v>44371</v>
      </c>
      <c r="B1606" s="116">
        <v>8.6326544028789893</v>
      </c>
      <c r="C1606" s="116">
        <v>8.4703120349686891</v>
      </c>
      <c r="D1606" s="116">
        <v>8.4014155178555399</v>
      </c>
      <c r="E1606" s="116">
        <v>8.5843476495008098</v>
      </c>
      <c r="F1606" s="116">
        <v>534.79999999999995</v>
      </c>
      <c r="G1606">
        <v>3690</v>
      </c>
      <c r="H1606" s="116"/>
      <c r="I1606" s="116"/>
      <c r="L1606" s="170">
        <v>44370</v>
      </c>
      <c r="M1606" s="116">
        <v>514.95000000000005</v>
      </c>
      <c r="N1606" s="116">
        <v>527.04999999999995</v>
      </c>
      <c r="O1606" s="116">
        <v>511.6</v>
      </c>
      <c r="P1606" s="116">
        <v>527.04999999999995</v>
      </c>
      <c r="Q1606" s="116">
        <v>514.95000000000005</v>
      </c>
      <c r="R1606">
        <v>288604</v>
      </c>
    </row>
    <row r="1607" spans="1:18" x14ac:dyDescent="0.25">
      <c r="A1607" s="170">
        <v>44372</v>
      </c>
      <c r="B1607" s="116">
        <v>8.71105388786982</v>
      </c>
      <c r="C1607" s="116">
        <v>8.5502953479391302</v>
      </c>
      <c r="D1607" s="116">
        <v>8.5051562505201694</v>
      </c>
      <c r="E1607" s="116">
        <v>8.5209945303162993</v>
      </c>
      <c r="F1607" s="116">
        <v>539.85</v>
      </c>
      <c r="G1607">
        <v>5133</v>
      </c>
      <c r="H1607" s="116"/>
      <c r="I1607" s="116"/>
      <c r="L1607" s="170">
        <v>44371</v>
      </c>
      <c r="M1607" s="116">
        <v>519.15</v>
      </c>
      <c r="N1607" s="116">
        <v>523.4</v>
      </c>
      <c r="O1607" s="116">
        <v>516.04999999999995</v>
      </c>
      <c r="P1607" s="116">
        <v>518.79999999999995</v>
      </c>
      <c r="Q1607" s="116">
        <v>519.15</v>
      </c>
      <c r="R1607">
        <v>230353</v>
      </c>
    </row>
    <row r="1608" spans="1:18" x14ac:dyDescent="0.25">
      <c r="A1608" s="170">
        <v>44375</v>
      </c>
      <c r="B1608" s="116">
        <v>8.7530253293295601</v>
      </c>
      <c r="C1608" s="116">
        <v>8.4980290246119097</v>
      </c>
      <c r="D1608" s="116">
        <v>8.3230160328647091</v>
      </c>
      <c r="E1608" s="116">
        <v>8.5368328101124291</v>
      </c>
      <c r="F1608" s="116">
        <v>536.54999999999995</v>
      </c>
      <c r="G1608">
        <v>6916</v>
      </c>
      <c r="H1608" s="116"/>
      <c r="I1608" s="116"/>
      <c r="L1608" s="170">
        <v>44372</v>
      </c>
      <c r="M1608" s="116">
        <v>520.04999999999995</v>
      </c>
      <c r="N1608" s="116">
        <v>527.9</v>
      </c>
      <c r="O1608" s="116">
        <v>516.25</v>
      </c>
      <c r="P1608" s="116">
        <v>520.70000000000005</v>
      </c>
      <c r="Q1608" s="116">
        <v>520.04999999999995</v>
      </c>
      <c r="R1608">
        <v>480434</v>
      </c>
    </row>
    <row r="1609" spans="1:18" x14ac:dyDescent="0.25">
      <c r="A1609" s="170">
        <v>44376</v>
      </c>
      <c r="B1609" s="116">
        <v>8.6302786609095694</v>
      </c>
      <c r="C1609" s="116">
        <v>8.4172537976516697</v>
      </c>
      <c r="D1609" s="116">
        <v>8.2675820535782698</v>
      </c>
      <c r="E1609" s="116">
        <v>8.6302786609095694</v>
      </c>
      <c r="F1609" s="116">
        <v>531.45000000000005</v>
      </c>
      <c r="G1609">
        <v>2824</v>
      </c>
      <c r="H1609" s="116"/>
      <c r="I1609" s="116"/>
      <c r="L1609" s="170">
        <v>44375</v>
      </c>
      <c r="M1609" s="116">
        <v>520.65</v>
      </c>
      <c r="N1609" s="116">
        <v>525.29999999999995</v>
      </c>
      <c r="O1609" s="116">
        <v>518</v>
      </c>
      <c r="P1609" s="116">
        <v>520.04999999999995</v>
      </c>
      <c r="Q1609" s="116">
        <v>520.65</v>
      </c>
      <c r="R1609">
        <v>222232</v>
      </c>
    </row>
    <row r="1610" spans="1:18" x14ac:dyDescent="0.25">
      <c r="A1610" s="170">
        <v>44377</v>
      </c>
      <c r="B1610" s="116">
        <v>8.7268921676659499</v>
      </c>
      <c r="C1610" s="116">
        <v>8.4703120349686891</v>
      </c>
      <c r="D1610" s="116">
        <v>8.4180457116414704</v>
      </c>
      <c r="E1610" s="116">
        <v>8.6896722101450496</v>
      </c>
      <c r="F1610" s="116">
        <v>534.79999999999995</v>
      </c>
      <c r="G1610">
        <v>3984</v>
      </c>
      <c r="H1610" s="116"/>
      <c r="I1610" s="116"/>
      <c r="L1610" s="170">
        <v>44376</v>
      </c>
      <c r="M1610" s="116">
        <v>520.04999999999995</v>
      </c>
      <c r="N1610" s="116">
        <v>526.79999999999995</v>
      </c>
      <c r="O1610" s="116">
        <v>514.5</v>
      </c>
      <c r="P1610" s="116">
        <v>521</v>
      </c>
      <c r="Q1610" s="116">
        <v>520.04999999999995</v>
      </c>
      <c r="R1610">
        <v>434086</v>
      </c>
    </row>
    <row r="1611" spans="1:18" x14ac:dyDescent="0.25">
      <c r="A1611" s="170">
        <v>44378</v>
      </c>
      <c r="B1611" s="116">
        <v>8.5526710899085501</v>
      </c>
      <c r="C1611" s="116">
        <v>8.4497222712337301</v>
      </c>
      <c r="D1611" s="116">
        <v>8.25174377378214</v>
      </c>
      <c r="E1611" s="116">
        <v>8.25174377378214</v>
      </c>
      <c r="F1611" s="116">
        <v>533.5</v>
      </c>
      <c r="G1611">
        <v>2595</v>
      </c>
      <c r="H1611" s="116"/>
      <c r="I1611" s="116"/>
      <c r="L1611" s="170">
        <v>44377</v>
      </c>
      <c r="M1611" s="116">
        <v>523.54999999999995</v>
      </c>
      <c r="N1611" s="116">
        <v>525.85</v>
      </c>
      <c r="O1611" s="116">
        <v>518.15</v>
      </c>
      <c r="P1611" s="116">
        <v>522</v>
      </c>
      <c r="Q1611" s="116">
        <v>523.54999999999995</v>
      </c>
      <c r="R1611">
        <v>339827</v>
      </c>
    </row>
    <row r="1612" spans="1:18" x14ac:dyDescent="0.25">
      <c r="A1612" s="170">
        <v>44379</v>
      </c>
      <c r="B1612" s="116">
        <v>8.5843476495008098</v>
      </c>
      <c r="C1612" s="116">
        <v>8.3752823561919296</v>
      </c>
      <c r="D1612" s="116">
        <v>8.2058127623733697</v>
      </c>
      <c r="E1612" s="116">
        <v>8.5843476495008098</v>
      </c>
      <c r="F1612" s="116">
        <v>528.79999999999995</v>
      </c>
      <c r="G1612">
        <v>10329</v>
      </c>
      <c r="H1612" s="116"/>
      <c r="I1612" s="116"/>
      <c r="L1612" s="170">
        <v>44378</v>
      </c>
      <c r="M1612" s="116">
        <v>521.1</v>
      </c>
      <c r="N1612" s="116">
        <v>525.85</v>
      </c>
      <c r="O1612" s="116">
        <v>519.1</v>
      </c>
      <c r="P1612" s="116">
        <v>523.54999999999995</v>
      </c>
      <c r="Q1612" s="116">
        <v>521.1</v>
      </c>
      <c r="R1612">
        <v>193516</v>
      </c>
    </row>
    <row r="1613" spans="1:18" x14ac:dyDescent="0.25">
      <c r="A1613" s="170">
        <v>44382</v>
      </c>
      <c r="B1613" s="116">
        <v>8.6152322951032492</v>
      </c>
      <c r="C1613" s="116">
        <v>8.4433869593152799</v>
      </c>
      <c r="D1613" s="116">
        <v>8.2960909572112893</v>
      </c>
      <c r="E1613" s="116">
        <v>8.5209945303162993</v>
      </c>
      <c r="F1613" s="116">
        <v>533.1</v>
      </c>
      <c r="G1613">
        <v>7601</v>
      </c>
      <c r="H1613" s="116"/>
      <c r="I1613" s="116"/>
      <c r="L1613" s="170">
        <v>44379</v>
      </c>
      <c r="M1613" s="116">
        <v>518.29999999999995</v>
      </c>
      <c r="N1613" s="116">
        <v>525.25</v>
      </c>
      <c r="O1613" s="116">
        <v>517.1</v>
      </c>
      <c r="P1613" s="116">
        <v>522</v>
      </c>
      <c r="Q1613" s="116">
        <v>518.29999999999995</v>
      </c>
      <c r="R1613">
        <v>356535</v>
      </c>
    </row>
    <row r="1614" spans="1:18" x14ac:dyDescent="0.25">
      <c r="A1614" s="170">
        <v>44383</v>
      </c>
      <c r="B1614" s="116">
        <v>8.5669255417250696</v>
      </c>
      <c r="C1614" s="116">
        <v>8.3792419261409599</v>
      </c>
      <c r="D1614" s="116">
        <v>8.3626117323550293</v>
      </c>
      <c r="E1614" s="116">
        <v>8.5669255417250696</v>
      </c>
      <c r="F1614" s="116">
        <v>529.04999999999995</v>
      </c>
      <c r="G1614">
        <v>8686</v>
      </c>
      <c r="H1614" s="116"/>
      <c r="I1614" s="116"/>
      <c r="L1614" s="170">
        <v>44382</v>
      </c>
      <c r="M1614" s="116">
        <v>518.6</v>
      </c>
      <c r="N1614" s="116">
        <v>522.79999999999995</v>
      </c>
      <c r="O1614" s="116">
        <v>515.6</v>
      </c>
      <c r="P1614" s="116">
        <v>518.5</v>
      </c>
      <c r="Q1614" s="116">
        <v>518.6</v>
      </c>
      <c r="R1614">
        <v>222638</v>
      </c>
    </row>
    <row r="1615" spans="1:18" x14ac:dyDescent="0.25">
      <c r="A1615" s="170">
        <v>44384</v>
      </c>
      <c r="B1615" s="116">
        <v>8.8528064920451595</v>
      </c>
      <c r="C1615" s="116">
        <v>8.7253083396863396</v>
      </c>
      <c r="D1615" s="116">
        <v>8.3150968929666504</v>
      </c>
      <c r="E1615" s="116">
        <v>8.3150968929666504</v>
      </c>
      <c r="F1615" s="116">
        <v>550.9</v>
      </c>
      <c r="G1615">
        <v>17713</v>
      </c>
      <c r="H1615" s="116"/>
      <c r="I1615" s="116"/>
      <c r="L1615" s="170">
        <v>44383</v>
      </c>
      <c r="M1615" s="116">
        <v>513.15</v>
      </c>
      <c r="N1615" s="116">
        <v>529.65</v>
      </c>
      <c r="O1615" s="116">
        <v>512</v>
      </c>
      <c r="P1615" s="116">
        <v>518.6</v>
      </c>
      <c r="Q1615" s="116">
        <v>513.15</v>
      </c>
      <c r="R1615">
        <v>499395</v>
      </c>
    </row>
    <row r="1616" spans="1:18" x14ac:dyDescent="0.25">
      <c r="A1616" s="170">
        <v>44385</v>
      </c>
      <c r="B1616" s="116">
        <v>10.277459759706799</v>
      </c>
      <c r="C1616" s="116">
        <v>9.2543068848769696</v>
      </c>
      <c r="D1616" s="116">
        <v>8.86943668583109</v>
      </c>
      <c r="E1616" s="116">
        <v>8.86943668583109</v>
      </c>
      <c r="F1616" s="116">
        <v>584.29999999999995</v>
      </c>
      <c r="G1616">
        <v>154660</v>
      </c>
      <c r="H1616" s="116"/>
      <c r="I1616" s="116"/>
      <c r="L1616" s="170">
        <v>44384</v>
      </c>
      <c r="M1616" s="116">
        <v>514</v>
      </c>
      <c r="N1616" s="116">
        <v>517.9</v>
      </c>
      <c r="O1616" s="116">
        <v>512.1</v>
      </c>
      <c r="P1616" s="116">
        <v>513.65</v>
      </c>
      <c r="Q1616" s="116">
        <v>514</v>
      </c>
      <c r="R1616">
        <v>193141</v>
      </c>
    </row>
    <row r="1617" spans="1:18" x14ac:dyDescent="0.25">
      <c r="A1617" s="170">
        <v>44386</v>
      </c>
      <c r="B1617" s="116">
        <v>9.8894219047016705</v>
      </c>
      <c r="C1617" s="116">
        <v>9.5164304155028798</v>
      </c>
      <c r="D1617" s="116">
        <v>8.8741881697699299</v>
      </c>
      <c r="E1617" s="116">
        <v>9.2543068848769696</v>
      </c>
      <c r="F1617" s="116">
        <v>600.85</v>
      </c>
      <c r="G1617">
        <v>64077</v>
      </c>
      <c r="H1617" s="116"/>
      <c r="I1617" s="116"/>
      <c r="L1617" s="170">
        <v>44385</v>
      </c>
      <c r="M1617" s="116">
        <v>512.20000000000005</v>
      </c>
      <c r="N1617" s="116">
        <v>515.70000000000005</v>
      </c>
      <c r="O1617" s="116">
        <v>508.5</v>
      </c>
      <c r="P1617" s="116">
        <v>512</v>
      </c>
      <c r="Q1617" s="116">
        <v>512.20000000000005</v>
      </c>
      <c r="R1617">
        <v>236505</v>
      </c>
    </row>
    <row r="1618" spans="1:18" x14ac:dyDescent="0.25">
      <c r="A1618" s="170">
        <v>44389</v>
      </c>
      <c r="B1618" s="116">
        <v>10.088984230132899</v>
      </c>
      <c r="C1618" s="116">
        <v>9.98445158347843</v>
      </c>
      <c r="D1618" s="116">
        <v>9.5552342010033904</v>
      </c>
      <c r="E1618" s="116">
        <v>9.8165658176394803</v>
      </c>
      <c r="F1618" s="116">
        <v>630.4</v>
      </c>
      <c r="G1618">
        <v>40359</v>
      </c>
      <c r="H1618" s="116"/>
      <c r="I1618" s="116"/>
      <c r="L1618" s="170">
        <v>44386</v>
      </c>
      <c r="M1618" s="116">
        <v>513.9</v>
      </c>
      <c r="N1618" s="116">
        <v>519.54999999999995</v>
      </c>
      <c r="O1618" s="116">
        <v>510.8</v>
      </c>
      <c r="P1618" s="116">
        <v>513.4</v>
      </c>
      <c r="Q1618" s="116">
        <v>513.9</v>
      </c>
      <c r="R1618">
        <v>403505</v>
      </c>
    </row>
    <row r="1619" spans="1:18" x14ac:dyDescent="0.25">
      <c r="A1619" s="170">
        <v>44390</v>
      </c>
      <c r="B1619" s="116">
        <v>10.263205307890299</v>
      </c>
      <c r="C1619" s="116">
        <v>9.9963302933255207</v>
      </c>
      <c r="D1619" s="116">
        <v>9.8458666352623201</v>
      </c>
      <c r="E1619" s="116">
        <v>10.2473670280941</v>
      </c>
      <c r="F1619" s="116">
        <v>631.15</v>
      </c>
      <c r="G1619">
        <v>26955</v>
      </c>
      <c r="H1619" s="116"/>
      <c r="I1619" s="116"/>
      <c r="L1619" s="170">
        <v>44389</v>
      </c>
      <c r="M1619" s="116">
        <v>521.04999999999995</v>
      </c>
      <c r="N1619" s="116">
        <v>522.5</v>
      </c>
      <c r="O1619" s="116">
        <v>513.20000000000005</v>
      </c>
      <c r="P1619" s="116">
        <v>517.79999999999995</v>
      </c>
      <c r="Q1619" s="116">
        <v>521.04999999999995</v>
      </c>
      <c r="R1619">
        <v>365050</v>
      </c>
    </row>
    <row r="1620" spans="1:18" x14ac:dyDescent="0.25">
      <c r="A1620" s="170">
        <v>44391</v>
      </c>
      <c r="B1620" s="116">
        <v>10.847637832367299</v>
      </c>
      <c r="C1620" s="116">
        <v>10.7320183898556</v>
      </c>
      <c r="D1620" s="116">
        <v>9.9939545513561008</v>
      </c>
      <c r="E1620" s="116">
        <v>10.135707155531399</v>
      </c>
      <c r="F1620" s="116">
        <v>677.6</v>
      </c>
      <c r="G1620">
        <v>56384</v>
      </c>
      <c r="H1620" s="116"/>
      <c r="I1620" s="116"/>
      <c r="L1620" s="170">
        <v>44390</v>
      </c>
      <c r="M1620" s="116">
        <v>552.1</v>
      </c>
      <c r="N1620" s="116">
        <v>555</v>
      </c>
      <c r="O1620" s="116">
        <v>521.54999999999995</v>
      </c>
      <c r="P1620" s="116">
        <v>523.4</v>
      </c>
      <c r="Q1620" s="116">
        <v>552.1</v>
      </c>
      <c r="R1620">
        <v>2960464</v>
      </c>
    </row>
    <row r="1621" spans="1:18" x14ac:dyDescent="0.25">
      <c r="A1621" s="170">
        <v>44392</v>
      </c>
      <c r="B1621" s="116">
        <v>11.8620796533093</v>
      </c>
      <c r="C1621" s="116">
        <v>11.5437302294071</v>
      </c>
      <c r="D1621" s="116">
        <v>11.280814784791399</v>
      </c>
      <c r="E1621" s="116">
        <v>11.387723173415299</v>
      </c>
      <c r="F1621" s="116">
        <v>728.85</v>
      </c>
      <c r="G1621">
        <v>75870</v>
      </c>
      <c r="H1621" s="116"/>
      <c r="I1621" s="116"/>
      <c r="L1621" s="170">
        <v>44391</v>
      </c>
      <c r="M1621" s="116">
        <v>548.85</v>
      </c>
      <c r="N1621" s="116">
        <v>552.29999999999995</v>
      </c>
      <c r="O1621" s="116">
        <v>540.25</v>
      </c>
      <c r="P1621" s="116">
        <v>552</v>
      </c>
      <c r="Q1621" s="116">
        <v>548.85</v>
      </c>
      <c r="R1621">
        <v>868297</v>
      </c>
    </row>
    <row r="1622" spans="1:18" x14ac:dyDescent="0.25">
      <c r="A1622" s="170">
        <v>44393</v>
      </c>
      <c r="B1622" s="116">
        <v>10.950586651042199</v>
      </c>
      <c r="C1622" s="116">
        <v>10.611647463405101</v>
      </c>
      <c r="D1622" s="116">
        <v>9.2353009491216191</v>
      </c>
      <c r="E1622" s="116">
        <v>10.950586651042199</v>
      </c>
      <c r="F1622" s="116">
        <v>670</v>
      </c>
      <c r="G1622">
        <v>63479</v>
      </c>
      <c r="H1622" s="116"/>
      <c r="I1622" s="116"/>
      <c r="L1622" s="170">
        <v>44392</v>
      </c>
      <c r="M1622" s="116">
        <v>542.85</v>
      </c>
      <c r="N1622" s="116">
        <v>549.79999999999995</v>
      </c>
      <c r="O1622" s="116">
        <v>535.25</v>
      </c>
      <c r="P1622" s="116">
        <v>548.85</v>
      </c>
      <c r="Q1622" s="116">
        <v>542.85</v>
      </c>
      <c r="R1622">
        <v>342663</v>
      </c>
    </row>
    <row r="1623" spans="1:18" x14ac:dyDescent="0.25">
      <c r="A1623" s="170">
        <v>44396</v>
      </c>
      <c r="B1623" s="116">
        <v>11.0622465236049</v>
      </c>
      <c r="C1623" s="116">
        <v>10.815169358785299</v>
      </c>
      <c r="D1623" s="116">
        <v>10.3138878032379</v>
      </c>
      <c r="E1623" s="116">
        <v>10.5577973120982</v>
      </c>
      <c r="F1623" s="116">
        <v>682.85</v>
      </c>
      <c r="G1623">
        <v>21775</v>
      </c>
      <c r="H1623" s="116"/>
      <c r="I1623" s="116"/>
      <c r="L1623" s="170">
        <v>44393</v>
      </c>
      <c r="M1623" s="116">
        <v>540.65</v>
      </c>
      <c r="N1623" s="116">
        <v>553.35</v>
      </c>
      <c r="O1623" s="116">
        <v>536.35</v>
      </c>
      <c r="P1623" s="116">
        <v>545</v>
      </c>
      <c r="Q1623" s="116">
        <v>540.65</v>
      </c>
      <c r="R1623">
        <v>1256498</v>
      </c>
    </row>
    <row r="1624" spans="1:18" x14ac:dyDescent="0.25">
      <c r="A1624" s="170">
        <v>44397</v>
      </c>
      <c r="B1624" s="116">
        <v>10.906239467613</v>
      </c>
      <c r="C1624" s="116">
        <v>10.633821055119601</v>
      </c>
      <c r="D1624" s="116">
        <v>10.4532646654438</v>
      </c>
      <c r="E1624" s="116">
        <v>10.815169358785299</v>
      </c>
      <c r="F1624" s="116">
        <v>671.4</v>
      </c>
      <c r="G1624">
        <v>15637</v>
      </c>
      <c r="H1624" s="116"/>
      <c r="I1624" s="116"/>
      <c r="L1624" s="170">
        <v>44396</v>
      </c>
      <c r="M1624" s="116">
        <v>533.1</v>
      </c>
      <c r="N1624" s="116">
        <v>541.9</v>
      </c>
      <c r="O1624" s="116">
        <v>530.95000000000005</v>
      </c>
      <c r="P1624" s="116">
        <v>534.65</v>
      </c>
      <c r="Q1624" s="116">
        <v>533.1</v>
      </c>
      <c r="R1624">
        <v>238485</v>
      </c>
    </row>
    <row r="1625" spans="1:18" x14ac:dyDescent="0.25">
      <c r="A1625" s="170">
        <v>44399</v>
      </c>
      <c r="B1625" s="116">
        <v>11.482752852192</v>
      </c>
      <c r="C1625" s="116">
        <v>11.341792162006501</v>
      </c>
      <c r="D1625" s="116">
        <v>10.6456997649667</v>
      </c>
      <c r="E1625" s="116">
        <v>10.770030261366299</v>
      </c>
      <c r="F1625" s="116">
        <v>716.1</v>
      </c>
      <c r="G1625">
        <v>28528</v>
      </c>
      <c r="H1625" s="116"/>
      <c r="I1625" s="116"/>
      <c r="L1625" s="170">
        <v>44397</v>
      </c>
      <c r="M1625" s="116">
        <v>527.79999999999995</v>
      </c>
      <c r="N1625" s="116">
        <v>535.1</v>
      </c>
      <c r="O1625" s="116">
        <v>523.15</v>
      </c>
      <c r="P1625" s="116">
        <v>535</v>
      </c>
      <c r="Q1625" s="116">
        <v>527.79999999999995</v>
      </c>
      <c r="R1625">
        <v>446010</v>
      </c>
    </row>
    <row r="1626" spans="1:18" x14ac:dyDescent="0.25">
      <c r="A1626" s="170">
        <v>44400</v>
      </c>
      <c r="B1626" s="116">
        <v>11.8311950077068</v>
      </c>
      <c r="C1626" s="116">
        <v>11.537394917488699</v>
      </c>
      <c r="D1626" s="116">
        <v>11.280814784791399</v>
      </c>
      <c r="E1626" s="116">
        <v>11.482752852192</v>
      </c>
      <c r="F1626" s="116">
        <v>728.45</v>
      </c>
      <c r="G1626">
        <v>16163</v>
      </c>
      <c r="H1626" s="116"/>
      <c r="I1626" s="116"/>
      <c r="L1626" s="170">
        <v>44399</v>
      </c>
      <c r="M1626" s="116">
        <v>544.15</v>
      </c>
      <c r="N1626" s="116">
        <v>549.4</v>
      </c>
      <c r="O1626" s="116">
        <v>532.29999999999995</v>
      </c>
      <c r="P1626" s="116">
        <v>532.70000000000005</v>
      </c>
      <c r="Q1626" s="116">
        <v>544.15</v>
      </c>
      <c r="R1626">
        <v>595914</v>
      </c>
    </row>
    <row r="1627" spans="1:18" x14ac:dyDescent="0.25">
      <c r="A1627" s="170">
        <v>44403</v>
      </c>
      <c r="B1627" s="116">
        <v>12.6706238369016</v>
      </c>
      <c r="C1627" s="116">
        <v>12.493235103184899</v>
      </c>
      <c r="D1627" s="116">
        <v>11.561944251172701</v>
      </c>
      <c r="E1627" s="116">
        <v>11.5952046387445</v>
      </c>
      <c r="F1627" s="116">
        <v>788.8</v>
      </c>
      <c r="G1627">
        <v>34405</v>
      </c>
      <c r="H1627" s="116"/>
      <c r="I1627" s="116"/>
      <c r="L1627" s="170">
        <v>44400</v>
      </c>
      <c r="M1627" s="116">
        <v>532.29999999999995</v>
      </c>
      <c r="N1627" s="116">
        <v>553</v>
      </c>
      <c r="O1627" s="116">
        <v>529.15</v>
      </c>
      <c r="P1627" s="116">
        <v>548.5</v>
      </c>
      <c r="Q1627" s="116">
        <v>532.29999999999995</v>
      </c>
      <c r="R1627">
        <v>559213</v>
      </c>
    </row>
    <row r="1628" spans="1:18" x14ac:dyDescent="0.25">
      <c r="A1628" s="170">
        <v>44404</v>
      </c>
      <c r="B1628" s="116">
        <v>12.908198033843499</v>
      </c>
      <c r="C1628" s="116">
        <v>12.2714991860392</v>
      </c>
      <c r="D1628" s="116">
        <v>11.625297370357201</v>
      </c>
      <c r="E1628" s="116">
        <v>12.6706238369016</v>
      </c>
      <c r="F1628" s="116">
        <v>774.8</v>
      </c>
      <c r="G1628">
        <v>21074</v>
      </c>
      <c r="H1628" s="116"/>
      <c r="I1628" s="116"/>
      <c r="L1628" s="170">
        <v>44403</v>
      </c>
      <c r="M1628" s="116">
        <v>558.9</v>
      </c>
      <c r="N1628" s="116">
        <v>564</v>
      </c>
      <c r="O1628" s="116">
        <v>534.79999999999995</v>
      </c>
      <c r="P1628" s="116">
        <v>535.1</v>
      </c>
      <c r="Q1628" s="116">
        <v>558.9</v>
      </c>
      <c r="R1628">
        <v>2785377</v>
      </c>
    </row>
    <row r="1629" spans="1:18" x14ac:dyDescent="0.25">
      <c r="A1629" s="170">
        <v>44405</v>
      </c>
      <c r="B1629" s="116">
        <v>12.6072707177171</v>
      </c>
      <c r="C1629" s="116">
        <v>12.398997338398001</v>
      </c>
      <c r="D1629" s="116">
        <v>11.9895778056681</v>
      </c>
      <c r="E1629" s="116">
        <v>12.353858240978999</v>
      </c>
      <c r="F1629" s="116">
        <v>782.85</v>
      </c>
      <c r="G1629">
        <v>8767</v>
      </c>
      <c r="H1629" s="116"/>
      <c r="I1629" s="116"/>
      <c r="L1629" s="170">
        <v>44404</v>
      </c>
      <c r="M1629" s="116">
        <v>550.45000000000005</v>
      </c>
      <c r="N1629" s="116">
        <v>568.75</v>
      </c>
      <c r="O1629" s="116">
        <v>542.20000000000005</v>
      </c>
      <c r="P1629" s="116">
        <v>560</v>
      </c>
      <c r="Q1629" s="116">
        <v>550.45000000000005</v>
      </c>
      <c r="R1629">
        <v>822382</v>
      </c>
    </row>
    <row r="1630" spans="1:18" x14ac:dyDescent="0.25">
      <c r="A1630" s="170">
        <v>44406</v>
      </c>
      <c r="B1630" s="116">
        <v>13.302571200767</v>
      </c>
      <c r="C1630" s="116">
        <v>13.1489398867446</v>
      </c>
      <c r="D1630" s="116">
        <v>12.306343401590601</v>
      </c>
      <c r="E1630" s="116">
        <v>12.623108997513199</v>
      </c>
      <c r="F1630" s="116">
        <v>830.2</v>
      </c>
      <c r="G1630">
        <v>27009</v>
      </c>
      <c r="H1630" s="116"/>
      <c r="I1630" s="116"/>
      <c r="L1630" s="170">
        <v>44405</v>
      </c>
      <c r="M1630" s="116">
        <v>554.35</v>
      </c>
      <c r="N1630" s="116">
        <v>565.70000000000005</v>
      </c>
      <c r="O1630" s="116">
        <v>547</v>
      </c>
      <c r="P1630" s="116">
        <v>553.9</v>
      </c>
      <c r="Q1630" s="116">
        <v>554.35</v>
      </c>
      <c r="R1630">
        <v>726157</v>
      </c>
    </row>
    <row r="1631" spans="1:18" x14ac:dyDescent="0.25">
      <c r="A1631" s="170">
        <v>44407</v>
      </c>
      <c r="B1631" s="116">
        <v>13.6193367966896</v>
      </c>
      <c r="C1631" s="116">
        <v>13.2796056950626</v>
      </c>
      <c r="D1631" s="116">
        <v>13.1616105105815</v>
      </c>
      <c r="E1631" s="116">
        <v>13.1616105105815</v>
      </c>
      <c r="F1631" s="116">
        <v>838.45</v>
      </c>
      <c r="G1631">
        <v>29411</v>
      </c>
      <c r="H1631" s="116"/>
      <c r="I1631" s="116"/>
      <c r="L1631" s="170">
        <v>44406</v>
      </c>
      <c r="M1631" s="116">
        <v>547.6</v>
      </c>
      <c r="N1631" s="116">
        <v>558.75</v>
      </c>
      <c r="O1631" s="116">
        <v>545</v>
      </c>
      <c r="P1631" s="116">
        <v>558.70000000000005</v>
      </c>
      <c r="Q1631" s="116">
        <v>547.6</v>
      </c>
      <c r="R1631">
        <v>628596</v>
      </c>
    </row>
    <row r="1632" spans="1:18" x14ac:dyDescent="0.25">
      <c r="A1632" s="170">
        <v>44410</v>
      </c>
      <c r="B1632" s="116">
        <v>13.8664139615091</v>
      </c>
      <c r="C1632" s="116">
        <v>12.8163360110259</v>
      </c>
      <c r="D1632" s="116">
        <v>12.6896297726569</v>
      </c>
      <c r="E1632" s="116">
        <v>13.541729225688499</v>
      </c>
      <c r="F1632" s="116">
        <v>809.2</v>
      </c>
      <c r="G1632">
        <v>19967</v>
      </c>
      <c r="H1632" s="116"/>
      <c r="I1632" s="116"/>
      <c r="L1632" s="170">
        <v>44407</v>
      </c>
      <c r="M1632" s="116">
        <v>539.79999999999995</v>
      </c>
      <c r="N1632" s="116">
        <v>551.5</v>
      </c>
      <c r="O1632" s="116">
        <v>538.35</v>
      </c>
      <c r="P1632" s="116">
        <v>547.29999999999995</v>
      </c>
      <c r="Q1632" s="116">
        <v>539.79999999999995</v>
      </c>
      <c r="R1632">
        <v>287922</v>
      </c>
    </row>
    <row r="1633" spans="1:18" x14ac:dyDescent="0.25">
      <c r="A1633" s="170">
        <v>44411</v>
      </c>
      <c r="B1633" s="116">
        <v>13.4466995469118</v>
      </c>
      <c r="C1633" s="116">
        <v>12.7902028493623</v>
      </c>
      <c r="D1633" s="116">
        <v>12.6706238369016</v>
      </c>
      <c r="E1633" s="116">
        <v>12.844844914658999</v>
      </c>
      <c r="F1633" s="116">
        <v>807.55</v>
      </c>
      <c r="G1633">
        <v>13255</v>
      </c>
      <c r="H1633" s="116"/>
      <c r="I1633" s="116"/>
      <c r="L1633" s="170">
        <v>44410</v>
      </c>
      <c r="M1633" s="116">
        <v>554.65</v>
      </c>
      <c r="N1633" s="116">
        <v>566</v>
      </c>
      <c r="O1633" s="116">
        <v>540.45000000000005</v>
      </c>
      <c r="P1633" s="116">
        <v>542</v>
      </c>
      <c r="Q1633" s="116">
        <v>554.65</v>
      </c>
      <c r="R1633">
        <v>737707</v>
      </c>
    </row>
    <row r="1634" spans="1:18" x14ac:dyDescent="0.25">
      <c r="A1634" s="170">
        <v>44412</v>
      </c>
      <c r="B1634" s="116">
        <v>13.0665808318047</v>
      </c>
      <c r="C1634" s="116">
        <v>12.673791492860801</v>
      </c>
      <c r="D1634" s="116">
        <v>12.512241038940299</v>
      </c>
      <c r="E1634" s="116">
        <v>13.0665808318047</v>
      </c>
      <c r="F1634" s="116">
        <v>800.2</v>
      </c>
      <c r="G1634">
        <v>13606</v>
      </c>
      <c r="H1634" s="116"/>
      <c r="I1634" s="116"/>
      <c r="L1634" s="170">
        <v>44411</v>
      </c>
      <c r="M1634" s="116">
        <v>552.4</v>
      </c>
      <c r="N1634" s="116">
        <v>559</v>
      </c>
      <c r="O1634" s="116">
        <v>545.25</v>
      </c>
      <c r="P1634" s="116">
        <v>556.79999999999995</v>
      </c>
      <c r="Q1634" s="116">
        <v>552.4</v>
      </c>
      <c r="R1634">
        <v>525462</v>
      </c>
    </row>
    <row r="1635" spans="1:18" x14ac:dyDescent="0.25">
      <c r="A1635" s="170">
        <v>44413</v>
      </c>
      <c r="B1635" s="116">
        <v>12.591432437920901</v>
      </c>
      <c r="C1635" s="116">
        <v>11.9713637839026</v>
      </c>
      <c r="D1635" s="116">
        <v>11.8787098470952</v>
      </c>
      <c r="E1635" s="116">
        <v>12.512241038940299</v>
      </c>
      <c r="F1635" s="116">
        <v>755.85</v>
      </c>
      <c r="G1635">
        <v>18299</v>
      </c>
      <c r="H1635" s="116"/>
      <c r="I1635" s="116"/>
      <c r="L1635" s="170">
        <v>44412</v>
      </c>
      <c r="M1635" s="116">
        <v>566.25</v>
      </c>
      <c r="N1635" s="116">
        <v>577.9</v>
      </c>
      <c r="O1635" s="116">
        <v>549.95000000000005</v>
      </c>
      <c r="P1635" s="116">
        <v>553.5</v>
      </c>
      <c r="Q1635" s="116">
        <v>566.25</v>
      </c>
      <c r="R1635">
        <v>2316101</v>
      </c>
    </row>
    <row r="1636" spans="1:18" x14ac:dyDescent="0.25">
      <c r="A1636" s="170">
        <v>44414</v>
      </c>
      <c r="B1636" s="116">
        <v>12.4488879197558</v>
      </c>
      <c r="C1636" s="116">
        <v>12.0568904948016</v>
      </c>
      <c r="D1636" s="116">
        <v>11.957901246075799</v>
      </c>
      <c r="E1636" s="116">
        <v>12.3530663269892</v>
      </c>
      <c r="F1636" s="116">
        <v>761.25</v>
      </c>
      <c r="G1636">
        <v>5248</v>
      </c>
      <c r="H1636" s="116"/>
      <c r="I1636" s="116"/>
      <c r="L1636" s="170">
        <v>44413</v>
      </c>
      <c r="M1636" s="116">
        <v>569.70000000000005</v>
      </c>
      <c r="N1636" s="116">
        <v>576</v>
      </c>
      <c r="O1636" s="116">
        <v>558.70000000000005</v>
      </c>
      <c r="P1636" s="116">
        <v>566.65</v>
      </c>
      <c r="Q1636" s="116">
        <v>569.70000000000005</v>
      </c>
      <c r="R1636">
        <v>1028455</v>
      </c>
    </row>
    <row r="1637" spans="1:18" x14ac:dyDescent="0.25">
      <c r="A1637" s="170">
        <v>44417</v>
      </c>
      <c r="B1637" s="116">
        <v>12.2588285622023</v>
      </c>
      <c r="C1637" s="116">
        <v>11.9317680844122</v>
      </c>
      <c r="D1637" s="116">
        <v>11.8787098470952</v>
      </c>
      <c r="E1637" s="116">
        <v>11.990369719657901</v>
      </c>
      <c r="F1637" s="116">
        <v>753.35</v>
      </c>
      <c r="G1637">
        <v>10780</v>
      </c>
      <c r="H1637" s="116"/>
      <c r="I1637" s="116"/>
      <c r="L1637" s="170">
        <v>44414</v>
      </c>
      <c r="M1637" s="116">
        <v>554.35</v>
      </c>
      <c r="N1637" s="116">
        <v>571.5</v>
      </c>
      <c r="O1637" s="116">
        <v>550.5</v>
      </c>
      <c r="P1637" s="116">
        <v>571</v>
      </c>
      <c r="Q1637" s="116">
        <v>554.35</v>
      </c>
      <c r="R1637">
        <v>494479</v>
      </c>
    </row>
    <row r="1638" spans="1:18" x14ac:dyDescent="0.25">
      <c r="A1638" s="170">
        <v>44418</v>
      </c>
      <c r="B1638" s="116">
        <v>12.0941104523225</v>
      </c>
      <c r="C1638" s="116">
        <v>11.151732804452999</v>
      </c>
      <c r="D1638" s="116">
        <v>10.611647463405101</v>
      </c>
      <c r="E1638" s="116">
        <v>12.0941104523225</v>
      </c>
      <c r="F1638" s="116">
        <v>704.1</v>
      </c>
      <c r="G1638">
        <v>14135</v>
      </c>
      <c r="H1638" s="116"/>
      <c r="I1638" s="116"/>
      <c r="L1638" s="170">
        <v>44417</v>
      </c>
      <c r="M1638" s="116">
        <v>543.15</v>
      </c>
      <c r="N1638" s="116">
        <v>556.70000000000005</v>
      </c>
      <c r="O1638" s="116">
        <v>539</v>
      </c>
      <c r="P1638" s="116">
        <v>555.25</v>
      </c>
      <c r="Q1638" s="116">
        <v>543.15</v>
      </c>
      <c r="R1638">
        <v>255643</v>
      </c>
    </row>
    <row r="1639" spans="1:18" x14ac:dyDescent="0.25">
      <c r="A1639" s="170">
        <v>44419</v>
      </c>
      <c r="B1639" s="116">
        <v>11.6965696294398</v>
      </c>
      <c r="C1639" s="116">
        <v>10.979887468665</v>
      </c>
      <c r="D1639" s="116">
        <v>10.168175629113501</v>
      </c>
      <c r="E1639" s="116">
        <v>11.324370054230799</v>
      </c>
      <c r="F1639" s="116">
        <v>693.25</v>
      </c>
      <c r="G1639">
        <v>32713</v>
      </c>
      <c r="H1639" s="116"/>
      <c r="I1639" s="116"/>
      <c r="L1639" s="170">
        <v>44418</v>
      </c>
      <c r="M1639" s="116">
        <v>523.70000000000005</v>
      </c>
      <c r="N1639" s="116">
        <v>561.95000000000005</v>
      </c>
      <c r="O1639" s="116">
        <v>518.25</v>
      </c>
      <c r="P1639" s="116">
        <v>550.20000000000005</v>
      </c>
      <c r="Q1639" s="116">
        <v>523.70000000000005</v>
      </c>
      <c r="R1639">
        <v>991385</v>
      </c>
    </row>
    <row r="1640" spans="1:18" x14ac:dyDescent="0.25">
      <c r="A1640" s="170">
        <v>44420</v>
      </c>
      <c r="B1640" s="116">
        <v>11.7044887693378</v>
      </c>
      <c r="C1640" s="116">
        <v>11.586493584856701</v>
      </c>
      <c r="D1640" s="116">
        <v>10.979887468665</v>
      </c>
      <c r="E1640" s="116">
        <v>11.2443867412603</v>
      </c>
      <c r="F1640" s="116">
        <v>731.55</v>
      </c>
      <c r="G1640">
        <v>9125</v>
      </c>
      <c r="H1640" s="116"/>
      <c r="I1640" s="116"/>
      <c r="L1640" s="170">
        <v>44419</v>
      </c>
      <c r="M1640" s="116">
        <v>523.4</v>
      </c>
      <c r="N1640" s="116">
        <v>549.70000000000005</v>
      </c>
      <c r="O1640" s="116">
        <v>511.7</v>
      </c>
      <c r="P1640" s="116">
        <v>525.70000000000005</v>
      </c>
      <c r="Q1640" s="116">
        <v>523.4</v>
      </c>
      <c r="R1640">
        <v>665743</v>
      </c>
    </row>
    <row r="1641" spans="1:18" x14ac:dyDescent="0.25">
      <c r="A1641" s="170">
        <v>44421</v>
      </c>
      <c r="B1641" s="116">
        <v>12.2588285622023</v>
      </c>
      <c r="C1641" s="116">
        <v>12.0877751404041</v>
      </c>
      <c r="D1641" s="116">
        <v>11.693401973480499</v>
      </c>
      <c r="E1641" s="116">
        <v>12.0370926450565</v>
      </c>
      <c r="F1641" s="116">
        <v>763.2</v>
      </c>
      <c r="G1641">
        <v>8739</v>
      </c>
      <c r="H1641" s="116"/>
      <c r="I1641" s="116"/>
      <c r="L1641" s="170">
        <v>44420</v>
      </c>
      <c r="M1641" s="116">
        <v>529</v>
      </c>
      <c r="N1641" s="116">
        <v>536</v>
      </c>
      <c r="O1641" s="116">
        <v>523.5</v>
      </c>
      <c r="P1641" s="116">
        <v>524.95000000000005</v>
      </c>
      <c r="Q1641" s="116">
        <v>529</v>
      </c>
      <c r="R1641">
        <v>275121</v>
      </c>
    </row>
    <row r="1642" spans="1:18" x14ac:dyDescent="0.25">
      <c r="A1642" s="170">
        <v>44424</v>
      </c>
      <c r="B1642" s="116">
        <v>12.4773968233888</v>
      </c>
      <c r="C1642" s="116">
        <v>11.793183136196101</v>
      </c>
      <c r="D1642" s="116">
        <v>11.466914572395901</v>
      </c>
      <c r="E1642" s="116">
        <v>12.306343401590601</v>
      </c>
      <c r="F1642" s="116">
        <v>744.6</v>
      </c>
      <c r="G1642">
        <v>5423</v>
      </c>
      <c r="H1642" s="116"/>
      <c r="I1642" s="116"/>
      <c r="L1642" s="170">
        <v>44421</v>
      </c>
      <c r="M1642" s="116">
        <v>524.29999999999995</v>
      </c>
      <c r="N1642" s="116">
        <v>531</v>
      </c>
      <c r="O1642" s="116">
        <v>523.29999999999995</v>
      </c>
      <c r="P1642" s="116">
        <v>531</v>
      </c>
      <c r="Q1642" s="116">
        <v>524.29999999999995</v>
      </c>
      <c r="R1642">
        <v>149090</v>
      </c>
    </row>
    <row r="1643" spans="1:18" x14ac:dyDescent="0.25">
      <c r="A1643" s="170">
        <v>44425</v>
      </c>
      <c r="B1643" s="116">
        <v>12.187556303119701</v>
      </c>
      <c r="C1643" s="116">
        <v>11.248346311209399</v>
      </c>
      <c r="D1643" s="116">
        <v>11.087587771278701</v>
      </c>
      <c r="E1643" s="116">
        <v>11.8787098470952</v>
      </c>
      <c r="F1643" s="116">
        <v>710.2</v>
      </c>
      <c r="G1643">
        <v>11377</v>
      </c>
      <c r="H1643" s="116"/>
      <c r="I1643" s="116"/>
      <c r="L1643" s="170">
        <v>44424</v>
      </c>
      <c r="M1643" s="116">
        <v>519.54999999999995</v>
      </c>
      <c r="N1643" s="116">
        <v>531.25</v>
      </c>
      <c r="O1643" s="116">
        <v>516.54999999999995</v>
      </c>
      <c r="P1643" s="116">
        <v>526.4</v>
      </c>
      <c r="Q1643" s="116">
        <v>519.54999999999995</v>
      </c>
      <c r="R1643">
        <v>336208</v>
      </c>
    </row>
    <row r="1644" spans="1:18" x14ac:dyDescent="0.25">
      <c r="A1644" s="170">
        <v>44426</v>
      </c>
      <c r="B1644" s="116">
        <v>11.542938315417301</v>
      </c>
      <c r="C1644" s="116">
        <v>11.276855214842399</v>
      </c>
      <c r="D1644" s="116">
        <v>10.9284130593276</v>
      </c>
      <c r="E1644" s="116">
        <v>11.3861393454357</v>
      </c>
      <c r="F1644" s="116">
        <v>712</v>
      </c>
      <c r="G1644">
        <v>13237</v>
      </c>
      <c r="H1644" s="116"/>
      <c r="I1644" s="116"/>
      <c r="L1644" s="170">
        <v>44425</v>
      </c>
      <c r="M1644" s="116">
        <v>519.95000000000005</v>
      </c>
      <c r="N1644" s="116">
        <v>523.45000000000005</v>
      </c>
      <c r="O1644" s="116">
        <v>516</v>
      </c>
      <c r="P1644" s="116">
        <v>519.70000000000005</v>
      </c>
      <c r="Q1644" s="116">
        <v>519.95000000000005</v>
      </c>
      <c r="R1644">
        <v>279262</v>
      </c>
    </row>
    <row r="1645" spans="1:18" x14ac:dyDescent="0.25">
      <c r="A1645" s="170">
        <v>44428</v>
      </c>
      <c r="B1645" s="116">
        <v>11.482752852192</v>
      </c>
      <c r="C1645" s="116">
        <v>11.1034260510748</v>
      </c>
      <c r="D1645" s="116">
        <v>11.0867958572889</v>
      </c>
      <c r="E1645" s="116">
        <v>11.0867958572889</v>
      </c>
      <c r="F1645" s="116">
        <v>701.05</v>
      </c>
      <c r="G1645">
        <v>3436</v>
      </c>
      <c r="H1645" s="116"/>
      <c r="I1645" s="116"/>
      <c r="L1645" s="170">
        <v>44426</v>
      </c>
      <c r="M1645" s="116">
        <v>515.54999999999995</v>
      </c>
      <c r="N1645" s="116">
        <v>527.5</v>
      </c>
      <c r="O1645" s="116">
        <v>509</v>
      </c>
      <c r="P1645" s="116">
        <v>522.5</v>
      </c>
      <c r="Q1645" s="116">
        <v>515.54999999999995</v>
      </c>
      <c r="R1645">
        <v>554030</v>
      </c>
    </row>
    <row r="1646" spans="1:18" x14ac:dyDescent="0.25">
      <c r="A1646" s="170">
        <v>44431</v>
      </c>
      <c r="B1646" s="116">
        <v>11.5294757775906</v>
      </c>
      <c r="C1646" s="116">
        <v>10.6203585172929</v>
      </c>
      <c r="D1646" s="116">
        <v>10.4057498260554</v>
      </c>
      <c r="E1646" s="116">
        <v>11.401977625231799</v>
      </c>
      <c r="F1646" s="116">
        <v>670.55</v>
      </c>
      <c r="G1646">
        <v>5829</v>
      </c>
      <c r="H1646" s="116"/>
      <c r="I1646" s="116"/>
      <c r="L1646" s="170">
        <v>44428</v>
      </c>
      <c r="M1646" s="116">
        <v>500.3</v>
      </c>
      <c r="N1646" s="116">
        <v>513.1</v>
      </c>
      <c r="O1646" s="116">
        <v>496.35</v>
      </c>
      <c r="P1646" s="116">
        <v>510.55</v>
      </c>
      <c r="Q1646" s="116">
        <v>500.3</v>
      </c>
      <c r="R1646">
        <v>538194</v>
      </c>
    </row>
    <row r="1647" spans="1:18" x14ac:dyDescent="0.25">
      <c r="A1647" s="170">
        <v>44432</v>
      </c>
      <c r="B1647" s="116">
        <v>10.7351860458148</v>
      </c>
      <c r="C1647" s="116">
        <v>10.6235261732522</v>
      </c>
      <c r="D1647" s="116">
        <v>10.2980495234417</v>
      </c>
      <c r="E1647" s="116">
        <v>10.2980495234417</v>
      </c>
      <c r="F1647" s="116">
        <v>670.75</v>
      </c>
      <c r="G1647">
        <v>14931</v>
      </c>
      <c r="H1647" s="116"/>
      <c r="I1647" s="116"/>
      <c r="L1647" s="170">
        <v>44431</v>
      </c>
      <c r="M1647" s="116">
        <v>502.4</v>
      </c>
      <c r="N1647" s="116">
        <v>512.65</v>
      </c>
      <c r="O1647" s="116">
        <v>491.8</v>
      </c>
      <c r="P1647" s="116">
        <v>502.9</v>
      </c>
      <c r="Q1647" s="116">
        <v>502.4</v>
      </c>
      <c r="R1647">
        <v>597596</v>
      </c>
    </row>
    <row r="1648" spans="1:18" x14ac:dyDescent="0.25">
      <c r="A1648" s="170">
        <v>44433</v>
      </c>
      <c r="B1648" s="116">
        <v>10.975927898716</v>
      </c>
      <c r="C1648" s="116">
        <v>10.615607033354101</v>
      </c>
      <c r="D1648" s="116">
        <v>10.5324560644244</v>
      </c>
      <c r="E1648" s="116">
        <v>10.896736499735299</v>
      </c>
      <c r="F1648" s="116">
        <v>670.25</v>
      </c>
      <c r="G1648">
        <v>6944</v>
      </c>
      <c r="H1648" s="116"/>
      <c r="I1648" s="116"/>
      <c r="L1648" s="170">
        <v>44432</v>
      </c>
      <c r="M1648" s="116">
        <v>503.7</v>
      </c>
      <c r="N1648" s="116">
        <v>514.9</v>
      </c>
      <c r="O1648" s="116">
        <v>498.45</v>
      </c>
      <c r="P1648" s="116">
        <v>503.45</v>
      </c>
      <c r="Q1648" s="116">
        <v>503.7</v>
      </c>
      <c r="R1648">
        <v>261702</v>
      </c>
    </row>
    <row r="1649" spans="1:18" x14ac:dyDescent="0.25">
      <c r="A1649" s="170">
        <v>44434</v>
      </c>
      <c r="B1649" s="116">
        <v>10.9284130593276</v>
      </c>
      <c r="C1649" s="116">
        <v>10.6274857432012</v>
      </c>
      <c r="D1649" s="116">
        <v>10.564924538006499</v>
      </c>
      <c r="E1649" s="116">
        <v>10.7684464333867</v>
      </c>
      <c r="F1649" s="116">
        <v>671</v>
      </c>
      <c r="G1649">
        <v>5955</v>
      </c>
      <c r="H1649" s="116"/>
      <c r="I1649" s="116"/>
      <c r="L1649" s="170">
        <v>44433</v>
      </c>
      <c r="M1649" s="116">
        <v>506.2</v>
      </c>
      <c r="N1649" s="116">
        <v>517.95000000000005</v>
      </c>
      <c r="O1649" s="116">
        <v>503.9</v>
      </c>
      <c r="P1649" s="116">
        <v>505.2</v>
      </c>
      <c r="Q1649" s="116">
        <v>506.2</v>
      </c>
      <c r="R1649">
        <v>333604</v>
      </c>
    </row>
    <row r="1650" spans="1:18" x14ac:dyDescent="0.25">
      <c r="A1650" s="170">
        <v>44435</v>
      </c>
      <c r="B1650" s="116">
        <v>10.7383537017741</v>
      </c>
      <c r="C1650" s="116">
        <v>10.6061040654764</v>
      </c>
      <c r="D1650" s="116">
        <v>10.5823466457822</v>
      </c>
      <c r="E1650" s="116">
        <v>10.6575784748138</v>
      </c>
      <c r="F1650" s="116">
        <v>669.65</v>
      </c>
      <c r="G1650">
        <v>7007</v>
      </c>
      <c r="H1650" s="116"/>
      <c r="I1650" s="116"/>
      <c r="L1650" s="170">
        <v>44434</v>
      </c>
      <c r="M1650" s="116">
        <v>516.45000000000005</v>
      </c>
      <c r="N1650" s="116">
        <v>523.04999999999995</v>
      </c>
      <c r="O1650" s="116">
        <v>507.65</v>
      </c>
      <c r="P1650" s="116">
        <v>507.65</v>
      </c>
      <c r="Q1650" s="116">
        <v>516.45000000000005</v>
      </c>
      <c r="R1650">
        <v>1392172</v>
      </c>
    </row>
    <row r="1651" spans="1:18" x14ac:dyDescent="0.25">
      <c r="A1651" s="170">
        <v>44438</v>
      </c>
      <c r="B1651" s="116">
        <v>10.927621145337801</v>
      </c>
      <c r="C1651" s="116">
        <v>10.824672326663</v>
      </c>
      <c r="D1651" s="116">
        <v>10.6163989473439</v>
      </c>
      <c r="E1651" s="116">
        <v>10.8183370147445</v>
      </c>
      <c r="F1651" s="116">
        <v>683.45</v>
      </c>
      <c r="G1651">
        <v>5965</v>
      </c>
      <c r="H1651" s="116"/>
      <c r="I1651" s="116"/>
      <c r="L1651" s="170">
        <v>44435</v>
      </c>
      <c r="M1651" s="116">
        <v>525.25</v>
      </c>
      <c r="N1651" s="116">
        <v>530</v>
      </c>
      <c r="O1651" s="116">
        <v>515</v>
      </c>
      <c r="P1651" s="116">
        <v>518.95000000000005</v>
      </c>
      <c r="Q1651" s="116">
        <v>525.25</v>
      </c>
      <c r="R1651">
        <v>885947</v>
      </c>
    </row>
    <row r="1652" spans="1:18" x14ac:dyDescent="0.25">
      <c r="A1652" s="170">
        <v>44439</v>
      </c>
      <c r="B1652" s="116">
        <v>10.9284130593276</v>
      </c>
      <c r="C1652" s="116">
        <v>10.6171908613337</v>
      </c>
      <c r="D1652" s="116">
        <v>10.3154716312175</v>
      </c>
      <c r="E1652" s="116">
        <v>10.9284130593276</v>
      </c>
      <c r="F1652" s="116">
        <v>670.35</v>
      </c>
      <c r="G1652">
        <v>21204</v>
      </c>
      <c r="H1652" s="116"/>
      <c r="I1652" s="116"/>
      <c r="L1652" s="170">
        <v>44438</v>
      </c>
      <c r="M1652" s="116">
        <v>566.5</v>
      </c>
      <c r="N1652" s="116">
        <v>573.79999999999995</v>
      </c>
      <c r="O1652" s="116">
        <v>525</v>
      </c>
      <c r="P1652" s="116">
        <v>529</v>
      </c>
      <c r="Q1652" s="116">
        <v>566.5</v>
      </c>
      <c r="R1652">
        <v>3468672</v>
      </c>
    </row>
    <row r="1653" spans="1:18" x14ac:dyDescent="0.25">
      <c r="A1653" s="170">
        <v>44440</v>
      </c>
      <c r="B1653" s="116">
        <v>10.783492799193001</v>
      </c>
      <c r="C1653" s="116">
        <v>10.5886819577007</v>
      </c>
      <c r="D1653" s="116">
        <v>10.4548484934234</v>
      </c>
      <c r="E1653" s="116">
        <v>10.6290695711808</v>
      </c>
      <c r="F1653" s="116">
        <v>668.55</v>
      </c>
      <c r="G1653">
        <v>6677</v>
      </c>
      <c r="H1653" s="116"/>
      <c r="I1653" s="116"/>
      <c r="L1653" s="170">
        <v>44439</v>
      </c>
      <c r="M1653" s="116">
        <v>570.95000000000005</v>
      </c>
      <c r="N1653" s="116">
        <v>600</v>
      </c>
      <c r="O1653" s="116">
        <v>561</v>
      </c>
      <c r="P1653" s="116">
        <v>566.45000000000005</v>
      </c>
      <c r="Q1653" s="116">
        <v>570.95000000000005</v>
      </c>
      <c r="R1653">
        <v>4417283</v>
      </c>
    </row>
    <row r="1654" spans="1:18" x14ac:dyDescent="0.25">
      <c r="A1654" s="170">
        <v>44441</v>
      </c>
      <c r="B1654" s="116">
        <v>10.849221660347</v>
      </c>
      <c r="C1654" s="116">
        <v>10.7724060033357</v>
      </c>
      <c r="D1654" s="116">
        <v>10.4548484934234</v>
      </c>
      <c r="E1654" s="116">
        <v>10.769238347376501</v>
      </c>
      <c r="F1654" s="116">
        <v>680.15</v>
      </c>
      <c r="G1654">
        <v>4236</v>
      </c>
      <c r="H1654" s="116"/>
      <c r="I1654" s="116"/>
      <c r="L1654" s="170">
        <v>44440</v>
      </c>
      <c r="M1654" s="116">
        <v>582.20000000000005</v>
      </c>
      <c r="N1654" s="116">
        <v>599</v>
      </c>
      <c r="O1654" s="116">
        <v>550.04999999999995</v>
      </c>
      <c r="P1654" s="116">
        <v>573</v>
      </c>
      <c r="Q1654" s="116">
        <v>582.20000000000005</v>
      </c>
      <c r="R1654">
        <v>3216736</v>
      </c>
    </row>
    <row r="1655" spans="1:18" x14ac:dyDescent="0.25">
      <c r="A1655" s="170">
        <v>44442</v>
      </c>
      <c r="B1655" s="116">
        <v>11.0867958572889</v>
      </c>
      <c r="C1655" s="116">
        <v>11.049575899768</v>
      </c>
      <c r="D1655" s="116">
        <v>10.849221660347</v>
      </c>
      <c r="E1655" s="116">
        <v>11.0867958572889</v>
      </c>
      <c r="F1655" s="116">
        <v>697.65</v>
      </c>
      <c r="G1655">
        <v>6076</v>
      </c>
      <c r="H1655" s="116"/>
      <c r="I1655" s="116"/>
      <c r="L1655" s="170">
        <v>44441</v>
      </c>
      <c r="M1655" s="116">
        <v>586.4</v>
      </c>
      <c r="N1655" s="116">
        <v>594.54999999999995</v>
      </c>
      <c r="O1655" s="116">
        <v>575.25</v>
      </c>
      <c r="P1655" s="116">
        <v>584.70000000000005</v>
      </c>
      <c r="Q1655" s="116">
        <v>586.4</v>
      </c>
      <c r="R1655">
        <v>1327183</v>
      </c>
    </row>
    <row r="1656" spans="1:18" x14ac:dyDescent="0.25">
      <c r="A1656" s="170">
        <v>44445</v>
      </c>
      <c r="B1656" s="116">
        <v>11.4193997330075</v>
      </c>
      <c r="C1656" s="116">
        <v>11.1319349547078</v>
      </c>
      <c r="D1656" s="116">
        <v>10.9125747795315</v>
      </c>
      <c r="E1656" s="116">
        <v>11.245178655250101</v>
      </c>
      <c r="F1656" s="116">
        <v>702.85</v>
      </c>
      <c r="G1656">
        <v>3915</v>
      </c>
      <c r="H1656" s="116"/>
      <c r="I1656" s="116"/>
      <c r="L1656" s="170">
        <v>44442</v>
      </c>
      <c r="M1656" s="116">
        <v>586.04999999999995</v>
      </c>
      <c r="N1656" s="116">
        <v>598.9</v>
      </c>
      <c r="O1656" s="116">
        <v>580.20000000000005</v>
      </c>
      <c r="P1656" s="116">
        <v>589.79999999999995</v>
      </c>
      <c r="Q1656" s="116">
        <v>586.04999999999995</v>
      </c>
      <c r="R1656">
        <v>1468037</v>
      </c>
    </row>
    <row r="1657" spans="1:18" x14ac:dyDescent="0.25">
      <c r="A1657" s="170">
        <v>44446</v>
      </c>
      <c r="B1657" s="116">
        <v>11.387723173415299</v>
      </c>
      <c r="C1657" s="116">
        <v>11.2903177526691</v>
      </c>
      <c r="D1657" s="116">
        <v>11.0867958572889</v>
      </c>
      <c r="E1657" s="116">
        <v>11.3703010656395</v>
      </c>
      <c r="F1657" s="116">
        <v>712.85</v>
      </c>
      <c r="G1657">
        <v>1760</v>
      </c>
      <c r="H1657" s="116"/>
      <c r="I1657" s="116"/>
      <c r="L1657" s="170">
        <v>44445</v>
      </c>
      <c r="M1657" s="116">
        <v>591.95000000000005</v>
      </c>
      <c r="N1657" s="116">
        <v>598.79999999999995</v>
      </c>
      <c r="O1657" s="116">
        <v>578.29999999999995</v>
      </c>
      <c r="P1657" s="116">
        <v>587.4</v>
      </c>
      <c r="Q1657" s="116">
        <v>591.95000000000005</v>
      </c>
      <c r="R1657">
        <v>1172449</v>
      </c>
    </row>
    <row r="1658" spans="1:18" x14ac:dyDescent="0.25">
      <c r="A1658" s="170">
        <v>44447</v>
      </c>
      <c r="B1658" s="116">
        <v>11.371092979629299</v>
      </c>
      <c r="C1658" s="116">
        <v>11.1731144821778</v>
      </c>
      <c r="D1658" s="116">
        <v>11.134310696677201</v>
      </c>
      <c r="E1658" s="116">
        <v>11.245178655250101</v>
      </c>
      <c r="F1658" s="116">
        <v>705.45</v>
      </c>
      <c r="G1658">
        <v>5570</v>
      </c>
      <c r="H1658" s="116"/>
      <c r="I1658" s="116"/>
      <c r="L1658" s="170">
        <v>44446</v>
      </c>
      <c r="M1658" s="116">
        <v>615.70000000000005</v>
      </c>
      <c r="N1658" s="116">
        <v>635</v>
      </c>
      <c r="O1658" s="116">
        <v>601</v>
      </c>
      <c r="P1658" s="116">
        <v>601</v>
      </c>
      <c r="Q1658" s="116">
        <v>615.70000000000005</v>
      </c>
      <c r="R1658">
        <v>10419013</v>
      </c>
    </row>
    <row r="1659" spans="1:18" x14ac:dyDescent="0.25">
      <c r="A1659" s="170">
        <v>44448</v>
      </c>
      <c r="B1659" s="116">
        <v>11.8628715672991</v>
      </c>
      <c r="C1659" s="116">
        <v>11.744084468828101</v>
      </c>
      <c r="D1659" s="116">
        <v>11.1358945246569</v>
      </c>
      <c r="E1659" s="116">
        <v>11.1358945246569</v>
      </c>
      <c r="F1659" s="116">
        <v>741.5</v>
      </c>
      <c r="G1659">
        <v>11424</v>
      </c>
      <c r="H1659" s="116"/>
      <c r="I1659" s="116"/>
      <c r="L1659" s="170">
        <v>44447</v>
      </c>
      <c r="M1659" s="116">
        <v>639.9</v>
      </c>
      <c r="N1659" s="116">
        <v>651.35</v>
      </c>
      <c r="O1659" s="116">
        <v>616</v>
      </c>
      <c r="P1659" s="116">
        <v>620.1</v>
      </c>
      <c r="Q1659" s="116">
        <v>639.9</v>
      </c>
      <c r="R1659">
        <v>6550645</v>
      </c>
    </row>
    <row r="1660" spans="1:18" x14ac:dyDescent="0.25">
      <c r="A1660" s="170">
        <v>44452</v>
      </c>
      <c r="B1660" s="116">
        <v>12.048179440913801</v>
      </c>
      <c r="C1660" s="116">
        <v>11.531059605570199</v>
      </c>
      <c r="D1660" s="116">
        <v>11.403561453211401</v>
      </c>
      <c r="E1660" s="116">
        <v>12.0370926450565</v>
      </c>
      <c r="F1660" s="116">
        <v>728.05</v>
      </c>
      <c r="G1660">
        <v>4741</v>
      </c>
      <c r="H1660" s="116"/>
      <c r="I1660" s="116"/>
      <c r="L1660" s="170">
        <v>44448</v>
      </c>
      <c r="M1660" s="116">
        <v>624.75</v>
      </c>
      <c r="N1660" s="116">
        <v>653</v>
      </c>
      <c r="O1660" s="116">
        <v>622.75</v>
      </c>
      <c r="P1660" s="116">
        <v>639.4</v>
      </c>
      <c r="Q1660" s="116">
        <v>624.75</v>
      </c>
      <c r="R1660">
        <v>4215589</v>
      </c>
    </row>
    <row r="1661" spans="1:18" x14ac:dyDescent="0.25">
      <c r="A1661" s="170">
        <v>44453</v>
      </c>
      <c r="B1661" s="116">
        <v>11.719535135144101</v>
      </c>
      <c r="C1661" s="116">
        <v>11.586493584856701</v>
      </c>
      <c r="D1661" s="116">
        <v>11.403561453211401</v>
      </c>
      <c r="E1661" s="116">
        <v>11.563528079152301</v>
      </c>
      <c r="F1661" s="116">
        <v>731.55</v>
      </c>
      <c r="G1661">
        <v>3079</v>
      </c>
      <c r="H1661" s="116"/>
      <c r="I1661" s="116"/>
      <c r="L1661" s="170">
        <v>44452</v>
      </c>
      <c r="M1661" s="116">
        <v>631.75</v>
      </c>
      <c r="N1661" s="116">
        <v>641.4</v>
      </c>
      <c r="O1661" s="116">
        <v>624.9</v>
      </c>
      <c r="P1661" s="116">
        <v>627</v>
      </c>
      <c r="Q1661" s="116">
        <v>631.75</v>
      </c>
      <c r="R1661">
        <v>2204782</v>
      </c>
    </row>
    <row r="1662" spans="1:18" x14ac:dyDescent="0.25">
      <c r="A1662" s="170">
        <v>44454</v>
      </c>
      <c r="B1662" s="116">
        <v>11.7203270491339</v>
      </c>
      <c r="C1662" s="116">
        <v>11.4946315620391</v>
      </c>
      <c r="D1662" s="116">
        <v>11.433654184824</v>
      </c>
      <c r="E1662" s="116">
        <v>11.6886504895417</v>
      </c>
      <c r="F1662" s="116">
        <v>725.75</v>
      </c>
      <c r="G1662">
        <v>4405</v>
      </c>
      <c r="H1662" s="116"/>
      <c r="I1662" s="116"/>
      <c r="L1662" s="170">
        <v>44453</v>
      </c>
      <c r="M1662" s="116">
        <v>630.35</v>
      </c>
      <c r="N1662" s="116">
        <v>641.5</v>
      </c>
      <c r="O1662" s="116">
        <v>627.5</v>
      </c>
      <c r="P1662" s="116">
        <v>634.70000000000005</v>
      </c>
      <c r="Q1662" s="116">
        <v>630.35</v>
      </c>
      <c r="R1662">
        <v>1204646</v>
      </c>
    </row>
    <row r="1663" spans="1:18" x14ac:dyDescent="0.25">
      <c r="A1663" s="170">
        <v>44455</v>
      </c>
      <c r="B1663" s="116">
        <v>11.830403093717001</v>
      </c>
      <c r="C1663" s="116">
        <v>11.607083348591599</v>
      </c>
      <c r="D1663" s="116">
        <v>11.514429411784301</v>
      </c>
      <c r="E1663" s="116">
        <v>11.830403093717001</v>
      </c>
      <c r="F1663" s="116">
        <v>732.85</v>
      </c>
      <c r="G1663">
        <v>3008</v>
      </c>
      <c r="H1663" s="116"/>
      <c r="I1663" s="116"/>
      <c r="L1663" s="170">
        <v>44454</v>
      </c>
      <c r="M1663" s="116">
        <v>626.9</v>
      </c>
      <c r="N1663" s="116">
        <v>642.85</v>
      </c>
      <c r="O1663" s="116">
        <v>625</v>
      </c>
      <c r="P1663" s="116">
        <v>630.35</v>
      </c>
      <c r="Q1663" s="116">
        <v>626.9</v>
      </c>
      <c r="R1663">
        <v>1541851</v>
      </c>
    </row>
    <row r="1664" spans="1:18" x14ac:dyDescent="0.25">
      <c r="A1664" s="170">
        <v>44456</v>
      </c>
      <c r="B1664" s="116">
        <v>11.847033287503001</v>
      </c>
      <c r="C1664" s="116">
        <v>11.373468721598799</v>
      </c>
      <c r="D1664" s="116">
        <v>11.229340375454001</v>
      </c>
      <c r="E1664" s="116">
        <v>11.847033287503001</v>
      </c>
      <c r="F1664" s="116">
        <v>718.1</v>
      </c>
      <c r="G1664">
        <v>3351</v>
      </c>
      <c r="H1664" s="116"/>
      <c r="I1664" s="116"/>
      <c r="L1664" s="170">
        <v>44455</v>
      </c>
      <c r="M1664" s="116">
        <v>623.75</v>
      </c>
      <c r="N1664" s="116">
        <v>633.20000000000005</v>
      </c>
      <c r="O1664" s="116">
        <v>620.6</v>
      </c>
      <c r="P1664" s="116">
        <v>626.20000000000005</v>
      </c>
      <c r="Q1664" s="116">
        <v>623.75</v>
      </c>
      <c r="R1664">
        <v>893167</v>
      </c>
    </row>
    <row r="1665" spans="1:18" x14ac:dyDescent="0.25">
      <c r="A1665" s="170">
        <v>44459</v>
      </c>
      <c r="B1665" s="116">
        <v>11.6411356501533</v>
      </c>
      <c r="C1665" s="116">
        <v>11.319618570291899</v>
      </c>
      <c r="D1665" s="116">
        <v>11.110553276983101</v>
      </c>
      <c r="E1665" s="116">
        <v>11.276855214842399</v>
      </c>
      <c r="F1665" s="116">
        <v>714.7</v>
      </c>
      <c r="G1665">
        <v>4830</v>
      </c>
      <c r="H1665" s="116"/>
      <c r="I1665" s="116"/>
      <c r="L1665" s="170">
        <v>44456</v>
      </c>
      <c r="M1665" s="116">
        <v>608</v>
      </c>
      <c r="N1665" s="116">
        <v>628.20000000000005</v>
      </c>
      <c r="O1665" s="116">
        <v>594.25</v>
      </c>
      <c r="P1665" s="116">
        <v>626.6</v>
      </c>
      <c r="Q1665" s="116">
        <v>608</v>
      </c>
      <c r="R1665">
        <v>1939736</v>
      </c>
    </row>
    <row r="1666" spans="1:18" x14ac:dyDescent="0.25">
      <c r="A1666" s="170">
        <v>44460</v>
      </c>
      <c r="B1666" s="116">
        <v>11.435238012803699</v>
      </c>
      <c r="C1666" s="116">
        <v>11.2673522469647</v>
      </c>
      <c r="D1666" s="116">
        <v>10.880106305949401</v>
      </c>
      <c r="E1666" s="116">
        <v>11.134310696677201</v>
      </c>
      <c r="F1666" s="116">
        <v>711.4</v>
      </c>
      <c r="G1666">
        <v>5695</v>
      </c>
      <c r="H1666" s="116"/>
      <c r="I1666" s="116"/>
      <c r="L1666" s="170">
        <v>44459</v>
      </c>
      <c r="M1666" s="116">
        <v>599.45000000000005</v>
      </c>
      <c r="N1666" s="116">
        <v>621</v>
      </c>
      <c r="O1666" s="116">
        <v>594.15</v>
      </c>
      <c r="P1666" s="116">
        <v>602</v>
      </c>
      <c r="Q1666" s="116">
        <v>599.45000000000005</v>
      </c>
      <c r="R1666">
        <v>1224826</v>
      </c>
    </row>
    <row r="1667" spans="1:18" x14ac:dyDescent="0.25">
      <c r="A1667" s="170">
        <v>44461</v>
      </c>
      <c r="B1667" s="116">
        <v>11.451076292599801</v>
      </c>
      <c r="C1667" s="116">
        <v>11.086003943299101</v>
      </c>
      <c r="D1667" s="116">
        <v>10.9125747795315</v>
      </c>
      <c r="E1667" s="116">
        <v>11.451076292599801</v>
      </c>
      <c r="F1667" s="116">
        <v>699.95</v>
      </c>
      <c r="G1667">
        <v>2871</v>
      </c>
      <c r="H1667" s="116"/>
      <c r="I1667" s="116"/>
      <c r="L1667" s="170">
        <v>44460</v>
      </c>
      <c r="M1667" s="116">
        <v>625.45000000000005</v>
      </c>
      <c r="N1667" s="116">
        <v>627.95000000000005</v>
      </c>
      <c r="O1667" s="116">
        <v>588.15</v>
      </c>
      <c r="P1667" s="116">
        <v>601.20000000000005</v>
      </c>
      <c r="Q1667" s="116">
        <v>625.45000000000005</v>
      </c>
      <c r="R1667">
        <v>2325089</v>
      </c>
    </row>
    <row r="1668" spans="1:18" x14ac:dyDescent="0.25">
      <c r="A1668" s="170">
        <v>44462</v>
      </c>
      <c r="B1668" s="116">
        <v>11.3861393454357</v>
      </c>
      <c r="C1668" s="116">
        <v>11.260225021056501</v>
      </c>
      <c r="D1668" s="116">
        <v>10.994933834471301</v>
      </c>
      <c r="E1668" s="116">
        <v>10.994933834471301</v>
      </c>
      <c r="F1668" s="116">
        <v>710.95</v>
      </c>
      <c r="G1668">
        <v>3611</v>
      </c>
      <c r="H1668" s="116"/>
      <c r="I1668" s="116"/>
      <c r="L1668" s="170">
        <v>44461</v>
      </c>
      <c r="M1668" s="116">
        <v>653.6</v>
      </c>
      <c r="N1668" s="116">
        <v>664.85</v>
      </c>
      <c r="O1668" s="116">
        <v>627.29999999999995</v>
      </c>
      <c r="P1668" s="116">
        <v>628</v>
      </c>
      <c r="Q1668" s="116">
        <v>653.6</v>
      </c>
      <c r="R1668">
        <v>4338651</v>
      </c>
    </row>
    <row r="1669" spans="1:18" x14ac:dyDescent="0.25">
      <c r="A1669" s="170">
        <v>44463</v>
      </c>
      <c r="B1669" s="116">
        <v>11.6411356501533</v>
      </c>
      <c r="C1669" s="116">
        <v>11.506510271886199</v>
      </c>
      <c r="D1669" s="116">
        <v>11.1034260510748</v>
      </c>
      <c r="E1669" s="116">
        <v>11.435238012803699</v>
      </c>
      <c r="F1669" s="116">
        <v>726.5</v>
      </c>
      <c r="G1669">
        <v>9288</v>
      </c>
      <c r="H1669" s="116"/>
      <c r="I1669" s="116"/>
      <c r="L1669" s="170">
        <v>44462</v>
      </c>
      <c r="M1669" s="116">
        <v>681.15</v>
      </c>
      <c r="N1669" s="116">
        <v>691</v>
      </c>
      <c r="O1669" s="116">
        <v>653.79999999999995</v>
      </c>
      <c r="P1669" s="116">
        <v>659.25</v>
      </c>
      <c r="Q1669" s="116">
        <v>681.15</v>
      </c>
      <c r="R1669">
        <v>4587858</v>
      </c>
    </row>
    <row r="1670" spans="1:18" x14ac:dyDescent="0.25">
      <c r="A1670" s="170">
        <v>44466</v>
      </c>
      <c r="B1670" s="116">
        <v>12.493235103184899</v>
      </c>
      <c r="C1670" s="116">
        <v>12.341187617142101</v>
      </c>
      <c r="D1670" s="116">
        <v>11.7203270491339</v>
      </c>
      <c r="E1670" s="116">
        <v>11.7203270491339</v>
      </c>
      <c r="F1670" s="116">
        <v>779.2</v>
      </c>
      <c r="G1670">
        <v>24523</v>
      </c>
      <c r="H1670" s="116"/>
      <c r="I1670" s="116"/>
      <c r="L1670" s="170">
        <v>44463</v>
      </c>
      <c r="M1670" s="116">
        <v>657.75</v>
      </c>
      <c r="N1670" s="116">
        <v>686.6</v>
      </c>
      <c r="O1670" s="116">
        <v>655</v>
      </c>
      <c r="P1670" s="116">
        <v>681.5</v>
      </c>
      <c r="Q1670" s="116">
        <v>657.75</v>
      </c>
      <c r="R1670">
        <v>1424233</v>
      </c>
    </row>
    <row r="1671" spans="1:18" x14ac:dyDescent="0.25">
      <c r="A1671" s="170">
        <v>44467</v>
      </c>
      <c r="B1671" s="116">
        <v>13.2233798017864</v>
      </c>
      <c r="C1671" s="116">
        <v>13.0111468525183</v>
      </c>
      <c r="D1671" s="116">
        <v>12.361777380877101</v>
      </c>
      <c r="E1671" s="116">
        <v>12.528079318736401</v>
      </c>
      <c r="F1671" s="116">
        <v>821.5</v>
      </c>
      <c r="G1671">
        <v>33827</v>
      </c>
      <c r="H1671" s="116"/>
      <c r="I1671" s="116"/>
      <c r="L1671" s="170">
        <v>44466</v>
      </c>
      <c r="M1671" s="116">
        <v>670</v>
      </c>
      <c r="N1671" s="116">
        <v>687.6</v>
      </c>
      <c r="O1671" s="116">
        <v>656</v>
      </c>
      <c r="P1671" s="116">
        <v>662.7</v>
      </c>
      <c r="Q1671" s="116">
        <v>670</v>
      </c>
      <c r="R1671">
        <v>2183181</v>
      </c>
    </row>
    <row r="1672" spans="1:18" x14ac:dyDescent="0.25">
      <c r="A1672" s="170">
        <v>44468</v>
      </c>
      <c r="B1672" s="116">
        <v>13.7317885832421</v>
      </c>
      <c r="C1672" s="116">
        <v>13.4752084505448</v>
      </c>
      <c r="D1672" s="116">
        <v>13.221795973806801</v>
      </c>
      <c r="E1672" s="116">
        <v>13.2233798017864</v>
      </c>
      <c r="F1672" s="116">
        <v>850.8</v>
      </c>
      <c r="G1672">
        <v>23944</v>
      </c>
      <c r="H1672" s="116"/>
      <c r="I1672" s="116"/>
      <c r="L1672" s="170">
        <v>44467</v>
      </c>
      <c r="M1672" s="116">
        <v>653.75</v>
      </c>
      <c r="N1672" s="116">
        <v>674.8</v>
      </c>
      <c r="O1672" s="116">
        <v>641.1</v>
      </c>
      <c r="P1672" s="116">
        <v>674.7</v>
      </c>
      <c r="Q1672" s="116">
        <v>653.75</v>
      </c>
      <c r="R1672">
        <v>1552352</v>
      </c>
    </row>
    <row r="1673" spans="1:18" x14ac:dyDescent="0.25">
      <c r="A1673" s="170">
        <v>44469</v>
      </c>
      <c r="B1673" s="116">
        <v>14.094485190573399</v>
      </c>
      <c r="C1673" s="116">
        <v>13.478376106503999</v>
      </c>
      <c r="D1673" s="116">
        <v>12.9873894328241</v>
      </c>
      <c r="E1673" s="116">
        <v>13.779303422630401</v>
      </c>
      <c r="F1673" s="116">
        <v>851</v>
      </c>
      <c r="G1673">
        <v>14086</v>
      </c>
      <c r="H1673" s="116"/>
      <c r="I1673" s="116"/>
      <c r="L1673" s="170">
        <v>44468</v>
      </c>
      <c r="M1673" s="116">
        <v>652.45000000000005</v>
      </c>
      <c r="N1673" s="116">
        <v>667.6</v>
      </c>
      <c r="O1673" s="116">
        <v>642.04999999999995</v>
      </c>
      <c r="P1673" s="116">
        <v>646.70000000000005</v>
      </c>
      <c r="Q1673" s="116">
        <v>652.45000000000005</v>
      </c>
      <c r="R1673">
        <v>1440451</v>
      </c>
    </row>
    <row r="1674" spans="1:18" x14ac:dyDescent="0.25">
      <c r="A1674" s="170">
        <v>44470</v>
      </c>
      <c r="B1674" s="116">
        <v>13.858494821611099</v>
      </c>
      <c r="C1674" s="116">
        <v>13.439572321003499</v>
      </c>
      <c r="D1674" s="116">
        <v>13.1164714131625</v>
      </c>
      <c r="E1674" s="116">
        <v>13.6842737438537</v>
      </c>
      <c r="F1674" s="116">
        <v>848.55</v>
      </c>
      <c r="G1674">
        <v>12044</v>
      </c>
      <c r="H1674" s="116"/>
      <c r="I1674" s="116"/>
      <c r="L1674" s="170">
        <v>44469</v>
      </c>
      <c r="M1674" s="116">
        <v>686.8</v>
      </c>
      <c r="N1674" s="116">
        <v>691</v>
      </c>
      <c r="O1674" s="116">
        <v>650.25</v>
      </c>
      <c r="P1674" s="116">
        <v>652.79999999999995</v>
      </c>
      <c r="Q1674" s="116">
        <v>686.8</v>
      </c>
      <c r="R1674">
        <v>2713429</v>
      </c>
    </row>
    <row r="1675" spans="1:18" x14ac:dyDescent="0.25">
      <c r="A1675" s="170">
        <v>44473</v>
      </c>
      <c r="B1675" s="116">
        <v>13.617752968709899</v>
      </c>
      <c r="C1675" s="116">
        <v>13.1449803167956</v>
      </c>
      <c r="D1675" s="116">
        <v>12.521744006818</v>
      </c>
      <c r="E1675" s="116">
        <v>13.3358315883389</v>
      </c>
      <c r="F1675" s="116">
        <v>829.95</v>
      </c>
      <c r="G1675">
        <v>11939</v>
      </c>
      <c r="H1675" s="116"/>
      <c r="I1675" s="116"/>
      <c r="L1675" s="170">
        <v>44470</v>
      </c>
      <c r="M1675" s="116">
        <v>671.15</v>
      </c>
      <c r="N1675" s="116">
        <v>695</v>
      </c>
      <c r="O1675" s="116">
        <v>666.3</v>
      </c>
      <c r="P1675" s="116">
        <v>686.2</v>
      </c>
      <c r="Q1675" s="116">
        <v>671.15</v>
      </c>
      <c r="R1675">
        <v>3145379</v>
      </c>
    </row>
    <row r="1676" spans="1:18" x14ac:dyDescent="0.25">
      <c r="A1676" s="170">
        <v>44474</v>
      </c>
      <c r="B1676" s="116">
        <v>13.6985281956702</v>
      </c>
      <c r="C1676" s="116">
        <v>13.0570778639271</v>
      </c>
      <c r="D1676" s="116">
        <v>12.924036313639601</v>
      </c>
      <c r="E1676" s="116">
        <v>13.6985281956702</v>
      </c>
      <c r="F1676" s="116">
        <v>824.4</v>
      </c>
      <c r="G1676">
        <v>10124</v>
      </c>
      <c r="H1676" s="116"/>
      <c r="I1676" s="116"/>
      <c r="L1676" s="170">
        <v>44473</v>
      </c>
      <c r="M1676" s="116">
        <v>710.5</v>
      </c>
      <c r="N1676" s="116">
        <v>720</v>
      </c>
      <c r="O1676" s="116">
        <v>671.15</v>
      </c>
      <c r="P1676" s="116">
        <v>675</v>
      </c>
      <c r="Q1676" s="116">
        <v>710.5</v>
      </c>
      <c r="R1676">
        <v>5407700</v>
      </c>
    </row>
    <row r="1677" spans="1:18" x14ac:dyDescent="0.25">
      <c r="A1677" s="170">
        <v>44475</v>
      </c>
      <c r="B1677" s="116">
        <v>13.2724784691544</v>
      </c>
      <c r="C1677" s="116">
        <v>12.6603289550341</v>
      </c>
      <c r="D1677" s="116">
        <v>12.546293340502</v>
      </c>
      <c r="E1677" s="116">
        <v>12.8765214742512</v>
      </c>
      <c r="F1677" s="116">
        <v>799.35</v>
      </c>
      <c r="G1677">
        <v>5819</v>
      </c>
      <c r="H1677" s="116"/>
      <c r="I1677" s="116"/>
      <c r="L1677" s="170">
        <v>44474</v>
      </c>
      <c r="M1677" s="116">
        <v>699.7</v>
      </c>
      <c r="N1677" s="116">
        <v>714.9</v>
      </c>
      <c r="O1677" s="116">
        <v>696</v>
      </c>
      <c r="P1677" s="116">
        <v>710.4</v>
      </c>
      <c r="Q1677" s="116">
        <v>699.7</v>
      </c>
      <c r="R1677">
        <v>1137539</v>
      </c>
    </row>
    <row r="1678" spans="1:18" x14ac:dyDescent="0.25">
      <c r="A1678" s="170">
        <v>44476</v>
      </c>
      <c r="B1678" s="116">
        <v>12.985805604844501</v>
      </c>
      <c r="C1678" s="116">
        <v>12.7759483975458</v>
      </c>
      <c r="D1678" s="116">
        <v>12.3855348005713</v>
      </c>
      <c r="E1678" s="116">
        <v>12.899486979955601</v>
      </c>
      <c r="F1678" s="116">
        <v>806.65</v>
      </c>
      <c r="G1678">
        <v>5129</v>
      </c>
      <c r="H1678" s="116"/>
      <c r="I1678" s="116"/>
      <c r="L1678" s="170">
        <v>44475</v>
      </c>
      <c r="M1678" s="116">
        <v>669.45</v>
      </c>
      <c r="N1678" s="116">
        <v>711.65</v>
      </c>
      <c r="O1678" s="116">
        <v>667</v>
      </c>
      <c r="P1678" s="116">
        <v>703</v>
      </c>
      <c r="Q1678" s="116">
        <v>669.45</v>
      </c>
      <c r="R1678">
        <v>2054046</v>
      </c>
    </row>
    <row r="1679" spans="1:18" x14ac:dyDescent="0.25">
      <c r="A1679" s="170">
        <v>44477</v>
      </c>
      <c r="B1679" s="116">
        <v>13.224963629766</v>
      </c>
      <c r="C1679" s="116">
        <v>12.897903151975999</v>
      </c>
      <c r="D1679" s="116">
        <v>12.577177986104401</v>
      </c>
      <c r="E1679" s="116">
        <v>12.971551153028001</v>
      </c>
      <c r="F1679" s="116">
        <v>814.35</v>
      </c>
      <c r="G1679">
        <v>4740</v>
      </c>
      <c r="H1679" s="116"/>
      <c r="I1679" s="116"/>
      <c r="L1679" s="170">
        <v>44476</v>
      </c>
      <c r="M1679" s="116">
        <v>689.5</v>
      </c>
      <c r="N1679" s="116">
        <v>707</v>
      </c>
      <c r="O1679" s="116">
        <v>676.1</v>
      </c>
      <c r="P1679" s="116">
        <v>676.1</v>
      </c>
      <c r="Q1679" s="116">
        <v>689.5</v>
      </c>
      <c r="R1679">
        <v>1881513</v>
      </c>
    </row>
    <row r="1680" spans="1:18" x14ac:dyDescent="0.25">
      <c r="A1680" s="170">
        <v>44480</v>
      </c>
      <c r="B1680" s="116">
        <v>13.6193367966896</v>
      </c>
      <c r="C1680" s="116">
        <v>13.118847155132</v>
      </c>
      <c r="D1680" s="116">
        <v>12.702300396493801</v>
      </c>
      <c r="E1680" s="116">
        <v>12.897903151975999</v>
      </c>
      <c r="F1680" s="116">
        <v>828.3</v>
      </c>
      <c r="G1680">
        <v>6688</v>
      </c>
      <c r="H1680" s="116"/>
      <c r="I1680" s="116"/>
      <c r="L1680" s="170">
        <v>44477</v>
      </c>
      <c r="M1680" s="116">
        <v>683.1</v>
      </c>
      <c r="N1680" s="116">
        <v>699.9</v>
      </c>
      <c r="O1680" s="116">
        <v>681.05</v>
      </c>
      <c r="P1680" s="116">
        <v>690.9</v>
      </c>
      <c r="Q1680" s="116">
        <v>683.1</v>
      </c>
      <c r="R1680">
        <v>1045747</v>
      </c>
    </row>
    <row r="1681" spans="1:18" x14ac:dyDescent="0.25">
      <c r="A1681" s="170">
        <v>44481</v>
      </c>
      <c r="B1681" s="116">
        <v>13.969362780183999</v>
      </c>
      <c r="C1681" s="116">
        <v>13.808604240253301</v>
      </c>
      <c r="D1681" s="116">
        <v>13.1299339509892</v>
      </c>
      <c r="E1681" s="116">
        <v>13.303363114756801</v>
      </c>
      <c r="F1681" s="116">
        <v>871.85</v>
      </c>
      <c r="G1681">
        <v>10700</v>
      </c>
      <c r="H1681" s="116"/>
      <c r="I1681" s="116"/>
      <c r="L1681" s="170">
        <v>44480</v>
      </c>
      <c r="M1681" s="116">
        <v>695.6</v>
      </c>
      <c r="N1681" s="116">
        <v>721</v>
      </c>
      <c r="O1681" s="116">
        <v>680</v>
      </c>
      <c r="P1681" s="116">
        <v>684.8</v>
      </c>
      <c r="Q1681" s="116">
        <v>695.6</v>
      </c>
      <c r="R1681">
        <v>2398779</v>
      </c>
    </row>
    <row r="1682" spans="1:18" x14ac:dyDescent="0.25">
      <c r="A1682" s="170">
        <v>44482</v>
      </c>
      <c r="B1682" s="116">
        <v>14.0168776195723</v>
      </c>
      <c r="C1682" s="116">
        <v>13.552024107556001</v>
      </c>
      <c r="D1682" s="116">
        <v>13.4831275904429</v>
      </c>
      <c r="E1682" s="116">
        <v>14.0168776195723</v>
      </c>
      <c r="F1682" s="116">
        <v>855.65</v>
      </c>
      <c r="G1682">
        <v>3438</v>
      </c>
      <c r="H1682" s="116"/>
      <c r="I1682" s="116"/>
      <c r="L1682" s="170">
        <v>44481</v>
      </c>
      <c r="M1682" s="116">
        <v>698.7</v>
      </c>
      <c r="N1682" s="116">
        <v>709</v>
      </c>
      <c r="O1682" s="116">
        <v>692.25</v>
      </c>
      <c r="P1682" s="116">
        <v>694.8</v>
      </c>
      <c r="Q1682" s="116">
        <v>698.7</v>
      </c>
      <c r="R1682">
        <v>1100145</v>
      </c>
    </row>
    <row r="1683" spans="1:18" x14ac:dyDescent="0.25">
      <c r="A1683" s="170">
        <v>44483</v>
      </c>
      <c r="B1683" s="116">
        <v>14.0643924589607</v>
      </c>
      <c r="C1683" s="116">
        <v>13.9756980921024</v>
      </c>
      <c r="D1683" s="116">
        <v>13.178240704367401</v>
      </c>
      <c r="E1683" s="116">
        <v>13.5900359790667</v>
      </c>
      <c r="F1683" s="116">
        <v>882.4</v>
      </c>
      <c r="G1683">
        <v>7742</v>
      </c>
      <c r="H1683" s="116"/>
      <c r="I1683" s="116"/>
      <c r="L1683" s="170">
        <v>44482</v>
      </c>
      <c r="M1683" s="116">
        <v>689.35</v>
      </c>
      <c r="N1683" s="116">
        <v>708.5</v>
      </c>
      <c r="O1683" s="116">
        <v>687</v>
      </c>
      <c r="P1683" s="116">
        <v>699</v>
      </c>
      <c r="Q1683" s="116">
        <v>689.35</v>
      </c>
      <c r="R1683">
        <v>756337</v>
      </c>
    </row>
    <row r="1684" spans="1:18" x14ac:dyDescent="0.25">
      <c r="A1684" s="170">
        <v>44487</v>
      </c>
      <c r="B1684" s="116">
        <v>14.7296002103981</v>
      </c>
      <c r="C1684" s="116">
        <v>14.667039005203399</v>
      </c>
      <c r="D1684" s="116">
        <v>14.032715899368499</v>
      </c>
      <c r="E1684" s="116">
        <v>14.032715899368499</v>
      </c>
      <c r="F1684" s="116">
        <v>926.05</v>
      </c>
      <c r="G1684">
        <v>10452</v>
      </c>
      <c r="H1684" s="116"/>
      <c r="I1684" s="116"/>
      <c r="L1684" s="170">
        <v>44483</v>
      </c>
      <c r="M1684" s="116">
        <v>699.5</v>
      </c>
      <c r="N1684" s="116">
        <v>705.4</v>
      </c>
      <c r="O1684" s="116">
        <v>688.1</v>
      </c>
      <c r="P1684" s="116">
        <v>693.3</v>
      </c>
      <c r="Q1684" s="116">
        <v>699.5</v>
      </c>
      <c r="R1684">
        <v>836846</v>
      </c>
    </row>
    <row r="1685" spans="1:18" x14ac:dyDescent="0.25">
      <c r="A1685" s="170">
        <v>44488</v>
      </c>
      <c r="B1685" s="116">
        <v>15.0305275265245</v>
      </c>
      <c r="C1685" s="116">
        <v>13.846616111764</v>
      </c>
      <c r="D1685" s="116">
        <v>13.304155028746599</v>
      </c>
      <c r="E1685" s="116">
        <v>14.824629889174799</v>
      </c>
      <c r="F1685" s="116">
        <v>874.25</v>
      </c>
      <c r="G1685">
        <v>11261</v>
      </c>
      <c r="H1685" s="116"/>
      <c r="I1685" s="116"/>
      <c r="L1685" s="170">
        <v>44487</v>
      </c>
      <c r="M1685" s="116">
        <v>701.55</v>
      </c>
      <c r="N1685" s="116">
        <v>722</v>
      </c>
      <c r="O1685" s="116">
        <v>699.6</v>
      </c>
      <c r="P1685" s="116">
        <v>705</v>
      </c>
      <c r="Q1685" s="116">
        <v>701.55</v>
      </c>
      <c r="R1685">
        <v>1274926</v>
      </c>
    </row>
    <row r="1686" spans="1:18" x14ac:dyDescent="0.25">
      <c r="A1686" s="170">
        <v>44489</v>
      </c>
      <c r="B1686" s="116">
        <v>14.5648821005183</v>
      </c>
      <c r="C1686" s="116">
        <v>14.2790011501982</v>
      </c>
      <c r="D1686" s="116">
        <v>13.3342477603593</v>
      </c>
      <c r="E1686" s="116">
        <v>14.2861283761065</v>
      </c>
      <c r="F1686" s="116">
        <v>901.55</v>
      </c>
      <c r="G1686">
        <v>24092</v>
      </c>
      <c r="H1686" s="116"/>
      <c r="I1686" s="116"/>
      <c r="L1686" s="170">
        <v>44488</v>
      </c>
      <c r="M1686" s="116">
        <v>682.25</v>
      </c>
      <c r="N1686" s="116">
        <v>712.45</v>
      </c>
      <c r="O1686" s="116">
        <v>675.1</v>
      </c>
      <c r="P1686" s="116">
        <v>706.8</v>
      </c>
      <c r="Q1686" s="116">
        <v>682.25</v>
      </c>
      <c r="R1686">
        <v>966728</v>
      </c>
    </row>
    <row r="1687" spans="1:18" x14ac:dyDescent="0.25">
      <c r="A1687" s="170">
        <v>44490</v>
      </c>
      <c r="B1687" s="116">
        <v>14.8563064487671</v>
      </c>
      <c r="C1687" s="116">
        <v>14.477771561639599</v>
      </c>
      <c r="D1687" s="116">
        <v>13.8307778319679</v>
      </c>
      <c r="E1687" s="116">
        <v>14.5712174124368</v>
      </c>
      <c r="F1687" s="116">
        <v>914.1</v>
      </c>
      <c r="G1687">
        <v>13871</v>
      </c>
      <c r="H1687" s="116"/>
      <c r="I1687" s="116"/>
      <c r="L1687" s="170">
        <v>44489</v>
      </c>
      <c r="M1687" s="116">
        <v>682.85</v>
      </c>
      <c r="N1687" s="116">
        <v>697.25</v>
      </c>
      <c r="O1687" s="116">
        <v>668.6</v>
      </c>
      <c r="P1687" s="116">
        <v>682</v>
      </c>
      <c r="Q1687" s="116">
        <v>682.85</v>
      </c>
      <c r="R1687">
        <v>1227535</v>
      </c>
    </row>
    <row r="1688" spans="1:18" x14ac:dyDescent="0.25">
      <c r="A1688" s="170">
        <v>44491</v>
      </c>
      <c r="B1688" s="116">
        <v>14.6187322518252</v>
      </c>
      <c r="C1688" s="116">
        <v>13.6621001521391</v>
      </c>
      <c r="D1688" s="116">
        <v>13.4625378267079</v>
      </c>
      <c r="E1688" s="116">
        <v>14.5078642932523</v>
      </c>
      <c r="F1688" s="116">
        <v>862.6</v>
      </c>
      <c r="G1688">
        <v>11032</v>
      </c>
      <c r="H1688" s="116"/>
      <c r="I1688" s="116"/>
      <c r="L1688" s="170">
        <v>44490</v>
      </c>
      <c r="M1688" s="116">
        <v>699.05</v>
      </c>
      <c r="N1688" s="116">
        <v>703</v>
      </c>
      <c r="O1688" s="116">
        <v>670</v>
      </c>
      <c r="P1688" s="116">
        <v>689</v>
      </c>
      <c r="Q1688" s="116">
        <v>699.05</v>
      </c>
      <c r="R1688">
        <v>1681526</v>
      </c>
    </row>
    <row r="1689" spans="1:18" x14ac:dyDescent="0.25">
      <c r="A1689" s="170">
        <v>44494</v>
      </c>
      <c r="B1689" s="116">
        <v>14.4128346144755</v>
      </c>
      <c r="C1689" s="116">
        <v>13.117263327152299</v>
      </c>
      <c r="D1689" s="116">
        <v>12.988181346813899</v>
      </c>
      <c r="E1689" s="116">
        <v>14.159422137737501</v>
      </c>
      <c r="F1689" s="116">
        <v>828.2</v>
      </c>
      <c r="G1689">
        <v>7454</v>
      </c>
      <c r="H1689" s="116"/>
      <c r="I1689" s="116"/>
      <c r="L1689" s="170">
        <v>44491</v>
      </c>
      <c r="M1689" s="116">
        <v>657.5</v>
      </c>
      <c r="N1689" s="116">
        <v>698.15</v>
      </c>
      <c r="O1689" s="116">
        <v>633.15</v>
      </c>
      <c r="P1689" s="116">
        <v>689.4</v>
      </c>
      <c r="Q1689" s="116">
        <v>657.5</v>
      </c>
      <c r="R1689">
        <v>5598243</v>
      </c>
    </row>
    <row r="1690" spans="1:18" x14ac:dyDescent="0.25">
      <c r="A1690" s="170">
        <v>44495</v>
      </c>
      <c r="B1690" s="116">
        <v>13.4609539987283</v>
      </c>
      <c r="C1690" s="116">
        <v>13.2621835872869</v>
      </c>
      <c r="D1690" s="116">
        <v>13.070540401753799</v>
      </c>
      <c r="E1690" s="116">
        <v>13.1299339509892</v>
      </c>
      <c r="F1690" s="116">
        <v>837.35</v>
      </c>
      <c r="G1690">
        <v>3282</v>
      </c>
      <c r="H1690" s="116"/>
      <c r="I1690" s="116"/>
      <c r="L1690" s="170">
        <v>44494</v>
      </c>
      <c r="M1690" s="116">
        <v>652.6</v>
      </c>
      <c r="N1690" s="116">
        <v>668.05</v>
      </c>
      <c r="O1690" s="116">
        <v>639.70000000000005</v>
      </c>
      <c r="P1690" s="116">
        <v>660</v>
      </c>
      <c r="Q1690" s="116">
        <v>652.6</v>
      </c>
      <c r="R1690">
        <v>1417194</v>
      </c>
    </row>
    <row r="1691" spans="1:18" x14ac:dyDescent="0.25">
      <c r="A1691" s="170">
        <v>44496</v>
      </c>
      <c r="B1691" s="116">
        <v>13.736540067180901</v>
      </c>
      <c r="C1691" s="116">
        <v>13.5116364940759</v>
      </c>
      <c r="D1691" s="116">
        <v>13.145772230785401</v>
      </c>
      <c r="E1691" s="116">
        <v>13.4609539987283</v>
      </c>
      <c r="F1691" s="116">
        <v>853.1</v>
      </c>
      <c r="G1691">
        <v>5635</v>
      </c>
      <c r="H1691" s="116"/>
      <c r="I1691" s="116"/>
      <c r="L1691" s="170">
        <v>44495</v>
      </c>
      <c r="M1691" s="116">
        <v>656.45</v>
      </c>
      <c r="N1691" s="116">
        <v>669.6</v>
      </c>
      <c r="O1691" s="116">
        <v>646</v>
      </c>
      <c r="P1691" s="116">
        <v>652</v>
      </c>
      <c r="Q1691" s="116">
        <v>656.45</v>
      </c>
      <c r="R1691">
        <v>757028</v>
      </c>
    </row>
    <row r="1692" spans="1:18" x14ac:dyDescent="0.25">
      <c r="A1692" s="170">
        <v>44497</v>
      </c>
      <c r="B1692" s="116">
        <v>13.541729225688499</v>
      </c>
      <c r="C1692" s="116">
        <v>12.7371446120453</v>
      </c>
      <c r="D1692" s="116">
        <v>12.480564479348001</v>
      </c>
      <c r="E1692" s="116">
        <v>13.3215771365224</v>
      </c>
      <c r="F1692" s="116">
        <v>804.2</v>
      </c>
      <c r="G1692">
        <v>4505</v>
      </c>
      <c r="H1692" s="116"/>
      <c r="I1692" s="116"/>
      <c r="L1692" s="170">
        <v>44496</v>
      </c>
      <c r="M1692" s="116">
        <v>644.35</v>
      </c>
      <c r="N1692" s="116">
        <v>663.45</v>
      </c>
      <c r="O1692" s="116">
        <v>636.1</v>
      </c>
      <c r="P1692" s="116">
        <v>658</v>
      </c>
      <c r="Q1692" s="116">
        <v>644.35</v>
      </c>
      <c r="R1692">
        <v>823474</v>
      </c>
    </row>
    <row r="1693" spans="1:18" x14ac:dyDescent="0.25">
      <c r="A1693" s="170">
        <v>44498</v>
      </c>
      <c r="B1693" s="116">
        <v>13.3199933085428</v>
      </c>
      <c r="C1693" s="116">
        <v>13.061829347865901</v>
      </c>
      <c r="D1693" s="116">
        <v>12.2358630564979</v>
      </c>
      <c r="E1693" s="116">
        <v>12.7387284400249</v>
      </c>
      <c r="F1693" s="116">
        <v>824.7</v>
      </c>
      <c r="G1693">
        <v>9181</v>
      </c>
      <c r="H1693" s="116"/>
      <c r="I1693" s="116"/>
      <c r="L1693" s="170">
        <v>44497</v>
      </c>
      <c r="M1693" s="116">
        <v>628.15</v>
      </c>
      <c r="N1693" s="116">
        <v>649.45000000000005</v>
      </c>
      <c r="O1693" s="116">
        <v>621.45000000000005</v>
      </c>
      <c r="P1693" s="116">
        <v>642</v>
      </c>
      <c r="Q1693" s="116">
        <v>628.15</v>
      </c>
      <c r="R1693">
        <v>953292</v>
      </c>
    </row>
    <row r="1694" spans="1:18" x14ac:dyDescent="0.25">
      <c r="A1694" s="170">
        <v>44501</v>
      </c>
      <c r="B1694" s="116">
        <v>13.256640189358301</v>
      </c>
      <c r="C1694" s="116">
        <v>12.981054120905601</v>
      </c>
      <c r="D1694" s="116">
        <v>12.702300396493801</v>
      </c>
      <c r="E1694" s="116">
        <v>12.702300396493801</v>
      </c>
      <c r="F1694" s="116">
        <v>819.6</v>
      </c>
      <c r="G1694">
        <v>2992</v>
      </c>
      <c r="H1694" s="116"/>
      <c r="I1694" s="116"/>
      <c r="L1694" s="170">
        <v>44498</v>
      </c>
      <c r="M1694" s="116">
        <v>626.85</v>
      </c>
      <c r="N1694" s="116">
        <v>634.95000000000005</v>
      </c>
      <c r="O1694" s="116">
        <v>614.29999999999995</v>
      </c>
      <c r="P1694" s="116">
        <v>623.95000000000005</v>
      </c>
      <c r="Q1694" s="116">
        <v>626.85</v>
      </c>
      <c r="R1694">
        <v>671284</v>
      </c>
    </row>
    <row r="1695" spans="1:18" x14ac:dyDescent="0.25">
      <c r="A1695" s="170">
        <v>44502</v>
      </c>
      <c r="B1695" s="116">
        <v>13.224963629766</v>
      </c>
      <c r="C1695" s="116">
        <v>12.827422806883201</v>
      </c>
      <c r="D1695" s="116">
        <v>12.749815235882201</v>
      </c>
      <c r="E1695" s="116">
        <v>13.224963629766</v>
      </c>
      <c r="F1695" s="116">
        <v>809.9</v>
      </c>
      <c r="G1695">
        <v>1159</v>
      </c>
      <c r="H1695" s="116"/>
      <c r="I1695" s="116"/>
      <c r="L1695" s="170">
        <v>44501</v>
      </c>
      <c r="M1695" s="116">
        <v>636.75</v>
      </c>
      <c r="N1695" s="116">
        <v>644</v>
      </c>
      <c r="O1695" s="116">
        <v>622.1</v>
      </c>
      <c r="P1695" s="116">
        <v>625</v>
      </c>
      <c r="Q1695" s="116">
        <v>636.75</v>
      </c>
      <c r="R1695">
        <v>1248064</v>
      </c>
    </row>
    <row r="1696" spans="1:18" x14ac:dyDescent="0.25">
      <c r="A1696" s="170">
        <v>44503</v>
      </c>
      <c r="B1696" s="116">
        <v>13.2162525758781</v>
      </c>
      <c r="C1696" s="116">
        <v>12.802873473199201</v>
      </c>
      <c r="D1696" s="116">
        <v>12.766445429668099</v>
      </c>
      <c r="E1696" s="116">
        <v>13.2162525758781</v>
      </c>
      <c r="F1696" s="116">
        <v>808.35</v>
      </c>
      <c r="G1696">
        <v>2891</v>
      </c>
      <c r="H1696" s="116"/>
      <c r="I1696" s="116"/>
      <c r="L1696" s="170">
        <v>44502</v>
      </c>
      <c r="M1696" s="116">
        <v>652.54999999999995</v>
      </c>
      <c r="N1696" s="116">
        <v>657.6</v>
      </c>
      <c r="O1696" s="116">
        <v>637</v>
      </c>
      <c r="P1696" s="116">
        <v>637</v>
      </c>
      <c r="Q1696" s="116">
        <v>652.54999999999995</v>
      </c>
      <c r="R1696">
        <v>1046610</v>
      </c>
    </row>
    <row r="1697" spans="1:18" x14ac:dyDescent="0.25">
      <c r="A1697" s="170">
        <v>44504</v>
      </c>
      <c r="B1697" s="116">
        <v>13.144188402805799</v>
      </c>
      <c r="C1697" s="116">
        <v>12.7735726555764</v>
      </c>
      <c r="D1697" s="116">
        <v>12.688045944677301</v>
      </c>
      <c r="E1697" s="116">
        <v>13.144188402805799</v>
      </c>
      <c r="F1697" s="116">
        <v>806.5</v>
      </c>
      <c r="G1697">
        <v>1610</v>
      </c>
      <c r="H1697" s="116"/>
      <c r="I1697" s="116"/>
      <c r="L1697" s="170">
        <v>44503</v>
      </c>
      <c r="M1697" s="116">
        <v>645.9</v>
      </c>
      <c r="N1697" s="116">
        <v>662.4</v>
      </c>
      <c r="O1697" s="116">
        <v>641</v>
      </c>
      <c r="P1697" s="116">
        <v>658</v>
      </c>
      <c r="Q1697" s="116">
        <v>645.9</v>
      </c>
      <c r="R1697">
        <v>528077</v>
      </c>
    </row>
    <row r="1698" spans="1:18" x14ac:dyDescent="0.25">
      <c r="A1698" s="170">
        <v>44508</v>
      </c>
      <c r="B1698" s="116">
        <v>12.971551153028001</v>
      </c>
      <c r="C1698" s="116">
        <v>12.6666642669525</v>
      </c>
      <c r="D1698" s="116">
        <v>12.512241038940299</v>
      </c>
      <c r="E1698" s="116">
        <v>12.971551153028001</v>
      </c>
      <c r="F1698" s="116">
        <v>799.75</v>
      </c>
      <c r="G1698">
        <v>4079</v>
      </c>
      <c r="H1698" s="116"/>
      <c r="I1698" s="116"/>
      <c r="L1698" s="170">
        <v>44504</v>
      </c>
      <c r="M1698" s="116">
        <v>648.95000000000005</v>
      </c>
      <c r="N1698" s="116">
        <v>650.9</v>
      </c>
      <c r="O1698" s="116">
        <v>642.29999999999995</v>
      </c>
      <c r="P1698" s="116">
        <v>648.79999999999995</v>
      </c>
      <c r="Q1698" s="116">
        <v>648.95000000000005</v>
      </c>
      <c r="R1698">
        <v>93585</v>
      </c>
    </row>
    <row r="1699" spans="1:18" x14ac:dyDescent="0.25">
      <c r="A1699" s="170">
        <v>44509</v>
      </c>
      <c r="B1699" s="116">
        <v>12.908198033843499</v>
      </c>
      <c r="C1699" s="116">
        <v>12.379991402642601</v>
      </c>
      <c r="D1699" s="116">
        <v>12.306343401590601</v>
      </c>
      <c r="E1699" s="116">
        <v>12.6547855571054</v>
      </c>
      <c r="F1699" s="116">
        <v>781.65</v>
      </c>
      <c r="G1699">
        <v>2941</v>
      </c>
      <c r="H1699" s="116"/>
      <c r="I1699" s="116"/>
      <c r="L1699" s="170">
        <v>44508</v>
      </c>
      <c r="M1699" s="116">
        <v>653.9</v>
      </c>
      <c r="N1699" s="116">
        <v>659.85</v>
      </c>
      <c r="O1699" s="116">
        <v>640.6</v>
      </c>
      <c r="P1699" s="116">
        <v>649.1</v>
      </c>
      <c r="Q1699" s="116">
        <v>653.9</v>
      </c>
      <c r="R1699">
        <v>522310</v>
      </c>
    </row>
    <row r="1700" spans="1:18" x14ac:dyDescent="0.25">
      <c r="A1700" s="170">
        <v>44510</v>
      </c>
      <c r="B1700" s="116">
        <v>12.623108997513199</v>
      </c>
      <c r="C1700" s="116">
        <v>12.3506905850198</v>
      </c>
      <c r="D1700" s="116">
        <v>12.1202436139861</v>
      </c>
      <c r="E1700" s="116">
        <v>12.379991402642601</v>
      </c>
      <c r="F1700" s="116">
        <v>779.8</v>
      </c>
      <c r="G1700">
        <v>6344</v>
      </c>
      <c r="H1700" s="116"/>
      <c r="I1700" s="116"/>
      <c r="L1700" s="170">
        <v>44509</v>
      </c>
      <c r="M1700" s="116">
        <v>652.45000000000005</v>
      </c>
      <c r="N1700" s="116">
        <v>658.65</v>
      </c>
      <c r="O1700" s="116">
        <v>647.15</v>
      </c>
      <c r="P1700" s="116">
        <v>655</v>
      </c>
      <c r="Q1700" s="116">
        <v>652.45000000000005</v>
      </c>
      <c r="R1700">
        <v>353473</v>
      </c>
    </row>
    <row r="1701" spans="1:18" x14ac:dyDescent="0.25">
      <c r="A1701" s="170">
        <v>44511</v>
      </c>
      <c r="B1701" s="116">
        <v>12.4964027591442</v>
      </c>
      <c r="C1701" s="116">
        <v>12.220816690691599</v>
      </c>
      <c r="D1701" s="116">
        <v>12.1162840440371</v>
      </c>
      <c r="E1701" s="116">
        <v>12.353858240978999</v>
      </c>
      <c r="F1701" s="116">
        <v>771.6</v>
      </c>
      <c r="G1701">
        <v>4514</v>
      </c>
      <c r="H1701" s="116"/>
      <c r="I1701" s="116"/>
      <c r="L1701" s="170">
        <v>44510</v>
      </c>
      <c r="M1701" s="116">
        <v>647.15</v>
      </c>
      <c r="N1701" s="116">
        <v>659.35</v>
      </c>
      <c r="O1701" s="116">
        <v>644.6</v>
      </c>
      <c r="P1701" s="116">
        <v>653.75</v>
      </c>
      <c r="Q1701" s="116">
        <v>647.15</v>
      </c>
      <c r="R1701">
        <v>450054</v>
      </c>
    </row>
    <row r="1702" spans="1:18" x14ac:dyDescent="0.25">
      <c r="A1702" s="170">
        <v>44512</v>
      </c>
      <c r="B1702" s="116">
        <v>12.7814917954744</v>
      </c>
      <c r="C1702" s="116">
        <v>12.627068567462199</v>
      </c>
      <c r="D1702" s="116">
        <v>12.1020295922206</v>
      </c>
      <c r="E1702" s="116">
        <v>12.1020295922206</v>
      </c>
      <c r="F1702" s="116">
        <v>797.25</v>
      </c>
      <c r="G1702">
        <v>11121</v>
      </c>
      <c r="H1702" s="116"/>
      <c r="I1702" s="116"/>
      <c r="L1702" s="170">
        <v>44511</v>
      </c>
      <c r="M1702" s="116">
        <v>639.20000000000005</v>
      </c>
      <c r="N1702" s="116">
        <v>649.5</v>
      </c>
      <c r="O1702" s="116">
        <v>633</v>
      </c>
      <c r="P1702" s="116">
        <v>645</v>
      </c>
      <c r="Q1702" s="116">
        <v>639.20000000000005</v>
      </c>
      <c r="R1702">
        <v>416132</v>
      </c>
    </row>
    <row r="1703" spans="1:18" x14ac:dyDescent="0.25">
      <c r="A1703" s="170">
        <v>44515</v>
      </c>
      <c r="B1703" s="116">
        <v>13.4609539987283</v>
      </c>
      <c r="C1703" s="116">
        <v>13.0840029395805</v>
      </c>
      <c r="D1703" s="116">
        <v>12.3221816813868</v>
      </c>
      <c r="E1703" s="116">
        <v>12.6706238369016</v>
      </c>
      <c r="F1703" s="116">
        <v>826.1</v>
      </c>
      <c r="G1703">
        <v>18720</v>
      </c>
      <c r="H1703" s="116"/>
      <c r="I1703" s="116"/>
      <c r="L1703" s="170">
        <v>44512</v>
      </c>
      <c r="M1703" s="116">
        <v>650.20000000000005</v>
      </c>
      <c r="N1703" s="116">
        <v>654.9</v>
      </c>
      <c r="O1703" s="116">
        <v>639.6</v>
      </c>
      <c r="P1703" s="116">
        <v>643.6</v>
      </c>
      <c r="Q1703" s="116">
        <v>650.20000000000005</v>
      </c>
      <c r="R1703">
        <v>543969</v>
      </c>
    </row>
    <row r="1704" spans="1:18" x14ac:dyDescent="0.25">
      <c r="A1704" s="170">
        <v>44516</v>
      </c>
      <c r="B1704" s="116">
        <v>13.3976008795438</v>
      </c>
      <c r="C1704" s="116">
        <v>13.053118293978001</v>
      </c>
      <c r="D1704" s="116">
        <v>12.988181346813899</v>
      </c>
      <c r="E1704" s="116">
        <v>13.2107091779495</v>
      </c>
      <c r="F1704" s="116">
        <v>824.15</v>
      </c>
      <c r="G1704">
        <v>5816</v>
      </c>
      <c r="H1704" s="116"/>
      <c r="I1704" s="116"/>
      <c r="L1704" s="170">
        <v>44515</v>
      </c>
      <c r="M1704" s="116">
        <v>668.4</v>
      </c>
      <c r="N1704" s="116">
        <v>673.2</v>
      </c>
      <c r="O1704" s="116">
        <v>642.70000000000005</v>
      </c>
      <c r="P1704" s="116">
        <v>650.20000000000005</v>
      </c>
      <c r="Q1704" s="116">
        <v>668.4</v>
      </c>
      <c r="R1704">
        <v>876850</v>
      </c>
    </row>
    <row r="1705" spans="1:18" x14ac:dyDescent="0.25">
      <c r="A1705" s="170">
        <v>44517</v>
      </c>
      <c r="B1705" s="116">
        <v>13.256640189358301</v>
      </c>
      <c r="C1705" s="116">
        <v>12.7228901602288</v>
      </c>
      <c r="D1705" s="116">
        <v>12.686462116697699</v>
      </c>
      <c r="E1705" s="116">
        <v>12.8290066348628</v>
      </c>
      <c r="F1705" s="116">
        <v>803.3</v>
      </c>
      <c r="G1705">
        <v>2540</v>
      </c>
      <c r="H1705" s="116"/>
      <c r="I1705" s="116"/>
      <c r="L1705" s="170">
        <v>44516</v>
      </c>
      <c r="M1705" s="116">
        <v>651.54999999999995</v>
      </c>
      <c r="N1705" s="116">
        <v>675.45</v>
      </c>
      <c r="O1705" s="116">
        <v>647</v>
      </c>
      <c r="P1705" s="116">
        <v>674.45</v>
      </c>
      <c r="Q1705" s="116">
        <v>651.54999999999995</v>
      </c>
      <c r="R1705">
        <v>1111077</v>
      </c>
    </row>
    <row r="1706" spans="1:18" x14ac:dyDescent="0.25">
      <c r="A1706" s="170">
        <v>44518</v>
      </c>
      <c r="B1706" s="116">
        <v>13.143396488815901</v>
      </c>
      <c r="C1706" s="116">
        <v>12.494818931164501</v>
      </c>
      <c r="D1706" s="116">
        <v>12.353858240978999</v>
      </c>
      <c r="E1706" s="116">
        <v>13.137853090887299</v>
      </c>
      <c r="F1706" s="116">
        <v>788.9</v>
      </c>
      <c r="G1706">
        <v>3212</v>
      </c>
      <c r="H1706" s="116"/>
      <c r="I1706" s="116"/>
      <c r="L1706" s="170">
        <v>44517</v>
      </c>
      <c r="M1706" s="116">
        <v>662</v>
      </c>
      <c r="N1706" s="116">
        <v>672.8</v>
      </c>
      <c r="O1706" s="116">
        <v>643.4</v>
      </c>
      <c r="P1706" s="116">
        <v>648</v>
      </c>
      <c r="Q1706" s="116">
        <v>662</v>
      </c>
      <c r="R1706">
        <v>960904</v>
      </c>
    </row>
    <row r="1707" spans="1:18" x14ac:dyDescent="0.25">
      <c r="A1707" s="170">
        <v>44522</v>
      </c>
      <c r="B1707" s="116">
        <v>12.873353818291999</v>
      </c>
      <c r="C1707" s="116">
        <v>11.7757610284204</v>
      </c>
      <c r="D1707" s="116">
        <v>11.6569739299494</v>
      </c>
      <c r="E1707" s="116">
        <v>12.873353818291999</v>
      </c>
      <c r="F1707" s="116">
        <v>743.5</v>
      </c>
      <c r="G1707">
        <v>5857</v>
      </c>
      <c r="H1707" s="116"/>
      <c r="I1707" s="116"/>
      <c r="L1707" s="170">
        <v>44518</v>
      </c>
      <c r="M1707" s="116">
        <v>645.4</v>
      </c>
      <c r="N1707" s="116">
        <v>666.45</v>
      </c>
      <c r="O1707" s="116">
        <v>640.65</v>
      </c>
      <c r="P1707" s="116">
        <v>662</v>
      </c>
      <c r="Q1707" s="116">
        <v>645.4</v>
      </c>
      <c r="R1707">
        <v>636240</v>
      </c>
    </row>
    <row r="1708" spans="1:18" x14ac:dyDescent="0.25">
      <c r="A1708" s="170">
        <v>44523</v>
      </c>
      <c r="B1708" s="116">
        <v>12.369696520775101</v>
      </c>
      <c r="C1708" s="116">
        <v>12.181220991201201</v>
      </c>
      <c r="D1708" s="116">
        <v>11.5651119071319</v>
      </c>
      <c r="E1708" s="116">
        <v>12.369696520775101</v>
      </c>
      <c r="F1708" s="116">
        <v>769.1</v>
      </c>
      <c r="G1708">
        <v>1890</v>
      </c>
      <c r="H1708" s="116"/>
      <c r="I1708" s="116"/>
      <c r="L1708" s="170">
        <v>44522</v>
      </c>
      <c r="M1708" s="116">
        <v>621.85</v>
      </c>
      <c r="N1708" s="116">
        <v>644.1</v>
      </c>
      <c r="O1708" s="116">
        <v>603.9</v>
      </c>
      <c r="P1708" s="116">
        <v>641.15</v>
      </c>
      <c r="Q1708" s="116">
        <v>621.85</v>
      </c>
      <c r="R1708">
        <v>1262555</v>
      </c>
    </row>
    <row r="1709" spans="1:18" x14ac:dyDescent="0.25">
      <c r="A1709" s="170">
        <v>44524</v>
      </c>
      <c r="B1709" s="116">
        <v>12.749815235882201</v>
      </c>
      <c r="C1709" s="116">
        <v>12.0204624512705</v>
      </c>
      <c r="D1709" s="116">
        <v>11.9586931600657</v>
      </c>
      <c r="E1709" s="116">
        <v>12.417211360163501</v>
      </c>
      <c r="F1709" s="116">
        <v>758.95</v>
      </c>
      <c r="G1709">
        <v>3799</v>
      </c>
      <c r="H1709" s="116"/>
      <c r="I1709" s="116"/>
      <c r="L1709" s="170">
        <v>44523</v>
      </c>
      <c r="M1709" s="116">
        <v>626.5</v>
      </c>
      <c r="N1709" s="116">
        <v>630.5</v>
      </c>
      <c r="O1709" s="116">
        <v>611.85</v>
      </c>
      <c r="P1709" s="116">
        <v>614.29999999999995</v>
      </c>
      <c r="Q1709" s="116">
        <v>626.5</v>
      </c>
      <c r="R1709">
        <v>679383</v>
      </c>
    </row>
    <row r="1710" spans="1:18" x14ac:dyDescent="0.25">
      <c r="A1710" s="170">
        <v>44525</v>
      </c>
      <c r="B1710" s="116">
        <v>12.558963964338901</v>
      </c>
      <c r="C1710" s="116">
        <v>11.8335707496762</v>
      </c>
      <c r="D1710" s="116">
        <v>11.7377491569097</v>
      </c>
      <c r="E1710" s="116">
        <v>11.9262246864836</v>
      </c>
      <c r="F1710" s="116">
        <v>747.15</v>
      </c>
      <c r="G1710">
        <v>10504</v>
      </c>
      <c r="H1710" s="116"/>
      <c r="I1710" s="116"/>
      <c r="L1710" s="170">
        <v>44524</v>
      </c>
      <c r="M1710" s="116">
        <v>622.29999999999995</v>
      </c>
      <c r="N1710" s="116">
        <v>635.75</v>
      </c>
      <c r="O1710" s="116">
        <v>618.29999999999995</v>
      </c>
      <c r="P1710" s="116">
        <v>626.5</v>
      </c>
      <c r="Q1710" s="116">
        <v>622.29999999999995</v>
      </c>
      <c r="R1710">
        <v>313771</v>
      </c>
    </row>
    <row r="1711" spans="1:18" x14ac:dyDescent="0.25">
      <c r="A1711" s="170">
        <v>44526</v>
      </c>
      <c r="B1711" s="116">
        <v>11.8707907071971</v>
      </c>
      <c r="C1711" s="116">
        <v>11.4946315620391</v>
      </c>
      <c r="D1711" s="116">
        <v>11.403561453211401</v>
      </c>
      <c r="E1711" s="116">
        <v>11.584117842887199</v>
      </c>
      <c r="F1711" s="116">
        <v>725.75</v>
      </c>
      <c r="G1711">
        <v>5390</v>
      </c>
      <c r="H1711" s="116"/>
      <c r="I1711" s="116"/>
      <c r="L1711" s="170">
        <v>44525</v>
      </c>
      <c r="M1711" s="116">
        <v>614.85</v>
      </c>
      <c r="N1711" s="116">
        <v>623.9</v>
      </c>
      <c r="O1711" s="116">
        <v>608.5</v>
      </c>
      <c r="P1711" s="116">
        <v>622.5</v>
      </c>
      <c r="Q1711" s="116">
        <v>614.85</v>
      </c>
      <c r="R1711">
        <v>887895</v>
      </c>
    </row>
    <row r="1712" spans="1:18" x14ac:dyDescent="0.25">
      <c r="A1712" s="170">
        <v>44529</v>
      </c>
      <c r="B1712" s="116">
        <v>11.4193997330075</v>
      </c>
      <c r="C1712" s="116">
        <v>10.8832739619086</v>
      </c>
      <c r="D1712" s="116">
        <v>10.572843677904499</v>
      </c>
      <c r="E1712" s="116">
        <v>11.276855214842399</v>
      </c>
      <c r="F1712" s="116">
        <v>687.15</v>
      </c>
      <c r="G1712">
        <v>9770</v>
      </c>
      <c r="H1712" s="116"/>
      <c r="I1712" s="116"/>
      <c r="L1712" s="170">
        <v>44526</v>
      </c>
      <c r="M1712" s="116">
        <v>587.54999999999995</v>
      </c>
      <c r="N1712" s="116">
        <v>614.6</v>
      </c>
      <c r="O1712" s="116">
        <v>582.25</v>
      </c>
      <c r="P1712" s="116">
        <v>610</v>
      </c>
      <c r="Q1712" s="116">
        <v>587.54999999999995</v>
      </c>
      <c r="R1712">
        <v>946633</v>
      </c>
    </row>
    <row r="1713" spans="1:18" x14ac:dyDescent="0.25">
      <c r="A1713" s="170">
        <v>44530</v>
      </c>
      <c r="B1713" s="116">
        <v>11.7203270491339</v>
      </c>
      <c r="C1713" s="116">
        <v>10.8706033380717</v>
      </c>
      <c r="D1713" s="116">
        <v>10.810417874846401</v>
      </c>
      <c r="E1713" s="116">
        <v>11.7203270491339</v>
      </c>
      <c r="F1713" s="116">
        <v>686.35</v>
      </c>
      <c r="G1713">
        <v>6535</v>
      </c>
      <c r="H1713" s="116"/>
      <c r="I1713" s="116"/>
      <c r="L1713" s="170">
        <v>44529</v>
      </c>
      <c r="M1713" s="116">
        <v>580.45000000000005</v>
      </c>
      <c r="N1713" s="116">
        <v>591</v>
      </c>
      <c r="O1713" s="116">
        <v>573.65</v>
      </c>
      <c r="P1713" s="116">
        <v>587.5</v>
      </c>
      <c r="Q1713" s="116">
        <v>580.45000000000005</v>
      </c>
      <c r="R1713">
        <v>699989</v>
      </c>
    </row>
    <row r="1714" spans="1:18" x14ac:dyDescent="0.25">
      <c r="A1714" s="170">
        <v>44531</v>
      </c>
      <c r="B1714" s="116">
        <v>11.4027695392216</v>
      </c>
      <c r="C1714" s="116">
        <v>11.2942773226181</v>
      </c>
      <c r="D1714" s="116">
        <v>10.7858685411625</v>
      </c>
      <c r="E1714" s="116">
        <v>10.7858685411625</v>
      </c>
      <c r="F1714" s="116">
        <v>713.1</v>
      </c>
      <c r="G1714">
        <v>2468</v>
      </c>
      <c r="H1714" s="116"/>
      <c r="I1714" s="116"/>
      <c r="L1714" s="170">
        <v>44530</v>
      </c>
      <c r="M1714" s="116">
        <v>590.1</v>
      </c>
      <c r="N1714" s="116">
        <v>596.15</v>
      </c>
      <c r="O1714" s="116">
        <v>574.29999999999995</v>
      </c>
      <c r="P1714" s="116">
        <v>583.5</v>
      </c>
      <c r="Q1714" s="116">
        <v>590.1</v>
      </c>
      <c r="R1714">
        <v>1474487</v>
      </c>
    </row>
    <row r="1715" spans="1:18" x14ac:dyDescent="0.25">
      <c r="A1715" s="170">
        <v>44532</v>
      </c>
      <c r="B1715" s="116">
        <v>12.6508259871564</v>
      </c>
      <c r="C1715" s="116">
        <v>11.8414898895743</v>
      </c>
      <c r="D1715" s="116">
        <v>11.403561453211401</v>
      </c>
      <c r="E1715" s="116">
        <v>11.403561453211401</v>
      </c>
      <c r="F1715" s="116">
        <v>747.65</v>
      </c>
      <c r="G1715">
        <v>24347</v>
      </c>
      <c r="H1715" s="116"/>
      <c r="I1715" s="116"/>
      <c r="L1715" s="170">
        <v>44531</v>
      </c>
      <c r="M1715" s="116">
        <v>593.25</v>
      </c>
      <c r="N1715" s="116">
        <v>596.85</v>
      </c>
      <c r="O1715" s="116">
        <v>581.04999999999995</v>
      </c>
      <c r="P1715" s="116">
        <v>590.95000000000005</v>
      </c>
      <c r="Q1715" s="116">
        <v>593.25</v>
      </c>
      <c r="R1715">
        <v>550030</v>
      </c>
    </row>
    <row r="1716" spans="1:18" x14ac:dyDescent="0.25">
      <c r="A1716" s="170">
        <v>44533</v>
      </c>
      <c r="B1716" s="116">
        <v>12.242990282406099</v>
      </c>
      <c r="C1716" s="116">
        <v>11.8992996108302</v>
      </c>
      <c r="D1716" s="116">
        <v>11.736165328930101</v>
      </c>
      <c r="E1716" s="116">
        <v>12.0782721725264</v>
      </c>
      <c r="F1716" s="116">
        <v>751.3</v>
      </c>
      <c r="G1716">
        <v>4824</v>
      </c>
      <c r="H1716" s="116"/>
      <c r="I1716" s="116"/>
      <c r="L1716" s="170">
        <v>44532</v>
      </c>
      <c r="M1716" s="116">
        <v>588.15</v>
      </c>
      <c r="N1716" s="116">
        <v>597.85</v>
      </c>
      <c r="O1716" s="116">
        <v>584</v>
      </c>
      <c r="P1716" s="116">
        <v>588</v>
      </c>
      <c r="Q1716" s="116">
        <v>588.15</v>
      </c>
      <c r="R1716">
        <v>861851</v>
      </c>
    </row>
    <row r="1717" spans="1:18" x14ac:dyDescent="0.25">
      <c r="A1717" s="170">
        <v>44536</v>
      </c>
      <c r="B1717" s="116">
        <v>12.132122323833199</v>
      </c>
      <c r="C1717" s="116">
        <v>11.6688526397965</v>
      </c>
      <c r="D1717" s="116">
        <v>11.6411356501533</v>
      </c>
      <c r="E1717" s="116">
        <v>12.132122323833199</v>
      </c>
      <c r="F1717" s="116">
        <v>736.75</v>
      </c>
      <c r="G1717">
        <v>3219</v>
      </c>
      <c r="H1717" s="116"/>
      <c r="I1717" s="116"/>
      <c r="L1717" s="170">
        <v>44533</v>
      </c>
      <c r="M1717" s="116">
        <v>582.29999999999995</v>
      </c>
      <c r="N1717" s="116">
        <v>595.20000000000005</v>
      </c>
      <c r="O1717" s="116">
        <v>574</v>
      </c>
      <c r="P1717" s="116">
        <v>591.1</v>
      </c>
      <c r="Q1717" s="116">
        <v>582.29999999999995</v>
      </c>
      <c r="R1717">
        <v>1008850</v>
      </c>
    </row>
    <row r="1718" spans="1:18" x14ac:dyDescent="0.25">
      <c r="A1718" s="170">
        <v>44537</v>
      </c>
      <c r="B1718" s="116">
        <v>12.030757333138</v>
      </c>
      <c r="C1718" s="116">
        <v>11.5833259288974</v>
      </c>
      <c r="D1718" s="116">
        <v>11.4875043361309</v>
      </c>
      <c r="E1718" s="116">
        <v>11.6886504895417</v>
      </c>
      <c r="F1718" s="116">
        <v>731.35</v>
      </c>
      <c r="G1718">
        <v>5924</v>
      </c>
      <c r="H1718" s="116"/>
      <c r="I1718" s="116"/>
      <c r="L1718" s="170">
        <v>44536</v>
      </c>
      <c r="M1718" s="116">
        <v>570.6</v>
      </c>
      <c r="N1718" s="116">
        <v>580.70000000000005</v>
      </c>
      <c r="O1718" s="116">
        <v>565.75</v>
      </c>
      <c r="P1718" s="116">
        <v>575.45000000000005</v>
      </c>
      <c r="Q1718" s="116">
        <v>570.6</v>
      </c>
      <c r="R1718">
        <v>937877</v>
      </c>
    </row>
    <row r="1719" spans="1:18" x14ac:dyDescent="0.25">
      <c r="A1719" s="170">
        <v>44538</v>
      </c>
      <c r="B1719" s="116">
        <v>12.0529309248526</v>
      </c>
      <c r="C1719" s="116">
        <v>11.569863391070699</v>
      </c>
      <c r="D1719" s="116">
        <v>11.514429411784301</v>
      </c>
      <c r="E1719" s="116">
        <v>11.609459090561099</v>
      </c>
      <c r="F1719" s="116">
        <v>730.5</v>
      </c>
      <c r="G1719">
        <v>4443</v>
      </c>
      <c r="H1719" s="116"/>
      <c r="I1719" s="116"/>
      <c r="L1719" s="170">
        <v>44537</v>
      </c>
      <c r="M1719" s="116">
        <v>583.29999999999995</v>
      </c>
      <c r="N1719" s="116">
        <v>588</v>
      </c>
      <c r="O1719" s="116">
        <v>571.79999999999995</v>
      </c>
      <c r="P1719" s="116">
        <v>572.04999999999995</v>
      </c>
      <c r="Q1719" s="116">
        <v>583.29999999999995</v>
      </c>
      <c r="R1719">
        <v>994353</v>
      </c>
    </row>
    <row r="1720" spans="1:18" x14ac:dyDescent="0.25">
      <c r="A1720" s="170">
        <v>44539</v>
      </c>
      <c r="B1720" s="116">
        <v>11.8747502771462</v>
      </c>
      <c r="C1720" s="116">
        <v>11.7987265341248</v>
      </c>
      <c r="D1720" s="116">
        <v>11.577782530968801</v>
      </c>
      <c r="E1720" s="116">
        <v>11.582534014907599</v>
      </c>
      <c r="F1720" s="116">
        <v>744.95</v>
      </c>
      <c r="G1720">
        <v>1933</v>
      </c>
      <c r="H1720" s="116"/>
      <c r="I1720" s="116"/>
      <c r="L1720" s="170">
        <v>44538</v>
      </c>
      <c r="M1720" s="116">
        <v>587.6</v>
      </c>
      <c r="N1720" s="116">
        <v>591.95000000000005</v>
      </c>
      <c r="O1720" s="116">
        <v>581.54999999999995</v>
      </c>
      <c r="P1720" s="116">
        <v>584.9</v>
      </c>
      <c r="Q1720" s="116">
        <v>587.6</v>
      </c>
      <c r="R1720">
        <v>458949</v>
      </c>
    </row>
    <row r="1721" spans="1:18" x14ac:dyDescent="0.25">
      <c r="A1721" s="170">
        <v>44540</v>
      </c>
      <c r="B1721" s="116">
        <v>11.8240677817986</v>
      </c>
      <c r="C1721" s="116">
        <v>11.660141585908701</v>
      </c>
      <c r="D1721" s="116">
        <v>11.482752852192</v>
      </c>
      <c r="E1721" s="116">
        <v>11.7203270491339</v>
      </c>
      <c r="F1721" s="116">
        <v>736.2</v>
      </c>
      <c r="G1721">
        <v>4009</v>
      </c>
      <c r="H1721" s="116"/>
      <c r="I1721" s="116"/>
      <c r="L1721" s="170">
        <v>44539</v>
      </c>
      <c r="M1721" s="116">
        <v>608.70000000000005</v>
      </c>
      <c r="N1721" s="116">
        <v>619.9</v>
      </c>
      <c r="O1721" s="116">
        <v>596.29999999999995</v>
      </c>
      <c r="P1721" s="116">
        <v>597.5</v>
      </c>
      <c r="Q1721" s="116">
        <v>608.70000000000005</v>
      </c>
      <c r="R1721">
        <v>3438042</v>
      </c>
    </row>
    <row r="1722" spans="1:18" x14ac:dyDescent="0.25">
      <c r="A1722" s="170">
        <v>44543</v>
      </c>
      <c r="B1722" s="116">
        <v>11.875542191136001</v>
      </c>
      <c r="C1722" s="116">
        <v>11.6142105744999</v>
      </c>
      <c r="D1722" s="116">
        <v>11.561944251172701</v>
      </c>
      <c r="E1722" s="116">
        <v>11.8422818035641</v>
      </c>
      <c r="F1722" s="116">
        <v>733.3</v>
      </c>
      <c r="G1722">
        <v>2438</v>
      </c>
      <c r="H1722" s="116"/>
      <c r="I1722" s="116"/>
      <c r="L1722" s="170">
        <v>44540</v>
      </c>
      <c r="M1722" s="116">
        <v>602.6</v>
      </c>
      <c r="N1722" s="116">
        <v>609</v>
      </c>
      <c r="O1722" s="116">
        <v>600</v>
      </c>
      <c r="P1722" s="116">
        <v>609</v>
      </c>
      <c r="Q1722" s="116">
        <v>602.6</v>
      </c>
      <c r="R1722">
        <v>422997</v>
      </c>
    </row>
    <row r="1723" spans="1:18" x14ac:dyDescent="0.25">
      <c r="A1723" s="170">
        <v>44544</v>
      </c>
      <c r="B1723" s="116">
        <v>11.7995184481146</v>
      </c>
      <c r="C1723" s="116">
        <v>11.7393329848893</v>
      </c>
      <c r="D1723" s="116">
        <v>11.327537710190001</v>
      </c>
      <c r="E1723" s="116">
        <v>11.327537710190001</v>
      </c>
      <c r="F1723" s="116">
        <v>741.2</v>
      </c>
      <c r="G1723">
        <v>3134</v>
      </c>
      <c r="H1723" s="116"/>
      <c r="I1723" s="116"/>
      <c r="L1723" s="170">
        <v>44543</v>
      </c>
      <c r="M1723" s="116">
        <v>600.35</v>
      </c>
      <c r="N1723" s="116">
        <v>611.4</v>
      </c>
      <c r="O1723" s="116">
        <v>595.29999999999995</v>
      </c>
      <c r="P1723" s="116">
        <v>606</v>
      </c>
      <c r="Q1723" s="116">
        <v>600.35</v>
      </c>
      <c r="R1723">
        <v>374767</v>
      </c>
    </row>
    <row r="1724" spans="1:18" x14ac:dyDescent="0.25">
      <c r="A1724" s="170">
        <v>44545</v>
      </c>
      <c r="B1724" s="116">
        <v>12.003040343494799</v>
      </c>
      <c r="C1724" s="116">
        <v>11.6078752625814</v>
      </c>
      <c r="D1724" s="116">
        <v>11.452660120579401</v>
      </c>
      <c r="E1724" s="116">
        <v>12.003040343494799</v>
      </c>
      <c r="F1724" s="116">
        <v>732.9</v>
      </c>
      <c r="G1724">
        <v>2891</v>
      </c>
      <c r="H1724" s="116"/>
      <c r="I1724" s="116"/>
      <c r="L1724" s="170">
        <v>44544</v>
      </c>
      <c r="M1724" s="116">
        <v>598.5</v>
      </c>
      <c r="N1724" s="116">
        <v>601.70000000000005</v>
      </c>
      <c r="O1724" s="116">
        <v>589.29999999999995</v>
      </c>
      <c r="P1724" s="116">
        <v>595.35</v>
      </c>
      <c r="Q1724" s="116">
        <v>598.5</v>
      </c>
      <c r="R1724">
        <v>426115</v>
      </c>
    </row>
    <row r="1725" spans="1:18" x14ac:dyDescent="0.25">
      <c r="A1725" s="170">
        <v>44546</v>
      </c>
      <c r="B1725" s="116">
        <v>11.8787098470952</v>
      </c>
      <c r="C1725" s="116">
        <v>11.454243948559</v>
      </c>
      <c r="D1725" s="116">
        <v>11.324370054230799</v>
      </c>
      <c r="E1725" s="116">
        <v>11.8787098470952</v>
      </c>
      <c r="F1725" s="116">
        <v>723.2</v>
      </c>
      <c r="G1725">
        <v>2709</v>
      </c>
      <c r="H1725" s="116"/>
      <c r="I1725" s="116"/>
      <c r="L1725" s="170">
        <v>44545</v>
      </c>
      <c r="M1725" s="116">
        <v>599.95000000000005</v>
      </c>
      <c r="N1725" s="116">
        <v>602.54999999999995</v>
      </c>
      <c r="O1725" s="116">
        <v>592.79999999999995</v>
      </c>
      <c r="P1725" s="116">
        <v>600</v>
      </c>
      <c r="Q1725" s="116">
        <v>599.95000000000005</v>
      </c>
      <c r="R1725">
        <v>413080</v>
      </c>
    </row>
    <row r="1726" spans="1:18" x14ac:dyDescent="0.25">
      <c r="A1726" s="170">
        <v>44547</v>
      </c>
      <c r="B1726" s="116">
        <v>11.5302676915804</v>
      </c>
      <c r="C1726" s="116">
        <v>11.3798040335172</v>
      </c>
      <c r="D1726" s="116">
        <v>11.325953882210399</v>
      </c>
      <c r="E1726" s="116">
        <v>11.340208334026901</v>
      </c>
      <c r="F1726" s="116">
        <v>718.5</v>
      </c>
      <c r="G1726">
        <v>1504</v>
      </c>
      <c r="H1726" s="116"/>
      <c r="I1726" s="116"/>
      <c r="L1726" s="170">
        <v>44546</v>
      </c>
      <c r="M1726" s="116">
        <v>588.25</v>
      </c>
      <c r="N1726" s="116">
        <v>606</v>
      </c>
      <c r="O1726" s="116">
        <v>583.54999999999995</v>
      </c>
      <c r="P1726" s="116">
        <v>602</v>
      </c>
      <c r="Q1726" s="116">
        <v>588.25</v>
      </c>
      <c r="R1726">
        <v>398446</v>
      </c>
    </row>
    <row r="1727" spans="1:18" x14ac:dyDescent="0.25">
      <c r="A1727" s="170">
        <v>44550</v>
      </c>
      <c r="B1727" s="116">
        <v>11.514429411784301</v>
      </c>
      <c r="C1727" s="116">
        <v>10.9181181774601</v>
      </c>
      <c r="D1727" s="116">
        <v>10.3352694809626</v>
      </c>
      <c r="E1727" s="116">
        <v>11.514429411784301</v>
      </c>
      <c r="F1727" s="116">
        <v>689.35</v>
      </c>
      <c r="G1727">
        <v>5645</v>
      </c>
      <c r="H1727" s="116"/>
      <c r="I1727" s="116"/>
      <c r="L1727" s="170">
        <v>44547</v>
      </c>
      <c r="M1727" s="116">
        <v>549.79999999999995</v>
      </c>
      <c r="N1727" s="116">
        <v>587.45000000000005</v>
      </c>
      <c r="O1727" s="116">
        <v>546.6</v>
      </c>
      <c r="P1727" s="116">
        <v>587.45000000000005</v>
      </c>
      <c r="Q1727" s="116">
        <v>549.79999999999995</v>
      </c>
      <c r="R1727">
        <v>1173080</v>
      </c>
    </row>
    <row r="1728" spans="1:18" x14ac:dyDescent="0.25">
      <c r="A1728" s="170">
        <v>44551</v>
      </c>
      <c r="B1728" s="116">
        <v>11.4003937972522</v>
      </c>
      <c r="C1728" s="116">
        <v>11.048783985778201</v>
      </c>
      <c r="D1728" s="116">
        <v>10.849221660347</v>
      </c>
      <c r="E1728" s="116">
        <v>10.9371241132155</v>
      </c>
      <c r="F1728" s="116">
        <v>697.6</v>
      </c>
      <c r="G1728">
        <v>3049</v>
      </c>
      <c r="H1728" s="116"/>
      <c r="I1728" s="116"/>
      <c r="L1728" s="170">
        <v>44550</v>
      </c>
      <c r="M1728" s="116">
        <v>537.75</v>
      </c>
      <c r="N1728" s="116">
        <v>545.15</v>
      </c>
      <c r="O1728" s="116">
        <v>518.25</v>
      </c>
      <c r="P1728" s="116">
        <v>543.5</v>
      </c>
      <c r="Q1728" s="116">
        <v>537.75</v>
      </c>
      <c r="R1728">
        <v>967416</v>
      </c>
    </row>
    <row r="1729" spans="1:18" x14ac:dyDescent="0.25">
      <c r="A1729" s="170">
        <v>44552</v>
      </c>
      <c r="B1729" s="116">
        <v>11.4027695392216</v>
      </c>
      <c r="C1729" s="116">
        <v>11.188160847984101</v>
      </c>
      <c r="D1729" s="116">
        <v>11.0107721142675</v>
      </c>
      <c r="E1729" s="116">
        <v>11.4027695392216</v>
      </c>
      <c r="F1729" s="116">
        <v>706.4</v>
      </c>
      <c r="G1729">
        <v>1469</v>
      </c>
      <c r="H1729" s="116"/>
      <c r="I1729" s="116"/>
      <c r="L1729" s="170">
        <v>44551</v>
      </c>
      <c r="M1729" s="116">
        <v>532.6</v>
      </c>
      <c r="N1729" s="116">
        <v>549.1</v>
      </c>
      <c r="O1729" s="116">
        <v>527.6</v>
      </c>
      <c r="P1729" s="116">
        <v>537.75</v>
      </c>
      <c r="Q1729" s="116">
        <v>532.6</v>
      </c>
      <c r="R1729">
        <v>719160</v>
      </c>
    </row>
    <row r="1730" spans="1:18" x14ac:dyDescent="0.25">
      <c r="A1730" s="170">
        <v>44553</v>
      </c>
      <c r="B1730" s="116">
        <v>11.451076292599801</v>
      </c>
      <c r="C1730" s="116">
        <v>11.024234652094201</v>
      </c>
      <c r="D1730" s="116">
        <v>10.950586651042199</v>
      </c>
      <c r="E1730" s="116">
        <v>11.451076292599801</v>
      </c>
      <c r="F1730" s="116">
        <v>696.05</v>
      </c>
      <c r="G1730">
        <v>5734</v>
      </c>
      <c r="H1730" s="116"/>
      <c r="I1730" s="116"/>
      <c r="L1730" s="170">
        <v>44552</v>
      </c>
      <c r="M1730" s="116">
        <v>543.4</v>
      </c>
      <c r="N1730" s="116">
        <v>548.65</v>
      </c>
      <c r="O1730" s="116">
        <v>535.79999999999995</v>
      </c>
      <c r="P1730" s="116">
        <v>538.9</v>
      </c>
      <c r="Q1730" s="116">
        <v>543.4</v>
      </c>
      <c r="R1730">
        <v>473377</v>
      </c>
    </row>
    <row r="1731" spans="1:18" x14ac:dyDescent="0.25">
      <c r="A1731" s="170">
        <v>44554</v>
      </c>
      <c r="B1731" s="116">
        <v>11.434446098813901</v>
      </c>
      <c r="C1731" s="116">
        <v>11.0400729318903</v>
      </c>
      <c r="D1731" s="116">
        <v>10.8650599401431</v>
      </c>
      <c r="E1731" s="116">
        <v>11.340208334026901</v>
      </c>
      <c r="F1731" s="116">
        <v>697.05</v>
      </c>
      <c r="G1731">
        <v>4868</v>
      </c>
      <c r="H1731" s="116"/>
      <c r="I1731" s="116"/>
      <c r="L1731" s="170">
        <v>44553</v>
      </c>
      <c r="M1731" s="116">
        <v>555.65</v>
      </c>
      <c r="N1731" s="116">
        <v>559.54999999999995</v>
      </c>
      <c r="O1731" s="116">
        <v>542</v>
      </c>
      <c r="P1731" s="116">
        <v>542</v>
      </c>
      <c r="Q1731" s="116">
        <v>555.65</v>
      </c>
      <c r="R1731">
        <v>753650</v>
      </c>
    </row>
    <row r="1732" spans="1:18" x14ac:dyDescent="0.25">
      <c r="A1732" s="170">
        <v>44557</v>
      </c>
      <c r="B1732" s="116">
        <v>11.243594827270501</v>
      </c>
      <c r="C1732" s="116">
        <v>11.1976638158618</v>
      </c>
      <c r="D1732" s="116">
        <v>10.853181230296</v>
      </c>
      <c r="E1732" s="116">
        <v>10.9284130593276</v>
      </c>
      <c r="F1732" s="116">
        <v>707</v>
      </c>
      <c r="G1732">
        <v>1989</v>
      </c>
      <c r="H1732" s="116"/>
      <c r="I1732" s="116"/>
      <c r="L1732" s="170">
        <v>44554</v>
      </c>
      <c r="M1732" s="116">
        <v>551.4</v>
      </c>
      <c r="N1732" s="116">
        <v>565</v>
      </c>
      <c r="O1732" s="116">
        <v>547.70000000000005</v>
      </c>
      <c r="P1732" s="116">
        <v>560</v>
      </c>
      <c r="Q1732" s="116">
        <v>551.4</v>
      </c>
      <c r="R1732">
        <v>582941</v>
      </c>
    </row>
    <row r="1733" spans="1:18" x14ac:dyDescent="0.25">
      <c r="A1733" s="170">
        <v>44558</v>
      </c>
      <c r="B1733" s="116">
        <v>11.354462785843401</v>
      </c>
      <c r="C1733" s="116">
        <v>11.1873689339943</v>
      </c>
      <c r="D1733" s="116">
        <v>10.9711764147771</v>
      </c>
      <c r="E1733" s="116">
        <v>10.9711764147771</v>
      </c>
      <c r="F1733" s="116">
        <v>706.35</v>
      </c>
      <c r="G1733">
        <v>3257</v>
      </c>
      <c r="H1733" s="116"/>
      <c r="I1733" s="116"/>
      <c r="L1733" s="170">
        <v>44557</v>
      </c>
      <c r="M1733" s="116">
        <v>556.65</v>
      </c>
      <c r="N1733" s="116">
        <v>562.4</v>
      </c>
      <c r="O1733" s="116">
        <v>528.70000000000005</v>
      </c>
      <c r="P1733" s="116">
        <v>547.4</v>
      </c>
      <c r="Q1733" s="116">
        <v>556.65</v>
      </c>
      <c r="R1733">
        <v>758343</v>
      </c>
    </row>
    <row r="1734" spans="1:18" x14ac:dyDescent="0.25">
      <c r="A1734" s="170">
        <v>44559</v>
      </c>
      <c r="B1734" s="116">
        <v>11.420191646997299</v>
      </c>
      <c r="C1734" s="116">
        <v>11.0867958572889</v>
      </c>
      <c r="D1734" s="116">
        <v>11.040864845880099</v>
      </c>
      <c r="E1734" s="116">
        <v>11.420191646997299</v>
      </c>
      <c r="F1734" s="116">
        <v>700</v>
      </c>
      <c r="G1734">
        <v>2570</v>
      </c>
      <c r="H1734" s="116"/>
      <c r="I1734" s="116"/>
      <c r="L1734" s="170">
        <v>44558</v>
      </c>
      <c r="M1734" s="116">
        <v>564.54999999999995</v>
      </c>
      <c r="N1734" s="116">
        <v>569.5</v>
      </c>
      <c r="O1734" s="116">
        <v>557.54999999999995</v>
      </c>
      <c r="P1734" s="116">
        <v>558.5</v>
      </c>
      <c r="Q1734" s="116">
        <v>564.54999999999995</v>
      </c>
      <c r="R1734">
        <v>506762</v>
      </c>
    </row>
    <row r="1735" spans="1:18" x14ac:dyDescent="0.25">
      <c r="A1735" s="170">
        <v>44560</v>
      </c>
      <c r="B1735" s="116">
        <v>11.352878957863799</v>
      </c>
      <c r="C1735" s="116">
        <v>11.087587771278701</v>
      </c>
      <c r="D1735" s="116">
        <v>11.008396372298</v>
      </c>
      <c r="E1735" s="116">
        <v>11.008396372298</v>
      </c>
      <c r="F1735" s="116">
        <v>700.05</v>
      </c>
      <c r="G1735">
        <v>1709</v>
      </c>
      <c r="H1735" s="116"/>
      <c r="I1735" s="116"/>
      <c r="L1735" s="170">
        <v>44559</v>
      </c>
      <c r="M1735" s="116">
        <v>554.4</v>
      </c>
      <c r="N1735" s="116">
        <v>568.4</v>
      </c>
      <c r="O1735" s="116">
        <v>550.6</v>
      </c>
      <c r="P1735" s="116">
        <v>561.04999999999995</v>
      </c>
      <c r="Q1735" s="116">
        <v>554.4</v>
      </c>
      <c r="R1735">
        <v>378205</v>
      </c>
    </row>
    <row r="1736" spans="1:18" x14ac:dyDescent="0.25">
      <c r="A1736" s="170">
        <v>44561</v>
      </c>
      <c r="B1736" s="116">
        <v>11.3861393454357</v>
      </c>
      <c r="C1736" s="116">
        <v>11.1897446759637</v>
      </c>
      <c r="D1736" s="116">
        <v>11.0392810179005</v>
      </c>
      <c r="E1736" s="116">
        <v>11.2618088490361</v>
      </c>
      <c r="F1736" s="116">
        <v>706.5</v>
      </c>
      <c r="G1736">
        <v>2837</v>
      </c>
      <c r="H1736" s="116"/>
      <c r="I1736" s="116"/>
      <c r="L1736" s="170">
        <v>44560</v>
      </c>
      <c r="M1736" s="116">
        <v>554.5</v>
      </c>
      <c r="N1736" s="116">
        <v>559.85</v>
      </c>
      <c r="O1736" s="116">
        <v>550.1</v>
      </c>
      <c r="P1736" s="116">
        <v>556</v>
      </c>
      <c r="Q1736" s="116">
        <v>554.5</v>
      </c>
      <c r="R1736">
        <v>451790</v>
      </c>
    </row>
    <row r="1737" spans="1:18" x14ac:dyDescent="0.25">
      <c r="A1737" s="170">
        <v>44564</v>
      </c>
      <c r="B1737" s="116">
        <v>11.3085317744346</v>
      </c>
      <c r="C1737" s="116">
        <v>11.0962988251665</v>
      </c>
      <c r="D1737" s="116">
        <v>11.009188286287801</v>
      </c>
      <c r="E1737" s="116">
        <v>11.3085317744346</v>
      </c>
      <c r="F1737" s="116">
        <v>700.6</v>
      </c>
      <c r="G1737">
        <v>8120</v>
      </c>
      <c r="H1737" s="116"/>
      <c r="I1737" s="116"/>
      <c r="L1737" s="170">
        <v>44561</v>
      </c>
      <c r="M1737" s="116">
        <v>552.95000000000005</v>
      </c>
      <c r="N1737" s="116">
        <v>562.85</v>
      </c>
      <c r="O1737" s="116">
        <v>551</v>
      </c>
      <c r="P1737" s="116">
        <v>551</v>
      </c>
      <c r="Q1737" s="116">
        <v>552.95000000000005</v>
      </c>
      <c r="R1737">
        <v>703962</v>
      </c>
    </row>
    <row r="1738" spans="1:18" x14ac:dyDescent="0.25">
      <c r="A1738" s="170">
        <v>44565</v>
      </c>
      <c r="B1738" s="116">
        <v>11.315659000342899</v>
      </c>
      <c r="C1738" s="116">
        <v>11.086003943299101</v>
      </c>
      <c r="D1738" s="116">
        <v>11.0472001577985</v>
      </c>
      <c r="E1738" s="116">
        <v>11.0472001577985</v>
      </c>
      <c r="F1738" s="116">
        <v>699.95</v>
      </c>
      <c r="G1738">
        <v>4275</v>
      </c>
      <c r="H1738" s="116"/>
      <c r="I1738" s="116"/>
      <c r="L1738" s="170">
        <v>44564</v>
      </c>
      <c r="M1738" s="116">
        <v>574</v>
      </c>
      <c r="N1738" s="116">
        <v>577.79999999999995</v>
      </c>
      <c r="O1738" s="116">
        <v>554.04999999999995</v>
      </c>
      <c r="P1738" s="116">
        <v>555</v>
      </c>
      <c r="Q1738" s="116">
        <v>574</v>
      </c>
      <c r="R1738">
        <v>701600</v>
      </c>
    </row>
    <row r="1739" spans="1:18" x14ac:dyDescent="0.25">
      <c r="A1739" s="170">
        <v>44566</v>
      </c>
      <c r="B1739" s="116">
        <v>11.385347431445901</v>
      </c>
      <c r="C1739" s="116">
        <v>11.055119297696599</v>
      </c>
      <c r="D1739" s="116">
        <v>10.9284130593276</v>
      </c>
      <c r="E1739" s="116">
        <v>11.385347431445901</v>
      </c>
      <c r="F1739" s="116">
        <v>698</v>
      </c>
      <c r="G1739">
        <v>2557</v>
      </c>
      <c r="H1739" s="116"/>
      <c r="I1739" s="116"/>
      <c r="L1739" s="170">
        <v>44565</v>
      </c>
      <c r="M1739" s="116">
        <v>581.04999999999995</v>
      </c>
      <c r="N1739" s="116">
        <v>583.20000000000005</v>
      </c>
      <c r="O1739" s="116">
        <v>568.20000000000005</v>
      </c>
      <c r="P1739" s="116">
        <v>575</v>
      </c>
      <c r="Q1739" s="116">
        <v>581.04999999999995</v>
      </c>
      <c r="R1739">
        <v>534568</v>
      </c>
    </row>
    <row r="1740" spans="1:18" x14ac:dyDescent="0.25">
      <c r="A1740" s="170">
        <v>44567</v>
      </c>
      <c r="B1740" s="116">
        <v>11.102634137084999</v>
      </c>
      <c r="C1740" s="116">
        <v>11.074125233452</v>
      </c>
      <c r="D1740" s="116">
        <v>10.7898281111115</v>
      </c>
      <c r="E1740" s="116">
        <v>11.0234427381044</v>
      </c>
      <c r="F1740" s="116">
        <v>699.2</v>
      </c>
      <c r="G1740">
        <v>4531</v>
      </c>
      <c r="H1740" s="116"/>
      <c r="I1740" s="116"/>
      <c r="L1740" s="170">
        <v>44566</v>
      </c>
      <c r="M1740" s="116">
        <v>592.75</v>
      </c>
      <c r="N1740" s="116">
        <v>596</v>
      </c>
      <c r="O1740" s="116">
        <v>571.20000000000005</v>
      </c>
      <c r="P1740" s="116">
        <v>580</v>
      </c>
      <c r="Q1740" s="116">
        <v>592.75</v>
      </c>
      <c r="R1740">
        <v>560391</v>
      </c>
    </row>
    <row r="1741" spans="1:18" x14ac:dyDescent="0.25">
      <c r="A1741" s="170">
        <v>44568</v>
      </c>
      <c r="B1741" s="116">
        <v>11.220629321566101</v>
      </c>
      <c r="C1741" s="116">
        <v>10.898320327715</v>
      </c>
      <c r="D1741" s="116">
        <v>10.833383380550799</v>
      </c>
      <c r="E1741" s="116">
        <v>11.220629321566101</v>
      </c>
      <c r="F1741" s="116">
        <v>688.1</v>
      </c>
      <c r="G1741">
        <v>4455</v>
      </c>
      <c r="H1741" s="116"/>
      <c r="I1741" s="116"/>
      <c r="L1741" s="170">
        <v>44567</v>
      </c>
      <c r="M1741" s="116">
        <v>588.95000000000005</v>
      </c>
      <c r="N1741" s="116">
        <v>590.45000000000005</v>
      </c>
      <c r="O1741" s="116">
        <v>578</v>
      </c>
      <c r="P1741" s="116">
        <v>585</v>
      </c>
      <c r="Q1741" s="116">
        <v>588.95000000000005</v>
      </c>
      <c r="R1741">
        <v>329892</v>
      </c>
    </row>
    <row r="1742" spans="1:18" x14ac:dyDescent="0.25">
      <c r="A1742" s="170">
        <v>44571</v>
      </c>
      <c r="B1742" s="116">
        <v>11.8628715672991</v>
      </c>
      <c r="C1742" s="116">
        <v>11.5896612408159</v>
      </c>
      <c r="D1742" s="116">
        <v>10.8365510365101</v>
      </c>
      <c r="E1742" s="116">
        <v>11.0677899215335</v>
      </c>
      <c r="F1742" s="116">
        <v>731.75</v>
      </c>
      <c r="G1742">
        <v>8442</v>
      </c>
      <c r="H1742" s="116"/>
      <c r="I1742" s="116"/>
      <c r="L1742" s="170">
        <v>44568</v>
      </c>
      <c r="M1742" s="116">
        <v>583.5</v>
      </c>
      <c r="N1742" s="116">
        <v>602</v>
      </c>
      <c r="O1742" s="116">
        <v>580.20000000000005</v>
      </c>
      <c r="P1742" s="116">
        <v>591</v>
      </c>
      <c r="Q1742" s="116">
        <v>583.5</v>
      </c>
      <c r="R1742">
        <v>484745</v>
      </c>
    </row>
    <row r="1743" spans="1:18" x14ac:dyDescent="0.25">
      <c r="A1743" s="170">
        <v>44572</v>
      </c>
      <c r="B1743" s="116">
        <v>11.8747502771462</v>
      </c>
      <c r="C1743" s="116">
        <v>11.506510271886199</v>
      </c>
      <c r="D1743" s="116">
        <v>11.324370054230799</v>
      </c>
      <c r="E1743" s="116">
        <v>11.8620796533093</v>
      </c>
      <c r="F1743" s="116">
        <v>726.5</v>
      </c>
      <c r="G1743">
        <v>4730</v>
      </c>
      <c r="H1743" s="116"/>
      <c r="I1743" s="116"/>
      <c r="L1743" s="170">
        <v>44571</v>
      </c>
      <c r="M1743" s="116">
        <v>597.45000000000005</v>
      </c>
      <c r="N1743" s="116">
        <v>601.79999999999995</v>
      </c>
      <c r="O1743" s="116">
        <v>586</v>
      </c>
      <c r="P1743" s="116">
        <v>586</v>
      </c>
      <c r="Q1743" s="116">
        <v>597.45000000000005</v>
      </c>
      <c r="R1743">
        <v>672720</v>
      </c>
    </row>
    <row r="1744" spans="1:18" x14ac:dyDescent="0.25">
      <c r="A1744" s="170">
        <v>44573</v>
      </c>
      <c r="B1744" s="116">
        <v>12.5439175985325</v>
      </c>
      <c r="C1744" s="116">
        <v>12.075104516567199</v>
      </c>
      <c r="D1744" s="116">
        <v>11.3433759899861</v>
      </c>
      <c r="E1744" s="116">
        <v>11.506510271886199</v>
      </c>
      <c r="F1744" s="116">
        <v>762.4</v>
      </c>
      <c r="G1744">
        <v>17110</v>
      </c>
      <c r="H1744" s="116"/>
      <c r="I1744" s="116"/>
      <c r="L1744" s="170">
        <v>44572</v>
      </c>
      <c r="M1744" s="116">
        <v>596.25</v>
      </c>
      <c r="N1744" s="116">
        <v>605.15</v>
      </c>
      <c r="O1744" s="116">
        <v>587.9</v>
      </c>
      <c r="P1744" s="116">
        <v>596.85</v>
      </c>
      <c r="Q1744" s="116">
        <v>596.25</v>
      </c>
      <c r="R1744">
        <v>592198</v>
      </c>
    </row>
    <row r="1745" spans="1:18" x14ac:dyDescent="0.25">
      <c r="A1745" s="170">
        <v>44574</v>
      </c>
      <c r="B1745" s="116">
        <v>12.6690400089219</v>
      </c>
      <c r="C1745" s="116">
        <v>12.300800003661999</v>
      </c>
      <c r="D1745" s="116">
        <v>12.037884559046301</v>
      </c>
      <c r="E1745" s="116">
        <v>12.306343401590601</v>
      </c>
      <c r="F1745" s="116">
        <v>776.65</v>
      </c>
      <c r="G1745">
        <v>5252</v>
      </c>
      <c r="H1745" s="116"/>
      <c r="I1745" s="116"/>
      <c r="L1745" s="170">
        <v>44573</v>
      </c>
      <c r="M1745" s="116">
        <v>607</v>
      </c>
      <c r="N1745" s="116">
        <v>616.75</v>
      </c>
      <c r="O1745" s="116">
        <v>598.9</v>
      </c>
      <c r="P1745" s="116">
        <v>599.25</v>
      </c>
      <c r="Q1745" s="116">
        <v>607</v>
      </c>
      <c r="R1745">
        <v>659631</v>
      </c>
    </row>
    <row r="1746" spans="1:18" x14ac:dyDescent="0.25">
      <c r="A1746" s="170">
        <v>44575</v>
      </c>
      <c r="B1746" s="116">
        <v>12.6706238369016</v>
      </c>
      <c r="C1746" s="116">
        <v>12.4140437042043</v>
      </c>
      <c r="D1746" s="116">
        <v>12.148752517619201</v>
      </c>
      <c r="E1746" s="116">
        <v>12.151128259588599</v>
      </c>
      <c r="F1746" s="116">
        <v>783.8</v>
      </c>
      <c r="G1746">
        <v>3936</v>
      </c>
      <c r="H1746" s="116"/>
      <c r="I1746" s="116"/>
      <c r="L1746" s="170">
        <v>44574</v>
      </c>
      <c r="M1746" s="116">
        <v>603.6</v>
      </c>
      <c r="N1746" s="116">
        <v>614.29999999999995</v>
      </c>
      <c r="O1746" s="116">
        <v>601</v>
      </c>
      <c r="P1746" s="116">
        <v>609.85</v>
      </c>
      <c r="Q1746" s="116">
        <v>603.6</v>
      </c>
      <c r="R1746">
        <v>579280</v>
      </c>
    </row>
    <row r="1747" spans="1:18" x14ac:dyDescent="0.25">
      <c r="A1747" s="170">
        <v>44578</v>
      </c>
      <c r="B1747" s="116">
        <v>13.4942143863002</v>
      </c>
      <c r="C1747" s="116">
        <v>13.371467717880201</v>
      </c>
      <c r="D1747" s="116">
        <v>12.3221816813868</v>
      </c>
      <c r="E1747" s="116">
        <v>12.4330496399597</v>
      </c>
      <c r="F1747" s="116">
        <v>844.25</v>
      </c>
      <c r="G1747">
        <v>18444</v>
      </c>
      <c r="H1747" s="116"/>
      <c r="I1747" s="116"/>
      <c r="L1747" s="170">
        <v>44575</v>
      </c>
      <c r="M1747" s="116">
        <v>605.75</v>
      </c>
      <c r="N1747" s="116">
        <v>611.04999999999995</v>
      </c>
      <c r="O1747" s="116">
        <v>594.04999999999995</v>
      </c>
      <c r="P1747" s="116">
        <v>602.5</v>
      </c>
      <c r="Q1747" s="116">
        <v>605.75</v>
      </c>
      <c r="R1747">
        <v>500557</v>
      </c>
    </row>
    <row r="1748" spans="1:18" x14ac:dyDescent="0.25">
      <c r="A1748" s="170">
        <v>44579</v>
      </c>
      <c r="B1748" s="116">
        <v>13.461745912718101</v>
      </c>
      <c r="C1748" s="116">
        <v>12.817127925015701</v>
      </c>
      <c r="D1748" s="116">
        <v>12.686462116697699</v>
      </c>
      <c r="E1748" s="116">
        <v>13.461745912718101</v>
      </c>
      <c r="F1748" s="116">
        <v>809.25</v>
      </c>
      <c r="G1748">
        <v>8604</v>
      </c>
      <c r="H1748" s="116"/>
      <c r="I1748" s="116"/>
      <c r="L1748" s="170">
        <v>44578</v>
      </c>
      <c r="M1748" s="116">
        <v>627.5</v>
      </c>
      <c r="N1748" s="116">
        <v>632.35</v>
      </c>
      <c r="O1748" s="116">
        <v>605.20000000000005</v>
      </c>
      <c r="P1748" s="116">
        <v>605.45000000000005</v>
      </c>
      <c r="Q1748" s="116">
        <v>627.5</v>
      </c>
      <c r="R1748">
        <v>1397472</v>
      </c>
    </row>
    <row r="1749" spans="1:18" x14ac:dyDescent="0.25">
      <c r="A1749" s="170">
        <v>44580</v>
      </c>
      <c r="B1749" s="116">
        <v>12.9683834970687</v>
      </c>
      <c r="C1749" s="116">
        <v>12.7450637519434</v>
      </c>
      <c r="D1749" s="116">
        <v>12.5455014265122</v>
      </c>
      <c r="E1749" s="116">
        <v>12.9074061198537</v>
      </c>
      <c r="F1749" s="116">
        <v>804.7</v>
      </c>
      <c r="G1749">
        <v>5992</v>
      </c>
      <c r="H1749" s="116"/>
      <c r="I1749" s="116"/>
      <c r="L1749" s="170">
        <v>44579</v>
      </c>
      <c r="M1749" s="116">
        <v>616.35</v>
      </c>
      <c r="N1749" s="116">
        <v>638.75</v>
      </c>
      <c r="O1749" s="116">
        <v>611.29999999999995</v>
      </c>
      <c r="P1749" s="116">
        <v>632.95000000000005</v>
      </c>
      <c r="Q1749" s="116">
        <v>616.35</v>
      </c>
      <c r="R1749">
        <v>1506793</v>
      </c>
    </row>
    <row r="1750" spans="1:18" x14ac:dyDescent="0.25">
      <c r="A1750" s="170">
        <v>44581</v>
      </c>
      <c r="B1750" s="116">
        <v>12.9374988514663</v>
      </c>
      <c r="C1750" s="116">
        <v>12.820295580974999</v>
      </c>
      <c r="D1750" s="116">
        <v>12.361777380877101</v>
      </c>
      <c r="E1750" s="116">
        <v>12.6714157508914</v>
      </c>
      <c r="F1750" s="116">
        <v>809.45</v>
      </c>
      <c r="G1750">
        <v>3136</v>
      </c>
      <c r="H1750" s="116"/>
      <c r="I1750" s="116"/>
      <c r="L1750" s="170">
        <v>44580</v>
      </c>
      <c r="M1750" s="116">
        <v>612.35</v>
      </c>
      <c r="N1750" s="116">
        <v>617</v>
      </c>
      <c r="O1750" s="116">
        <v>596.4</v>
      </c>
      <c r="P1750" s="116">
        <v>617</v>
      </c>
      <c r="Q1750" s="116">
        <v>612.35</v>
      </c>
      <c r="R1750">
        <v>445496</v>
      </c>
    </row>
    <row r="1751" spans="1:18" x14ac:dyDescent="0.25">
      <c r="A1751" s="170">
        <v>44582</v>
      </c>
      <c r="B1751" s="116">
        <v>12.9089899478333</v>
      </c>
      <c r="C1751" s="116">
        <v>12.384742886581501</v>
      </c>
      <c r="D1751" s="116">
        <v>12.2746668419984</v>
      </c>
      <c r="E1751" s="116">
        <v>12.828214720873</v>
      </c>
      <c r="F1751" s="116">
        <v>781.95</v>
      </c>
      <c r="G1751">
        <v>3884</v>
      </c>
      <c r="H1751" s="116"/>
      <c r="I1751" s="116"/>
      <c r="L1751" s="170">
        <v>44581</v>
      </c>
      <c r="M1751" s="116">
        <v>616.4</v>
      </c>
      <c r="N1751" s="116">
        <v>632</v>
      </c>
      <c r="O1751" s="116">
        <v>607.45000000000005</v>
      </c>
      <c r="P1751" s="116">
        <v>609.9</v>
      </c>
      <c r="Q1751" s="116">
        <v>616.4</v>
      </c>
      <c r="R1751">
        <v>713771</v>
      </c>
    </row>
    <row r="1752" spans="1:18" x14ac:dyDescent="0.25">
      <c r="A1752" s="170">
        <v>44585</v>
      </c>
      <c r="B1752" s="116">
        <v>12.369696520775101</v>
      </c>
      <c r="C1752" s="116">
        <v>11.801894190084001</v>
      </c>
      <c r="D1752" s="116">
        <v>11.420191646997299</v>
      </c>
      <c r="E1752" s="116">
        <v>12.369696520775101</v>
      </c>
      <c r="F1752" s="116">
        <v>745.15</v>
      </c>
      <c r="G1752">
        <v>2982</v>
      </c>
      <c r="H1752" s="116"/>
      <c r="I1752" s="116"/>
      <c r="L1752" s="170">
        <v>44582</v>
      </c>
      <c r="M1752" s="116">
        <v>594.70000000000005</v>
      </c>
      <c r="N1752" s="116">
        <v>616.4</v>
      </c>
      <c r="O1752" s="116">
        <v>589.29999999999995</v>
      </c>
      <c r="P1752" s="116">
        <v>611</v>
      </c>
      <c r="Q1752" s="116">
        <v>594.70000000000005</v>
      </c>
      <c r="R1752">
        <v>827479</v>
      </c>
    </row>
    <row r="1753" spans="1:18" x14ac:dyDescent="0.25">
      <c r="A1753" s="170">
        <v>44586</v>
      </c>
      <c r="B1753" s="116">
        <v>12.0679772906589</v>
      </c>
      <c r="C1753" s="116">
        <v>11.925432772493799</v>
      </c>
      <c r="D1753" s="116">
        <v>11.4067291091706</v>
      </c>
      <c r="E1753" s="116">
        <v>11.5627361651625</v>
      </c>
      <c r="F1753" s="116">
        <v>752.95</v>
      </c>
      <c r="G1753">
        <v>2711</v>
      </c>
      <c r="H1753" s="116"/>
      <c r="I1753" s="116"/>
      <c r="L1753" s="170">
        <v>44585</v>
      </c>
      <c r="M1753" s="116">
        <v>573.4</v>
      </c>
      <c r="N1753" s="116">
        <v>598.20000000000005</v>
      </c>
      <c r="O1753" s="116">
        <v>567.75</v>
      </c>
      <c r="P1753" s="116">
        <v>598.20000000000005</v>
      </c>
      <c r="Q1753" s="116">
        <v>573.4</v>
      </c>
      <c r="R1753">
        <v>1093320</v>
      </c>
    </row>
    <row r="1754" spans="1:18" x14ac:dyDescent="0.25">
      <c r="A1754" s="170">
        <v>44588</v>
      </c>
      <c r="B1754" s="116">
        <v>12.9873894328241</v>
      </c>
      <c r="C1754" s="116">
        <v>12.850388312587601</v>
      </c>
      <c r="D1754" s="116">
        <v>11.482752852192</v>
      </c>
      <c r="E1754" s="116">
        <v>11.8787098470952</v>
      </c>
      <c r="F1754" s="116">
        <v>811.35</v>
      </c>
      <c r="G1754">
        <v>11226</v>
      </c>
      <c r="H1754" s="116"/>
      <c r="I1754" s="116"/>
      <c r="L1754" s="170">
        <v>44586</v>
      </c>
      <c r="M1754" s="116">
        <v>601.15</v>
      </c>
      <c r="N1754" s="116">
        <v>606.95000000000005</v>
      </c>
      <c r="O1754" s="116">
        <v>555.95000000000005</v>
      </c>
      <c r="P1754" s="116">
        <v>557</v>
      </c>
      <c r="Q1754" s="116">
        <v>601.15</v>
      </c>
      <c r="R1754">
        <v>874035</v>
      </c>
    </row>
    <row r="1755" spans="1:18" x14ac:dyDescent="0.25">
      <c r="A1755" s="170">
        <v>44589</v>
      </c>
      <c r="B1755" s="116">
        <v>13.541729225688499</v>
      </c>
      <c r="C1755" s="116">
        <v>12.6262766534724</v>
      </c>
      <c r="D1755" s="116">
        <v>12.5130329529301</v>
      </c>
      <c r="E1755" s="116">
        <v>13.3833464277273</v>
      </c>
      <c r="F1755" s="116">
        <v>797.2</v>
      </c>
      <c r="G1755">
        <v>13589</v>
      </c>
      <c r="H1755" s="116"/>
      <c r="I1755" s="116"/>
      <c r="L1755" s="170">
        <v>44588</v>
      </c>
      <c r="M1755" s="116">
        <v>576.25</v>
      </c>
      <c r="N1755" s="116">
        <v>614.9</v>
      </c>
      <c r="O1755" s="116">
        <v>570</v>
      </c>
      <c r="P1755" s="116">
        <v>571</v>
      </c>
      <c r="Q1755" s="116">
        <v>576.25</v>
      </c>
      <c r="R1755">
        <v>2242844</v>
      </c>
    </row>
    <row r="1756" spans="1:18" x14ac:dyDescent="0.25">
      <c r="A1756" s="170">
        <v>44592</v>
      </c>
      <c r="B1756" s="116">
        <v>13.367508147931099</v>
      </c>
      <c r="C1756" s="116">
        <v>12.9287877975784</v>
      </c>
      <c r="D1756" s="116">
        <v>12.7593182037599</v>
      </c>
      <c r="E1756" s="116">
        <v>13.367508147931099</v>
      </c>
      <c r="F1756" s="116">
        <v>816.3</v>
      </c>
      <c r="G1756">
        <v>6047</v>
      </c>
      <c r="H1756" s="116"/>
      <c r="I1756" s="116"/>
      <c r="L1756" s="170">
        <v>44589</v>
      </c>
      <c r="M1756" s="116">
        <v>616</v>
      </c>
      <c r="N1756" s="116">
        <v>642</v>
      </c>
      <c r="O1756" s="116">
        <v>580</v>
      </c>
      <c r="P1756" s="116">
        <v>581</v>
      </c>
      <c r="Q1756" s="116">
        <v>616</v>
      </c>
      <c r="R1756">
        <v>3364415</v>
      </c>
    </row>
    <row r="1757" spans="1:18" x14ac:dyDescent="0.25">
      <c r="A1757" s="170">
        <v>44593</v>
      </c>
      <c r="B1757" s="116">
        <v>13.2843571790015</v>
      </c>
      <c r="C1757" s="116">
        <v>12.9873894328241</v>
      </c>
      <c r="D1757" s="116">
        <v>12.7038842244734</v>
      </c>
      <c r="E1757" s="116">
        <v>13.063413175845501</v>
      </c>
      <c r="F1757" s="116">
        <v>820</v>
      </c>
      <c r="G1757">
        <v>6457</v>
      </c>
      <c r="H1757" s="116"/>
      <c r="I1757" s="116"/>
      <c r="L1757" s="170">
        <v>44592</v>
      </c>
      <c r="M1757" s="116">
        <v>616.15</v>
      </c>
      <c r="N1757" s="116">
        <v>626</v>
      </c>
      <c r="O1757" s="116">
        <v>606.5</v>
      </c>
      <c r="P1757" s="116">
        <v>622.4</v>
      </c>
      <c r="Q1757" s="116">
        <v>616.15</v>
      </c>
      <c r="R1757">
        <v>767444</v>
      </c>
    </row>
    <row r="1758" spans="1:18" x14ac:dyDescent="0.25">
      <c r="A1758" s="170">
        <v>44594</v>
      </c>
      <c r="B1758" s="116">
        <v>13.3833464277273</v>
      </c>
      <c r="C1758" s="116">
        <v>12.815544097036099</v>
      </c>
      <c r="D1758" s="116">
        <v>12.7735726555764</v>
      </c>
      <c r="E1758" s="116">
        <v>13.000060056661001</v>
      </c>
      <c r="F1758" s="116">
        <v>809.15</v>
      </c>
      <c r="G1758">
        <v>6253</v>
      </c>
      <c r="H1758" s="116"/>
      <c r="I1758" s="116"/>
      <c r="L1758" s="170">
        <v>44593</v>
      </c>
      <c r="M1758" s="116">
        <v>624.20000000000005</v>
      </c>
      <c r="N1758" s="116">
        <v>637.95000000000005</v>
      </c>
      <c r="O1758" s="116">
        <v>613.4</v>
      </c>
      <c r="P1758" s="116">
        <v>625</v>
      </c>
      <c r="Q1758" s="116">
        <v>624.20000000000005</v>
      </c>
      <c r="R1758">
        <v>1365607</v>
      </c>
    </row>
    <row r="1759" spans="1:18" x14ac:dyDescent="0.25">
      <c r="A1759" s="170">
        <v>44595</v>
      </c>
      <c r="B1759" s="116">
        <v>13.096673563417401</v>
      </c>
      <c r="C1759" s="116">
        <v>12.5866809539821</v>
      </c>
      <c r="D1759" s="116">
        <v>12.512241038940299</v>
      </c>
      <c r="E1759" s="116">
        <v>12.924036313639601</v>
      </c>
      <c r="F1759" s="116">
        <v>794.7</v>
      </c>
      <c r="G1759">
        <v>2031</v>
      </c>
      <c r="H1759" s="116"/>
      <c r="I1759" s="116"/>
      <c r="L1759" s="170">
        <v>44594</v>
      </c>
      <c r="M1759" s="116">
        <v>667.55</v>
      </c>
      <c r="N1759" s="116">
        <v>669.95</v>
      </c>
      <c r="O1759" s="116">
        <v>628.75</v>
      </c>
      <c r="P1759" s="116">
        <v>631.04999999999995</v>
      </c>
      <c r="Q1759" s="116">
        <v>667.55</v>
      </c>
      <c r="R1759">
        <v>3287808</v>
      </c>
    </row>
    <row r="1760" spans="1:18" x14ac:dyDescent="0.25">
      <c r="A1760" s="170">
        <v>44596</v>
      </c>
      <c r="B1760" s="116">
        <v>13.0111468525183</v>
      </c>
      <c r="C1760" s="116">
        <v>12.548669082471401</v>
      </c>
      <c r="D1760" s="116">
        <v>12.2113137228139</v>
      </c>
      <c r="E1760" s="116">
        <v>12.6706238369016</v>
      </c>
      <c r="F1760" s="116">
        <v>792.3</v>
      </c>
      <c r="G1760">
        <v>2900</v>
      </c>
      <c r="H1760" s="116"/>
      <c r="I1760" s="116"/>
      <c r="L1760" s="170">
        <v>44595</v>
      </c>
      <c r="M1760" s="116">
        <v>658.3</v>
      </c>
      <c r="N1760" s="116">
        <v>668</v>
      </c>
      <c r="O1760" s="116">
        <v>654</v>
      </c>
      <c r="P1760" s="116">
        <v>667.55</v>
      </c>
      <c r="Q1760" s="116">
        <v>658.3</v>
      </c>
      <c r="R1760">
        <v>786241</v>
      </c>
    </row>
    <row r="1761" spans="1:18" x14ac:dyDescent="0.25">
      <c r="A1761" s="170">
        <v>44599</v>
      </c>
      <c r="B1761" s="116">
        <v>12.702300396493801</v>
      </c>
      <c r="C1761" s="116">
        <v>12.397413510418399</v>
      </c>
      <c r="D1761" s="116">
        <v>12.2382387984673</v>
      </c>
      <c r="E1761" s="116">
        <v>12.512241038940299</v>
      </c>
      <c r="F1761" s="116">
        <v>782.75</v>
      </c>
      <c r="G1761">
        <v>2131</v>
      </c>
      <c r="H1761" s="116"/>
      <c r="I1761" s="116"/>
      <c r="L1761" s="170">
        <v>44596</v>
      </c>
      <c r="M1761" s="116">
        <v>642.04999999999995</v>
      </c>
      <c r="N1761" s="116">
        <v>661.45</v>
      </c>
      <c r="O1761" s="116">
        <v>640</v>
      </c>
      <c r="P1761" s="116">
        <v>658.9</v>
      </c>
      <c r="Q1761" s="116">
        <v>642.04999999999995</v>
      </c>
      <c r="R1761">
        <v>612782</v>
      </c>
    </row>
    <row r="1762" spans="1:18" x14ac:dyDescent="0.25">
      <c r="A1762" s="170">
        <v>44600</v>
      </c>
      <c r="B1762" s="116">
        <v>12.8923597540473</v>
      </c>
      <c r="C1762" s="116">
        <v>12.169342281354099</v>
      </c>
      <c r="D1762" s="116">
        <v>11.9135540626467</v>
      </c>
      <c r="E1762" s="116">
        <v>12.8923597540473</v>
      </c>
      <c r="F1762" s="116">
        <v>768.35</v>
      </c>
      <c r="G1762">
        <v>1689</v>
      </c>
      <c r="H1762" s="116"/>
      <c r="I1762" s="116"/>
      <c r="L1762" s="170">
        <v>44599</v>
      </c>
      <c r="M1762" s="116">
        <v>632.5</v>
      </c>
      <c r="N1762" s="116">
        <v>643.9</v>
      </c>
      <c r="O1762" s="116">
        <v>627.35</v>
      </c>
      <c r="P1762" s="116">
        <v>642</v>
      </c>
      <c r="Q1762" s="116">
        <v>632.5</v>
      </c>
      <c r="R1762">
        <v>403952</v>
      </c>
    </row>
    <row r="1763" spans="1:18" x14ac:dyDescent="0.25">
      <c r="A1763" s="170">
        <v>44601</v>
      </c>
      <c r="B1763" s="116">
        <v>12.813168355066701</v>
      </c>
      <c r="C1763" s="116">
        <v>12.444136435816899</v>
      </c>
      <c r="D1763" s="116">
        <v>12.179637163221599</v>
      </c>
      <c r="E1763" s="116">
        <v>12.179637163221599</v>
      </c>
      <c r="F1763" s="116">
        <v>785.7</v>
      </c>
      <c r="G1763">
        <v>1129</v>
      </c>
      <c r="H1763" s="116"/>
      <c r="I1763" s="116"/>
      <c r="L1763" s="170">
        <v>44600</v>
      </c>
      <c r="M1763" s="116">
        <v>629.15</v>
      </c>
      <c r="N1763" s="116">
        <v>637.5</v>
      </c>
      <c r="O1763" s="116">
        <v>614</v>
      </c>
      <c r="P1763" s="116">
        <v>632</v>
      </c>
      <c r="Q1763" s="116">
        <v>629.15</v>
      </c>
      <c r="R1763">
        <v>426956</v>
      </c>
    </row>
    <row r="1764" spans="1:18" x14ac:dyDescent="0.25">
      <c r="A1764" s="170">
        <v>44602</v>
      </c>
      <c r="B1764" s="116">
        <v>12.6547855571054</v>
      </c>
      <c r="C1764" s="116">
        <v>12.3879105425407</v>
      </c>
      <c r="D1764" s="116">
        <v>12.353858240978999</v>
      </c>
      <c r="E1764" s="116">
        <v>12.6547855571054</v>
      </c>
      <c r="F1764" s="116">
        <v>782.15</v>
      </c>
      <c r="G1764">
        <v>1169</v>
      </c>
      <c r="H1764" s="116"/>
      <c r="I1764" s="116"/>
      <c r="L1764" s="170">
        <v>44601</v>
      </c>
      <c r="M1764" s="116">
        <v>628.85</v>
      </c>
      <c r="N1764" s="116">
        <v>636.15</v>
      </c>
      <c r="O1764" s="116">
        <v>623.95000000000005</v>
      </c>
      <c r="P1764" s="116">
        <v>632.20000000000005</v>
      </c>
      <c r="Q1764" s="116">
        <v>628.85</v>
      </c>
      <c r="R1764">
        <v>410572</v>
      </c>
    </row>
    <row r="1765" spans="1:18" x14ac:dyDescent="0.25">
      <c r="A1765" s="170">
        <v>44603</v>
      </c>
      <c r="B1765" s="116">
        <v>12.8123764410769</v>
      </c>
      <c r="C1765" s="116">
        <v>12.298424261692601</v>
      </c>
      <c r="D1765" s="116">
        <v>11.8787098470952</v>
      </c>
      <c r="E1765" s="116">
        <v>12.353858240978999</v>
      </c>
      <c r="F1765" s="116">
        <v>776.5</v>
      </c>
      <c r="G1765">
        <v>3440</v>
      </c>
      <c r="H1765" s="116"/>
      <c r="I1765" s="116"/>
      <c r="L1765" s="170">
        <v>44602</v>
      </c>
      <c r="M1765" s="116">
        <v>640.54999999999995</v>
      </c>
      <c r="N1765" s="116">
        <v>653.4</v>
      </c>
      <c r="O1765" s="116">
        <v>627.29999999999995</v>
      </c>
      <c r="P1765" s="116">
        <v>631</v>
      </c>
      <c r="Q1765" s="116">
        <v>640.54999999999995</v>
      </c>
      <c r="R1765">
        <v>542867</v>
      </c>
    </row>
    <row r="1766" spans="1:18" x14ac:dyDescent="0.25">
      <c r="A1766" s="170">
        <v>44606</v>
      </c>
      <c r="B1766" s="116">
        <v>12.345939101080999</v>
      </c>
      <c r="C1766" s="116">
        <v>11.3821797754866</v>
      </c>
      <c r="D1766" s="116">
        <v>11.245178655250101</v>
      </c>
      <c r="E1766" s="116">
        <v>12.171718023323599</v>
      </c>
      <c r="F1766" s="116">
        <v>718.65</v>
      </c>
      <c r="G1766">
        <v>11469</v>
      </c>
      <c r="H1766" s="116"/>
      <c r="I1766" s="116"/>
      <c r="L1766" s="170">
        <v>44603</v>
      </c>
      <c r="M1766" s="116">
        <v>621.54999999999995</v>
      </c>
      <c r="N1766" s="116">
        <v>636.85</v>
      </c>
      <c r="O1766" s="116">
        <v>617.20000000000005</v>
      </c>
      <c r="P1766" s="116">
        <v>631</v>
      </c>
      <c r="Q1766" s="116">
        <v>621.54999999999995</v>
      </c>
      <c r="R1766">
        <v>450527</v>
      </c>
    </row>
    <row r="1767" spans="1:18" x14ac:dyDescent="0.25">
      <c r="A1767" s="170">
        <v>44607</v>
      </c>
      <c r="B1767" s="116">
        <v>11.701321113378601</v>
      </c>
      <c r="C1767" s="116">
        <v>11.463746916436699</v>
      </c>
      <c r="D1767" s="116">
        <v>11.087587771278701</v>
      </c>
      <c r="E1767" s="116">
        <v>11.701321113378601</v>
      </c>
      <c r="F1767" s="116">
        <v>723.8</v>
      </c>
      <c r="G1767">
        <v>3269</v>
      </c>
      <c r="H1767" s="116"/>
      <c r="I1767" s="116"/>
      <c r="L1767" s="170">
        <v>44606</v>
      </c>
      <c r="M1767" s="116">
        <v>593.25</v>
      </c>
      <c r="N1767" s="116">
        <v>619</v>
      </c>
      <c r="O1767" s="116">
        <v>588.85</v>
      </c>
      <c r="P1767" s="116">
        <v>608</v>
      </c>
      <c r="Q1767" s="116">
        <v>593.25</v>
      </c>
      <c r="R1767">
        <v>653140</v>
      </c>
    </row>
    <row r="1768" spans="1:18" x14ac:dyDescent="0.25">
      <c r="A1768" s="170">
        <v>44608</v>
      </c>
      <c r="B1768" s="116">
        <v>11.7995184481146</v>
      </c>
      <c r="C1768" s="116">
        <v>11.537394917488699</v>
      </c>
      <c r="D1768" s="116">
        <v>11.5049264439066</v>
      </c>
      <c r="E1768" s="116">
        <v>11.7678418885223</v>
      </c>
      <c r="F1768" s="116">
        <v>728.45</v>
      </c>
      <c r="G1768">
        <v>1942</v>
      </c>
      <c r="H1768" s="116"/>
      <c r="I1768" s="116"/>
      <c r="L1768" s="170">
        <v>44607</v>
      </c>
      <c r="M1768" s="116">
        <v>624.20000000000005</v>
      </c>
      <c r="N1768" s="116">
        <v>627.9</v>
      </c>
      <c r="O1768" s="116">
        <v>580</v>
      </c>
      <c r="P1768" s="116">
        <v>594</v>
      </c>
      <c r="Q1768" s="116">
        <v>624.20000000000005</v>
      </c>
      <c r="R1768">
        <v>1115065</v>
      </c>
    </row>
    <row r="1769" spans="1:18" x14ac:dyDescent="0.25">
      <c r="A1769" s="170">
        <v>44609</v>
      </c>
      <c r="B1769" s="116">
        <v>11.854952427401001</v>
      </c>
      <c r="C1769" s="116">
        <v>11.4130644210891</v>
      </c>
      <c r="D1769" s="116">
        <v>11.1541085464224</v>
      </c>
      <c r="E1769" s="116">
        <v>11.5936208107649</v>
      </c>
      <c r="F1769" s="116">
        <v>720.6</v>
      </c>
      <c r="G1769">
        <v>1690</v>
      </c>
      <c r="H1769" s="116"/>
      <c r="I1769" s="116"/>
      <c r="L1769" s="170">
        <v>44608</v>
      </c>
      <c r="M1769" s="116">
        <v>616.65</v>
      </c>
      <c r="N1769" s="116">
        <v>641.79999999999995</v>
      </c>
      <c r="O1769" s="116">
        <v>612.75</v>
      </c>
      <c r="P1769" s="116">
        <v>630.5</v>
      </c>
      <c r="Q1769" s="116">
        <v>616.65</v>
      </c>
      <c r="R1769">
        <v>1211460</v>
      </c>
    </row>
    <row r="1770" spans="1:18" x14ac:dyDescent="0.25">
      <c r="A1770" s="170">
        <v>44610</v>
      </c>
      <c r="B1770" s="116">
        <v>11.482752852192</v>
      </c>
      <c r="C1770" s="116">
        <v>11.2736875588832</v>
      </c>
      <c r="D1770" s="116">
        <v>10.7787413152542</v>
      </c>
      <c r="E1770" s="116">
        <v>11.184993192024899</v>
      </c>
      <c r="F1770" s="116">
        <v>711.8</v>
      </c>
      <c r="G1770">
        <v>1894</v>
      </c>
      <c r="H1770" s="116"/>
      <c r="I1770" s="116"/>
      <c r="L1770" s="170">
        <v>44609</v>
      </c>
      <c r="M1770" s="116">
        <v>606.15</v>
      </c>
      <c r="N1770" s="116">
        <v>624.85</v>
      </c>
      <c r="O1770" s="116">
        <v>603.9</v>
      </c>
      <c r="P1770" s="116">
        <v>620</v>
      </c>
      <c r="Q1770" s="116">
        <v>606.15</v>
      </c>
      <c r="R1770">
        <v>420282</v>
      </c>
    </row>
    <row r="1771" spans="1:18" x14ac:dyDescent="0.25">
      <c r="A1771" s="170">
        <v>44613</v>
      </c>
      <c r="B1771" s="116">
        <v>11.403561453211401</v>
      </c>
      <c r="C1771" s="116">
        <v>10.9822632106344</v>
      </c>
      <c r="D1771" s="116">
        <v>10.770030261366299</v>
      </c>
      <c r="E1771" s="116">
        <v>11.0867958572889</v>
      </c>
      <c r="F1771" s="116">
        <v>693.4</v>
      </c>
      <c r="G1771">
        <v>7332</v>
      </c>
      <c r="H1771" s="116"/>
      <c r="I1771" s="116"/>
      <c r="L1771" s="170">
        <v>44610</v>
      </c>
      <c r="M1771" s="116">
        <v>599.5</v>
      </c>
      <c r="N1771" s="116">
        <v>613.85</v>
      </c>
      <c r="O1771" s="116">
        <v>595.65</v>
      </c>
      <c r="P1771" s="116">
        <v>605</v>
      </c>
      <c r="Q1771" s="116">
        <v>599.5</v>
      </c>
      <c r="R1771">
        <v>301083</v>
      </c>
    </row>
    <row r="1772" spans="1:18" x14ac:dyDescent="0.25">
      <c r="A1772" s="170">
        <v>44614</v>
      </c>
      <c r="B1772" s="116">
        <v>11.102634137084999</v>
      </c>
      <c r="C1772" s="116">
        <v>10.9640491888689</v>
      </c>
      <c r="D1772" s="116">
        <v>10.6924226903653</v>
      </c>
      <c r="E1772" s="116">
        <v>10.770030261366299</v>
      </c>
      <c r="F1772" s="116">
        <v>692.25</v>
      </c>
      <c r="G1772">
        <v>3356</v>
      </c>
      <c r="H1772" s="116"/>
      <c r="I1772" s="116"/>
      <c r="L1772" s="170">
        <v>44613</v>
      </c>
      <c r="M1772" s="116">
        <v>592.5</v>
      </c>
      <c r="N1772" s="116">
        <v>606.85</v>
      </c>
      <c r="O1772" s="116">
        <v>585.85</v>
      </c>
      <c r="P1772" s="116">
        <v>595.54999999999995</v>
      </c>
      <c r="Q1772" s="116">
        <v>592.5</v>
      </c>
      <c r="R1772">
        <v>464557</v>
      </c>
    </row>
    <row r="1773" spans="1:18" x14ac:dyDescent="0.25">
      <c r="A1773" s="170">
        <v>44615</v>
      </c>
      <c r="B1773" s="116">
        <v>11.481960938202199</v>
      </c>
      <c r="C1773" s="116">
        <v>11.0472001577985</v>
      </c>
      <c r="D1773" s="116">
        <v>10.804874476917799</v>
      </c>
      <c r="E1773" s="116">
        <v>10.804874476917799</v>
      </c>
      <c r="F1773" s="116">
        <v>697.5</v>
      </c>
      <c r="G1773">
        <v>3636</v>
      </c>
      <c r="H1773" s="116"/>
      <c r="I1773" s="116"/>
      <c r="L1773" s="170">
        <v>44614</v>
      </c>
      <c r="M1773" s="116">
        <v>586.45000000000005</v>
      </c>
      <c r="N1773" s="116">
        <v>588.9</v>
      </c>
      <c r="O1773" s="116">
        <v>572.20000000000005</v>
      </c>
      <c r="P1773" s="116">
        <v>578.95000000000005</v>
      </c>
      <c r="Q1773" s="116">
        <v>586.45000000000005</v>
      </c>
      <c r="R1773">
        <v>620643</v>
      </c>
    </row>
    <row r="1774" spans="1:18" x14ac:dyDescent="0.25">
      <c r="A1774" s="170">
        <v>44616</v>
      </c>
      <c r="B1774" s="116">
        <v>11.229340375454001</v>
      </c>
      <c r="C1774" s="116">
        <v>10.552253914169601</v>
      </c>
      <c r="D1774" s="116">
        <v>10.4532646654438</v>
      </c>
      <c r="E1774" s="116">
        <v>11.229340375454001</v>
      </c>
      <c r="F1774" s="116">
        <v>666.25</v>
      </c>
      <c r="G1774">
        <v>12819</v>
      </c>
      <c r="H1774" s="116"/>
      <c r="I1774" s="116"/>
      <c r="L1774" s="170">
        <v>44615</v>
      </c>
      <c r="M1774" s="116">
        <v>589.79999999999995</v>
      </c>
      <c r="N1774" s="116">
        <v>605</v>
      </c>
      <c r="O1774" s="116">
        <v>584.20000000000005</v>
      </c>
      <c r="P1774" s="116">
        <v>591.79999999999995</v>
      </c>
      <c r="Q1774" s="116">
        <v>589.79999999999995</v>
      </c>
      <c r="R1774">
        <v>607240</v>
      </c>
    </row>
    <row r="1775" spans="1:18" x14ac:dyDescent="0.25">
      <c r="A1775" s="170">
        <v>44617</v>
      </c>
      <c r="B1775" s="116">
        <v>11.466914572395901</v>
      </c>
      <c r="C1775" s="116">
        <v>10.754983895560001</v>
      </c>
      <c r="D1775" s="116">
        <v>10.564924538006499</v>
      </c>
      <c r="E1775" s="116">
        <v>10.564924538006499</v>
      </c>
      <c r="F1775" s="116">
        <v>679.05</v>
      </c>
      <c r="G1775">
        <v>2456</v>
      </c>
      <c r="H1775" s="116"/>
      <c r="I1775" s="116"/>
      <c r="L1775" s="170">
        <v>44616</v>
      </c>
      <c r="M1775" s="116">
        <v>547.29999999999995</v>
      </c>
      <c r="N1775" s="116">
        <v>582.5</v>
      </c>
      <c r="O1775" s="116">
        <v>542.1</v>
      </c>
      <c r="P1775" s="116">
        <v>569.79999999999995</v>
      </c>
      <c r="Q1775" s="116">
        <v>547.29999999999995</v>
      </c>
      <c r="R1775">
        <v>1299065</v>
      </c>
    </row>
    <row r="1776" spans="1:18" x14ac:dyDescent="0.25">
      <c r="A1776" s="170">
        <v>44620</v>
      </c>
      <c r="B1776" s="116">
        <v>11.243594827270501</v>
      </c>
      <c r="C1776" s="116">
        <v>11.1089694490034</v>
      </c>
      <c r="D1776" s="116">
        <v>10.770030261366299</v>
      </c>
      <c r="E1776" s="116">
        <v>11.149357062483601</v>
      </c>
      <c r="F1776" s="116">
        <v>701.4</v>
      </c>
      <c r="G1776">
        <v>2274</v>
      </c>
      <c r="H1776" s="116"/>
      <c r="I1776" s="116"/>
      <c r="L1776" s="170">
        <v>44617</v>
      </c>
      <c r="M1776" s="116">
        <v>573.04999999999995</v>
      </c>
      <c r="N1776" s="116">
        <v>578.54999999999995</v>
      </c>
      <c r="O1776" s="116">
        <v>557.20000000000005</v>
      </c>
      <c r="P1776" s="116">
        <v>559</v>
      </c>
      <c r="Q1776" s="116">
        <v>573.04999999999995</v>
      </c>
      <c r="R1776">
        <v>723982</v>
      </c>
    </row>
    <row r="1777" spans="1:18" x14ac:dyDescent="0.25">
      <c r="A1777" s="170">
        <v>44622</v>
      </c>
      <c r="B1777" s="116">
        <v>11.387723173415299</v>
      </c>
      <c r="C1777" s="116">
        <v>11.145397492534499</v>
      </c>
      <c r="D1777" s="116">
        <v>10.770030261366299</v>
      </c>
      <c r="E1777" s="116">
        <v>10.975927898716</v>
      </c>
      <c r="F1777" s="116">
        <v>703.7</v>
      </c>
      <c r="G1777">
        <v>14712</v>
      </c>
      <c r="H1777" s="116"/>
      <c r="I1777" s="116"/>
      <c r="L1777" s="170">
        <v>44620</v>
      </c>
      <c r="M1777" s="116">
        <v>580.5</v>
      </c>
      <c r="N1777" s="116">
        <v>583.35</v>
      </c>
      <c r="O1777" s="116">
        <v>560.45000000000005</v>
      </c>
      <c r="P1777" s="116">
        <v>570.5</v>
      </c>
      <c r="Q1777" s="116">
        <v>580.5</v>
      </c>
      <c r="R1777">
        <v>540106</v>
      </c>
    </row>
    <row r="1778" spans="1:18" x14ac:dyDescent="0.25">
      <c r="A1778" s="170">
        <v>44623</v>
      </c>
      <c r="B1778" s="116">
        <v>11.7678418885223</v>
      </c>
      <c r="C1778" s="116">
        <v>11.4977992179984</v>
      </c>
      <c r="D1778" s="116">
        <v>10.9474189950829</v>
      </c>
      <c r="E1778" s="116">
        <v>11.403561453211401</v>
      </c>
      <c r="F1778" s="116">
        <v>725.95</v>
      </c>
      <c r="G1778">
        <v>4433</v>
      </c>
      <c r="H1778" s="116"/>
      <c r="I1778" s="116"/>
      <c r="L1778" s="170">
        <v>44622</v>
      </c>
      <c r="M1778" s="116">
        <v>572.79999999999995</v>
      </c>
      <c r="N1778" s="116">
        <v>582.29999999999995</v>
      </c>
      <c r="O1778" s="116">
        <v>561.6</v>
      </c>
      <c r="P1778" s="116">
        <v>569.70000000000005</v>
      </c>
      <c r="Q1778" s="116">
        <v>572.79999999999995</v>
      </c>
      <c r="R1778">
        <v>301513</v>
      </c>
    </row>
    <row r="1779" spans="1:18" x14ac:dyDescent="0.25">
      <c r="A1779" s="170">
        <v>44624</v>
      </c>
      <c r="B1779" s="116">
        <v>11.7694257165019</v>
      </c>
      <c r="C1779" s="116">
        <v>10.9814712966446</v>
      </c>
      <c r="D1779" s="116">
        <v>10.770030261366299</v>
      </c>
      <c r="E1779" s="116">
        <v>11.7694257165019</v>
      </c>
      <c r="F1779" s="116">
        <v>693.35</v>
      </c>
      <c r="G1779">
        <v>5604</v>
      </c>
      <c r="H1779" s="116"/>
      <c r="I1779" s="116"/>
      <c r="L1779" s="170">
        <v>44623</v>
      </c>
      <c r="M1779" s="116">
        <v>561.54999999999995</v>
      </c>
      <c r="N1779" s="116">
        <v>580.70000000000005</v>
      </c>
      <c r="O1779" s="116">
        <v>555</v>
      </c>
      <c r="P1779" s="116">
        <v>580</v>
      </c>
      <c r="Q1779" s="116">
        <v>561.54999999999995</v>
      </c>
      <c r="R1779">
        <v>325436</v>
      </c>
    </row>
    <row r="1780" spans="1:18" x14ac:dyDescent="0.25">
      <c r="A1780" s="170">
        <v>44627</v>
      </c>
      <c r="B1780" s="116">
        <v>11.4193997330075</v>
      </c>
      <c r="C1780" s="116">
        <v>11.0582869536558</v>
      </c>
      <c r="D1780" s="116">
        <v>10.6132312913847</v>
      </c>
      <c r="E1780" s="116">
        <v>10.6132312913847</v>
      </c>
      <c r="F1780" s="116">
        <v>698.2</v>
      </c>
      <c r="G1780">
        <v>3816</v>
      </c>
      <c r="H1780" s="116"/>
      <c r="I1780" s="116"/>
      <c r="L1780" s="170">
        <v>44624</v>
      </c>
      <c r="M1780" s="116">
        <v>561.4</v>
      </c>
      <c r="N1780" s="116">
        <v>573.9</v>
      </c>
      <c r="O1780" s="116">
        <v>544.5</v>
      </c>
      <c r="P1780" s="116">
        <v>552.29999999999995</v>
      </c>
      <c r="Q1780" s="116">
        <v>561.4</v>
      </c>
      <c r="R1780">
        <v>1057331</v>
      </c>
    </row>
    <row r="1781" spans="1:18" x14ac:dyDescent="0.25">
      <c r="A1781" s="170">
        <v>44628</v>
      </c>
      <c r="B1781" s="116">
        <v>11.7203270491339</v>
      </c>
      <c r="C1781" s="116">
        <v>11.6918181455009</v>
      </c>
      <c r="D1781" s="116">
        <v>11.4114805931095</v>
      </c>
      <c r="E1781" s="116">
        <v>11.7203270491339</v>
      </c>
      <c r="F1781" s="116">
        <v>738.2</v>
      </c>
      <c r="G1781">
        <v>6292</v>
      </c>
      <c r="H1781" s="116"/>
      <c r="I1781" s="116"/>
      <c r="L1781" s="170">
        <v>44627</v>
      </c>
      <c r="M1781" s="116">
        <v>542.4</v>
      </c>
      <c r="N1781" s="116">
        <v>557.1</v>
      </c>
      <c r="O1781" s="116">
        <v>520.20000000000005</v>
      </c>
      <c r="P1781" s="116">
        <v>557.1</v>
      </c>
      <c r="Q1781" s="116">
        <v>542.4</v>
      </c>
      <c r="R1781">
        <v>819961</v>
      </c>
    </row>
    <row r="1782" spans="1:18" x14ac:dyDescent="0.25">
      <c r="A1782" s="170">
        <v>44629</v>
      </c>
      <c r="B1782" s="116">
        <v>12.0426360429851</v>
      </c>
      <c r="C1782" s="116">
        <v>11.6846909195927</v>
      </c>
      <c r="D1782" s="116">
        <v>11.403561453211401</v>
      </c>
      <c r="E1782" s="116">
        <v>11.7203270491339</v>
      </c>
      <c r="F1782" s="116">
        <v>737.75</v>
      </c>
      <c r="G1782">
        <v>4879</v>
      </c>
      <c r="H1782" s="116"/>
      <c r="I1782" s="116"/>
      <c r="L1782" s="170">
        <v>44628</v>
      </c>
      <c r="M1782" s="116">
        <v>560.20000000000005</v>
      </c>
      <c r="N1782" s="116">
        <v>563.70000000000005</v>
      </c>
      <c r="O1782" s="116">
        <v>543</v>
      </c>
      <c r="P1782" s="116">
        <v>544</v>
      </c>
      <c r="Q1782" s="116">
        <v>560.20000000000005</v>
      </c>
      <c r="R1782">
        <v>447423</v>
      </c>
    </row>
    <row r="1783" spans="1:18" x14ac:dyDescent="0.25">
      <c r="A1783" s="170">
        <v>44630</v>
      </c>
      <c r="B1783" s="116">
        <v>12.220816690691599</v>
      </c>
      <c r="C1783" s="116">
        <v>12.054514752832199</v>
      </c>
      <c r="D1783" s="116">
        <v>11.53185151956</v>
      </c>
      <c r="E1783" s="116">
        <v>11.957901246075799</v>
      </c>
      <c r="F1783" s="116">
        <v>761.1</v>
      </c>
      <c r="G1783">
        <v>1586</v>
      </c>
      <c r="H1783" s="116"/>
      <c r="I1783" s="116"/>
      <c r="L1783" s="170">
        <v>44629</v>
      </c>
      <c r="M1783" s="116">
        <v>573.35</v>
      </c>
      <c r="N1783" s="116">
        <v>584.65</v>
      </c>
      <c r="O1783" s="116">
        <v>560.5</v>
      </c>
      <c r="P1783" s="116">
        <v>570</v>
      </c>
      <c r="Q1783" s="116">
        <v>573.35</v>
      </c>
      <c r="R1783">
        <v>533606</v>
      </c>
    </row>
    <row r="1784" spans="1:18" x14ac:dyDescent="0.25">
      <c r="A1784" s="170">
        <v>44631</v>
      </c>
      <c r="B1784" s="116">
        <v>12.2667477021003</v>
      </c>
      <c r="C1784" s="116">
        <v>11.683107091613</v>
      </c>
      <c r="D1784" s="116">
        <v>11.503342615927</v>
      </c>
      <c r="E1784" s="116">
        <v>12.0054160854642</v>
      </c>
      <c r="F1784" s="116">
        <v>737.65</v>
      </c>
      <c r="G1784">
        <v>1853</v>
      </c>
      <c r="H1784" s="116"/>
      <c r="I1784" s="116"/>
      <c r="L1784" s="170">
        <v>44630</v>
      </c>
      <c r="M1784" s="116">
        <v>591.20000000000005</v>
      </c>
      <c r="N1784" s="116">
        <v>606.6</v>
      </c>
      <c r="O1784" s="116">
        <v>585.4</v>
      </c>
      <c r="P1784" s="116">
        <v>586.6</v>
      </c>
      <c r="Q1784" s="116">
        <v>591.20000000000005</v>
      </c>
      <c r="R1784">
        <v>1157062</v>
      </c>
    </row>
    <row r="1785" spans="1:18" x14ac:dyDescent="0.25">
      <c r="A1785" s="170">
        <v>44634</v>
      </c>
      <c r="B1785" s="116">
        <v>12.115492130047301</v>
      </c>
      <c r="C1785" s="116">
        <v>11.778928684379601</v>
      </c>
      <c r="D1785" s="116">
        <v>11.5872854988465</v>
      </c>
      <c r="E1785" s="116">
        <v>11.7995184481146</v>
      </c>
      <c r="F1785" s="116">
        <v>743.7</v>
      </c>
      <c r="G1785">
        <v>3588</v>
      </c>
      <c r="H1785" s="116"/>
      <c r="I1785" s="116"/>
      <c r="L1785" s="170">
        <v>44631</v>
      </c>
      <c r="M1785" s="116">
        <v>586.9</v>
      </c>
      <c r="N1785" s="116">
        <v>597.5</v>
      </c>
      <c r="O1785" s="116">
        <v>578</v>
      </c>
      <c r="P1785" s="116">
        <v>585.70000000000005</v>
      </c>
      <c r="Q1785" s="116">
        <v>586.9</v>
      </c>
      <c r="R1785">
        <v>495078</v>
      </c>
    </row>
    <row r="1786" spans="1:18" x14ac:dyDescent="0.25">
      <c r="A1786" s="170">
        <v>44635</v>
      </c>
      <c r="B1786" s="116">
        <v>14.1340808900637</v>
      </c>
      <c r="C1786" s="116">
        <v>14.1340808900637</v>
      </c>
      <c r="D1786" s="116">
        <v>12.844844914658999</v>
      </c>
      <c r="E1786" s="116">
        <v>12.844844914658999</v>
      </c>
      <c r="F1786" s="116">
        <v>892.4</v>
      </c>
      <c r="G1786">
        <v>25971</v>
      </c>
      <c r="H1786" s="116"/>
      <c r="I1786" s="116"/>
      <c r="L1786" s="170">
        <v>44634</v>
      </c>
      <c r="M1786" s="116">
        <v>591.6</v>
      </c>
      <c r="N1786" s="116">
        <v>596.5</v>
      </c>
      <c r="O1786" s="116">
        <v>579.29999999999995</v>
      </c>
      <c r="P1786" s="116">
        <v>585</v>
      </c>
      <c r="Q1786" s="116">
        <v>591.6</v>
      </c>
      <c r="R1786">
        <v>385590</v>
      </c>
    </row>
    <row r="1787" spans="1:18" x14ac:dyDescent="0.25">
      <c r="A1787" s="170">
        <v>44636</v>
      </c>
      <c r="B1787" s="116">
        <v>15.8366959681473</v>
      </c>
      <c r="C1787" s="116">
        <v>14.6424896715194</v>
      </c>
      <c r="D1787" s="116">
        <v>14.4603494538639</v>
      </c>
      <c r="E1787" s="116">
        <v>15.8066032365347</v>
      </c>
      <c r="F1787" s="116">
        <v>924.5</v>
      </c>
      <c r="G1787">
        <v>28564</v>
      </c>
      <c r="H1787" s="116"/>
      <c r="I1787" s="116"/>
      <c r="L1787" s="170">
        <v>44635</v>
      </c>
      <c r="M1787" s="116">
        <v>578.79999999999995</v>
      </c>
      <c r="N1787" s="116">
        <v>607.9</v>
      </c>
      <c r="O1787" s="116">
        <v>566</v>
      </c>
      <c r="P1787" s="116">
        <v>591.6</v>
      </c>
      <c r="Q1787" s="116">
        <v>578.79999999999995</v>
      </c>
      <c r="R1787">
        <v>916480</v>
      </c>
    </row>
    <row r="1788" spans="1:18" x14ac:dyDescent="0.25">
      <c r="A1788" s="170">
        <v>44637</v>
      </c>
      <c r="B1788" s="116">
        <v>14.96717440734</v>
      </c>
      <c r="C1788" s="116">
        <v>14.4825230455785</v>
      </c>
      <c r="D1788" s="116">
        <v>14.320180677668199</v>
      </c>
      <c r="E1788" s="116">
        <v>14.8563064487671</v>
      </c>
      <c r="F1788" s="116">
        <v>914.4</v>
      </c>
      <c r="G1788">
        <v>9587</v>
      </c>
      <c r="H1788" s="116"/>
      <c r="I1788" s="116"/>
      <c r="L1788" s="170">
        <v>44636</v>
      </c>
      <c r="M1788" s="116">
        <v>600.35</v>
      </c>
      <c r="N1788" s="116">
        <v>602</v>
      </c>
      <c r="O1788" s="116">
        <v>579.1</v>
      </c>
      <c r="P1788" s="116">
        <v>590</v>
      </c>
      <c r="Q1788" s="116">
        <v>600.35</v>
      </c>
      <c r="R1788">
        <v>934412</v>
      </c>
    </row>
    <row r="1789" spans="1:18" x14ac:dyDescent="0.25">
      <c r="A1789" s="170">
        <v>44641</v>
      </c>
      <c r="B1789" s="116">
        <v>16.788576583894599</v>
      </c>
      <c r="C1789" s="116">
        <v>16.594557656391999</v>
      </c>
      <c r="D1789" s="116">
        <v>14.2552437305041</v>
      </c>
      <c r="E1789" s="116">
        <v>14.713761930601899</v>
      </c>
      <c r="F1789" s="116">
        <v>1047.75</v>
      </c>
      <c r="G1789">
        <v>50385</v>
      </c>
      <c r="H1789" s="116"/>
      <c r="I1789" s="116"/>
      <c r="L1789" s="170">
        <v>44637</v>
      </c>
      <c r="M1789" s="116">
        <v>609.75</v>
      </c>
      <c r="N1789" s="116">
        <v>622</v>
      </c>
      <c r="O1789" s="116">
        <v>602.1</v>
      </c>
      <c r="P1789" s="116">
        <v>606.20000000000005</v>
      </c>
      <c r="Q1789" s="116">
        <v>609.75</v>
      </c>
      <c r="R1789">
        <v>788598</v>
      </c>
    </row>
    <row r="1790" spans="1:18" x14ac:dyDescent="0.25">
      <c r="A1790" s="170">
        <v>44642</v>
      </c>
      <c r="B1790" s="116">
        <v>16.630193785933301</v>
      </c>
      <c r="C1790" s="116">
        <v>16.3625268573787</v>
      </c>
      <c r="D1790" s="116">
        <v>15.9372690448527</v>
      </c>
      <c r="E1790" s="116">
        <v>16.630193785933301</v>
      </c>
      <c r="F1790" s="116">
        <v>1033.0999999999999</v>
      </c>
      <c r="G1790">
        <v>17499</v>
      </c>
      <c r="H1790" s="116"/>
      <c r="I1790" s="116"/>
      <c r="L1790" s="170">
        <v>44641</v>
      </c>
      <c r="M1790" s="116">
        <v>600.20000000000005</v>
      </c>
      <c r="N1790" s="116">
        <v>613</v>
      </c>
      <c r="O1790" s="116">
        <v>593.5</v>
      </c>
      <c r="P1790" s="116">
        <v>611.95000000000005</v>
      </c>
      <c r="Q1790" s="116">
        <v>600.20000000000005</v>
      </c>
      <c r="R1790">
        <v>460459</v>
      </c>
    </row>
    <row r="1791" spans="1:18" x14ac:dyDescent="0.25">
      <c r="A1791" s="170">
        <v>44643</v>
      </c>
      <c r="B1791" s="116">
        <v>16.642864409770201</v>
      </c>
      <c r="C1791" s="116">
        <v>16.546250903013799</v>
      </c>
      <c r="D1791" s="116">
        <v>16.234236791030099</v>
      </c>
      <c r="E1791" s="116">
        <v>16.598517226340999</v>
      </c>
      <c r="F1791" s="116">
        <v>1044.7</v>
      </c>
      <c r="G1791">
        <v>9683</v>
      </c>
      <c r="H1791" s="116"/>
      <c r="I1791" s="116"/>
      <c r="L1791" s="170">
        <v>44642</v>
      </c>
      <c r="M1791" s="116">
        <v>601.54999999999995</v>
      </c>
      <c r="N1791" s="116">
        <v>611.45000000000005</v>
      </c>
      <c r="O1791" s="116">
        <v>593.95000000000005</v>
      </c>
      <c r="P1791" s="116">
        <v>600</v>
      </c>
      <c r="Q1791" s="116">
        <v>601.54999999999995</v>
      </c>
      <c r="R1791">
        <v>583635</v>
      </c>
    </row>
    <row r="1792" spans="1:18" x14ac:dyDescent="0.25">
      <c r="A1792" s="170">
        <v>44644</v>
      </c>
      <c r="B1792" s="116">
        <v>16.487649267768202</v>
      </c>
      <c r="C1792" s="116">
        <v>16.075062079079</v>
      </c>
      <c r="D1792" s="116">
        <v>15.887378463494899</v>
      </c>
      <c r="E1792" s="116">
        <v>16.487649267768202</v>
      </c>
      <c r="F1792" s="116">
        <v>1014.95</v>
      </c>
      <c r="G1792">
        <v>5060</v>
      </c>
      <c r="H1792" s="116"/>
      <c r="I1792" s="116"/>
      <c r="L1792" s="170">
        <v>44643</v>
      </c>
      <c r="M1792" s="116">
        <v>605</v>
      </c>
      <c r="N1792" s="116">
        <v>611.95000000000005</v>
      </c>
      <c r="O1792" s="116">
        <v>595.9</v>
      </c>
      <c r="P1792" s="116">
        <v>608.70000000000005</v>
      </c>
      <c r="Q1792" s="116">
        <v>605</v>
      </c>
      <c r="R1792">
        <v>519551</v>
      </c>
    </row>
    <row r="1793" spans="1:18" x14ac:dyDescent="0.25">
      <c r="A1793" s="170">
        <v>44645</v>
      </c>
      <c r="B1793" s="116">
        <v>16.463891848073999</v>
      </c>
      <c r="C1793" s="116">
        <v>16.19384917755</v>
      </c>
      <c r="D1793" s="116">
        <v>15.9887434541902</v>
      </c>
      <c r="E1793" s="116">
        <v>15.9887434541902</v>
      </c>
      <c r="F1793" s="116">
        <v>1022.45</v>
      </c>
      <c r="G1793">
        <v>5093</v>
      </c>
      <c r="H1793" s="116"/>
      <c r="I1793" s="116"/>
      <c r="L1793" s="170">
        <v>44644</v>
      </c>
      <c r="M1793" s="116">
        <v>599.20000000000005</v>
      </c>
      <c r="N1793" s="116">
        <v>604.85</v>
      </c>
      <c r="O1793" s="116">
        <v>594.5</v>
      </c>
      <c r="P1793" s="116">
        <v>603.9</v>
      </c>
      <c r="Q1793" s="116">
        <v>599.20000000000005</v>
      </c>
      <c r="R1793">
        <v>330823</v>
      </c>
    </row>
    <row r="1794" spans="1:18" x14ac:dyDescent="0.25">
      <c r="A1794" s="170">
        <v>44648</v>
      </c>
      <c r="B1794" s="116">
        <v>16.307092878092298</v>
      </c>
      <c r="C1794" s="116">
        <v>16.119409262508199</v>
      </c>
      <c r="D1794" s="116">
        <v>15.8541180759231</v>
      </c>
      <c r="E1794" s="116">
        <v>16.171675585835398</v>
      </c>
      <c r="F1794" s="116">
        <v>1017.75</v>
      </c>
      <c r="G1794">
        <v>5496</v>
      </c>
      <c r="H1794" s="116"/>
      <c r="I1794" s="116"/>
      <c r="L1794" s="170">
        <v>44645</v>
      </c>
      <c r="M1794" s="116">
        <v>601.15</v>
      </c>
      <c r="N1794" s="116">
        <v>605.04999999999995</v>
      </c>
      <c r="O1794" s="116">
        <v>597.15</v>
      </c>
      <c r="P1794" s="116">
        <v>605.04999999999995</v>
      </c>
      <c r="Q1794" s="116">
        <v>601.15</v>
      </c>
      <c r="R1794">
        <v>242606</v>
      </c>
    </row>
    <row r="1795" spans="1:18" x14ac:dyDescent="0.25">
      <c r="A1795" s="170">
        <v>44649</v>
      </c>
      <c r="B1795" s="116">
        <v>16.455972708175899</v>
      </c>
      <c r="C1795" s="116">
        <v>16.1122820365999</v>
      </c>
      <c r="D1795" s="116">
        <v>15.9174711951076</v>
      </c>
      <c r="E1795" s="116">
        <v>16.012500873884299</v>
      </c>
      <c r="F1795" s="116">
        <v>1017.3</v>
      </c>
      <c r="G1795">
        <v>3961</v>
      </c>
      <c r="H1795" s="116"/>
      <c r="I1795" s="116"/>
      <c r="L1795" s="170">
        <v>44648</v>
      </c>
      <c r="M1795" s="116">
        <v>599.25</v>
      </c>
      <c r="N1795" s="116">
        <v>603.75</v>
      </c>
      <c r="O1795" s="116">
        <v>588.29999999999995</v>
      </c>
      <c r="P1795" s="116">
        <v>596.29999999999995</v>
      </c>
      <c r="Q1795" s="116">
        <v>599.25</v>
      </c>
      <c r="R1795">
        <v>280172</v>
      </c>
    </row>
    <row r="1796" spans="1:18" x14ac:dyDescent="0.25">
      <c r="A1796" s="170">
        <v>44650</v>
      </c>
      <c r="B1796" s="116">
        <v>16.630193785933301</v>
      </c>
      <c r="C1796" s="116">
        <v>16.222358081183</v>
      </c>
      <c r="D1796" s="116">
        <v>15.934101388893501</v>
      </c>
      <c r="E1796" s="116">
        <v>15.934101388893501</v>
      </c>
      <c r="F1796" s="116">
        <v>1024.25</v>
      </c>
      <c r="G1796">
        <v>4324</v>
      </c>
      <c r="H1796" s="116"/>
      <c r="I1796" s="116"/>
      <c r="L1796" s="170">
        <v>44649</v>
      </c>
      <c r="M1796" s="116">
        <v>605.20000000000005</v>
      </c>
      <c r="N1796" s="116">
        <v>609</v>
      </c>
      <c r="O1796" s="116">
        <v>592.45000000000005</v>
      </c>
      <c r="P1796" s="116">
        <v>600</v>
      </c>
      <c r="Q1796" s="116">
        <v>605.20000000000005</v>
      </c>
      <c r="R1796">
        <v>374087</v>
      </c>
    </row>
    <row r="1797" spans="1:18" x14ac:dyDescent="0.25">
      <c r="A1797" s="170">
        <v>44651</v>
      </c>
      <c r="B1797" s="116">
        <v>16.3134281900108</v>
      </c>
      <c r="C1797" s="116">
        <v>16.200184489468398</v>
      </c>
      <c r="D1797" s="116">
        <v>15.749585429268601</v>
      </c>
      <c r="E1797" s="116">
        <v>16.265913350622402</v>
      </c>
      <c r="F1797" s="116">
        <v>1022.85</v>
      </c>
      <c r="G1797">
        <v>2450</v>
      </c>
      <c r="H1797" s="116"/>
      <c r="I1797" s="116"/>
      <c r="L1797" s="170">
        <v>44650</v>
      </c>
      <c r="M1797" s="116">
        <v>611.45000000000005</v>
      </c>
      <c r="N1797" s="116">
        <v>618</v>
      </c>
      <c r="O1797" s="116">
        <v>602.1</v>
      </c>
      <c r="P1797" s="116">
        <v>608.9</v>
      </c>
      <c r="Q1797" s="116">
        <v>611.45000000000005</v>
      </c>
      <c r="R1797">
        <v>631372</v>
      </c>
    </row>
    <row r="1798" spans="1:18" x14ac:dyDescent="0.25">
      <c r="A1798" s="170">
        <v>44652</v>
      </c>
      <c r="B1798" s="116">
        <v>17.8196485986224</v>
      </c>
      <c r="C1798" s="116">
        <v>17.8196485986224</v>
      </c>
      <c r="D1798" s="116">
        <v>16.155045392049502</v>
      </c>
      <c r="E1798" s="116">
        <v>16.155045392049502</v>
      </c>
      <c r="F1798" s="116">
        <v>1125.0999999999999</v>
      </c>
      <c r="G1798">
        <v>19383</v>
      </c>
      <c r="H1798" s="116"/>
      <c r="I1798" s="116"/>
      <c r="L1798" s="170">
        <v>44651</v>
      </c>
      <c r="M1798" s="116">
        <v>631.45000000000005</v>
      </c>
      <c r="N1798" s="116">
        <v>634.75</v>
      </c>
      <c r="O1798" s="116">
        <v>610.4</v>
      </c>
      <c r="P1798" s="116">
        <v>614</v>
      </c>
      <c r="Q1798" s="116">
        <v>631.45000000000005</v>
      </c>
      <c r="R1798">
        <v>1078407</v>
      </c>
    </row>
    <row r="1799" spans="1:18" x14ac:dyDescent="0.25">
      <c r="A1799" s="170">
        <v>44655</v>
      </c>
      <c r="B1799" s="116">
        <v>19.601455075686701</v>
      </c>
      <c r="C1799" s="116">
        <v>19.601455075686701</v>
      </c>
      <c r="D1799" s="116">
        <v>17.9305165571953</v>
      </c>
      <c r="E1799" s="116">
        <v>18.372404563507299</v>
      </c>
      <c r="F1799" s="116">
        <v>1237.5999999999999</v>
      </c>
      <c r="G1799">
        <v>25090</v>
      </c>
      <c r="H1799" s="116"/>
      <c r="I1799" s="116"/>
      <c r="L1799" s="170">
        <v>44652</v>
      </c>
      <c r="M1799" s="116">
        <v>655.4</v>
      </c>
      <c r="N1799" s="116">
        <v>659.7</v>
      </c>
      <c r="O1799" s="116">
        <v>631.79999999999995</v>
      </c>
      <c r="P1799" s="116">
        <v>632.54999999999995</v>
      </c>
      <c r="Q1799" s="116">
        <v>655.4</v>
      </c>
      <c r="R1799">
        <v>1205575</v>
      </c>
    </row>
    <row r="1800" spans="1:18" x14ac:dyDescent="0.25">
      <c r="A1800" s="170">
        <v>44656</v>
      </c>
      <c r="B1800" s="116">
        <v>21.048281935062899</v>
      </c>
      <c r="C1800" s="116">
        <v>20.3347674302474</v>
      </c>
      <c r="D1800" s="116">
        <v>19.453367159592901</v>
      </c>
      <c r="E1800" s="116">
        <v>19.993452500640899</v>
      </c>
      <c r="F1800" s="116">
        <v>1283.9000000000001</v>
      </c>
      <c r="G1800">
        <v>22808</v>
      </c>
      <c r="H1800" s="116"/>
      <c r="I1800" s="116"/>
      <c r="L1800" s="170">
        <v>44655</v>
      </c>
      <c r="M1800" s="116">
        <v>661.9</v>
      </c>
      <c r="N1800" s="116">
        <v>670.5</v>
      </c>
      <c r="O1800" s="116">
        <v>655.04999999999995</v>
      </c>
      <c r="P1800" s="116">
        <v>658.1</v>
      </c>
      <c r="Q1800" s="116">
        <v>661.9</v>
      </c>
      <c r="R1800">
        <v>640162</v>
      </c>
    </row>
    <row r="1801" spans="1:18" x14ac:dyDescent="0.25">
      <c r="A1801" s="170">
        <v>44657</v>
      </c>
      <c r="B1801" s="116">
        <v>20.5731335411791</v>
      </c>
      <c r="C1801" s="116">
        <v>19.330620491172901</v>
      </c>
      <c r="D1801" s="116">
        <v>19.180156833109699</v>
      </c>
      <c r="E1801" s="116">
        <v>20.3513976240333</v>
      </c>
      <c r="F1801" s="116">
        <v>1220.5</v>
      </c>
      <c r="G1801">
        <v>14694</v>
      </c>
      <c r="H1801" s="116"/>
      <c r="I1801" s="116"/>
      <c r="L1801" s="170">
        <v>44656</v>
      </c>
      <c r="M1801" s="116">
        <v>648.9</v>
      </c>
      <c r="N1801" s="116">
        <v>664.95</v>
      </c>
      <c r="O1801" s="116">
        <v>646.95000000000005</v>
      </c>
      <c r="P1801" s="116">
        <v>662.6</v>
      </c>
      <c r="Q1801" s="116">
        <v>648.9</v>
      </c>
      <c r="R1801">
        <v>460546</v>
      </c>
    </row>
    <row r="1802" spans="1:18" x14ac:dyDescent="0.25">
      <c r="A1802" s="170">
        <v>44658</v>
      </c>
      <c r="B1802" s="116">
        <v>20.906529330887601</v>
      </c>
      <c r="C1802" s="116">
        <v>20.647573456220901</v>
      </c>
      <c r="D1802" s="116">
        <v>19.164318553313599</v>
      </c>
      <c r="E1802" s="116">
        <v>19.164318553313599</v>
      </c>
      <c r="F1802" s="116">
        <v>1303.6500000000001</v>
      </c>
      <c r="G1802">
        <v>20217</v>
      </c>
      <c r="H1802" s="116"/>
      <c r="I1802" s="116"/>
      <c r="L1802" s="170">
        <v>44657</v>
      </c>
      <c r="M1802" s="116">
        <v>654.45000000000005</v>
      </c>
      <c r="N1802" s="116">
        <v>658.55</v>
      </c>
      <c r="O1802" s="116">
        <v>641.6</v>
      </c>
      <c r="P1802" s="116">
        <v>646</v>
      </c>
      <c r="Q1802" s="116">
        <v>654.45000000000005</v>
      </c>
      <c r="R1802">
        <v>291055</v>
      </c>
    </row>
    <row r="1803" spans="1:18" x14ac:dyDescent="0.25">
      <c r="A1803" s="170">
        <v>44659</v>
      </c>
      <c r="B1803" s="116">
        <v>21.6034136419172</v>
      </c>
      <c r="C1803" s="116">
        <v>19.754294475719298</v>
      </c>
      <c r="D1803" s="116">
        <v>19.671935420779501</v>
      </c>
      <c r="E1803" s="116">
        <v>21.302486325790699</v>
      </c>
      <c r="F1803" s="116">
        <v>1247.25</v>
      </c>
      <c r="G1803">
        <v>12526</v>
      </c>
      <c r="H1803" s="116"/>
      <c r="I1803" s="116"/>
      <c r="L1803" s="170">
        <v>44658</v>
      </c>
      <c r="M1803" s="116">
        <v>668.2</v>
      </c>
      <c r="N1803" s="116">
        <v>685</v>
      </c>
      <c r="O1803" s="116">
        <v>651.20000000000005</v>
      </c>
      <c r="P1803" s="116">
        <v>651.20000000000005</v>
      </c>
      <c r="Q1803" s="116">
        <v>668.2</v>
      </c>
      <c r="R1803">
        <v>1649638</v>
      </c>
    </row>
    <row r="1804" spans="1:18" x14ac:dyDescent="0.25">
      <c r="A1804" s="170">
        <v>44662</v>
      </c>
      <c r="B1804" s="116">
        <v>20.352189538023101</v>
      </c>
      <c r="C1804" s="116">
        <v>20.116199169060799</v>
      </c>
      <c r="D1804" s="116">
        <v>19.814479938944601</v>
      </c>
      <c r="E1804" s="116">
        <v>20.352189538023101</v>
      </c>
      <c r="F1804" s="116">
        <v>1270.0999999999999</v>
      </c>
      <c r="G1804">
        <v>5214</v>
      </c>
      <c r="H1804" s="116"/>
      <c r="I1804" s="116"/>
      <c r="L1804" s="170">
        <v>44659</v>
      </c>
      <c r="M1804" s="116">
        <v>658.25</v>
      </c>
      <c r="N1804" s="116">
        <v>674.15</v>
      </c>
      <c r="O1804" s="116">
        <v>652.25</v>
      </c>
      <c r="P1804" s="116">
        <v>670</v>
      </c>
      <c r="Q1804" s="116">
        <v>658.25</v>
      </c>
      <c r="R1804">
        <v>1140055</v>
      </c>
    </row>
    <row r="1805" spans="1:18" x14ac:dyDescent="0.25">
      <c r="A1805" s="170">
        <v>44663</v>
      </c>
      <c r="B1805" s="116">
        <v>20.2484488053585</v>
      </c>
      <c r="C1805" s="116">
        <v>19.462078213480801</v>
      </c>
      <c r="D1805" s="116">
        <v>19.322701351274901</v>
      </c>
      <c r="E1805" s="116">
        <v>20.0195856623045</v>
      </c>
      <c r="F1805" s="116">
        <v>1228.8</v>
      </c>
      <c r="G1805">
        <v>5260</v>
      </c>
      <c r="H1805" s="116"/>
      <c r="I1805" s="116"/>
      <c r="L1805" s="170">
        <v>44662</v>
      </c>
      <c r="M1805" s="116">
        <v>663.2</v>
      </c>
      <c r="N1805" s="116">
        <v>672.15</v>
      </c>
      <c r="O1805" s="116">
        <v>658.1</v>
      </c>
      <c r="P1805" s="116">
        <v>658.1</v>
      </c>
      <c r="Q1805" s="116">
        <v>663.2</v>
      </c>
      <c r="R1805">
        <v>450422</v>
      </c>
    </row>
    <row r="1806" spans="1:18" x14ac:dyDescent="0.25">
      <c r="A1806" s="170">
        <v>44664</v>
      </c>
      <c r="B1806" s="116">
        <v>20.193014826072101</v>
      </c>
      <c r="C1806" s="116">
        <v>19.369424276673499</v>
      </c>
      <c r="D1806" s="116">
        <v>19.164318553313599</v>
      </c>
      <c r="E1806" s="116">
        <v>19.561067462206601</v>
      </c>
      <c r="F1806" s="116">
        <v>1222.95</v>
      </c>
      <c r="G1806">
        <v>3507</v>
      </c>
      <c r="H1806" s="116"/>
      <c r="I1806" s="116"/>
      <c r="L1806" s="170">
        <v>44663</v>
      </c>
      <c r="M1806" s="116">
        <v>655.5</v>
      </c>
      <c r="N1806" s="116">
        <v>661.55</v>
      </c>
      <c r="O1806" s="116">
        <v>640.9</v>
      </c>
      <c r="P1806" s="116">
        <v>656.5</v>
      </c>
      <c r="Q1806" s="116">
        <v>655.5</v>
      </c>
      <c r="R1806">
        <v>464090</v>
      </c>
    </row>
    <row r="1807" spans="1:18" x14ac:dyDescent="0.25">
      <c r="A1807" s="170">
        <v>44669</v>
      </c>
      <c r="B1807" s="116">
        <v>20.177968460265699</v>
      </c>
      <c r="C1807" s="116">
        <v>19.357545566826399</v>
      </c>
      <c r="D1807" s="116">
        <v>18.768361558410401</v>
      </c>
      <c r="E1807" s="116">
        <v>19.558691720237199</v>
      </c>
      <c r="F1807" s="116">
        <v>1222.2</v>
      </c>
      <c r="G1807">
        <v>7360</v>
      </c>
      <c r="H1807" s="116"/>
      <c r="I1807" s="116"/>
      <c r="L1807" s="170">
        <v>44664</v>
      </c>
      <c r="M1807" s="116">
        <v>632.9</v>
      </c>
      <c r="N1807" s="116">
        <v>662.6</v>
      </c>
      <c r="O1807" s="116">
        <v>627.4</v>
      </c>
      <c r="P1807" s="116">
        <v>655.9</v>
      </c>
      <c r="Q1807" s="116">
        <v>632.9</v>
      </c>
      <c r="R1807">
        <v>553917</v>
      </c>
    </row>
    <row r="1808" spans="1:18" x14ac:dyDescent="0.25">
      <c r="A1808" s="170">
        <v>44670</v>
      </c>
      <c r="B1808" s="116">
        <v>20.325264462369699</v>
      </c>
      <c r="C1808" s="116">
        <v>19.963359769028202</v>
      </c>
      <c r="D1808" s="116">
        <v>18.420711316885399</v>
      </c>
      <c r="E1808" s="116">
        <v>19.608582301595</v>
      </c>
      <c r="F1808" s="116">
        <v>1260.45</v>
      </c>
      <c r="G1808">
        <v>12931</v>
      </c>
      <c r="H1808" s="116"/>
      <c r="I1808" s="116"/>
      <c r="L1808" s="170">
        <v>44669</v>
      </c>
      <c r="M1808" s="116">
        <v>626.25</v>
      </c>
      <c r="N1808" s="116">
        <v>633.6</v>
      </c>
      <c r="O1808" s="116">
        <v>611.45000000000005</v>
      </c>
      <c r="P1808" s="116">
        <v>628.79999999999995</v>
      </c>
      <c r="Q1808" s="116">
        <v>626.25</v>
      </c>
      <c r="R1808">
        <v>362704</v>
      </c>
    </row>
    <row r="1809" spans="1:18" x14ac:dyDescent="0.25">
      <c r="A1809" s="170">
        <v>44671</v>
      </c>
      <c r="B1809" s="116">
        <v>19.956232543119999</v>
      </c>
      <c r="C1809" s="116">
        <v>19.037612314944599</v>
      </c>
      <c r="D1809" s="116">
        <v>18.965548141872201</v>
      </c>
      <c r="E1809" s="116">
        <v>19.956232543119999</v>
      </c>
      <c r="F1809" s="116">
        <v>1202</v>
      </c>
      <c r="G1809">
        <v>7549</v>
      </c>
      <c r="H1809" s="116"/>
      <c r="I1809" s="116"/>
      <c r="L1809" s="170">
        <v>44670</v>
      </c>
      <c r="M1809" s="116">
        <v>620.25</v>
      </c>
      <c r="N1809" s="116">
        <v>642.79999999999995</v>
      </c>
      <c r="O1809" s="116">
        <v>614.20000000000005</v>
      </c>
      <c r="P1809" s="116">
        <v>627</v>
      </c>
      <c r="Q1809" s="116">
        <v>620.25</v>
      </c>
      <c r="R1809">
        <v>487445</v>
      </c>
    </row>
    <row r="1810" spans="1:18" x14ac:dyDescent="0.25">
      <c r="A1810" s="170">
        <v>44672</v>
      </c>
      <c r="B1810" s="116">
        <v>19.3543779108671</v>
      </c>
      <c r="C1810" s="116">
        <v>18.892692054809999</v>
      </c>
      <c r="D1810" s="116">
        <v>18.594140480653</v>
      </c>
      <c r="E1810" s="116">
        <v>19.180156833109699</v>
      </c>
      <c r="F1810" s="116">
        <v>1192.8499999999999</v>
      </c>
      <c r="G1810">
        <v>2791</v>
      </c>
      <c r="H1810" s="116"/>
      <c r="I1810" s="116"/>
      <c r="L1810" s="170">
        <v>44671</v>
      </c>
      <c r="M1810" s="116">
        <v>637.85</v>
      </c>
      <c r="N1810" s="116">
        <v>644.95000000000005</v>
      </c>
      <c r="O1810" s="116">
        <v>621.04999999999995</v>
      </c>
      <c r="P1810" s="116">
        <v>623.70000000000005</v>
      </c>
      <c r="Q1810" s="116">
        <v>637.85</v>
      </c>
      <c r="R1810">
        <v>619836</v>
      </c>
    </row>
    <row r="1811" spans="1:18" x14ac:dyDescent="0.25">
      <c r="A1811" s="170">
        <v>44673</v>
      </c>
      <c r="B1811" s="116">
        <v>19.069288874536799</v>
      </c>
      <c r="C1811" s="116">
        <v>18.285294024628602</v>
      </c>
      <c r="D1811" s="116">
        <v>18.198183485749901</v>
      </c>
      <c r="E1811" s="116">
        <v>18.563255835050601</v>
      </c>
      <c r="F1811" s="116">
        <v>1154.5</v>
      </c>
      <c r="G1811">
        <v>3393</v>
      </c>
      <c r="H1811" s="116"/>
      <c r="I1811" s="116"/>
      <c r="L1811" s="170">
        <v>44672</v>
      </c>
      <c r="M1811" s="116">
        <v>638</v>
      </c>
      <c r="N1811" s="116">
        <v>651.29999999999995</v>
      </c>
      <c r="O1811" s="116">
        <v>635</v>
      </c>
      <c r="P1811" s="116">
        <v>645.79999999999995</v>
      </c>
      <c r="Q1811" s="116">
        <v>638</v>
      </c>
      <c r="R1811">
        <v>397778</v>
      </c>
    </row>
    <row r="1812" spans="1:18" x14ac:dyDescent="0.25">
      <c r="A1812" s="170">
        <v>44676</v>
      </c>
      <c r="B1812" s="116">
        <v>19.199162768865101</v>
      </c>
      <c r="C1812" s="116">
        <v>18.731141600889501</v>
      </c>
      <c r="D1812" s="116">
        <v>17.598704595466501</v>
      </c>
      <c r="E1812" s="116">
        <v>18.198183485749901</v>
      </c>
      <c r="F1812" s="116">
        <v>1182.6500000000001</v>
      </c>
      <c r="G1812">
        <v>11175</v>
      </c>
      <c r="H1812" s="116"/>
      <c r="I1812" s="116"/>
      <c r="L1812" s="170">
        <v>44673</v>
      </c>
      <c r="M1812" s="116">
        <v>634.5</v>
      </c>
      <c r="N1812" s="116">
        <v>644.45000000000005</v>
      </c>
      <c r="O1812" s="116">
        <v>627</v>
      </c>
      <c r="P1812" s="116">
        <v>635</v>
      </c>
      <c r="Q1812" s="116">
        <v>634.5</v>
      </c>
      <c r="R1812">
        <v>248365</v>
      </c>
    </row>
    <row r="1813" spans="1:18" x14ac:dyDescent="0.25">
      <c r="A1813" s="170">
        <v>44677</v>
      </c>
      <c r="B1813" s="116">
        <v>19.667183936840601</v>
      </c>
      <c r="C1813" s="116">
        <v>19.667183936840601</v>
      </c>
      <c r="D1813" s="116">
        <v>19.667183936840601</v>
      </c>
      <c r="E1813" s="116">
        <v>19.667183936840601</v>
      </c>
      <c r="F1813" s="116">
        <v>1241.75</v>
      </c>
      <c r="G1813">
        <v>8173</v>
      </c>
      <c r="H1813" s="116"/>
      <c r="I1813" s="116"/>
      <c r="L1813" s="170">
        <v>44676</v>
      </c>
      <c r="M1813" s="116">
        <v>626.5</v>
      </c>
      <c r="N1813" s="116">
        <v>634.35</v>
      </c>
      <c r="O1813" s="116">
        <v>620.65</v>
      </c>
      <c r="P1813" s="116">
        <v>629</v>
      </c>
      <c r="Q1813" s="116">
        <v>626.5</v>
      </c>
      <c r="R1813">
        <v>410622</v>
      </c>
    </row>
    <row r="1814" spans="1:18" x14ac:dyDescent="0.25">
      <c r="A1814" s="170">
        <v>44678</v>
      </c>
      <c r="B1814" s="116">
        <v>20.649949198190299</v>
      </c>
      <c r="C1814" s="116">
        <v>20.649949198190299</v>
      </c>
      <c r="D1814" s="116">
        <v>20.067100501692799</v>
      </c>
      <c r="E1814" s="116">
        <v>20.649949198190299</v>
      </c>
      <c r="F1814" s="116">
        <v>1303.8</v>
      </c>
      <c r="G1814">
        <v>10201</v>
      </c>
      <c r="H1814" s="116"/>
      <c r="I1814" s="116"/>
      <c r="L1814" s="170">
        <v>44677</v>
      </c>
      <c r="M1814" s="116">
        <v>640.54999999999995</v>
      </c>
      <c r="N1814" s="116">
        <v>647.04999999999995</v>
      </c>
      <c r="O1814" s="116">
        <v>629.1</v>
      </c>
      <c r="P1814" s="116">
        <v>632.1</v>
      </c>
      <c r="Q1814" s="116">
        <v>640.54999999999995</v>
      </c>
      <c r="R1814">
        <v>508491</v>
      </c>
    </row>
    <row r="1815" spans="1:18" x14ac:dyDescent="0.25">
      <c r="A1815" s="170">
        <v>44679</v>
      </c>
      <c r="B1815" s="116">
        <v>21.681813126908001</v>
      </c>
      <c r="C1815" s="116">
        <v>21.1100512262678</v>
      </c>
      <c r="D1815" s="116">
        <v>20.5889718209752</v>
      </c>
      <c r="E1815" s="116">
        <v>21.6192519217133</v>
      </c>
      <c r="F1815" s="116">
        <v>1332.85</v>
      </c>
      <c r="G1815">
        <v>34313</v>
      </c>
      <c r="H1815" s="116"/>
      <c r="I1815" s="116"/>
      <c r="L1815" s="170">
        <v>44678</v>
      </c>
      <c r="M1815" s="116">
        <v>640.1</v>
      </c>
      <c r="N1815" s="116">
        <v>644.54999999999995</v>
      </c>
      <c r="O1815" s="116">
        <v>628</v>
      </c>
      <c r="P1815" s="116">
        <v>635.1</v>
      </c>
      <c r="Q1815" s="116">
        <v>640.1</v>
      </c>
      <c r="R1815">
        <v>561400</v>
      </c>
    </row>
    <row r="1816" spans="1:18" x14ac:dyDescent="0.25">
      <c r="A1816" s="170">
        <v>44680</v>
      </c>
      <c r="B1816" s="116">
        <v>21.983532357024199</v>
      </c>
      <c r="C1816" s="116">
        <v>21.511551619099599</v>
      </c>
      <c r="D1816" s="116">
        <v>21.239133206606201</v>
      </c>
      <c r="E1816" s="116">
        <v>21.983532357024199</v>
      </c>
      <c r="F1816" s="116">
        <v>1358.2</v>
      </c>
      <c r="G1816">
        <v>12702</v>
      </c>
      <c r="H1816" s="116"/>
      <c r="I1816" s="116"/>
      <c r="L1816" s="170">
        <v>44679</v>
      </c>
      <c r="M1816" s="116">
        <v>636.35</v>
      </c>
      <c r="N1816" s="116">
        <v>647.9</v>
      </c>
      <c r="O1816" s="116">
        <v>625.04999999999995</v>
      </c>
      <c r="P1816" s="116">
        <v>641.1</v>
      </c>
      <c r="Q1816" s="116">
        <v>636.35</v>
      </c>
      <c r="R1816">
        <v>460004</v>
      </c>
    </row>
    <row r="1817" spans="1:18" x14ac:dyDescent="0.25">
      <c r="A1817" s="170">
        <v>44683</v>
      </c>
      <c r="B1817" s="116">
        <v>22.450761611009899</v>
      </c>
      <c r="C1817" s="116">
        <v>22.404830599601201</v>
      </c>
      <c r="D1817" s="116">
        <v>20.805956254182199</v>
      </c>
      <c r="E1817" s="116">
        <v>21.4925456833443</v>
      </c>
      <c r="F1817" s="116">
        <v>1414.6</v>
      </c>
      <c r="G1817">
        <v>23530</v>
      </c>
      <c r="H1817" s="116"/>
      <c r="I1817" s="116"/>
      <c r="L1817" s="170">
        <v>44680</v>
      </c>
      <c r="M1817" s="116">
        <v>592.15</v>
      </c>
      <c r="N1817" s="116">
        <v>640.25</v>
      </c>
      <c r="O1817" s="116">
        <v>589.6</v>
      </c>
      <c r="P1817" s="116">
        <v>638.25</v>
      </c>
      <c r="Q1817" s="116">
        <v>592.15</v>
      </c>
      <c r="R1817">
        <v>1623610</v>
      </c>
    </row>
    <row r="1818" spans="1:18" x14ac:dyDescent="0.25">
      <c r="A1818" s="170">
        <v>44685</v>
      </c>
      <c r="B1818" s="116">
        <v>23.120720846386099</v>
      </c>
      <c r="C1818" s="116">
        <v>21.551939232579699</v>
      </c>
      <c r="D1818" s="116">
        <v>21.2866480459946</v>
      </c>
      <c r="E1818" s="116">
        <v>22.933829144791801</v>
      </c>
      <c r="F1818" s="116">
        <v>1360.75</v>
      </c>
      <c r="G1818">
        <v>27826</v>
      </c>
      <c r="H1818" s="116"/>
      <c r="I1818" s="116"/>
      <c r="L1818" s="170">
        <v>44683</v>
      </c>
      <c r="M1818" s="116">
        <v>642.4</v>
      </c>
      <c r="N1818" s="116">
        <v>649.65</v>
      </c>
      <c r="O1818" s="116">
        <v>610.25</v>
      </c>
      <c r="P1818" s="116">
        <v>610.25</v>
      </c>
      <c r="Q1818" s="116">
        <v>642.4</v>
      </c>
      <c r="R1818">
        <v>5245547</v>
      </c>
    </row>
    <row r="1819" spans="1:18" x14ac:dyDescent="0.25">
      <c r="A1819" s="170">
        <v>44686</v>
      </c>
      <c r="B1819" s="116">
        <v>22.6170635488693</v>
      </c>
      <c r="C1819" s="116">
        <v>21.6731020730201</v>
      </c>
      <c r="D1819" s="116">
        <v>21.117178452176098</v>
      </c>
      <c r="E1819" s="116">
        <v>22.6170635488693</v>
      </c>
      <c r="F1819" s="116">
        <v>1368.4</v>
      </c>
      <c r="G1819">
        <v>9080</v>
      </c>
      <c r="H1819" s="116"/>
      <c r="I1819" s="116"/>
      <c r="L1819" s="170">
        <v>44685</v>
      </c>
      <c r="M1819" s="116">
        <v>605.5</v>
      </c>
      <c r="N1819" s="116">
        <v>645.15</v>
      </c>
      <c r="O1819" s="116">
        <v>594.54999999999995</v>
      </c>
      <c r="P1819" s="116">
        <v>638.79999999999995</v>
      </c>
      <c r="Q1819" s="116">
        <v>605.5</v>
      </c>
      <c r="R1819">
        <v>1610159</v>
      </c>
    </row>
    <row r="1820" spans="1:18" x14ac:dyDescent="0.25">
      <c r="A1820" s="170">
        <v>44687</v>
      </c>
      <c r="B1820" s="116">
        <v>21.6192519217133</v>
      </c>
      <c r="C1820" s="116">
        <v>21.331787143413599</v>
      </c>
      <c r="D1820" s="116">
        <v>20.589763734965</v>
      </c>
      <c r="E1820" s="116">
        <v>21.400683660526699</v>
      </c>
      <c r="F1820" s="116">
        <v>1346.85</v>
      </c>
      <c r="G1820">
        <v>22004</v>
      </c>
      <c r="H1820" s="116"/>
      <c r="I1820" s="116"/>
      <c r="L1820" s="170">
        <v>44686</v>
      </c>
      <c r="M1820" s="116">
        <v>573.1</v>
      </c>
      <c r="N1820" s="116">
        <v>620.95000000000005</v>
      </c>
      <c r="O1820" s="116">
        <v>570.75</v>
      </c>
      <c r="P1820" s="116">
        <v>610</v>
      </c>
      <c r="Q1820" s="116">
        <v>573.1</v>
      </c>
      <c r="R1820">
        <v>1330742</v>
      </c>
    </row>
    <row r="1821" spans="1:18" x14ac:dyDescent="0.25">
      <c r="A1821" s="170">
        <v>44690</v>
      </c>
      <c r="B1821" s="116">
        <v>22.397703373692899</v>
      </c>
      <c r="C1821" s="116">
        <v>20.4408839048814</v>
      </c>
      <c r="D1821" s="116">
        <v>20.2737900530323</v>
      </c>
      <c r="E1821" s="116">
        <v>22.397703373692899</v>
      </c>
      <c r="F1821" s="116">
        <v>1290.5999999999999</v>
      </c>
      <c r="G1821">
        <v>32468</v>
      </c>
      <c r="H1821" s="116"/>
      <c r="I1821" s="116"/>
      <c r="L1821" s="170">
        <v>44687</v>
      </c>
      <c r="M1821" s="116">
        <v>547.35</v>
      </c>
      <c r="N1821" s="116">
        <v>574.4</v>
      </c>
      <c r="O1821" s="116">
        <v>518.5</v>
      </c>
      <c r="P1821" s="116">
        <v>560</v>
      </c>
      <c r="Q1821" s="116">
        <v>547.35</v>
      </c>
      <c r="R1821">
        <v>2420331</v>
      </c>
    </row>
    <row r="1822" spans="1:18" x14ac:dyDescent="0.25">
      <c r="A1822" s="170">
        <v>44691</v>
      </c>
      <c r="B1822" s="116">
        <v>20.8273379319069</v>
      </c>
      <c r="C1822" s="116">
        <v>19.474748837317701</v>
      </c>
      <c r="D1822" s="116">
        <v>19.419314858031299</v>
      </c>
      <c r="E1822" s="116">
        <v>20.177968460265699</v>
      </c>
      <c r="F1822" s="116">
        <v>1229.5999999999999</v>
      </c>
      <c r="G1822">
        <v>14303</v>
      </c>
      <c r="H1822" s="116"/>
      <c r="I1822" s="116"/>
      <c r="L1822" s="170">
        <v>44690</v>
      </c>
      <c r="M1822" s="116">
        <v>519.25</v>
      </c>
      <c r="N1822" s="116">
        <v>562</v>
      </c>
      <c r="O1822" s="116">
        <v>466.65</v>
      </c>
      <c r="P1822" s="116">
        <v>546.25</v>
      </c>
      <c r="Q1822" s="116">
        <v>519.25</v>
      </c>
      <c r="R1822">
        <v>8168348</v>
      </c>
    </row>
    <row r="1823" spans="1:18" x14ac:dyDescent="0.25">
      <c r="A1823" s="170">
        <v>44692</v>
      </c>
      <c r="B1823" s="116">
        <v>19.418522944041399</v>
      </c>
      <c r="C1823" s="116">
        <v>18.501486543845701</v>
      </c>
      <c r="D1823" s="116">
        <v>18.501486543845701</v>
      </c>
      <c r="E1823" s="116">
        <v>19.085919068322799</v>
      </c>
      <c r="F1823" s="116">
        <v>1168.1500000000001</v>
      </c>
      <c r="G1823">
        <v>5178</v>
      </c>
      <c r="H1823" s="116"/>
      <c r="I1823" s="116"/>
      <c r="L1823" s="170">
        <v>44691</v>
      </c>
      <c r="M1823" s="116">
        <v>504.05</v>
      </c>
      <c r="N1823" s="116">
        <v>523.6</v>
      </c>
      <c r="O1823" s="116">
        <v>495.25</v>
      </c>
      <c r="P1823" s="116">
        <v>511</v>
      </c>
      <c r="Q1823" s="116">
        <v>504.05</v>
      </c>
      <c r="R1823">
        <v>1914202</v>
      </c>
    </row>
    <row r="1824" spans="1:18" x14ac:dyDescent="0.25">
      <c r="A1824" s="170">
        <v>44693</v>
      </c>
      <c r="B1824" s="116">
        <v>18.495943145917099</v>
      </c>
      <c r="C1824" s="116">
        <v>17.591577369558198</v>
      </c>
      <c r="D1824" s="116">
        <v>17.576531003751899</v>
      </c>
      <c r="E1824" s="116">
        <v>17.576531003751899</v>
      </c>
      <c r="F1824" s="116">
        <v>1110.7</v>
      </c>
      <c r="G1824">
        <v>14670</v>
      </c>
      <c r="H1824" s="116"/>
      <c r="I1824" s="116"/>
      <c r="L1824" s="170">
        <v>44692</v>
      </c>
      <c r="M1824" s="116">
        <v>482.05</v>
      </c>
      <c r="N1824" s="116">
        <v>509.8</v>
      </c>
      <c r="O1824" s="116">
        <v>453.65</v>
      </c>
      <c r="P1824" s="116">
        <v>509.8</v>
      </c>
      <c r="Q1824" s="116">
        <v>482.05</v>
      </c>
      <c r="R1824">
        <v>2515630</v>
      </c>
    </row>
    <row r="1825" spans="1:18" x14ac:dyDescent="0.25">
      <c r="A1825" s="170">
        <v>44694</v>
      </c>
      <c r="B1825" s="116">
        <v>18.467434242284</v>
      </c>
      <c r="C1825" s="116">
        <v>17.318367043075</v>
      </c>
      <c r="D1825" s="116">
        <v>17.026150780836499</v>
      </c>
      <c r="E1825" s="116">
        <v>17.469622615127999</v>
      </c>
      <c r="F1825" s="116">
        <v>1093.45</v>
      </c>
      <c r="G1825">
        <v>10453</v>
      </c>
      <c r="H1825" s="116"/>
      <c r="I1825" s="116"/>
      <c r="L1825" s="170">
        <v>44693</v>
      </c>
      <c r="M1825" s="116">
        <v>472.35</v>
      </c>
      <c r="N1825" s="116">
        <v>486.45</v>
      </c>
      <c r="O1825" s="116">
        <v>461</v>
      </c>
      <c r="P1825" s="116">
        <v>470</v>
      </c>
      <c r="Q1825" s="116">
        <v>472.35</v>
      </c>
      <c r="R1825">
        <v>1464187</v>
      </c>
    </row>
    <row r="1826" spans="1:18" x14ac:dyDescent="0.25">
      <c r="A1826" s="170">
        <v>44697</v>
      </c>
      <c r="B1826" s="116">
        <v>18.1839290339333</v>
      </c>
      <c r="C1826" s="116">
        <v>18.163339270198399</v>
      </c>
      <c r="D1826" s="116">
        <v>16.632569527902699</v>
      </c>
      <c r="E1826" s="116">
        <v>18.134830366565399</v>
      </c>
      <c r="F1826" s="116">
        <v>1146.8</v>
      </c>
      <c r="G1826">
        <v>8318</v>
      </c>
      <c r="H1826" s="116"/>
      <c r="I1826" s="116"/>
      <c r="L1826" s="170">
        <v>44694</v>
      </c>
      <c r="M1826" s="116">
        <v>495.7</v>
      </c>
      <c r="N1826" s="116">
        <v>514.9</v>
      </c>
      <c r="O1826" s="116">
        <v>465.3</v>
      </c>
      <c r="P1826" s="116">
        <v>479.9</v>
      </c>
      <c r="Q1826" s="116">
        <v>495.7</v>
      </c>
      <c r="R1826">
        <v>2106778</v>
      </c>
    </row>
    <row r="1827" spans="1:18" x14ac:dyDescent="0.25">
      <c r="A1827" s="170">
        <v>44698</v>
      </c>
      <c r="B1827" s="116">
        <v>18.815084483808999</v>
      </c>
      <c r="C1827" s="116">
        <v>18.476937210161701</v>
      </c>
      <c r="D1827" s="116">
        <v>17.691358532273799</v>
      </c>
      <c r="E1827" s="116">
        <v>18.530787361468501</v>
      </c>
      <c r="F1827" s="116">
        <v>1166.5999999999999</v>
      </c>
      <c r="G1827">
        <v>5187</v>
      </c>
      <c r="H1827" s="116"/>
      <c r="I1827" s="116"/>
      <c r="L1827" s="170">
        <v>44697</v>
      </c>
      <c r="M1827" s="116">
        <v>485.75</v>
      </c>
      <c r="N1827" s="116">
        <v>502</v>
      </c>
      <c r="O1827" s="116">
        <v>477.2</v>
      </c>
      <c r="P1827" s="116">
        <v>502</v>
      </c>
      <c r="Q1827" s="116">
        <v>485.75</v>
      </c>
      <c r="R1827">
        <v>656345</v>
      </c>
    </row>
    <row r="1828" spans="1:18" x14ac:dyDescent="0.25">
      <c r="A1828" s="170">
        <v>44699</v>
      </c>
      <c r="B1828" s="116">
        <v>19.386054470459399</v>
      </c>
      <c r="C1828" s="116">
        <v>18.617897900347199</v>
      </c>
      <c r="D1828" s="116">
        <v>18.231443873321702</v>
      </c>
      <c r="E1828" s="116">
        <v>18.847552957391098</v>
      </c>
      <c r="F1828" s="116">
        <v>1175.5</v>
      </c>
      <c r="G1828">
        <v>4554</v>
      </c>
      <c r="H1828" s="116"/>
      <c r="I1828" s="116"/>
      <c r="L1828" s="170">
        <v>44698</v>
      </c>
      <c r="M1828" s="116">
        <v>489.75</v>
      </c>
      <c r="N1828" s="116">
        <v>494.85</v>
      </c>
      <c r="O1828" s="116">
        <v>477.2</v>
      </c>
      <c r="P1828" s="116">
        <v>488.1</v>
      </c>
      <c r="Q1828" s="116">
        <v>489.75</v>
      </c>
      <c r="R1828">
        <v>646566</v>
      </c>
    </row>
    <row r="1829" spans="1:18" x14ac:dyDescent="0.25">
      <c r="A1829" s="170">
        <v>44700</v>
      </c>
      <c r="B1829" s="116">
        <v>18.617897900347199</v>
      </c>
      <c r="C1829" s="116">
        <v>17.920221675327799</v>
      </c>
      <c r="D1829" s="116">
        <v>17.770549931254401</v>
      </c>
      <c r="E1829" s="116">
        <v>18.103153806973101</v>
      </c>
      <c r="F1829" s="116">
        <v>1131.45</v>
      </c>
      <c r="G1829">
        <v>3711</v>
      </c>
      <c r="H1829" s="116"/>
      <c r="I1829" s="116"/>
      <c r="L1829" s="170">
        <v>44699</v>
      </c>
      <c r="M1829" s="116">
        <v>478.1</v>
      </c>
      <c r="N1829" s="116">
        <v>511.7</v>
      </c>
      <c r="O1829" s="116">
        <v>469.1</v>
      </c>
      <c r="P1829" s="116">
        <v>495.4</v>
      </c>
      <c r="Q1829" s="116">
        <v>478.1</v>
      </c>
      <c r="R1829">
        <v>1675457</v>
      </c>
    </row>
    <row r="1830" spans="1:18" x14ac:dyDescent="0.25">
      <c r="A1830" s="170">
        <v>44701</v>
      </c>
      <c r="B1830" s="116">
        <v>18.752523278614301</v>
      </c>
      <c r="C1830" s="116">
        <v>18.137206108534802</v>
      </c>
      <c r="D1830" s="116">
        <v>17.976447568604101</v>
      </c>
      <c r="E1830" s="116">
        <v>18.609978760449199</v>
      </c>
      <c r="F1830" s="116">
        <v>1145.1500000000001</v>
      </c>
      <c r="G1830">
        <v>2342</v>
      </c>
      <c r="H1830" s="116"/>
      <c r="I1830" s="116"/>
      <c r="L1830" s="170">
        <v>44700</v>
      </c>
      <c r="M1830" s="116">
        <v>452.65</v>
      </c>
      <c r="N1830" s="116">
        <v>473.8</v>
      </c>
      <c r="O1830" s="116">
        <v>448.15</v>
      </c>
      <c r="P1830" s="116">
        <v>467</v>
      </c>
      <c r="Q1830" s="116">
        <v>452.65</v>
      </c>
      <c r="R1830">
        <v>824474</v>
      </c>
    </row>
    <row r="1831" spans="1:18" x14ac:dyDescent="0.25">
      <c r="A1831" s="170">
        <v>44704</v>
      </c>
      <c r="B1831" s="116">
        <v>18.974259195760101</v>
      </c>
      <c r="C1831" s="116">
        <v>18.481688694100502</v>
      </c>
      <c r="D1831" s="116">
        <v>17.8972561696235</v>
      </c>
      <c r="E1831" s="116">
        <v>18.206102625647901</v>
      </c>
      <c r="F1831" s="116">
        <v>1166.9000000000001</v>
      </c>
      <c r="G1831">
        <v>5132</v>
      </c>
      <c r="H1831" s="116"/>
      <c r="I1831" s="116"/>
      <c r="L1831" s="170">
        <v>44701</v>
      </c>
      <c r="M1831" s="116">
        <v>471.6</v>
      </c>
      <c r="N1831" s="116">
        <v>474.75</v>
      </c>
      <c r="O1831" s="116">
        <v>458</v>
      </c>
      <c r="P1831" s="116">
        <v>458</v>
      </c>
      <c r="Q1831" s="116">
        <v>471.6</v>
      </c>
      <c r="R1831">
        <v>1087573</v>
      </c>
    </row>
    <row r="1832" spans="1:18" x14ac:dyDescent="0.25">
      <c r="A1832" s="170">
        <v>44705</v>
      </c>
      <c r="B1832" s="116">
        <v>18.8127087418396</v>
      </c>
      <c r="C1832" s="116">
        <v>18.603643448530701</v>
      </c>
      <c r="D1832" s="116">
        <v>18.206102625647901</v>
      </c>
      <c r="E1832" s="116">
        <v>18.5624639210608</v>
      </c>
      <c r="F1832" s="116">
        <v>1174.5999999999999</v>
      </c>
      <c r="G1832">
        <v>1276</v>
      </c>
      <c r="H1832" s="116"/>
      <c r="I1832" s="116"/>
      <c r="L1832" s="170">
        <v>44704</v>
      </c>
      <c r="M1832" s="116">
        <v>474.4</v>
      </c>
      <c r="N1832" s="116">
        <v>487.4</v>
      </c>
      <c r="O1832" s="116">
        <v>466.4</v>
      </c>
      <c r="P1832" s="116">
        <v>471.6</v>
      </c>
      <c r="Q1832" s="116">
        <v>474.4</v>
      </c>
      <c r="R1832">
        <v>615021</v>
      </c>
    </row>
    <row r="1833" spans="1:18" x14ac:dyDescent="0.25">
      <c r="A1833" s="170">
        <v>44706</v>
      </c>
      <c r="B1833" s="116">
        <v>18.942582636167799</v>
      </c>
      <c r="C1833" s="116">
        <v>17.674728338487899</v>
      </c>
      <c r="D1833" s="116">
        <v>17.673936424498098</v>
      </c>
      <c r="E1833" s="116">
        <v>18.6891701594298</v>
      </c>
      <c r="F1833" s="116">
        <v>1115.95</v>
      </c>
      <c r="G1833">
        <v>3767</v>
      </c>
      <c r="H1833" s="116"/>
      <c r="I1833" s="116"/>
      <c r="L1833" s="170">
        <v>44705</v>
      </c>
      <c r="M1833" s="116">
        <v>464.15</v>
      </c>
      <c r="N1833" s="116">
        <v>479.2</v>
      </c>
      <c r="O1833" s="116">
        <v>462.75</v>
      </c>
      <c r="P1833" s="116">
        <v>479.2</v>
      </c>
      <c r="Q1833" s="116">
        <v>464.15</v>
      </c>
      <c r="R1833">
        <v>523874</v>
      </c>
    </row>
    <row r="1834" spans="1:18" x14ac:dyDescent="0.25">
      <c r="A1834" s="170">
        <v>44707</v>
      </c>
      <c r="B1834" s="116">
        <v>17.851325158214699</v>
      </c>
      <c r="C1834" s="116">
        <v>16.843218649191201</v>
      </c>
      <c r="D1834" s="116">
        <v>16.791744239853799</v>
      </c>
      <c r="E1834" s="116">
        <v>17.674728338487899</v>
      </c>
      <c r="F1834" s="116">
        <v>1063.45</v>
      </c>
      <c r="G1834">
        <v>6461</v>
      </c>
      <c r="H1834" s="116"/>
      <c r="I1834" s="116"/>
      <c r="L1834" s="170">
        <v>44706</v>
      </c>
      <c r="M1834" s="116">
        <v>452</v>
      </c>
      <c r="N1834" s="116">
        <v>472.05</v>
      </c>
      <c r="O1834" s="116">
        <v>449</v>
      </c>
      <c r="P1834" s="116">
        <v>465.1</v>
      </c>
      <c r="Q1834" s="116">
        <v>452</v>
      </c>
      <c r="R1834">
        <v>660042</v>
      </c>
    </row>
    <row r="1835" spans="1:18" x14ac:dyDescent="0.25">
      <c r="A1835" s="170">
        <v>44708</v>
      </c>
      <c r="B1835" s="116">
        <v>17.422107775739601</v>
      </c>
      <c r="C1835" s="116">
        <v>16.7854089279353</v>
      </c>
      <c r="D1835" s="116">
        <v>16.631777613912899</v>
      </c>
      <c r="E1835" s="116">
        <v>17.144937879307399</v>
      </c>
      <c r="F1835" s="116">
        <v>1059.8</v>
      </c>
      <c r="G1835">
        <v>3789</v>
      </c>
      <c r="H1835" s="116"/>
      <c r="I1835" s="116"/>
      <c r="L1835" s="170">
        <v>44707</v>
      </c>
      <c r="M1835" s="116">
        <v>457.75</v>
      </c>
      <c r="N1835" s="116">
        <v>462.2</v>
      </c>
      <c r="O1835" s="116">
        <v>440.65</v>
      </c>
      <c r="P1835" s="116">
        <v>452.5</v>
      </c>
      <c r="Q1835" s="116">
        <v>457.75</v>
      </c>
      <c r="R1835">
        <v>514296</v>
      </c>
    </row>
    <row r="1836" spans="1:18" x14ac:dyDescent="0.25">
      <c r="A1836" s="170">
        <v>44711</v>
      </c>
      <c r="B1836" s="116">
        <v>17.624045843140301</v>
      </c>
      <c r="C1836" s="116">
        <v>17.1378106533992</v>
      </c>
      <c r="D1836" s="116">
        <v>16.646823979719201</v>
      </c>
      <c r="E1836" s="116">
        <v>16.962797661652001</v>
      </c>
      <c r="F1836" s="116">
        <v>1082.05</v>
      </c>
      <c r="G1836">
        <v>8456</v>
      </c>
      <c r="H1836" s="116"/>
      <c r="I1836" s="116"/>
      <c r="L1836" s="170">
        <v>44708</v>
      </c>
      <c r="M1836" s="116">
        <v>467.85</v>
      </c>
      <c r="N1836" s="116">
        <v>469.9</v>
      </c>
      <c r="O1836" s="116">
        <v>458.45</v>
      </c>
      <c r="P1836" s="116">
        <v>463.8</v>
      </c>
      <c r="Q1836" s="116">
        <v>467.85</v>
      </c>
      <c r="R1836">
        <v>347747</v>
      </c>
    </row>
    <row r="1837" spans="1:18" x14ac:dyDescent="0.25">
      <c r="A1837" s="170">
        <v>44712</v>
      </c>
      <c r="B1837" s="116">
        <v>17.994661590369599</v>
      </c>
      <c r="C1837" s="116">
        <v>17.994661590369599</v>
      </c>
      <c r="D1837" s="116">
        <v>17.263724977778399</v>
      </c>
      <c r="E1837" s="116">
        <v>17.669184940559202</v>
      </c>
      <c r="F1837" s="116">
        <v>1136.1500000000001</v>
      </c>
      <c r="G1837">
        <v>10593</v>
      </c>
      <c r="H1837" s="116"/>
      <c r="I1837" s="116"/>
      <c r="L1837" s="170">
        <v>44711</v>
      </c>
      <c r="M1837" s="116">
        <v>479.05</v>
      </c>
      <c r="N1837" s="116">
        <v>483.6</v>
      </c>
      <c r="O1837" s="116">
        <v>468.55</v>
      </c>
      <c r="P1837" s="116">
        <v>473</v>
      </c>
      <c r="Q1837" s="116">
        <v>479.05</v>
      </c>
      <c r="R1837">
        <v>347066</v>
      </c>
    </row>
    <row r="1838" spans="1:18" x14ac:dyDescent="0.25">
      <c r="A1838" s="170">
        <v>44713</v>
      </c>
      <c r="B1838" s="116">
        <v>18.8942758827896</v>
      </c>
      <c r="C1838" s="116">
        <v>18.8942758827896</v>
      </c>
      <c r="D1838" s="116">
        <v>18.4515959624879</v>
      </c>
      <c r="E1838" s="116">
        <v>18.4515959624879</v>
      </c>
      <c r="F1838" s="116">
        <v>1192.95</v>
      </c>
      <c r="G1838">
        <v>2670</v>
      </c>
      <c r="H1838" s="116"/>
      <c r="I1838" s="116"/>
      <c r="L1838" s="170">
        <v>44712</v>
      </c>
      <c r="M1838" s="116">
        <v>483.7</v>
      </c>
      <c r="N1838" s="116">
        <v>489.2</v>
      </c>
      <c r="O1838" s="116">
        <v>465</v>
      </c>
      <c r="P1838" s="116">
        <v>465</v>
      </c>
      <c r="Q1838" s="116">
        <v>483.7</v>
      </c>
      <c r="R1838">
        <v>591456</v>
      </c>
    </row>
    <row r="1839" spans="1:18" x14ac:dyDescent="0.25">
      <c r="A1839" s="170">
        <v>44714</v>
      </c>
      <c r="B1839" s="116">
        <v>19.8382373586388</v>
      </c>
      <c r="C1839" s="116">
        <v>19.8382373586388</v>
      </c>
      <c r="D1839" s="116">
        <v>19.515136450797801</v>
      </c>
      <c r="E1839" s="116">
        <v>19.8382373586388</v>
      </c>
      <c r="F1839" s="116">
        <v>1252.55</v>
      </c>
      <c r="G1839">
        <v>6654</v>
      </c>
      <c r="H1839" s="116"/>
      <c r="I1839" s="116"/>
      <c r="L1839" s="170">
        <v>44713</v>
      </c>
      <c r="M1839" s="116">
        <v>479</v>
      </c>
      <c r="N1839" s="116">
        <v>498</v>
      </c>
      <c r="O1839" s="116">
        <v>475.55</v>
      </c>
      <c r="P1839" s="116">
        <v>488.55</v>
      </c>
      <c r="Q1839" s="116">
        <v>479</v>
      </c>
      <c r="R1839">
        <v>717593</v>
      </c>
    </row>
    <row r="1840" spans="1:18" x14ac:dyDescent="0.25">
      <c r="A1840" s="170">
        <v>44715</v>
      </c>
      <c r="B1840" s="116">
        <v>20.829713673876402</v>
      </c>
      <c r="C1840" s="116">
        <v>20.829713673876402</v>
      </c>
      <c r="D1840" s="116">
        <v>20.589763734965</v>
      </c>
      <c r="E1840" s="116">
        <v>20.8273379319069</v>
      </c>
      <c r="F1840" s="116">
        <v>1315.15</v>
      </c>
      <c r="G1840">
        <v>5593</v>
      </c>
      <c r="H1840" s="116"/>
      <c r="I1840" s="116"/>
      <c r="L1840" s="170">
        <v>44714</v>
      </c>
      <c r="M1840" s="116">
        <v>482.35</v>
      </c>
      <c r="N1840" s="116">
        <v>485</v>
      </c>
      <c r="O1840" s="116">
        <v>471.25</v>
      </c>
      <c r="P1840" s="116">
        <v>481</v>
      </c>
      <c r="Q1840" s="116">
        <v>482.35</v>
      </c>
      <c r="R1840">
        <v>392368</v>
      </c>
    </row>
    <row r="1841" spans="1:18" x14ac:dyDescent="0.25">
      <c r="A1841" s="170">
        <v>44718</v>
      </c>
      <c r="B1841" s="116">
        <v>21.698443320693901</v>
      </c>
      <c r="C1841" s="116">
        <v>20.880396169223999</v>
      </c>
      <c r="D1841" s="116">
        <v>19.7978497451587</v>
      </c>
      <c r="E1841" s="116">
        <v>21.1433116138397</v>
      </c>
      <c r="F1841" s="116">
        <v>1318.35</v>
      </c>
      <c r="G1841">
        <v>20345</v>
      </c>
      <c r="H1841" s="116"/>
      <c r="I1841" s="116"/>
      <c r="L1841" s="170">
        <v>44715</v>
      </c>
      <c r="M1841" s="116">
        <v>469.45</v>
      </c>
      <c r="N1841" s="116">
        <v>489.3</v>
      </c>
      <c r="O1841" s="116">
        <v>466.4</v>
      </c>
      <c r="P1841" s="116">
        <v>485</v>
      </c>
      <c r="Q1841" s="116">
        <v>469.45</v>
      </c>
      <c r="R1841">
        <v>432384</v>
      </c>
    </row>
    <row r="1842" spans="1:18" x14ac:dyDescent="0.25">
      <c r="A1842" s="170">
        <v>44719</v>
      </c>
      <c r="B1842" s="116">
        <v>21.2866480459946</v>
      </c>
      <c r="C1842" s="116">
        <v>20.9500846003269</v>
      </c>
      <c r="D1842" s="116">
        <v>20.627775606475701</v>
      </c>
      <c r="E1842" s="116">
        <v>21.0649121288488</v>
      </c>
      <c r="F1842" s="116">
        <v>1322.75</v>
      </c>
      <c r="G1842">
        <v>4954</v>
      </c>
      <c r="H1842" s="116"/>
      <c r="I1842" s="116"/>
      <c r="L1842" s="170">
        <v>44718</v>
      </c>
      <c r="M1842" s="116">
        <v>472.35</v>
      </c>
      <c r="N1842" s="116">
        <v>475.7</v>
      </c>
      <c r="O1842" s="116">
        <v>455.9</v>
      </c>
      <c r="P1842" s="116">
        <v>467</v>
      </c>
      <c r="Q1842" s="116">
        <v>472.35</v>
      </c>
      <c r="R1842">
        <v>544437</v>
      </c>
    </row>
    <row r="1843" spans="1:18" x14ac:dyDescent="0.25">
      <c r="A1843" s="170">
        <v>44720</v>
      </c>
      <c r="B1843" s="116">
        <v>21.2217110988305</v>
      </c>
      <c r="C1843" s="116">
        <v>20.493150228208702</v>
      </c>
      <c r="D1843" s="116">
        <v>20.2737900530323</v>
      </c>
      <c r="E1843" s="116">
        <v>21.2217110988305</v>
      </c>
      <c r="F1843" s="116">
        <v>1293.9000000000001</v>
      </c>
      <c r="G1843">
        <v>5074</v>
      </c>
      <c r="H1843" s="116"/>
      <c r="I1843" s="116"/>
      <c r="L1843" s="170">
        <v>44719</v>
      </c>
      <c r="M1843" s="116">
        <v>465.15</v>
      </c>
      <c r="N1843" s="116">
        <v>471.3</v>
      </c>
      <c r="O1843" s="116">
        <v>460.25</v>
      </c>
      <c r="P1843" s="116">
        <v>469</v>
      </c>
      <c r="Q1843" s="116">
        <v>465.15</v>
      </c>
      <c r="R1843">
        <v>317829</v>
      </c>
    </row>
    <row r="1844" spans="1:18" x14ac:dyDescent="0.25">
      <c r="A1844" s="170">
        <v>44721</v>
      </c>
      <c r="B1844" s="116">
        <v>20.699047865558299</v>
      </c>
      <c r="C1844" s="116">
        <v>20.371195473778499</v>
      </c>
      <c r="D1844" s="116">
        <v>20.0512622218967</v>
      </c>
      <c r="E1844" s="116">
        <v>20.589763734965</v>
      </c>
      <c r="F1844" s="116">
        <v>1286.2</v>
      </c>
      <c r="G1844">
        <v>5792</v>
      </c>
      <c r="H1844" s="116"/>
      <c r="I1844" s="116"/>
      <c r="L1844" s="170">
        <v>44720</v>
      </c>
      <c r="M1844" s="116">
        <v>457.85</v>
      </c>
      <c r="N1844" s="116">
        <v>474.7</v>
      </c>
      <c r="O1844" s="116">
        <v>455.05</v>
      </c>
      <c r="P1844" s="116">
        <v>465.15</v>
      </c>
      <c r="Q1844" s="116">
        <v>457.85</v>
      </c>
      <c r="R1844">
        <v>368733</v>
      </c>
    </row>
    <row r="1845" spans="1:18" x14ac:dyDescent="0.25">
      <c r="A1845" s="170">
        <v>44722</v>
      </c>
      <c r="B1845" s="116">
        <v>20.716469973334</v>
      </c>
      <c r="C1845" s="116">
        <v>20.311801924543001</v>
      </c>
      <c r="D1845" s="116">
        <v>20.0512622218967</v>
      </c>
      <c r="E1845" s="116">
        <v>20.379114613676499</v>
      </c>
      <c r="F1845" s="116">
        <v>1282.45</v>
      </c>
      <c r="G1845">
        <v>5922</v>
      </c>
      <c r="H1845" s="116"/>
      <c r="I1845" s="116"/>
      <c r="L1845" s="170">
        <v>44721</v>
      </c>
      <c r="M1845" s="116">
        <v>457.7</v>
      </c>
      <c r="N1845" s="116">
        <v>465</v>
      </c>
      <c r="O1845" s="116">
        <v>452</v>
      </c>
      <c r="P1845" s="116">
        <v>457.95</v>
      </c>
      <c r="Q1845" s="116">
        <v>457.7</v>
      </c>
      <c r="R1845">
        <v>376213</v>
      </c>
    </row>
    <row r="1846" spans="1:18" x14ac:dyDescent="0.25">
      <c r="A1846" s="170">
        <v>44725</v>
      </c>
      <c r="B1846" s="116">
        <v>20.214396503796799</v>
      </c>
      <c r="C1846" s="116">
        <v>19.4604943855012</v>
      </c>
      <c r="D1846" s="116">
        <v>19.306863071478698</v>
      </c>
      <c r="E1846" s="116">
        <v>20.212812675817201</v>
      </c>
      <c r="F1846" s="116">
        <v>1228.7</v>
      </c>
      <c r="G1846">
        <v>11284</v>
      </c>
      <c r="H1846" s="116"/>
      <c r="I1846" s="116"/>
      <c r="L1846" s="170">
        <v>44722</v>
      </c>
      <c r="M1846" s="116">
        <v>454.15</v>
      </c>
      <c r="N1846" s="116">
        <v>458.15</v>
      </c>
      <c r="O1846" s="116">
        <v>451</v>
      </c>
      <c r="P1846" s="116">
        <v>457.5</v>
      </c>
      <c r="Q1846" s="116">
        <v>454.15</v>
      </c>
      <c r="R1846">
        <v>257752</v>
      </c>
    </row>
    <row r="1847" spans="1:18" x14ac:dyDescent="0.25">
      <c r="A1847" s="170">
        <v>44726</v>
      </c>
      <c r="B1847" s="116">
        <v>19.782803379352401</v>
      </c>
      <c r="C1847" s="116">
        <v>19.71073920628</v>
      </c>
      <c r="D1847" s="116">
        <v>19.164318553313599</v>
      </c>
      <c r="E1847" s="116">
        <v>19.6378831192178</v>
      </c>
      <c r="F1847" s="116">
        <v>1244.5</v>
      </c>
      <c r="G1847">
        <v>5980</v>
      </c>
      <c r="H1847" s="116"/>
      <c r="I1847" s="116"/>
      <c r="L1847" s="170">
        <v>44725</v>
      </c>
      <c r="M1847" s="116">
        <v>439.1</v>
      </c>
      <c r="N1847" s="116">
        <v>448.95</v>
      </c>
      <c r="O1847" s="116">
        <v>425.05</v>
      </c>
      <c r="P1847" s="116">
        <v>447.25</v>
      </c>
      <c r="Q1847" s="116">
        <v>439.1</v>
      </c>
      <c r="R1847">
        <v>636490</v>
      </c>
    </row>
    <row r="1848" spans="1:18" x14ac:dyDescent="0.25">
      <c r="A1848" s="170">
        <v>44727</v>
      </c>
      <c r="B1848" s="116">
        <v>20.114615341081201</v>
      </c>
      <c r="C1848" s="116">
        <v>19.718658346178</v>
      </c>
      <c r="D1848" s="116">
        <v>19.008311497321799</v>
      </c>
      <c r="E1848" s="116">
        <v>20.067100501692799</v>
      </c>
      <c r="F1848" s="116">
        <v>1245</v>
      </c>
      <c r="G1848">
        <v>13221</v>
      </c>
      <c r="H1848" s="116"/>
      <c r="I1848" s="116"/>
      <c r="L1848" s="170">
        <v>44726</v>
      </c>
      <c r="M1848" s="116">
        <v>443.2</v>
      </c>
      <c r="N1848" s="116">
        <v>448.6</v>
      </c>
      <c r="O1848" s="116">
        <v>435.75</v>
      </c>
      <c r="P1848" s="116">
        <v>439</v>
      </c>
      <c r="Q1848" s="116">
        <v>443.2</v>
      </c>
      <c r="R1848">
        <v>304810</v>
      </c>
    </row>
    <row r="1849" spans="1:18" x14ac:dyDescent="0.25">
      <c r="A1849" s="170">
        <v>44728</v>
      </c>
      <c r="B1849" s="116">
        <v>20.272206225052699</v>
      </c>
      <c r="C1849" s="116">
        <v>18.732725428869099</v>
      </c>
      <c r="D1849" s="116">
        <v>18.732725428869099</v>
      </c>
      <c r="E1849" s="116">
        <v>20.098777061285102</v>
      </c>
      <c r="F1849" s="116">
        <v>1182.75</v>
      </c>
      <c r="G1849">
        <v>13963</v>
      </c>
      <c r="H1849" s="116"/>
      <c r="I1849" s="116"/>
      <c r="L1849" s="170">
        <v>44727</v>
      </c>
      <c r="M1849" s="116">
        <v>446.5</v>
      </c>
      <c r="N1849" s="116">
        <v>450.25</v>
      </c>
      <c r="O1849" s="116">
        <v>441.6</v>
      </c>
      <c r="P1849" s="116">
        <v>445.45</v>
      </c>
      <c r="Q1849" s="116">
        <v>446.5</v>
      </c>
      <c r="R1849">
        <v>329072</v>
      </c>
    </row>
    <row r="1850" spans="1:18" x14ac:dyDescent="0.25">
      <c r="A1850" s="170">
        <v>44729</v>
      </c>
      <c r="B1850" s="116">
        <v>19.667975850830398</v>
      </c>
      <c r="C1850" s="116">
        <v>18.084147871217699</v>
      </c>
      <c r="D1850" s="116">
        <v>17.821232426601998</v>
      </c>
      <c r="E1850" s="116">
        <v>19.069288874536799</v>
      </c>
      <c r="F1850" s="116">
        <v>285.45</v>
      </c>
      <c r="G1850">
        <v>37104</v>
      </c>
      <c r="H1850" s="116"/>
      <c r="I1850" s="116"/>
      <c r="L1850" s="170">
        <v>44728</v>
      </c>
      <c r="M1850" s="116">
        <v>424.3</v>
      </c>
      <c r="N1850" s="116">
        <v>456.5</v>
      </c>
      <c r="O1850" s="116">
        <v>421.4</v>
      </c>
      <c r="P1850" s="116">
        <v>454</v>
      </c>
      <c r="Q1850" s="116">
        <v>424.3</v>
      </c>
      <c r="R1850">
        <v>544199</v>
      </c>
    </row>
    <row r="1851" spans="1:18" x14ac:dyDescent="0.25">
      <c r="A1851" s="170">
        <v>44732</v>
      </c>
      <c r="B1851" s="116">
        <v>18.929912012330899</v>
      </c>
      <c r="C1851" s="116">
        <v>17.184533578797701</v>
      </c>
      <c r="D1851" s="116">
        <v>17.181365922838499</v>
      </c>
      <c r="E1851" s="116">
        <v>18.369236907548</v>
      </c>
      <c r="F1851" s="116">
        <v>271.25</v>
      </c>
      <c r="G1851">
        <v>11536</v>
      </c>
      <c r="H1851" s="116"/>
      <c r="I1851" s="116"/>
      <c r="L1851" s="170">
        <v>44729</v>
      </c>
      <c r="M1851" s="116">
        <v>418.35</v>
      </c>
      <c r="N1851" s="116">
        <v>430.6</v>
      </c>
      <c r="O1851" s="116">
        <v>414.05</v>
      </c>
      <c r="P1851" s="116">
        <v>422.5</v>
      </c>
      <c r="Q1851" s="116">
        <v>418.35</v>
      </c>
      <c r="R1851">
        <v>522065</v>
      </c>
    </row>
    <row r="1852" spans="1:18" x14ac:dyDescent="0.25">
      <c r="A1852" s="170">
        <v>44733</v>
      </c>
      <c r="B1852" s="116">
        <v>17.2320484181861</v>
      </c>
      <c r="C1852" s="116">
        <v>16.817085487527599</v>
      </c>
      <c r="D1852" s="116">
        <v>16.345104749602999</v>
      </c>
      <c r="E1852" s="116">
        <v>17.1053421798171</v>
      </c>
      <c r="F1852" s="116">
        <v>265.45</v>
      </c>
      <c r="G1852">
        <v>11670</v>
      </c>
      <c r="H1852" s="116"/>
      <c r="I1852" s="116"/>
      <c r="L1852" s="170">
        <v>44732</v>
      </c>
      <c r="M1852" s="116">
        <v>415.45</v>
      </c>
      <c r="N1852" s="116">
        <v>428.75</v>
      </c>
      <c r="O1852" s="116">
        <v>406.65</v>
      </c>
      <c r="P1852" s="116">
        <v>421</v>
      </c>
      <c r="Q1852" s="116">
        <v>415.45</v>
      </c>
      <c r="R1852">
        <v>550787</v>
      </c>
    </row>
    <row r="1853" spans="1:18" x14ac:dyDescent="0.25">
      <c r="A1853" s="170">
        <v>44734</v>
      </c>
      <c r="B1853" s="116">
        <v>17.656514316722301</v>
      </c>
      <c r="C1853" s="116">
        <v>17.656514316722301</v>
      </c>
      <c r="D1853" s="116">
        <v>16.478146299890501</v>
      </c>
      <c r="E1853" s="116">
        <v>17.168695299001602</v>
      </c>
      <c r="F1853" s="116">
        <v>278.7</v>
      </c>
      <c r="G1853">
        <v>7876</v>
      </c>
      <c r="H1853" s="116"/>
      <c r="I1853" s="116"/>
      <c r="L1853" s="170">
        <v>44733</v>
      </c>
      <c r="M1853" s="116">
        <v>420.95</v>
      </c>
      <c r="N1853" s="116">
        <v>425.9</v>
      </c>
      <c r="O1853" s="116">
        <v>417</v>
      </c>
      <c r="P1853" s="116">
        <v>417</v>
      </c>
      <c r="Q1853" s="116">
        <v>420.95</v>
      </c>
      <c r="R1853">
        <v>895951</v>
      </c>
    </row>
    <row r="1854" spans="1:18" x14ac:dyDescent="0.25">
      <c r="A1854" s="170">
        <v>44735</v>
      </c>
      <c r="B1854" s="116">
        <v>18.537122673387</v>
      </c>
      <c r="C1854" s="116">
        <v>18.5339550174278</v>
      </c>
      <c r="D1854" s="116">
        <v>18.2456983251382</v>
      </c>
      <c r="E1854" s="116">
        <v>18.296380820485901</v>
      </c>
      <c r="F1854" s="116">
        <v>292.55</v>
      </c>
      <c r="G1854">
        <v>28956</v>
      </c>
      <c r="H1854" s="116"/>
      <c r="I1854" s="116"/>
      <c r="L1854" s="170">
        <v>44734</v>
      </c>
      <c r="M1854" s="116">
        <v>421.5</v>
      </c>
      <c r="N1854" s="116">
        <v>423.3</v>
      </c>
      <c r="O1854" s="116">
        <v>408</v>
      </c>
      <c r="P1854" s="116">
        <v>421.5</v>
      </c>
      <c r="Q1854" s="116">
        <v>421.5</v>
      </c>
      <c r="R1854">
        <v>623107</v>
      </c>
    </row>
    <row r="1855" spans="1:18" x14ac:dyDescent="0.25">
      <c r="A1855" s="170">
        <v>44736</v>
      </c>
      <c r="B1855" s="116">
        <v>18.872894205064899</v>
      </c>
      <c r="C1855" s="116">
        <v>18.2171894215052</v>
      </c>
      <c r="D1855" s="116">
        <v>17.608999477333899</v>
      </c>
      <c r="E1855" s="116">
        <v>18.872894205064899</v>
      </c>
      <c r="F1855" s="116">
        <v>287.55</v>
      </c>
      <c r="G1855">
        <v>18952</v>
      </c>
      <c r="H1855" s="116"/>
      <c r="I1855" s="116"/>
      <c r="L1855" s="170">
        <v>44735</v>
      </c>
      <c r="M1855" s="116">
        <v>427.45</v>
      </c>
      <c r="N1855" s="116">
        <v>428.8</v>
      </c>
      <c r="O1855" s="116">
        <v>413.5</v>
      </c>
      <c r="P1855" s="116">
        <v>421</v>
      </c>
      <c r="Q1855" s="116">
        <v>427.45</v>
      </c>
      <c r="R1855">
        <v>322298</v>
      </c>
    </row>
    <row r="1856" spans="1:18" x14ac:dyDescent="0.25">
      <c r="A1856" s="170">
        <v>44739</v>
      </c>
      <c r="B1856" s="116">
        <v>19.126306681802902</v>
      </c>
      <c r="C1856" s="116">
        <v>18.385075187344199</v>
      </c>
      <c r="D1856" s="116">
        <v>17.628005413089301</v>
      </c>
      <c r="E1856" s="116">
        <v>18.686002503470601</v>
      </c>
      <c r="F1856" s="116">
        <v>290.2</v>
      </c>
      <c r="G1856">
        <v>19901</v>
      </c>
      <c r="H1856" s="116"/>
      <c r="I1856" s="116"/>
      <c r="L1856" s="170">
        <v>44736</v>
      </c>
      <c r="M1856" s="116">
        <v>433.95</v>
      </c>
      <c r="N1856" s="116">
        <v>438.55</v>
      </c>
      <c r="O1856" s="116">
        <v>429.5</v>
      </c>
      <c r="P1856" s="116">
        <v>430</v>
      </c>
      <c r="Q1856" s="116">
        <v>433.95</v>
      </c>
      <c r="R1856">
        <v>364663</v>
      </c>
    </row>
    <row r="1857" spans="1:18" x14ac:dyDescent="0.25">
      <c r="A1857" s="170">
        <v>44740</v>
      </c>
      <c r="B1857" s="116">
        <v>17.928932729215699</v>
      </c>
      <c r="C1857" s="116">
        <v>17.4664549591688</v>
      </c>
      <c r="D1857" s="116">
        <v>17.4664549591688</v>
      </c>
      <c r="E1857" s="116">
        <v>17.612167133293202</v>
      </c>
      <c r="F1857" s="116">
        <v>275.7</v>
      </c>
      <c r="G1857">
        <v>9031</v>
      </c>
      <c r="H1857" s="116"/>
      <c r="I1857" s="116"/>
      <c r="L1857" s="170">
        <v>44739</v>
      </c>
      <c r="M1857" s="116">
        <v>442.35</v>
      </c>
      <c r="N1857" s="116">
        <v>445.15</v>
      </c>
      <c r="O1857" s="116">
        <v>435.4</v>
      </c>
      <c r="P1857" s="116">
        <v>436.1</v>
      </c>
      <c r="Q1857" s="116">
        <v>442.35</v>
      </c>
      <c r="R1857">
        <v>544837</v>
      </c>
    </row>
    <row r="1858" spans="1:18" x14ac:dyDescent="0.25">
      <c r="A1858" s="170">
        <v>44741</v>
      </c>
      <c r="B1858" s="116">
        <v>17.390431216147402</v>
      </c>
      <c r="C1858" s="116">
        <v>16.807582519649898</v>
      </c>
      <c r="D1858" s="116">
        <v>16.595349570381799</v>
      </c>
      <c r="E1858" s="116">
        <v>16.595349570381799</v>
      </c>
      <c r="F1858" s="116">
        <v>265.3</v>
      </c>
      <c r="G1858">
        <v>15723</v>
      </c>
      <c r="H1858" s="116"/>
      <c r="I1858" s="116"/>
      <c r="L1858" s="170">
        <v>44740</v>
      </c>
      <c r="M1858" s="116">
        <v>432.35</v>
      </c>
      <c r="N1858" s="116">
        <v>443.95</v>
      </c>
      <c r="O1858" s="116">
        <v>430.1</v>
      </c>
      <c r="P1858" s="116">
        <v>443.4</v>
      </c>
      <c r="Q1858" s="116">
        <v>432.35</v>
      </c>
      <c r="R1858">
        <v>316930</v>
      </c>
    </row>
    <row r="1859" spans="1:18" x14ac:dyDescent="0.25">
      <c r="A1859" s="170">
        <v>44742</v>
      </c>
      <c r="B1859" s="116">
        <v>17.317575129085199</v>
      </c>
      <c r="C1859" s="116">
        <v>17.083168588102499</v>
      </c>
      <c r="D1859" s="116">
        <v>16.478146299890501</v>
      </c>
      <c r="E1859" s="116">
        <v>16.478146299890501</v>
      </c>
      <c r="F1859" s="116">
        <v>269.64999999999998</v>
      </c>
      <c r="G1859">
        <v>11974</v>
      </c>
      <c r="H1859" s="116"/>
      <c r="I1859" s="116"/>
      <c r="L1859" s="170">
        <v>44741</v>
      </c>
      <c r="M1859" s="116">
        <v>432.35</v>
      </c>
      <c r="N1859" s="116">
        <v>436</v>
      </c>
      <c r="O1859" s="116">
        <v>421</v>
      </c>
      <c r="P1859" s="116">
        <v>427</v>
      </c>
      <c r="Q1859" s="116">
        <v>432.35</v>
      </c>
      <c r="R1859">
        <v>326493</v>
      </c>
    </row>
    <row r="1860" spans="1:18" x14ac:dyDescent="0.25">
      <c r="A1860" s="170">
        <v>44743</v>
      </c>
      <c r="B1860" s="116">
        <v>17.2320484181861</v>
      </c>
      <c r="C1860" s="116">
        <v>16.2310691350709</v>
      </c>
      <c r="D1860" s="116">
        <v>16.2310691350709</v>
      </c>
      <c r="E1860" s="116">
        <v>17.048324372551001</v>
      </c>
      <c r="F1860" s="116">
        <v>256.2</v>
      </c>
      <c r="G1860">
        <v>25834</v>
      </c>
      <c r="H1860" s="116"/>
      <c r="I1860" s="116"/>
      <c r="L1860" s="170">
        <v>44742</v>
      </c>
      <c r="M1860" s="116">
        <v>426.35</v>
      </c>
      <c r="N1860" s="116">
        <v>440.4</v>
      </c>
      <c r="O1860" s="116">
        <v>422.85</v>
      </c>
      <c r="P1860" s="116">
        <v>431</v>
      </c>
      <c r="Q1860" s="116">
        <v>426.35</v>
      </c>
      <c r="R1860">
        <v>644315</v>
      </c>
    </row>
    <row r="1861" spans="1:18" x14ac:dyDescent="0.25">
      <c r="A1861" s="170">
        <v>44746</v>
      </c>
      <c r="B1861" s="116">
        <v>16.959630005692699</v>
      </c>
      <c r="C1861" s="116">
        <v>15.797100268656999</v>
      </c>
      <c r="D1861" s="116">
        <v>15.5595260717151</v>
      </c>
      <c r="E1861" s="116">
        <v>16.2152308552748</v>
      </c>
      <c r="F1861" s="116">
        <v>249.35</v>
      </c>
      <c r="G1861">
        <v>15256</v>
      </c>
      <c r="H1861" s="116"/>
      <c r="I1861" s="116"/>
      <c r="L1861" s="170">
        <v>44743</v>
      </c>
      <c r="M1861" s="116">
        <v>439.7</v>
      </c>
      <c r="N1861" s="116">
        <v>443.4</v>
      </c>
      <c r="O1861" s="116">
        <v>424.7</v>
      </c>
      <c r="P1861" s="116">
        <v>427.85</v>
      </c>
      <c r="Q1861" s="116">
        <v>439.7</v>
      </c>
      <c r="R1861">
        <v>663285</v>
      </c>
    </row>
    <row r="1862" spans="1:18" x14ac:dyDescent="0.25">
      <c r="A1862" s="170">
        <v>44747</v>
      </c>
      <c r="B1862" s="116">
        <v>16.310260534051501</v>
      </c>
      <c r="C1862" s="116">
        <v>15.4328198333461</v>
      </c>
      <c r="D1862" s="116">
        <v>15.0083539348099</v>
      </c>
      <c r="E1862" s="116">
        <v>15.9048005712707</v>
      </c>
      <c r="F1862" s="116">
        <v>243.6</v>
      </c>
      <c r="G1862">
        <v>25726</v>
      </c>
      <c r="H1862" s="116"/>
      <c r="I1862" s="116"/>
      <c r="L1862" s="170">
        <v>44746</v>
      </c>
      <c r="M1862" s="116">
        <v>441.85</v>
      </c>
      <c r="N1862" s="116">
        <v>444</v>
      </c>
      <c r="O1862" s="116">
        <v>436.9</v>
      </c>
      <c r="P1862" s="116">
        <v>442.8</v>
      </c>
      <c r="Q1862" s="116">
        <v>441.85</v>
      </c>
      <c r="R1862">
        <v>313893</v>
      </c>
    </row>
    <row r="1863" spans="1:18" x14ac:dyDescent="0.25">
      <c r="A1863" s="170">
        <v>44748</v>
      </c>
      <c r="B1863" s="116">
        <v>15.8382797961269</v>
      </c>
      <c r="C1863" s="116">
        <v>15.477167016775301</v>
      </c>
      <c r="D1863" s="116">
        <v>15.2459281317518</v>
      </c>
      <c r="E1863" s="116">
        <v>15.2459281317518</v>
      </c>
      <c r="F1863" s="116">
        <v>244.3</v>
      </c>
      <c r="G1863">
        <v>8295</v>
      </c>
      <c r="H1863" s="116"/>
      <c r="I1863" s="116"/>
      <c r="L1863" s="170">
        <v>44747</v>
      </c>
      <c r="M1863" s="116">
        <v>447.35</v>
      </c>
      <c r="N1863" s="116">
        <v>450.75</v>
      </c>
      <c r="O1863" s="116">
        <v>443.2</v>
      </c>
      <c r="P1863" s="116">
        <v>445.1</v>
      </c>
      <c r="Q1863" s="116">
        <v>447.35</v>
      </c>
      <c r="R1863">
        <v>559850</v>
      </c>
    </row>
    <row r="1864" spans="1:18" x14ac:dyDescent="0.25">
      <c r="A1864" s="170">
        <v>44749</v>
      </c>
      <c r="B1864" s="116">
        <v>16.250075070826199</v>
      </c>
      <c r="C1864" s="116">
        <v>16.034674465598901</v>
      </c>
      <c r="D1864" s="116">
        <v>15.470831704856799</v>
      </c>
      <c r="E1864" s="116">
        <v>15.8351121401677</v>
      </c>
      <c r="F1864" s="116">
        <v>253.1</v>
      </c>
      <c r="G1864">
        <v>22793</v>
      </c>
      <c r="H1864" s="116"/>
      <c r="I1864" s="116"/>
      <c r="L1864" s="170">
        <v>44748</v>
      </c>
      <c r="M1864" s="116">
        <v>450.2</v>
      </c>
      <c r="N1864" s="116">
        <v>452.35</v>
      </c>
      <c r="O1864" s="116">
        <v>445.3</v>
      </c>
      <c r="P1864" s="116">
        <v>449.35</v>
      </c>
      <c r="Q1864" s="116">
        <v>450.2</v>
      </c>
      <c r="R1864">
        <v>245315</v>
      </c>
    </row>
    <row r="1865" spans="1:18" x14ac:dyDescent="0.25">
      <c r="A1865" s="170">
        <v>44750</v>
      </c>
      <c r="B1865" s="116">
        <v>16.836091423282902</v>
      </c>
      <c r="C1865" s="116">
        <v>16.6048525382595</v>
      </c>
      <c r="D1865" s="116">
        <v>16.034674465598901</v>
      </c>
      <c r="E1865" s="116">
        <v>16.278583974459298</v>
      </c>
      <c r="F1865" s="116">
        <v>262.10000000000002</v>
      </c>
      <c r="G1865">
        <v>18650</v>
      </c>
      <c r="H1865" s="116"/>
      <c r="I1865" s="116"/>
      <c r="L1865" s="170">
        <v>44749</v>
      </c>
      <c r="M1865" s="116">
        <v>463.45</v>
      </c>
      <c r="N1865" s="116">
        <v>466.4</v>
      </c>
      <c r="O1865" s="116">
        <v>452.25</v>
      </c>
      <c r="P1865" s="116">
        <v>454</v>
      </c>
      <c r="Q1865" s="116">
        <v>463.45</v>
      </c>
      <c r="R1865">
        <v>446199</v>
      </c>
    </row>
    <row r="1866" spans="1:18" x14ac:dyDescent="0.25">
      <c r="A1866" s="170">
        <v>44753</v>
      </c>
      <c r="B1866" s="116">
        <v>17.434778399576501</v>
      </c>
      <c r="C1866" s="116">
        <v>17.434778399576501</v>
      </c>
      <c r="D1866" s="116">
        <v>16.155045392049502</v>
      </c>
      <c r="E1866" s="116">
        <v>16.345104749602999</v>
      </c>
      <c r="F1866" s="116">
        <v>275.2</v>
      </c>
      <c r="G1866">
        <v>21901</v>
      </c>
      <c r="H1866" s="116"/>
      <c r="I1866" s="116"/>
      <c r="L1866" s="170">
        <v>44750</v>
      </c>
      <c r="M1866" s="116">
        <v>463.55</v>
      </c>
      <c r="N1866" s="116">
        <v>469.15</v>
      </c>
      <c r="O1866" s="116">
        <v>459</v>
      </c>
      <c r="P1866" s="116">
        <v>469.15</v>
      </c>
      <c r="Q1866" s="116">
        <v>463.55</v>
      </c>
      <c r="R1866">
        <v>208163</v>
      </c>
    </row>
    <row r="1867" spans="1:18" x14ac:dyDescent="0.25">
      <c r="A1867" s="170">
        <v>44754</v>
      </c>
      <c r="B1867" s="116">
        <v>18.2456983251382</v>
      </c>
      <c r="C1867" s="116">
        <v>17.7990588348875</v>
      </c>
      <c r="D1867" s="116">
        <v>17.4252754316989</v>
      </c>
      <c r="E1867" s="116">
        <v>17.738873371662201</v>
      </c>
      <c r="F1867" s="116">
        <v>280.95</v>
      </c>
      <c r="G1867">
        <v>24312</v>
      </c>
      <c r="H1867" s="116"/>
      <c r="I1867" s="116"/>
      <c r="L1867" s="170">
        <v>44753</v>
      </c>
      <c r="M1867" s="116">
        <v>471.2</v>
      </c>
      <c r="N1867" s="116">
        <v>473.25</v>
      </c>
      <c r="O1867" s="116">
        <v>459.9</v>
      </c>
      <c r="P1867" s="116">
        <v>461</v>
      </c>
      <c r="Q1867" s="116">
        <v>471.2</v>
      </c>
      <c r="R1867">
        <v>283875</v>
      </c>
    </row>
    <row r="1868" spans="1:18" x14ac:dyDescent="0.25">
      <c r="A1868" s="170">
        <v>44755</v>
      </c>
      <c r="B1868" s="116">
        <v>18.179177549994499</v>
      </c>
      <c r="C1868" s="116">
        <v>17.8148971146836</v>
      </c>
      <c r="D1868" s="116">
        <v>17.707196812069899</v>
      </c>
      <c r="E1868" s="116">
        <v>18.179177549994499</v>
      </c>
      <c r="F1868" s="116">
        <v>281.2</v>
      </c>
      <c r="G1868">
        <v>9430</v>
      </c>
      <c r="H1868" s="116"/>
      <c r="I1868" s="116"/>
      <c r="L1868" s="170">
        <v>44754</v>
      </c>
      <c r="M1868" s="116">
        <v>476.8</v>
      </c>
      <c r="N1868" s="116">
        <v>486</v>
      </c>
      <c r="O1868" s="116">
        <v>464.6</v>
      </c>
      <c r="P1868" s="116">
        <v>471</v>
      </c>
      <c r="Q1868" s="116">
        <v>476.8</v>
      </c>
      <c r="R1868">
        <v>688815</v>
      </c>
    </row>
    <row r="1869" spans="1:18" x14ac:dyDescent="0.25">
      <c r="A1869" s="170">
        <v>44756</v>
      </c>
      <c r="B1869" s="116">
        <v>17.9827828805225</v>
      </c>
      <c r="C1869" s="116">
        <v>17.263724977778399</v>
      </c>
      <c r="D1869" s="116">
        <v>17.140186395368598</v>
      </c>
      <c r="E1869" s="116">
        <v>17.9827828805225</v>
      </c>
      <c r="F1869" s="116">
        <v>272.5</v>
      </c>
      <c r="G1869">
        <v>12500</v>
      </c>
      <c r="H1869" s="116"/>
      <c r="I1869" s="116"/>
      <c r="L1869" s="170">
        <v>44755</v>
      </c>
      <c r="M1869" s="116">
        <v>480.85</v>
      </c>
      <c r="N1869" s="116">
        <v>483.8</v>
      </c>
      <c r="O1869" s="116">
        <v>476.05</v>
      </c>
      <c r="P1869" s="116">
        <v>477.3</v>
      </c>
      <c r="Q1869" s="116">
        <v>480.85</v>
      </c>
      <c r="R1869">
        <v>244263</v>
      </c>
    </row>
    <row r="1870" spans="1:18" x14ac:dyDescent="0.25">
      <c r="A1870" s="170">
        <v>44757</v>
      </c>
      <c r="B1870" s="116">
        <v>17.1053421798171</v>
      </c>
      <c r="C1870" s="116">
        <v>16.4939845796866</v>
      </c>
      <c r="D1870" s="116">
        <v>16.4116255247467</v>
      </c>
      <c r="E1870" s="116">
        <v>17.1053421798171</v>
      </c>
      <c r="F1870" s="116">
        <v>260.35000000000002</v>
      </c>
      <c r="G1870">
        <v>16151</v>
      </c>
      <c r="H1870" s="116"/>
      <c r="I1870" s="116"/>
      <c r="L1870" s="170">
        <v>44756</v>
      </c>
      <c r="M1870" s="116">
        <v>471.55</v>
      </c>
      <c r="N1870" s="116">
        <v>484.9</v>
      </c>
      <c r="O1870" s="116">
        <v>468.5</v>
      </c>
      <c r="P1870" s="116">
        <v>481.25</v>
      </c>
      <c r="Q1870" s="116">
        <v>471.55</v>
      </c>
      <c r="R1870">
        <v>357454</v>
      </c>
    </row>
    <row r="1871" spans="1:18" x14ac:dyDescent="0.25">
      <c r="A1871" s="170">
        <v>44760</v>
      </c>
      <c r="B1871" s="116">
        <v>17.317575129085199</v>
      </c>
      <c r="C1871" s="116">
        <v>17.317575129085199</v>
      </c>
      <c r="D1871" s="116">
        <v>16.791744239853799</v>
      </c>
      <c r="E1871" s="116">
        <v>16.978635941448101</v>
      </c>
      <c r="F1871" s="116">
        <v>273.35000000000002</v>
      </c>
      <c r="G1871">
        <v>23457</v>
      </c>
      <c r="H1871" s="116"/>
      <c r="I1871" s="116"/>
      <c r="L1871" s="170">
        <v>44757</v>
      </c>
      <c r="M1871" s="116">
        <v>481.5</v>
      </c>
      <c r="N1871" s="116">
        <v>485.75</v>
      </c>
      <c r="O1871" s="116">
        <v>470.1</v>
      </c>
      <c r="P1871" s="116">
        <v>475.3</v>
      </c>
      <c r="Q1871" s="116">
        <v>481.5</v>
      </c>
      <c r="R1871">
        <v>362040</v>
      </c>
    </row>
    <row r="1872" spans="1:18" x14ac:dyDescent="0.25">
      <c r="A1872" s="170">
        <v>44761</v>
      </c>
      <c r="B1872" s="116">
        <v>18.182345205953698</v>
      </c>
      <c r="C1872" s="116">
        <v>18.182345205953698</v>
      </c>
      <c r="D1872" s="116">
        <v>17.358754656555099</v>
      </c>
      <c r="E1872" s="116">
        <v>17.5488140141087</v>
      </c>
      <c r="F1872" s="116">
        <v>287</v>
      </c>
      <c r="G1872">
        <v>9068</v>
      </c>
      <c r="H1872" s="116"/>
      <c r="I1872" s="116"/>
      <c r="L1872" s="170">
        <v>44760</v>
      </c>
      <c r="M1872" s="116">
        <v>505.6</v>
      </c>
      <c r="N1872" s="116">
        <v>507</v>
      </c>
      <c r="O1872" s="116">
        <v>481.6</v>
      </c>
      <c r="P1872" s="116">
        <v>481.6</v>
      </c>
      <c r="Q1872" s="116">
        <v>505.6</v>
      </c>
      <c r="R1872">
        <v>1423194</v>
      </c>
    </row>
    <row r="1873" spans="1:18" x14ac:dyDescent="0.25">
      <c r="A1873" s="170">
        <v>44762</v>
      </c>
      <c r="B1873" s="116">
        <v>19.0914624662514</v>
      </c>
      <c r="C1873" s="116">
        <v>18.777864526288099</v>
      </c>
      <c r="D1873" s="116">
        <v>18.388242843303399</v>
      </c>
      <c r="E1873" s="116">
        <v>19.0914624662514</v>
      </c>
      <c r="F1873" s="116">
        <v>296.39999999999998</v>
      </c>
      <c r="G1873">
        <v>43133</v>
      </c>
      <c r="H1873" s="116"/>
      <c r="I1873" s="116"/>
      <c r="L1873" s="170">
        <v>44761</v>
      </c>
      <c r="M1873" s="116">
        <v>507.25</v>
      </c>
      <c r="N1873" s="116">
        <v>511.65</v>
      </c>
      <c r="O1873" s="116">
        <v>500.4</v>
      </c>
      <c r="P1873" s="116">
        <v>507.4</v>
      </c>
      <c r="Q1873" s="116">
        <v>507.25</v>
      </c>
      <c r="R1873">
        <v>682813</v>
      </c>
    </row>
    <row r="1874" spans="1:18" x14ac:dyDescent="0.25">
      <c r="A1874" s="170">
        <v>44763</v>
      </c>
      <c r="B1874" s="116">
        <v>19.639466947197398</v>
      </c>
      <c r="C1874" s="116">
        <v>19.211833392702001</v>
      </c>
      <c r="D1874" s="116">
        <v>18.4515959624879</v>
      </c>
      <c r="E1874" s="116">
        <v>19.126306681802902</v>
      </c>
      <c r="F1874" s="116">
        <v>303.25</v>
      </c>
      <c r="G1874">
        <v>23545</v>
      </c>
      <c r="H1874" s="116"/>
      <c r="I1874" s="116"/>
      <c r="L1874" s="170">
        <v>44762</v>
      </c>
      <c r="M1874" s="116">
        <v>520.85</v>
      </c>
      <c r="N1874" s="116">
        <v>526.1</v>
      </c>
      <c r="O1874" s="116">
        <v>510.15</v>
      </c>
      <c r="P1874" s="116">
        <v>513</v>
      </c>
      <c r="Q1874" s="116">
        <v>520.85</v>
      </c>
      <c r="R1874">
        <v>987910</v>
      </c>
    </row>
    <row r="1875" spans="1:18" x14ac:dyDescent="0.25">
      <c r="A1875" s="170">
        <v>44764</v>
      </c>
      <c r="B1875" s="116">
        <v>19.7028200663819</v>
      </c>
      <c r="C1875" s="116">
        <v>19.275186511886499</v>
      </c>
      <c r="D1875" s="116">
        <v>18.790535150124999</v>
      </c>
      <c r="E1875" s="116">
        <v>19.3828868145002</v>
      </c>
      <c r="F1875" s="116">
        <v>304.25</v>
      </c>
      <c r="G1875">
        <v>20206</v>
      </c>
      <c r="H1875" s="116"/>
      <c r="I1875" s="116"/>
      <c r="L1875" s="170">
        <v>44763</v>
      </c>
      <c r="M1875" s="116">
        <v>541.45000000000005</v>
      </c>
      <c r="N1875" s="116">
        <v>545</v>
      </c>
      <c r="O1875" s="116">
        <v>516.5</v>
      </c>
      <c r="P1875" s="116">
        <v>520.70000000000005</v>
      </c>
      <c r="Q1875" s="116">
        <v>541.45000000000005</v>
      </c>
      <c r="R1875">
        <v>914632</v>
      </c>
    </row>
    <row r="1876" spans="1:18" x14ac:dyDescent="0.25">
      <c r="A1876" s="170">
        <v>44767</v>
      </c>
      <c r="B1876" s="116">
        <v>19.386054470459399</v>
      </c>
      <c r="C1876" s="116">
        <v>18.366069251588801</v>
      </c>
      <c r="D1876" s="116">
        <v>18.312219100282</v>
      </c>
      <c r="E1876" s="116">
        <v>19.386054470459399</v>
      </c>
      <c r="F1876" s="116">
        <v>289.89999999999998</v>
      </c>
      <c r="G1876">
        <v>14450</v>
      </c>
      <c r="H1876" s="116"/>
      <c r="I1876" s="116"/>
      <c r="L1876" s="170">
        <v>44764</v>
      </c>
      <c r="M1876" s="116">
        <v>537.65</v>
      </c>
      <c r="N1876" s="116">
        <v>590</v>
      </c>
      <c r="O1876" s="116">
        <v>533.85</v>
      </c>
      <c r="P1876" s="116">
        <v>555</v>
      </c>
      <c r="Q1876" s="116">
        <v>537.65</v>
      </c>
      <c r="R1876">
        <v>7136953</v>
      </c>
    </row>
    <row r="1877" spans="1:18" x14ac:dyDescent="0.25">
      <c r="A1877" s="170">
        <v>44768</v>
      </c>
      <c r="B1877" s="116">
        <v>18.777864526288099</v>
      </c>
      <c r="C1877" s="116">
        <v>17.941603353052599</v>
      </c>
      <c r="D1877" s="116">
        <v>17.802226490846699</v>
      </c>
      <c r="E1877" s="116">
        <v>18.746187966695899</v>
      </c>
      <c r="F1877" s="116">
        <v>283.2</v>
      </c>
      <c r="G1877">
        <v>8166</v>
      </c>
      <c r="H1877" s="116"/>
      <c r="I1877" s="116"/>
      <c r="L1877" s="170">
        <v>44767</v>
      </c>
      <c r="M1877" s="116">
        <v>550.75</v>
      </c>
      <c r="N1877" s="116">
        <v>553.15</v>
      </c>
      <c r="O1877" s="116">
        <v>530.1</v>
      </c>
      <c r="P1877" s="116">
        <v>536</v>
      </c>
      <c r="Q1877" s="116">
        <v>550.75</v>
      </c>
      <c r="R1877">
        <v>1979426</v>
      </c>
    </row>
    <row r="1878" spans="1:18" x14ac:dyDescent="0.25">
      <c r="A1878" s="170">
        <v>44769</v>
      </c>
      <c r="B1878" s="116">
        <v>18.0493036556663</v>
      </c>
      <c r="C1878" s="116">
        <v>17.821232426601998</v>
      </c>
      <c r="D1878" s="116">
        <v>17.501299174720302</v>
      </c>
      <c r="E1878" s="116">
        <v>17.501299174720302</v>
      </c>
      <c r="F1878" s="116">
        <v>281.3</v>
      </c>
      <c r="G1878">
        <v>9145</v>
      </c>
      <c r="H1878" s="116"/>
      <c r="I1878" s="116"/>
      <c r="L1878" s="170">
        <v>44768</v>
      </c>
      <c r="M1878" s="116">
        <v>546.25</v>
      </c>
      <c r="N1878" s="116">
        <v>562.54999999999995</v>
      </c>
      <c r="O1878" s="116">
        <v>543.70000000000005</v>
      </c>
      <c r="P1878" s="116">
        <v>554.79999999999995</v>
      </c>
      <c r="Q1878" s="116">
        <v>546.25</v>
      </c>
      <c r="R1878">
        <v>1390850</v>
      </c>
    </row>
    <row r="1879" spans="1:18" x14ac:dyDescent="0.25">
      <c r="A1879" s="170">
        <v>44770</v>
      </c>
      <c r="B1879" s="116">
        <v>18.112656774850802</v>
      </c>
      <c r="C1879" s="116">
        <v>17.748376339539899</v>
      </c>
      <c r="D1879" s="116">
        <v>17.428443087658099</v>
      </c>
      <c r="E1879" s="116">
        <v>18.112656774850802</v>
      </c>
      <c r="F1879" s="116">
        <v>280.14999999999998</v>
      </c>
      <c r="G1879">
        <v>10938</v>
      </c>
      <c r="H1879" s="116"/>
      <c r="I1879" s="116"/>
      <c r="L1879" s="170">
        <v>44769</v>
      </c>
      <c r="M1879" s="116">
        <v>567.1</v>
      </c>
      <c r="N1879" s="116">
        <v>569.5</v>
      </c>
      <c r="O1879" s="116">
        <v>545.1</v>
      </c>
      <c r="P1879" s="116">
        <v>547</v>
      </c>
      <c r="Q1879" s="116">
        <v>567.1</v>
      </c>
      <c r="R1879">
        <v>1589604</v>
      </c>
    </row>
    <row r="1880" spans="1:18" x14ac:dyDescent="0.25">
      <c r="A1880" s="170">
        <v>44771</v>
      </c>
      <c r="B1880" s="116">
        <v>18.635320008122999</v>
      </c>
      <c r="C1880" s="116">
        <v>17.624837757130098</v>
      </c>
      <c r="D1880" s="116">
        <v>17.143354051327801</v>
      </c>
      <c r="E1880" s="116">
        <v>18.347063315833498</v>
      </c>
      <c r="F1880" s="116">
        <v>278.2</v>
      </c>
      <c r="G1880">
        <v>38801</v>
      </c>
      <c r="H1880" s="116"/>
      <c r="I1880" s="116"/>
      <c r="L1880" s="170">
        <v>44770</v>
      </c>
      <c r="M1880" s="116">
        <v>583</v>
      </c>
      <c r="N1880" s="116">
        <v>586.35</v>
      </c>
      <c r="O1880" s="116">
        <v>563.4</v>
      </c>
      <c r="P1880" s="116">
        <v>568</v>
      </c>
      <c r="Q1880" s="116">
        <v>583</v>
      </c>
      <c r="R1880">
        <v>1192363</v>
      </c>
    </row>
    <row r="1881" spans="1:18" x14ac:dyDescent="0.25">
      <c r="A1881" s="170">
        <v>44774</v>
      </c>
      <c r="B1881" s="116">
        <v>17.738873371662201</v>
      </c>
      <c r="C1881" s="116">
        <v>17.3112398171668</v>
      </c>
      <c r="D1881" s="116">
        <v>16.915282822263599</v>
      </c>
      <c r="E1881" s="116">
        <v>17.7325380597437</v>
      </c>
      <c r="F1881" s="116">
        <v>273.25</v>
      </c>
      <c r="G1881">
        <v>24247</v>
      </c>
      <c r="H1881" s="116"/>
      <c r="I1881" s="116"/>
      <c r="L1881" s="170">
        <v>44771</v>
      </c>
      <c r="M1881" s="116">
        <v>596.1</v>
      </c>
      <c r="N1881" s="116">
        <v>598.4</v>
      </c>
      <c r="O1881" s="116">
        <v>584.4</v>
      </c>
      <c r="P1881" s="116">
        <v>585.25</v>
      </c>
      <c r="Q1881" s="116">
        <v>596.1</v>
      </c>
      <c r="R1881">
        <v>938911</v>
      </c>
    </row>
    <row r="1882" spans="1:18" x14ac:dyDescent="0.25">
      <c r="A1882" s="170">
        <v>44775</v>
      </c>
      <c r="B1882" s="116">
        <v>17.612167133293202</v>
      </c>
      <c r="C1882" s="116">
        <v>17.456951991291099</v>
      </c>
      <c r="D1882" s="116">
        <v>17.137018739409399</v>
      </c>
      <c r="E1882" s="116">
        <v>17.485460894924099</v>
      </c>
      <c r="F1882" s="116">
        <v>275.55</v>
      </c>
      <c r="G1882">
        <v>14248</v>
      </c>
      <c r="H1882" s="116"/>
      <c r="I1882" s="116"/>
      <c r="L1882" s="170">
        <v>44774</v>
      </c>
      <c r="M1882" s="116">
        <v>607.65</v>
      </c>
      <c r="N1882" s="116">
        <v>611.95000000000005</v>
      </c>
      <c r="O1882" s="116">
        <v>591.35</v>
      </c>
      <c r="P1882" s="116">
        <v>599</v>
      </c>
      <c r="Q1882" s="116">
        <v>607.65</v>
      </c>
      <c r="R1882">
        <v>619891</v>
      </c>
    </row>
    <row r="1883" spans="1:18" x14ac:dyDescent="0.25">
      <c r="A1883" s="170">
        <v>44776</v>
      </c>
      <c r="B1883" s="116">
        <v>17.456951991291099</v>
      </c>
      <c r="C1883" s="116">
        <v>17.0926715559802</v>
      </c>
      <c r="D1883" s="116">
        <v>16.851929703079101</v>
      </c>
      <c r="E1883" s="116">
        <v>17.456951991291099</v>
      </c>
      <c r="F1883" s="116">
        <v>269.8</v>
      </c>
      <c r="G1883">
        <v>9711</v>
      </c>
      <c r="H1883" s="116"/>
      <c r="I1883" s="116"/>
      <c r="L1883" s="170">
        <v>44775</v>
      </c>
      <c r="M1883" s="116">
        <v>610.75</v>
      </c>
      <c r="N1883" s="116">
        <v>619.45000000000005</v>
      </c>
      <c r="O1883" s="116">
        <v>602.9</v>
      </c>
      <c r="P1883" s="116">
        <v>605.79999999999995</v>
      </c>
      <c r="Q1883" s="116">
        <v>610.75</v>
      </c>
      <c r="R1883">
        <v>910722</v>
      </c>
    </row>
    <row r="1884" spans="1:18" x14ac:dyDescent="0.25">
      <c r="A1884" s="170">
        <v>44777</v>
      </c>
      <c r="B1884" s="116">
        <v>17.2003718585939</v>
      </c>
      <c r="C1884" s="116">
        <v>16.573175978667201</v>
      </c>
      <c r="D1884" s="116">
        <v>16.446469740298198</v>
      </c>
      <c r="E1884" s="116">
        <v>17.2003718585939</v>
      </c>
      <c r="F1884" s="116">
        <v>261.60000000000002</v>
      </c>
      <c r="G1884">
        <v>14251</v>
      </c>
      <c r="H1884" s="116"/>
      <c r="I1884" s="116"/>
      <c r="L1884" s="170">
        <v>44776</v>
      </c>
      <c r="M1884" s="116">
        <v>600.85</v>
      </c>
      <c r="N1884" s="116">
        <v>614.35</v>
      </c>
      <c r="O1884" s="116">
        <v>591.25</v>
      </c>
      <c r="P1884" s="116">
        <v>608.1</v>
      </c>
      <c r="Q1884" s="116">
        <v>600.85</v>
      </c>
      <c r="R1884">
        <v>610833</v>
      </c>
    </row>
    <row r="1885" spans="1:18" x14ac:dyDescent="0.25">
      <c r="A1885" s="170">
        <v>44778</v>
      </c>
      <c r="B1885" s="116">
        <v>18.169674582116802</v>
      </c>
      <c r="C1885" s="116">
        <v>17.21621013839</v>
      </c>
      <c r="D1885" s="116">
        <v>16.5636730107896</v>
      </c>
      <c r="E1885" s="116">
        <v>16.566840666748799</v>
      </c>
      <c r="F1885" s="116">
        <v>271.75</v>
      </c>
      <c r="G1885">
        <v>19762</v>
      </c>
      <c r="H1885" s="116"/>
      <c r="I1885" s="116"/>
      <c r="L1885" s="170">
        <v>44777</v>
      </c>
      <c r="M1885" s="116">
        <v>580.04999999999995</v>
      </c>
      <c r="N1885" s="116">
        <v>606.65</v>
      </c>
      <c r="O1885" s="116">
        <v>575.29999999999995</v>
      </c>
      <c r="P1885" s="116">
        <v>601</v>
      </c>
      <c r="Q1885" s="116">
        <v>580.04999999999995</v>
      </c>
      <c r="R1885">
        <v>979370</v>
      </c>
    </row>
    <row r="1886" spans="1:18" x14ac:dyDescent="0.25">
      <c r="A1886" s="170">
        <v>44781</v>
      </c>
      <c r="B1886" s="116">
        <v>18.530787361468501</v>
      </c>
      <c r="C1886" s="116">
        <v>18.0081241281963</v>
      </c>
      <c r="D1886" s="116">
        <v>17.422107775739601</v>
      </c>
      <c r="E1886" s="116">
        <v>17.422107775739601</v>
      </c>
      <c r="F1886" s="116">
        <v>284.25</v>
      </c>
      <c r="G1886">
        <v>19415</v>
      </c>
      <c r="H1886" s="116"/>
      <c r="I1886" s="116"/>
      <c r="L1886" s="170">
        <v>44778</v>
      </c>
      <c r="M1886" s="116">
        <v>588.75</v>
      </c>
      <c r="N1886" s="116">
        <v>597.85</v>
      </c>
      <c r="O1886" s="116">
        <v>578</v>
      </c>
      <c r="P1886" s="116">
        <v>578</v>
      </c>
      <c r="Q1886" s="116">
        <v>588.75</v>
      </c>
      <c r="R1886">
        <v>641609</v>
      </c>
    </row>
    <row r="1887" spans="1:18" x14ac:dyDescent="0.25">
      <c r="A1887" s="170">
        <v>44783</v>
      </c>
      <c r="B1887" s="116">
        <v>18.372404563507299</v>
      </c>
      <c r="C1887" s="116">
        <v>17.422107775739601</v>
      </c>
      <c r="D1887" s="116">
        <v>17.2320484181861</v>
      </c>
      <c r="E1887" s="116">
        <v>18.366069251588801</v>
      </c>
      <c r="F1887" s="116">
        <v>275</v>
      </c>
      <c r="G1887">
        <v>15045</v>
      </c>
      <c r="H1887" s="116"/>
      <c r="I1887" s="116"/>
      <c r="L1887" s="170">
        <v>44781</v>
      </c>
      <c r="M1887" s="116">
        <v>595.6</v>
      </c>
      <c r="N1887" s="116">
        <v>601</v>
      </c>
      <c r="O1887" s="116">
        <v>590</v>
      </c>
      <c r="P1887" s="116">
        <v>590</v>
      </c>
      <c r="Q1887" s="116">
        <v>595.6</v>
      </c>
      <c r="R1887">
        <v>376832</v>
      </c>
    </row>
    <row r="1888" spans="1:18" x14ac:dyDescent="0.25">
      <c r="A1888" s="170">
        <v>44784</v>
      </c>
      <c r="B1888" s="116">
        <v>17.992285848400201</v>
      </c>
      <c r="C1888" s="116">
        <v>17.263724977778399</v>
      </c>
      <c r="D1888" s="116">
        <v>17.1053421798171</v>
      </c>
      <c r="E1888" s="116">
        <v>17.738873371662201</v>
      </c>
      <c r="F1888" s="116">
        <v>272.5</v>
      </c>
      <c r="G1888">
        <v>9755</v>
      </c>
      <c r="H1888" s="116"/>
      <c r="I1888" s="116"/>
      <c r="L1888" s="170">
        <v>44783</v>
      </c>
      <c r="M1888" s="116">
        <v>584.95000000000005</v>
      </c>
      <c r="N1888" s="116">
        <v>603.5</v>
      </c>
      <c r="O1888" s="116">
        <v>582.54999999999995</v>
      </c>
      <c r="P1888" s="116">
        <v>596.5</v>
      </c>
      <c r="Q1888" s="116">
        <v>584.95000000000005</v>
      </c>
      <c r="R1888">
        <v>464796</v>
      </c>
    </row>
    <row r="1889" spans="1:18" x14ac:dyDescent="0.25">
      <c r="A1889" s="170">
        <v>44785</v>
      </c>
      <c r="B1889" s="116">
        <v>17.694526188232999</v>
      </c>
      <c r="C1889" s="116">
        <v>16.642864409770201</v>
      </c>
      <c r="D1889" s="116">
        <v>15.8066032365347</v>
      </c>
      <c r="E1889" s="116">
        <v>17.3397487207998</v>
      </c>
      <c r="F1889" s="116">
        <v>262.7</v>
      </c>
      <c r="G1889">
        <v>28245</v>
      </c>
      <c r="H1889" s="116"/>
      <c r="I1889" s="116"/>
      <c r="L1889" s="170">
        <v>44784</v>
      </c>
      <c r="M1889" s="116">
        <v>593.35</v>
      </c>
      <c r="N1889" s="116">
        <v>601</v>
      </c>
      <c r="O1889" s="116">
        <v>586.9</v>
      </c>
      <c r="P1889" s="116">
        <v>590.25</v>
      </c>
      <c r="Q1889" s="116">
        <v>593.35</v>
      </c>
      <c r="R1889">
        <v>504842</v>
      </c>
    </row>
    <row r="1890" spans="1:18" x14ac:dyDescent="0.25">
      <c r="A1890" s="170">
        <v>44789</v>
      </c>
      <c r="B1890" s="116">
        <v>17.1053421798171</v>
      </c>
      <c r="C1890" s="116">
        <v>15.993494938129</v>
      </c>
      <c r="D1890" s="116">
        <v>15.5215142002044</v>
      </c>
      <c r="E1890" s="116">
        <v>16.851929703079101</v>
      </c>
      <c r="F1890" s="116">
        <v>252.45</v>
      </c>
      <c r="G1890">
        <v>43424</v>
      </c>
      <c r="H1890" s="116"/>
      <c r="I1890" s="116"/>
      <c r="L1890" s="170">
        <v>44785</v>
      </c>
      <c r="M1890" s="116">
        <v>600.20000000000005</v>
      </c>
      <c r="N1890" s="116">
        <v>606</v>
      </c>
      <c r="O1890" s="116">
        <v>589</v>
      </c>
      <c r="P1890" s="116">
        <v>594.79999999999995</v>
      </c>
      <c r="Q1890" s="116">
        <v>600.20000000000005</v>
      </c>
      <c r="R1890">
        <v>535298</v>
      </c>
    </row>
    <row r="1891" spans="1:18" x14ac:dyDescent="0.25">
      <c r="A1891" s="170">
        <v>44790</v>
      </c>
      <c r="B1891" s="116">
        <v>16.978635941448101</v>
      </c>
      <c r="C1891" s="116">
        <v>16.807582519649898</v>
      </c>
      <c r="D1891" s="116">
        <v>15.8382797961269</v>
      </c>
      <c r="E1891" s="116">
        <v>15.964986034496</v>
      </c>
      <c r="F1891" s="116">
        <v>265.3</v>
      </c>
      <c r="G1891">
        <v>31685</v>
      </c>
      <c r="H1891" s="116"/>
      <c r="I1891" s="116"/>
      <c r="L1891" s="170">
        <v>44789</v>
      </c>
      <c r="M1891" s="116">
        <v>616.04999999999995</v>
      </c>
      <c r="N1891" s="116">
        <v>621.75</v>
      </c>
      <c r="O1891" s="116">
        <v>600.20000000000005</v>
      </c>
      <c r="P1891" s="116">
        <v>601</v>
      </c>
      <c r="Q1891" s="116">
        <v>616.04999999999995</v>
      </c>
      <c r="R1891">
        <v>787828</v>
      </c>
    </row>
    <row r="1892" spans="1:18" x14ac:dyDescent="0.25">
      <c r="A1892" s="170">
        <v>44791</v>
      </c>
      <c r="B1892" s="116">
        <v>17.358754656555099</v>
      </c>
      <c r="C1892" s="116">
        <v>16.9818035974073</v>
      </c>
      <c r="D1892" s="116">
        <v>16.6048525382595</v>
      </c>
      <c r="E1892" s="116">
        <v>17.099006867898702</v>
      </c>
      <c r="F1892" s="116">
        <v>268.05</v>
      </c>
      <c r="G1892">
        <v>17648</v>
      </c>
      <c r="H1892" s="116"/>
      <c r="I1892" s="116"/>
      <c r="L1892" s="170">
        <v>44790</v>
      </c>
      <c r="M1892" s="116">
        <v>623.04999999999995</v>
      </c>
      <c r="N1892" s="116">
        <v>626.9</v>
      </c>
      <c r="O1892" s="116">
        <v>610.6</v>
      </c>
      <c r="P1892" s="116">
        <v>619.95000000000005</v>
      </c>
      <c r="Q1892" s="116">
        <v>623.04999999999995</v>
      </c>
      <c r="R1892">
        <v>747785</v>
      </c>
    </row>
    <row r="1893" spans="1:18" x14ac:dyDescent="0.25">
      <c r="A1893" s="170">
        <v>44792</v>
      </c>
      <c r="B1893" s="116">
        <v>17.181365922838499</v>
      </c>
      <c r="C1893" s="116">
        <v>16.8550973590383</v>
      </c>
      <c r="D1893" s="116">
        <v>16.601684882300301</v>
      </c>
      <c r="E1893" s="116">
        <v>17.0926715559802</v>
      </c>
      <c r="F1893" s="116">
        <v>266.05</v>
      </c>
      <c r="G1893">
        <v>8745</v>
      </c>
      <c r="H1893" s="116"/>
      <c r="I1893" s="116"/>
      <c r="L1893" s="170">
        <v>44791</v>
      </c>
      <c r="M1893" s="116">
        <v>623.65</v>
      </c>
      <c r="N1893" s="116">
        <v>629.15</v>
      </c>
      <c r="O1893" s="116">
        <v>619.5</v>
      </c>
      <c r="P1893" s="116">
        <v>622.95000000000005</v>
      </c>
      <c r="Q1893" s="116">
        <v>623.65</v>
      </c>
      <c r="R1893">
        <v>444619</v>
      </c>
    </row>
    <row r="1894" spans="1:18" x14ac:dyDescent="0.25">
      <c r="A1894" s="170">
        <v>44795</v>
      </c>
      <c r="B1894" s="116">
        <v>16.905779854385901</v>
      </c>
      <c r="C1894" s="116">
        <v>16.516158171401202</v>
      </c>
      <c r="D1894" s="116">
        <v>16.193057263560199</v>
      </c>
      <c r="E1894" s="116">
        <v>16.547834730993401</v>
      </c>
      <c r="F1894" s="116">
        <v>260.7</v>
      </c>
      <c r="G1894">
        <v>9195</v>
      </c>
      <c r="H1894" s="116"/>
      <c r="I1894" s="116"/>
      <c r="L1894" s="170">
        <v>44792</v>
      </c>
      <c r="M1894" s="116">
        <v>609.29999999999995</v>
      </c>
      <c r="N1894" s="116">
        <v>630</v>
      </c>
      <c r="O1894" s="116">
        <v>603</v>
      </c>
      <c r="P1894" s="116">
        <v>626.5</v>
      </c>
      <c r="Q1894" s="116">
        <v>609.29999999999995</v>
      </c>
      <c r="R1894">
        <v>442804</v>
      </c>
    </row>
    <row r="1895" spans="1:18" x14ac:dyDescent="0.25">
      <c r="A1895" s="170">
        <v>44796</v>
      </c>
      <c r="B1895" s="116">
        <v>16.459140364135099</v>
      </c>
      <c r="C1895" s="116">
        <v>16.148710080131</v>
      </c>
      <c r="D1895" s="116">
        <v>15.964986034496</v>
      </c>
      <c r="E1895" s="116">
        <v>16.028339153680498</v>
      </c>
      <c r="F1895" s="116">
        <v>254.9</v>
      </c>
      <c r="G1895">
        <v>22285</v>
      </c>
      <c r="H1895" s="116"/>
      <c r="I1895" s="116"/>
      <c r="L1895" s="170">
        <v>44795</v>
      </c>
      <c r="M1895" s="116">
        <v>590.4</v>
      </c>
      <c r="N1895" s="116">
        <v>606</v>
      </c>
      <c r="O1895" s="116">
        <v>571.20000000000005</v>
      </c>
      <c r="P1895" s="116">
        <v>605</v>
      </c>
      <c r="Q1895" s="116">
        <v>590.4</v>
      </c>
      <c r="R1895">
        <v>1533690</v>
      </c>
    </row>
    <row r="1896" spans="1:18" x14ac:dyDescent="0.25">
      <c r="A1896" s="170">
        <v>44797</v>
      </c>
      <c r="B1896" s="116">
        <v>16.503487547564301</v>
      </c>
      <c r="C1896" s="116">
        <v>16.139207112253398</v>
      </c>
      <c r="D1896" s="116">
        <v>15.958650722577501</v>
      </c>
      <c r="E1896" s="116">
        <v>16.091692272865</v>
      </c>
      <c r="F1896" s="116">
        <v>254.75</v>
      </c>
      <c r="G1896">
        <v>32953</v>
      </c>
      <c r="H1896" s="116"/>
      <c r="I1896" s="116"/>
      <c r="L1896" s="170">
        <v>44796</v>
      </c>
      <c r="M1896" s="116">
        <v>595.79999999999995</v>
      </c>
      <c r="N1896" s="116">
        <v>599.6</v>
      </c>
      <c r="O1896" s="116">
        <v>581</v>
      </c>
      <c r="P1896" s="116">
        <v>586</v>
      </c>
      <c r="Q1896" s="116">
        <v>595.79999999999995</v>
      </c>
      <c r="R1896">
        <v>386961</v>
      </c>
    </row>
    <row r="1897" spans="1:18" x14ac:dyDescent="0.25">
      <c r="A1897" s="170">
        <v>44798</v>
      </c>
      <c r="B1897" s="116">
        <v>17.1053421798171</v>
      </c>
      <c r="C1897" s="116">
        <v>16.3134281900108</v>
      </c>
      <c r="D1897" s="116">
        <v>16.155045392049502</v>
      </c>
      <c r="E1897" s="116">
        <v>16.345104749602999</v>
      </c>
      <c r="F1897" s="116">
        <v>257.5</v>
      </c>
      <c r="G1897">
        <v>29089</v>
      </c>
      <c r="H1897" s="116"/>
      <c r="I1897" s="116"/>
      <c r="L1897" s="170">
        <v>44797</v>
      </c>
      <c r="M1897" s="116">
        <v>636.4</v>
      </c>
      <c r="N1897" s="116">
        <v>642.04999999999995</v>
      </c>
      <c r="O1897" s="116">
        <v>594.9</v>
      </c>
      <c r="P1897" s="116">
        <v>598.4</v>
      </c>
      <c r="Q1897" s="116">
        <v>636.4</v>
      </c>
      <c r="R1897">
        <v>1964858</v>
      </c>
    </row>
    <row r="1898" spans="1:18" x14ac:dyDescent="0.25">
      <c r="A1898" s="170">
        <v>44799</v>
      </c>
      <c r="B1898" s="116">
        <v>17.285898569493</v>
      </c>
      <c r="C1898" s="116">
        <v>17.1908688907162</v>
      </c>
      <c r="D1898" s="116">
        <v>16.155045392049502</v>
      </c>
      <c r="E1898" s="116">
        <v>16.408457868787501</v>
      </c>
      <c r="F1898" s="116">
        <v>271.35000000000002</v>
      </c>
      <c r="G1898">
        <v>46610</v>
      </c>
      <c r="H1898" s="116"/>
      <c r="I1898" s="116"/>
      <c r="L1898" s="170">
        <v>44798</v>
      </c>
      <c r="M1898" s="116">
        <v>630.29999999999995</v>
      </c>
      <c r="N1898" s="116">
        <v>641.54999999999995</v>
      </c>
      <c r="O1898" s="116">
        <v>625.29999999999995</v>
      </c>
      <c r="P1898" s="116">
        <v>638</v>
      </c>
      <c r="Q1898" s="116">
        <v>630.29999999999995</v>
      </c>
      <c r="R1898">
        <v>835411</v>
      </c>
    </row>
    <row r="1899" spans="1:18" x14ac:dyDescent="0.25">
      <c r="A1899" s="170">
        <v>44802</v>
      </c>
      <c r="B1899" s="116">
        <v>17.865579610031201</v>
      </c>
      <c r="C1899" s="116">
        <v>17.475957927046501</v>
      </c>
      <c r="D1899" s="116">
        <v>16.617523162096401</v>
      </c>
      <c r="E1899" s="116">
        <v>16.823420799446001</v>
      </c>
      <c r="F1899" s="116">
        <v>275.85000000000002</v>
      </c>
      <c r="G1899">
        <v>43642</v>
      </c>
      <c r="H1899" s="116"/>
      <c r="I1899" s="116"/>
      <c r="L1899" s="170">
        <v>44799</v>
      </c>
      <c r="M1899" s="116">
        <v>637</v>
      </c>
      <c r="N1899" s="116">
        <v>648.79999999999995</v>
      </c>
      <c r="O1899" s="116">
        <v>632.29999999999995</v>
      </c>
      <c r="P1899" s="116">
        <v>636.35</v>
      </c>
      <c r="Q1899" s="116">
        <v>637</v>
      </c>
      <c r="R1899">
        <v>642044</v>
      </c>
    </row>
    <row r="1900" spans="1:18" x14ac:dyDescent="0.25">
      <c r="A1900" s="170">
        <v>44803</v>
      </c>
      <c r="B1900" s="116">
        <v>18.879229516983301</v>
      </c>
      <c r="C1900" s="116">
        <v>17.691358532273799</v>
      </c>
      <c r="D1900" s="116">
        <v>17.551981670067899</v>
      </c>
      <c r="E1900" s="116">
        <v>17.8275677385205</v>
      </c>
      <c r="F1900" s="116">
        <v>279.25</v>
      </c>
      <c r="G1900">
        <v>41304</v>
      </c>
      <c r="H1900" s="116"/>
      <c r="I1900" s="116"/>
      <c r="L1900" s="170">
        <v>44802</v>
      </c>
      <c r="M1900" s="116">
        <v>634.15</v>
      </c>
      <c r="N1900" s="116">
        <v>636.79999999999995</v>
      </c>
      <c r="O1900" s="116">
        <v>618</v>
      </c>
      <c r="P1900" s="116">
        <v>618</v>
      </c>
      <c r="Q1900" s="116">
        <v>634.15</v>
      </c>
      <c r="R1900">
        <v>561956</v>
      </c>
    </row>
    <row r="1901" spans="1:18" x14ac:dyDescent="0.25">
      <c r="A1901" s="170">
        <v>44805</v>
      </c>
      <c r="B1901" s="116">
        <v>18.372404563507299</v>
      </c>
      <c r="C1901" s="116">
        <v>17.067330308306399</v>
      </c>
      <c r="D1901" s="116">
        <v>16.943791725896599</v>
      </c>
      <c r="E1901" s="116">
        <v>17.738873371662201</v>
      </c>
      <c r="F1901" s="116">
        <v>269.39999999999998</v>
      </c>
      <c r="G1901">
        <v>31467</v>
      </c>
      <c r="H1901" s="116"/>
      <c r="I1901" s="116"/>
      <c r="L1901" s="170">
        <v>44803</v>
      </c>
      <c r="M1901" s="116">
        <v>633.85</v>
      </c>
      <c r="N1901" s="116">
        <v>641.6</v>
      </c>
      <c r="O1901" s="116">
        <v>624</v>
      </c>
      <c r="P1901" s="116">
        <v>638</v>
      </c>
      <c r="Q1901" s="116">
        <v>633.85</v>
      </c>
      <c r="R1901">
        <v>434930</v>
      </c>
    </row>
    <row r="1902" spans="1:18" x14ac:dyDescent="0.25">
      <c r="A1902" s="170">
        <v>44806</v>
      </c>
      <c r="B1902" s="116">
        <v>17.4379460555358</v>
      </c>
      <c r="C1902" s="116">
        <v>16.091692272865</v>
      </c>
      <c r="D1902" s="116">
        <v>15.901632915311501</v>
      </c>
      <c r="E1902" s="116">
        <v>17.067330308306399</v>
      </c>
      <c r="F1902" s="116">
        <v>254</v>
      </c>
      <c r="G1902">
        <v>91808</v>
      </c>
      <c r="H1902" s="116"/>
      <c r="I1902" s="116"/>
      <c r="L1902" s="170">
        <v>44805</v>
      </c>
      <c r="M1902" s="116">
        <v>643.45000000000005</v>
      </c>
      <c r="N1902" s="116">
        <v>647</v>
      </c>
      <c r="O1902" s="116">
        <v>620</v>
      </c>
      <c r="P1902" s="116">
        <v>628.04999999999995</v>
      </c>
      <c r="Q1902" s="116">
        <v>643.45000000000005</v>
      </c>
      <c r="R1902">
        <v>527305</v>
      </c>
    </row>
    <row r="1903" spans="1:18" x14ac:dyDescent="0.25">
      <c r="A1903" s="170">
        <v>44809</v>
      </c>
      <c r="B1903" s="116">
        <v>17.7008615001515</v>
      </c>
      <c r="C1903" s="116">
        <v>17.656514316722301</v>
      </c>
      <c r="D1903" s="116">
        <v>15.7749266769424</v>
      </c>
      <c r="E1903" s="116">
        <v>15.9333094749037</v>
      </c>
      <c r="F1903" s="116">
        <v>278.7</v>
      </c>
      <c r="G1903">
        <v>66605</v>
      </c>
      <c r="H1903" s="116"/>
      <c r="I1903" s="116"/>
      <c r="L1903" s="170">
        <v>44806</v>
      </c>
      <c r="M1903" s="116">
        <v>635.9</v>
      </c>
      <c r="N1903" s="116">
        <v>650.20000000000005</v>
      </c>
      <c r="O1903" s="116">
        <v>632.1</v>
      </c>
      <c r="P1903" s="116">
        <v>644</v>
      </c>
      <c r="Q1903" s="116">
        <v>635.9</v>
      </c>
      <c r="R1903">
        <v>437308</v>
      </c>
    </row>
    <row r="1904" spans="1:18" x14ac:dyDescent="0.25">
      <c r="A1904" s="170">
        <v>44810</v>
      </c>
      <c r="B1904" s="116">
        <v>19.420898686010901</v>
      </c>
      <c r="C1904" s="116">
        <v>19.420898686010901</v>
      </c>
      <c r="D1904" s="116">
        <v>18.274207228771299</v>
      </c>
      <c r="E1904" s="116">
        <v>19.3828868145002</v>
      </c>
      <c r="F1904" s="116">
        <v>306.55</v>
      </c>
      <c r="G1904">
        <v>178242</v>
      </c>
      <c r="H1904" s="116"/>
      <c r="I1904" s="116"/>
      <c r="L1904" s="170">
        <v>44809</v>
      </c>
      <c r="M1904" s="116">
        <v>638.6</v>
      </c>
      <c r="N1904" s="116">
        <v>649.85</v>
      </c>
      <c r="O1904" s="116">
        <v>628</v>
      </c>
      <c r="P1904" s="116">
        <v>635.20000000000005</v>
      </c>
      <c r="Q1904" s="116">
        <v>638.6</v>
      </c>
      <c r="R1904">
        <v>484309</v>
      </c>
    </row>
    <row r="1905" spans="1:18" x14ac:dyDescent="0.25">
      <c r="A1905" s="170">
        <v>44811</v>
      </c>
      <c r="B1905" s="116">
        <v>20.209645019858002</v>
      </c>
      <c r="C1905" s="116">
        <v>19.7978497451587</v>
      </c>
      <c r="D1905" s="116">
        <v>18.508613769754</v>
      </c>
      <c r="E1905" s="116">
        <v>19.417731030051598</v>
      </c>
      <c r="F1905" s="116">
        <v>312.5</v>
      </c>
      <c r="G1905">
        <v>105070</v>
      </c>
      <c r="H1905" s="116"/>
      <c r="I1905" s="116"/>
      <c r="L1905" s="170">
        <v>44810</v>
      </c>
      <c r="M1905" s="116">
        <v>644.75</v>
      </c>
      <c r="N1905" s="116">
        <v>654</v>
      </c>
      <c r="O1905" s="116">
        <v>634.1</v>
      </c>
      <c r="P1905" s="116">
        <v>638</v>
      </c>
      <c r="Q1905" s="116">
        <v>644.75</v>
      </c>
      <c r="R1905">
        <v>562804</v>
      </c>
    </row>
    <row r="1906" spans="1:18" x14ac:dyDescent="0.25">
      <c r="A1906" s="170">
        <v>44812</v>
      </c>
      <c r="B1906" s="116">
        <v>20.779823092518601</v>
      </c>
      <c r="C1906" s="116">
        <v>19.7978497451587</v>
      </c>
      <c r="D1906" s="116">
        <v>19.3290366631933</v>
      </c>
      <c r="E1906" s="116">
        <v>20.0195856623045</v>
      </c>
      <c r="F1906" s="116">
        <v>312.5</v>
      </c>
      <c r="G1906">
        <v>45599</v>
      </c>
      <c r="H1906" s="116"/>
      <c r="I1906" s="116"/>
      <c r="L1906" s="170">
        <v>44811</v>
      </c>
      <c r="M1906" s="116">
        <v>641.6</v>
      </c>
      <c r="N1906" s="116">
        <v>651.04999999999995</v>
      </c>
      <c r="O1906" s="116">
        <v>637.5</v>
      </c>
      <c r="P1906" s="116">
        <v>641</v>
      </c>
      <c r="Q1906" s="116">
        <v>641.6</v>
      </c>
      <c r="R1906">
        <v>323618</v>
      </c>
    </row>
    <row r="1907" spans="1:18" x14ac:dyDescent="0.25">
      <c r="A1907" s="170">
        <v>44813</v>
      </c>
      <c r="B1907" s="116">
        <v>20.2729981390425</v>
      </c>
      <c r="C1907" s="116">
        <v>19.2023304248243</v>
      </c>
      <c r="D1907" s="116">
        <v>18.0651419354624</v>
      </c>
      <c r="E1907" s="116">
        <v>19.718658346178</v>
      </c>
      <c r="F1907" s="116">
        <v>303.10000000000002</v>
      </c>
      <c r="G1907">
        <v>64469</v>
      </c>
      <c r="H1907" s="116"/>
      <c r="I1907" s="116"/>
      <c r="L1907" s="170">
        <v>44812</v>
      </c>
      <c r="M1907" s="116">
        <v>646.75</v>
      </c>
      <c r="N1907" s="116">
        <v>650.95000000000005</v>
      </c>
      <c r="O1907" s="116">
        <v>641.6</v>
      </c>
      <c r="P1907" s="116">
        <v>646</v>
      </c>
      <c r="Q1907" s="116">
        <v>646.75</v>
      </c>
      <c r="R1907">
        <v>296957</v>
      </c>
    </row>
    <row r="1908" spans="1:18" x14ac:dyDescent="0.25">
      <c r="A1908" s="170">
        <v>44816</v>
      </c>
      <c r="B1908" s="116">
        <v>19.582449139931398</v>
      </c>
      <c r="C1908" s="116">
        <v>18.866558893146401</v>
      </c>
      <c r="D1908" s="116">
        <v>18.055638967584699</v>
      </c>
      <c r="E1908" s="116">
        <v>19.534934300543</v>
      </c>
      <c r="F1908" s="116">
        <v>297.8</v>
      </c>
      <c r="G1908">
        <v>36659</v>
      </c>
      <c r="H1908" s="116"/>
      <c r="I1908" s="116"/>
      <c r="L1908" s="170">
        <v>44813</v>
      </c>
      <c r="M1908" s="116">
        <v>647.04999999999995</v>
      </c>
      <c r="N1908" s="116">
        <v>666.7</v>
      </c>
      <c r="O1908" s="116">
        <v>644.1</v>
      </c>
      <c r="P1908" s="116">
        <v>647</v>
      </c>
      <c r="Q1908" s="116">
        <v>647.04999999999995</v>
      </c>
      <c r="R1908">
        <v>1371384</v>
      </c>
    </row>
    <row r="1909" spans="1:18" x14ac:dyDescent="0.25">
      <c r="A1909" s="170">
        <v>44817</v>
      </c>
      <c r="B1909" s="116">
        <v>19.506425396909901</v>
      </c>
      <c r="C1909" s="116">
        <v>18.945750292127101</v>
      </c>
      <c r="D1909" s="116">
        <v>18.8158763977988</v>
      </c>
      <c r="E1909" s="116">
        <v>18.977426851719301</v>
      </c>
      <c r="F1909" s="116">
        <v>299.05</v>
      </c>
      <c r="G1909">
        <v>21022</v>
      </c>
      <c r="H1909" s="116"/>
      <c r="I1909" s="116"/>
      <c r="L1909" s="170">
        <v>44816</v>
      </c>
      <c r="M1909" s="116">
        <v>656.4</v>
      </c>
      <c r="N1909" s="116">
        <v>658.35</v>
      </c>
      <c r="O1909" s="116">
        <v>645.5</v>
      </c>
      <c r="P1909" s="116">
        <v>650</v>
      </c>
      <c r="Q1909" s="116">
        <v>656.4</v>
      </c>
      <c r="R1909">
        <v>361052</v>
      </c>
    </row>
    <row r="1910" spans="1:18" x14ac:dyDescent="0.25">
      <c r="A1910" s="170">
        <v>44818</v>
      </c>
      <c r="B1910" s="116">
        <v>19.316366039356399</v>
      </c>
      <c r="C1910" s="116">
        <v>18.625817040245298</v>
      </c>
      <c r="D1910" s="116">
        <v>18.195015829790599</v>
      </c>
      <c r="E1910" s="116">
        <v>18.195015829790599</v>
      </c>
      <c r="F1910" s="116">
        <v>294</v>
      </c>
      <c r="G1910">
        <v>25783</v>
      </c>
      <c r="H1910" s="116"/>
      <c r="I1910" s="116"/>
      <c r="L1910" s="170">
        <v>44817</v>
      </c>
      <c r="M1910" s="116">
        <v>651.65</v>
      </c>
      <c r="N1910" s="116">
        <v>669.9</v>
      </c>
      <c r="O1910" s="116">
        <v>649.04999999999995</v>
      </c>
      <c r="P1910" s="116">
        <v>657.9</v>
      </c>
      <c r="Q1910" s="116">
        <v>651.65</v>
      </c>
      <c r="R1910">
        <v>529989</v>
      </c>
    </row>
    <row r="1911" spans="1:18" x14ac:dyDescent="0.25">
      <c r="A1911" s="170">
        <v>44819</v>
      </c>
      <c r="B1911" s="116">
        <v>19.512760708828399</v>
      </c>
      <c r="C1911" s="116">
        <v>18.248865981097499</v>
      </c>
      <c r="D1911" s="116">
        <v>18.030297719910902</v>
      </c>
      <c r="E1911" s="116">
        <v>18.692337815388999</v>
      </c>
      <c r="F1911" s="116">
        <v>288.05</v>
      </c>
      <c r="G1911">
        <v>32349</v>
      </c>
      <c r="H1911" s="116"/>
      <c r="I1911" s="116"/>
      <c r="L1911" s="170">
        <v>44818</v>
      </c>
      <c r="M1911" s="116">
        <v>653.5</v>
      </c>
      <c r="N1911" s="116">
        <v>660.6</v>
      </c>
      <c r="O1911" s="116">
        <v>641</v>
      </c>
      <c r="P1911" s="116">
        <v>641</v>
      </c>
      <c r="Q1911" s="116">
        <v>653.5</v>
      </c>
      <c r="R1911">
        <v>308594</v>
      </c>
    </row>
    <row r="1912" spans="1:18" x14ac:dyDescent="0.25">
      <c r="A1912" s="170">
        <v>44820</v>
      </c>
      <c r="B1912" s="116">
        <v>18.686002503470601</v>
      </c>
      <c r="C1912" s="116">
        <v>17.985950536481798</v>
      </c>
      <c r="D1912" s="116">
        <v>17.6185024452116</v>
      </c>
      <c r="E1912" s="116">
        <v>18.686002503470601</v>
      </c>
      <c r="F1912" s="116">
        <v>283.89999999999998</v>
      </c>
      <c r="G1912">
        <v>32190</v>
      </c>
      <c r="H1912" s="116"/>
      <c r="I1912" s="116"/>
      <c r="L1912" s="170">
        <v>44819</v>
      </c>
      <c r="M1912" s="116">
        <v>664.35</v>
      </c>
      <c r="N1912" s="116">
        <v>678.05</v>
      </c>
      <c r="O1912" s="116">
        <v>651</v>
      </c>
      <c r="P1912" s="116">
        <v>656.8</v>
      </c>
      <c r="Q1912" s="116">
        <v>664.35</v>
      </c>
      <c r="R1912">
        <v>931031</v>
      </c>
    </row>
    <row r="1913" spans="1:18" x14ac:dyDescent="0.25">
      <c r="A1913" s="170">
        <v>44823</v>
      </c>
      <c r="B1913" s="116">
        <v>18.5624639210608</v>
      </c>
      <c r="C1913" s="116">
        <v>17.719867435906799</v>
      </c>
      <c r="D1913" s="116">
        <v>17.612167133293202</v>
      </c>
      <c r="E1913" s="116">
        <v>18.058806623543902</v>
      </c>
      <c r="F1913" s="116">
        <v>279.7</v>
      </c>
      <c r="G1913">
        <v>25118</v>
      </c>
      <c r="H1913" s="116"/>
      <c r="I1913" s="116"/>
      <c r="L1913" s="170">
        <v>44820</v>
      </c>
      <c r="M1913" s="116">
        <v>635</v>
      </c>
      <c r="N1913" s="116">
        <v>668.9</v>
      </c>
      <c r="O1913" s="116">
        <v>629.04999999999995</v>
      </c>
      <c r="P1913" s="116">
        <v>665</v>
      </c>
      <c r="Q1913" s="116">
        <v>635</v>
      </c>
      <c r="R1913">
        <v>817941</v>
      </c>
    </row>
    <row r="1914" spans="1:18" x14ac:dyDescent="0.25">
      <c r="A1914" s="170">
        <v>44824</v>
      </c>
      <c r="B1914" s="116">
        <v>18.2456983251382</v>
      </c>
      <c r="C1914" s="116">
        <v>17.767382275295201</v>
      </c>
      <c r="D1914" s="116">
        <v>17.206707170512299</v>
      </c>
      <c r="E1914" s="116">
        <v>18.055638967584699</v>
      </c>
      <c r="F1914" s="116">
        <v>280.45</v>
      </c>
      <c r="G1914">
        <v>33078</v>
      </c>
      <c r="H1914" s="116"/>
      <c r="I1914" s="116"/>
      <c r="L1914" s="170">
        <v>44823</v>
      </c>
      <c r="M1914" s="116">
        <v>589.9</v>
      </c>
      <c r="N1914" s="116">
        <v>650.5</v>
      </c>
      <c r="O1914" s="116">
        <v>580.1</v>
      </c>
      <c r="P1914" s="116">
        <v>640.70000000000005</v>
      </c>
      <c r="Q1914" s="116">
        <v>589.9</v>
      </c>
      <c r="R1914">
        <v>3091324</v>
      </c>
    </row>
    <row r="1915" spans="1:18" x14ac:dyDescent="0.25">
      <c r="A1915" s="170">
        <v>44825</v>
      </c>
      <c r="B1915" s="116">
        <v>17.8972561696235</v>
      </c>
      <c r="C1915" s="116">
        <v>17.5646522939048</v>
      </c>
      <c r="D1915" s="116">
        <v>17.422107775739601</v>
      </c>
      <c r="E1915" s="116">
        <v>17.742041027621401</v>
      </c>
      <c r="F1915" s="116">
        <v>277.25</v>
      </c>
      <c r="G1915">
        <v>13215</v>
      </c>
      <c r="H1915" s="116"/>
      <c r="I1915" s="116"/>
      <c r="L1915" s="170">
        <v>44824</v>
      </c>
      <c r="M1915" s="116">
        <v>565.35</v>
      </c>
      <c r="N1915" s="116">
        <v>589.9</v>
      </c>
      <c r="O1915" s="116">
        <v>545</v>
      </c>
      <c r="P1915" s="116">
        <v>583.04999999999995</v>
      </c>
      <c r="Q1915" s="116">
        <v>565.35</v>
      </c>
      <c r="R1915">
        <v>15670267</v>
      </c>
    </row>
    <row r="1916" spans="1:18" x14ac:dyDescent="0.25">
      <c r="A1916" s="170">
        <v>44826</v>
      </c>
      <c r="B1916" s="116">
        <v>18.157003958279901</v>
      </c>
      <c r="C1916" s="116">
        <v>17.947938664971101</v>
      </c>
      <c r="D1916" s="116">
        <v>17.2320484181861</v>
      </c>
      <c r="E1916" s="116">
        <v>17.2320484181861</v>
      </c>
      <c r="F1916" s="116">
        <v>283.3</v>
      </c>
      <c r="G1916">
        <v>14400</v>
      </c>
      <c r="H1916" s="116"/>
      <c r="I1916" s="116"/>
      <c r="L1916" s="170">
        <v>44825</v>
      </c>
      <c r="M1916" s="116">
        <v>552.4</v>
      </c>
      <c r="N1916" s="116">
        <v>574</v>
      </c>
      <c r="O1916" s="116">
        <v>549.04999999999995</v>
      </c>
      <c r="P1916" s="116">
        <v>566</v>
      </c>
      <c r="Q1916" s="116">
        <v>552.4</v>
      </c>
      <c r="R1916">
        <v>3964655</v>
      </c>
    </row>
    <row r="1917" spans="1:18" x14ac:dyDescent="0.25">
      <c r="A1917" s="170">
        <v>44827</v>
      </c>
      <c r="B1917" s="116">
        <v>18.103153806973101</v>
      </c>
      <c r="C1917" s="116">
        <v>17.767382275295201</v>
      </c>
      <c r="D1917" s="116">
        <v>17.488628550883401</v>
      </c>
      <c r="E1917" s="116">
        <v>18.103153806973101</v>
      </c>
      <c r="F1917" s="116">
        <v>280.45</v>
      </c>
      <c r="G1917">
        <v>16553</v>
      </c>
      <c r="H1917" s="116"/>
      <c r="I1917" s="116"/>
      <c r="L1917" s="170">
        <v>44826</v>
      </c>
      <c r="M1917" s="116">
        <v>542.65</v>
      </c>
      <c r="N1917" s="116">
        <v>559.9</v>
      </c>
      <c r="O1917" s="116">
        <v>532.70000000000005</v>
      </c>
      <c r="P1917" s="116">
        <v>552.4</v>
      </c>
      <c r="Q1917" s="116">
        <v>542.65</v>
      </c>
      <c r="R1917">
        <v>3848060</v>
      </c>
    </row>
    <row r="1918" spans="1:18" x14ac:dyDescent="0.25">
      <c r="A1918" s="170">
        <v>44830</v>
      </c>
      <c r="B1918" s="116">
        <v>19.322701351274901</v>
      </c>
      <c r="C1918" s="116">
        <v>18.727182030940501</v>
      </c>
      <c r="D1918" s="116">
        <v>17.928932729215699</v>
      </c>
      <c r="E1918" s="116">
        <v>19.256180576131101</v>
      </c>
      <c r="F1918" s="116">
        <v>295.60000000000002</v>
      </c>
      <c r="G1918">
        <v>111252</v>
      </c>
      <c r="H1918" s="116"/>
      <c r="I1918" s="116"/>
      <c r="L1918" s="170">
        <v>44827</v>
      </c>
      <c r="M1918" s="116">
        <v>517.45000000000005</v>
      </c>
      <c r="N1918" s="116">
        <v>547.95000000000005</v>
      </c>
      <c r="O1918" s="116">
        <v>505</v>
      </c>
      <c r="P1918" s="116">
        <v>547.95000000000005</v>
      </c>
      <c r="Q1918" s="116">
        <v>517.45000000000005</v>
      </c>
      <c r="R1918">
        <v>4292209</v>
      </c>
    </row>
    <row r="1919" spans="1:18" x14ac:dyDescent="0.25">
      <c r="A1919" s="170">
        <v>44831</v>
      </c>
      <c r="B1919" s="116">
        <v>18.974259195760101</v>
      </c>
      <c r="C1919" s="116">
        <v>18.2171894215052</v>
      </c>
      <c r="D1919" s="116">
        <v>17.944771009011799</v>
      </c>
      <c r="E1919" s="116">
        <v>18.5783022008569</v>
      </c>
      <c r="F1919" s="116">
        <v>287.55</v>
      </c>
      <c r="G1919">
        <v>26302</v>
      </c>
      <c r="H1919" s="116"/>
      <c r="I1919" s="116"/>
      <c r="L1919" s="170">
        <v>44830</v>
      </c>
      <c r="M1919" s="116">
        <v>478.05</v>
      </c>
      <c r="N1919" s="116">
        <v>517</v>
      </c>
      <c r="O1919" s="116">
        <v>474.05</v>
      </c>
      <c r="P1919" s="116">
        <v>517</v>
      </c>
      <c r="Q1919" s="116">
        <v>478.05</v>
      </c>
      <c r="R1919">
        <v>4010674</v>
      </c>
    </row>
    <row r="1920" spans="1:18" x14ac:dyDescent="0.25">
      <c r="A1920" s="170">
        <v>44832</v>
      </c>
      <c r="B1920" s="116">
        <v>18.796870462043501</v>
      </c>
      <c r="C1920" s="116">
        <v>18.144333334443001</v>
      </c>
      <c r="D1920" s="116">
        <v>17.960609288808001</v>
      </c>
      <c r="E1920" s="116">
        <v>18.055638967584699</v>
      </c>
      <c r="F1920" s="116">
        <v>286.39999999999998</v>
      </c>
      <c r="G1920">
        <v>38238</v>
      </c>
      <c r="H1920" s="116"/>
      <c r="I1920" s="116"/>
      <c r="L1920" s="170">
        <v>44831</v>
      </c>
      <c r="M1920" s="116">
        <v>461.9</v>
      </c>
      <c r="N1920" s="116">
        <v>493</v>
      </c>
      <c r="O1920" s="116">
        <v>460</v>
      </c>
      <c r="P1920" s="116">
        <v>485</v>
      </c>
      <c r="Q1920" s="116">
        <v>461.9</v>
      </c>
      <c r="R1920">
        <v>5092422</v>
      </c>
    </row>
    <row r="1921" spans="1:18" x14ac:dyDescent="0.25">
      <c r="A1921" s="170">
        <v>44833</v>
      </c>
      <c r="B1921" s="116">
        <v>19.322701351274901</v>
      </c>
      <c r="C1921" s="116">
        <v>18.9394149802086</v>
      </c>
      <c r="D1921" s="116">
        <v>18.651158287919099</v>
      </c>
      <c r="E1921" s="116">
        <v>18.6891701594298</v>
      </c>
      <c r="F1921" s="116">
        <v>298.95</v>
      </c>
      <c r="G1921">
        <v>46615</v>
      </c>
      <c r="H1921" s="116"/>
      <c r="I1921" s="116"/>
      <c r="L1921" s="170">
        <v>44832</v>
      </c>
      <c r="M1921" s="116">
        <v>463.85</v>
      </c>
      <c r="N1921" s="116">
        <v>485</v>
      </c>
      <c r="O1921" s="116">
        <v>452</v>
      </c>
      <c r="P1921" s="116">
        <v>456.2</v>
      </c>
      <c r="Q1921" s="116">
        <v>463.85</v>
      </c>
      <c r="R1921">
        <v>8673721</v>
      </c>
    </row>
    <row r="1922" spans="1:18" x14ac:dyDescent="0.25">
      <c r="A1922" s="170">
        <v>44834</v>
      </c>
      <c r="B1922" s="116">
        <v>19.164318553313599</v>
      </c>
      <c r="C1922" s="116">
        <v>18.838049989513401</v>
      </c>
      <c r="D1922" s="116">
        <v>18.6891701594298</v>
      </c>
      <c r="E1922" s="116">
        <v>18.9394149802086</v>
      </c>
      <c r="F1922" s="116">
        <v>297.35000000000002</v>
      </c>
      <c r="G1922">
        <v>25946</v>
      </c>
      <c r="H1922" s="116"/>
      <c r="I1922" s="116"/>
      <c r="L1922" s="170">
        <v>44833</v>
      </c>
      <c r="M1922" s="116">
        <v>470.55</v>
      </c>
      <c r="N1922" s="116">
        <v>478</v>
      </c>
      <c r="O1922" s="116">
        <v>465</v>
      </c>
      <c r="P1922" s="116">
        <v>474.35</v>
      </c>
      <c r="Q1922" s="116">
        <v>470.55</v>
      </c>
      <c r="R1922">
        <v>4095077</v>
      </c>
    </row>
    <row r="1923" spans="1:18" x14ac:dyDescent="0.25">
      <c r="A1923" s="170">
        <v>44837</v>
      </c>
      <c r="B1923" s="116">
        <v>19.195995112905901</v>
      </c>
      <c r="C1923" s="116">
        <v>18.762026246491999</v>
      </c>
      <c r="D1923" s="116">
        <v>18.5624639210608</v>
      </c>
      <c r="E1923" s="116">
        <v>19.072456530496101</v>
      </c>
      <c r="F1923" s="116">
        <v>296.14999999999998</v>
      </c>
      <c r="G1923">
        <v>19336</v>
      </c>
      <c r="H1923" s="116"/>
      <c r="I1923" s="116"/>
      <c r="L1923" s="170">
        <v>44834</v>
      </c>
      <c r="M1923" s="116">
        <v>479.8</v>
      </c>
      <c r="N1923" s="116">
        <v>484.45</v>
      </c>
      <c r="O1923" s="116">
        <v>468</v>
      </c>
      <c r="P1923" s="116">
        <v>472</v>
      </c>
      <c r="Q1923" s="116">
        <v>479.8</v>
      </c>
      <c r="R1923">
        <v>2534348</v>
      </c>
    </row>
    <row r="1924" spans="1:18" x14ac:dyDescent="0.25">
      <c r="A1924" s="170">
        <v>44838</v>
      </c>
      <c r="B1924" s="116">
        <v>19.306863071478698</v>
      </c>
      <c r="C1924" s="116">
        <v>18.594140480653</v>
      </c>
      <c r="D1924" s="116">
        <v>18.442092994610199</v>
      </c>
      <c r="E1924" s="116">
        <v>19.306863071478698</v>
      </c>
      <c r="F1924" s="116">
        <v>293.5</v>
      </c>
      <c r="G1924">
        <v>24572</v>
      </c>
      <c r="H1924" s="116"/>
      <c r="I1924" s="116"/>
      <c r="L1924" s="170">
        <v>44837</v>
      </c>
      <c r="M1924" s="116">
        <v>480.9</v>
      </c>
      <c r="N1924" s="116">
        <v>500.95</v>
      </c>
      <c r="O1924" s="116">
        <v>475</v>
      </c>
      <c r="P1924" s="116">
        <v>481.7</v>
      </c>
      <c r="Q1924" s="116">
        <v>480.9</v>
      </c>
      <c r="R1924">
        <v>2766302</v>
      </c>
    </row>
    <row r="1925" spans="1:18" x14ac:dyDescent="0.25">
      <c r="A1925" s="170">
        <v>44840</v>
      </c>
      <c r="B1925" s="116">
        <v>19.0344446589854</v>
      </c>
      <c r="C1925" s="116">
        <v>18.616314072367601</v>
      </c>
      <c r="D1925" s="116">
        <v>18.277374884730499</v>
      </c>
      <c r="E1925" s="116">
        <v>18.594140480653</v>
      </c>
      <c r="F1925" s="116">
        <v>293.85000000000002</v>
      </c>
      <c r="G1925">
        <v>21216</v>
      </c>
      <c r="H1925" s="116"/>
      <c r="I1925" s="116"/>
      <c r="L1925" s="170">
        <v>44838</v>
      </c>
      <c r="M1925" s="116">
        <v>495.3</v>
      </c>
      <c r="N1925" s="116">
        <v>499.25</v>
      </c>
      <c r="O1925" s="116">
        <v>487.55</v>
      </c>
      <c r="P1925" s="116">
        <v>488</v>
      </c>
      <c r="Q1925" s="116">
        <v>495.3</v>
      </c>
      <c r="R1925">
        <v>2069082</v>
      </c>
    </row>
    <row r="1926" spans="1:18" x14ac:dyDescent="0.25">
      <c r="A1926" s="170">
        <v>44841</v>
      </c>
      <c r="B1926" s="116">
        <v>19.069288874536799</v>
      </c>
      <c r="C1926" s="116">
        <v>19.0344446589854</v>
      </c>
      <c r="D1926" s="116">
        <v>18.252033637056702</v>
      </c>
      <c r="E1926" s="116">
        <v>18.727182030940501</v>
      </c>
      <c r="F1926" s="116">
        <v>300.45</v>
      </c>
      <c r="G1926">
        <v>25504</v>
      </c>
      <c r="H1926" s="116"/>
      <c r="I1926" s="116"/>
      <c r="L1926" s="170">
        <v>44840</v>
      </c>
      <c r="M1926" s="116">
        <v>501.25</v>
      </c>
      <c r="N1926" s="116">
        <v>509.2</v>
      </c>
      <c r="O1926" s="116">
        <v>497.8</v>
      </c>
      <c r="P1926" s="116">
        <v>499.5</v>
      </c>
      <c r="Q1926" s="116">
        <v>501.25</v>
      </c>
      <c r="R1926">
        <v>1601352</v>
      </c>
    </row>
    <row r="1927" spans="1:18" x14ac:dyDescent="0.25">
      <c r="A1927" s="170">
        <v>44844</v>
      </c>
      <c r="B1927" s="116">
        <v>19.069288874536799</v>
      </c>
      <c r="C1927" s="116">
        <v>19.012271067270799</v>
      </c>
      <c r="D1927" s="116">
        <v>18.435757682691801</v>
      </c>
      <c r="E1927" s="116">
        <v>18.879229516983301</v>
      </c>
      <c r="F1927" s="116">
        <v>300.10000000000002</v>
      </c>
      <c r="G1927">
        <v>25047</v>
      </c>
      <c r="H1927" s="116"/>
      <c r="I1927" s="116"/>
      <c r="L1927" s="170">
        <v>44841</v>
      </c>
      <c r="M1927" s="116">
        <v>500.7</v>
      </c>
      <c r="N1927" s="116">
        <v>504</v>
      </c>
      <c r="O1927" s="116">
        <v>494.9</v>
      </c>
      <c r="P1927" s="116">
        <v>502</v>
      </c>
      <c r="Q1927" s="116">
        <v>500.7</v>
      </c>
      <c r="R1927">
        <v>805811</v>
      </c>
    </row>
    <row r="1928" spans="1:18" x14ac:dyDescent="0.25">
      <c r="A1928" s="170">
        <v>44845</v>
      </c>
      <c r="B1928" s="116">
        <v>20.589763734965</v>
      </c>
      <c r="C1928" s="116">
        <v>19.848532240506302</v>
      </c>
      <c r="D1928" s="116">
        <v>18.847552957391098</v>
      </c>
      <c r="E1928" s="116">
        <v>18.996432787474699</v>
      </c>
      <c r="F1928" s="116">
        <v>313.3</v>
      </c>
      <c r="G1928">
        <v>87941</v>
      </c>
      <c r="H1928" s="116"/>
      <c r="I1928" s="116"/>
      <c r="L1928" s="170">
        <v>44844</v>
      </c>
      <c r="M1928" s="116">
        <v>497.2</v>
      </c>
      <c r="N1928" s="116">
        <v>502.5</v>
      </c>
      <c r="O1928" s="116">
        <v>490</v>
      </c>
      <c r="P1928" s="116">
        <v>492</v>
      </c>
      <c r="Q1928" s="116">
        <v>497.2</v>
      </c>
      <c r="R1928">
        <v>892073</v>
      </c>
    </row>
    <row r="1929" spans="1:18" x14ac:dyDescent="0.25">
      <c r="A1929" s="170">
        <v>44846</v>
      </c>
      <c r="B1929" s="116">
        <v>20.779823092518601</v>
      </c>
      <c r="C1929" s="116">
        <v>19.7851791213218</v>
      </c>
      <c r="D1929" s="116">
        <v>19.458910557521602</v>
      </c>
      <c r="E1929" s="116">
        <v>19.956232543119999</v>
      </c>
      <c r="F1929" s="116">
        <v>312.3</v>
      </c>
      <c r="G1929">
        <v>48407</v>
      </c>
      <c r="H1929" s="116"/>
      <c r="I1929" s="116"/>
      <c r="L1929" s="170">
        <v>44845</v>
      </c>
      <c r="M1929" s="116">
        <v>480.65</v>
      </c>
      <c r="N1929" s="116">
        <v>500.9</v>
      </c>
      <c r="O1929" s="116">
        <v>478.8</v>
      </c>
      <c r="P1929" s="116">
        <v>499.1</v>
      </c>
      <c r="Q1929" s="116">
        <v>480.65</v>
      </c>
      <c r="R1929">
        <v>898264</v>
      </c>
    </row>
    <row r="1930" spans="1:18" x14ac:dyDescent="0.25">
      <c r="A1930" s="170">
        <v>44847</v>
      </c>
      <c r="B1930" s="116">
        <v>20.2729981390425</v>
      </c>
      <c r="C1930" s="116">
        <v>19.436736965807</v>
      </c>
      <c r="D1930" s="116">
        <v>19.1199713698845</v>
      </c>
      <c r="E1930" s="116">
        <v>19.9530648871607</v>
      </c>
      <c r="F1930" s="116">
        <v>306.8</v>
      </c>
      <c r="G1930">
        <v>38154</v>
      </c>
      <c r="H1930" s="116"/>
      <c r="I1930" s="116"/>
      <c r="L1930" s="170">
        <v>44846</v>
      </c>
      <c r="M1930" s="116">
        <v>492.1</v>
      </c>
      <c r="N1930" s="116">
        <v>493.9</v>
      </c>
      <c r="O1930" s="116">
        <v>476.2</v>
      </c>
      <c r="P1930" s="116">
        <v>480</v>
      </c>
      <c r="Q1930" s="116">
        <v>492.1</v>
      </c>
      <c r="R1930">
        <v>1438585</v>
      </c>
    </row>
    <row r="1931" spans="1:18" x14ac:dyDescent="0.25">
      <c r="A1931" s="170">
        <v>44848</v>
      </c>
      <c r="B1931" s="116">
        <v>20.010082694426799</v>
      </c>
      <c r="C1931" s="116">
        <v>19.671143506789701</v>
      </c>
      <c r="D1931" s="116">
        <v>19.500090084991498</v>
      </c>
      <c r="E1931" s="116">
        <v>19.705987722341099</v>
      </c>
      <c r="F1931" s="116">
        <v>310.5</v>
      </c>
      <c r="G1931">
        <v>16366</v>
      </c>
      <c r="H1931" s="116"/>
      <c r="I1931" s="116"/>
      <c r="L1931" s="170">
        <v>44847</v>
      </c>
      <c r="M1931" s="116">
        <v>502.25</v>
      </c>
      <c r="N1931" s="116">
        <v>507.35</v>
      </c>
      <c r="O1931" s="116">
        <v>487.6</v>
      </c>
      <c r="P1931" s="116">
        <v>490.2</v>
      </c>
      <c r="Q1931" s="116">
        <v>502.25</v>
      </c>
      <c r="R1931">
        <v>1489001</v>
      </c>
    </row>
    <row r="1932" spans="1:18" x14ac:dyDescent="0.25">
      <c r="A1932" s="170">
        <v>44851</v>
      </c>
      <c r="B1932" s="116">
        <v>19.851699896465501</v>
      </c>
      <c r="C1932" s="116">
        <v>19.6869817865858</v>
      </c>
      <c r="D1932" s="116">
        <v>19.176989177150499</v>
      </c>
      <c r="E1932" s="116">
        <v>19.4525752456031</v>
      </c>
      <c r="F1932" s="116">
        <v>310.75</v>
      </c>
      <c r="G1932">
        <v>19504</v>
      </c>
      <c r="H1932" s="116"/>
      <c r="I1932" s="116"/>
      <c r="L1932" s="170">
        <v>44848</v>
      </c>
      <c r="M1932" s="116">
        <v>503.55</v>
      </c>
      <c r="N1932" s="116">
        <v>512</v>
      </c>
      <c r="O1932" s="116">
        <v>499.75</v>
      </c>
      <c r="P1932" s="116">
        <v>510</v>
      </c>
      <c r="Q1932" s="116">
        <v>503.55</v>
      </c>
      <c r="R1932">
        <v>1020408</v>
      </c>
    </row>
    <row r="1933" spans="1:18" x14ac:dyDescent="0.25">
      <c r="A1933" s="170">
        <v>44852</v>
      </c>
      <c r="B1933" s="116">
        <v>19.8421969285878</v>
      </c>
      <c r="C1933" s="116">
        <v>19.259348232090399</v>
      </c>
      <c r="D1933" s="116">
        <v>18.942582636167799</v>
      </c>
      <c r="E1933" s="116">
        <v>19.8421969285878</v>
      </c>
      <c r="F1933" s="116">
        <v>304</v>
      </c>
      <c r="G1933">
        <v>29857</v>
      </c>
      <c r="H1933" s="116"/>
      <c r="I1933" s="116"/>
      <c r="L1933" s="170">
        <v>44851</v>
      </c>
      <c r="M1933" s="116">
        <v>502.2</v>
      </c>
      <c r="N1933" s="116">
        <v>522.85</v>
      </c>
      <c r="O1933" s="116">
        <v>498.35</v>
      </c>
      <c r="P1933" s="116">
        <v>502.45</v>
      </c>
      <c r="Q1933" s="116">
        <v>502.2</v>
      </c>
      <c r="R1933">
        <v>3142466</v>
      </c>
    </row>
    <row r="1934" spans="1:18" x14ac:dyDescent="0.25">
      <c r="A1934" s="170">
        <v>44853</v>
      </c>
      <c r="B1934" s="116">
        <v>19.7028200663819</v>
      </c>
      <c r="C1934" s="116">
        <v>18.806373429921099</v>
      </c>
      <c r="D1934" s="116">
        <v>18.6891701594298</v>
      </c>
      <c r="E1934" s="116">
        <v>19.7028200663819</v>
      </c>
      <c r="F1934" s="116">
        <v>296.85000000000002</v>
      </c>
      <c r="G1934">
        <v>19484</v>
      </c>
      <c r="H1934" s="116"/>
      <c r="I1934" s="116"/>
      <c r="L1934" s="170">
        <v>44852</v>
      </c>
      <c r="M1934" s="116">
        <v>524.29999999999995</v>
      </c>
      <c r="N1934" s="116">
        <v>526</v>
      </c>
      <c r="O1934" s="116">
        <v>496</v>
      </c>
      <c r="P1934" s="116">
        <v>496</v>
      </c>
      <c r="Q1934" s="116">
        <v>524.29999999999995</v>
      </c>
      <c r="R1934">
        <v>4010695</v>
      </c>
    </row>
    <row r="1935" spans="1:18" x14ac:dyDescent="0.25">
      <c r="A1935" s="170">
        <v>44854</v>
      </c>
      <c r="B1935" s="116">
        <v>19.310030727438001</v>
      </c>
      <c r="C1935" s="116">
        <v>18.7841998382066</v>
      </c>
      <c r="D1935" s="116">
        <v>18.625817040245298</v>
      </c>
      <c r="E1935" s="116">
        <v>19.310030727438001</v>
      </c>
      <c r="F1935" s="116">
        <v>296.5</v>
      </c>
      <c r="G1935">
        <v>18746</v>
      </c>
      <c r="H1935" s="116"/>
      <c r="I1935" s="116"/>
      <c r="L1935" s="170">
        <v>44853</v>
      </c>
      <c r="M1935" s="116">
        <v>519.5</v>
      </c>
      <c r="N1935" s="116">
        <v>530.9</v>
      </c>
      <c r="O1935" s="116">
        <v>516.45000000000005</v>
      </c>
      <c r="P1935" s="116">
        <v>526</v>
      </c>
      <c r="Q1935" s="116">
        <v>519.5</v>
      </c>
      <c r="R1935">
        <v>1579383</v>
      </c>
    </row>
    <row r="1936" spans="1:18" x14ac:dyDescent="0.25">
      <c r="A1936" s="170">
        <v>44855</v>
      </c>
      <c r="B1936" s="116">
        <v>21.115594624196401</v>
      </c>
      <c r="C1936" s="116">
        <v>20.630943262435</v>
      </c>
      <c r="D1936" s="116">
        <v>18.879229516983301</v>
      </c>
      <c r="E1936" s="116">
        <v>18.879229516983301</v>
      </c>
      <c r="F1936" s="116">
        <v>325.64999999999998</v>
      </c>
      <c r="G1936">
        <v>105293</v>
      </c>
      <c r="H1936" s="116"/>
      <c r="I1936" s="116"/>
      <c r="L1936" s="170">
        <v>44854</v>
      </c>
      <c r="M1936" s="116">
        <v>521.25</v>
      </c>
      <c r="N1936" s="116">
        <v>523.20000000000005</v>
      </c>
      <c r="O1936" s="116">
        <v>510.3</v>
      </c>
      <c r="P1936" s="116">
        <v>519.45000000000005</v>
      </c>
      <c r="Q1936" s="116">
        <v>521.25</v>
      </c>
      <c r="R1936">
        <v>872512</v>
      </c>
    </row>
    <row r="1937" spans="1:18" x14ac:dyDescent="0.25">
      <c r="A1937" s="170">
        <v>44858</v>
      </c>
      <c r="B1937" s="116">
        <v>22.236944833762202</v>
      </c>
      <c r="C1937" s="116">
        <v>21.780802375633801</v>
      </c>
      <c r="D1937" s="116">
        <v>21.0649121288488</v>
      </c>
      <c r="E1937" s="116">
        <v>21.0649121288488</v>
      </c>
      <c r="F1937" s="116">
        <v>343.8</v>
      </c>
      <c r="G1937">
        <v>92011</v>
      </c>
      <c r="H1937" s="116"/>
      <c r="I1937" s="116"/>
      <c r="L1937" s="170">
        <v>44855</v>
      </c>
      <c r="M1937" s="116">
        <v>521.15</v>
      </c>
      <c r="N1937" s="116">
        <v>530.95000000000005</v>
      </c>
      <c r="O1937" s="116">
        <v>515.25</v>
      </c>
      <c r="P1937" s="116">
        <v>523</v>
      </c>
      <c r="Q1937" s="116">
        <v>521.15</v>
      </c>
      <c r="R1937">
        <v>1067982</v>
      </c>
    </row>
    <row r="1938" spans="1:18" x14ac:dyDescent="0.25">
      <c r="A1938" s="170">
        <v>44859</v>
      </c>
      <c r="B1938" s="116">
        <v>22.1735917145777</v>
      </c>
      <c r="C1938" s="116">
        <v>21.445030843955902</v>
      </c>
      <c r="D1938" s="116">
        <v>21.026900257338099</v>
      </c>
      <c r="E1938" s="116">
        <v>21.856826118655199</v>
      </c>
      <c r="F1938" s="116">
        <v>338.5</v>
      </c>
      <c r="G1938">
        <v>55448</v>
      </c>
      <c r="H1938" s="116"/>
      <c r="I1938" s="116"/>
      <c r="L1938" s="170">
        <v>44858</v>
      </c>
      <c r="M1938" s="116">
        <v>524.75</v>
      </c>
      <c r="N1938" s="116">
        <v>528.65</v>
      </c>
      <c r="O1938" s="116">
        <v>523</v>
      </c>
      <c r="P1938" s="116">
        <v>525.9</v>
      </c>
      <c r="Q1938" s="116">
        <v>524.75</v>
      </c>
      <c r="R1938">
        <v>216356</v>
      </c>
    </row>
    <row r="1939" spans="1:18" x14ac:dyDescent="0.25">
      <c r="A1939" s="170">
        <v>44861</v>
      </c>
      <c r="B1939" s="116">
        <v>22.439674815152699</v>
      </c>
      <c r="C1939" s="116">
        <v>22.335142168498201</v>
      </c>
      <c r="D1939" s="116">
        <v>21.6192519217133</v>
      </c>
      <c r="E1939" s="116">
        <v>22.037382508331</v>
      </c>
      <c r="F1939" s="116">
        <v>352.55</v>
      </c>
      <c r="G1939">
        <v>78101</v>
      </c>
      <c r="H1939" s="116"/>
      <c r="I1939" s="116"/>
      <c r="L1939" s="170">
        <v>44859</v>
      </c>
      <c r="M1939" s="116">
        <v>525.85</v>
      </c>
      <c r="N1939" s="116">
        <v>528.54999999999995</v>
      </c>
      <c r="O1939" s="116">
        <v>513.79999999999995</v>
      </c>
      <c r="P1939" s="116">
        <v>525.5</v>
      </c>
      <c r="Q1939" s="116">
        <v>525.85</v>
      </c>
      <c r="R1939">
        <v>1084772</v>
      </c>
    </row>
    <row r="1940" spans="1:18" x14ac:dyDescent="0.25">
      <c r="A1940" s="170">
        <v>44862</v>
      </c>
      <c r="B1940" s="116">
        <v>25.3412476738031</v>
      </c>
      <c r="C1940" s="116">
        <v>24.349771358565601</v>
      </c>
      <c r="D1940" s="116">
        <v>22.3002979529467</v>
      </c>
      <c r="E1940" s="116">
        <v>22.487189654541002</v>
      </c>
      <c r="F1940" s="116">
        <v>384.35</v>
      </c>
      <c r="G1940">
        <v>175101</v>
      </c>
      <c r="H1940" s="116"/>
      <c r="I1940" s="116"/>
      <c r="L1940" s="170">
        <v>44861</v>
      </c>
      <c r="M1940" s="116">
        <v>519</v>
      </c>
      <c r="N1940" s="116">
        <v>527</v>
      </c>
      <c r="O1940" s="116">
        <v>515</v>
      </c>
      <c r="P1940" s="116">
        <v>525.04999999999995</v>
      </c>
      <c r="Q1940" s="116">
        <v>519</v>
      </c>
      <c r="R1940">
        <v>719269</v>
      </c>
    </row>
    <row r="1941" spans="1:18" x14ac:dyDescent="0.25">
      <c r="A1941" s="170">
        <v>44865</v>
      </c>
      <c r="B1941" s="116">
        <v>29.136099512955099</v>
      </c>
      <c r="C1941" s="116">
        <v>27.248176561256798</v>
      </c>
      <c r="D1941" s="116">
        <v>24.485980564812301</v>
      </c>
      <c r="E1941" s="116">
        <v>25.024482077880599</v>
      </c>
      <c r="F1941" s="116">
        <v>430.1</v>
      </c>
      <c r="G1941">
        <v>336083</v>
      </c>
      <c r="H1941" s="116"/>
      <c r="I1941" s="116"/>
      <c r="L1941" s="170">
        <v>44862</v>
      </c>
      <c r="M1941" s="116">
        <v>516.35</v>
      </c>
      <c r="N1941" s="116">
        <v>524.95000000000005</v>
      </c>
      <c r="O1941" s="116">
        <v>514</v>
      </c>
      <c r="P1941" s="116">
        <v>520.5</v>
      </c>
      <c r="Q1941" s="116">
        <v>516.35</v>
      </c>
      <c r="R1941">
        <v>404391</v>
      </c>
    </row>
    <row r="1942" spans="1:18" x14ac:dyDescent="0.25">
      <c r="A1942" s="170">
        <v>44866</v>
      </c>
      <c r="B1942" s="116">
        <v>28.318844275475001</v>
      </c>
      <c r="C1942" s="116">
        <v>26.237694310263901</v>
      </c>
      <c r="D1942" s="116">
        <v>25.417271416824502</v>
      </c>
      <c r="E1942" s="116">
        <v>28.318844275475001</v>
      </c>
      <c r="F1942" s="116">
        <v>414.15</v>
      </c>
      <c r="G1942">
        <v>115521</v>
      </c>
      <c r="H1942" s="116"/>
      <c r="I1942" s="116"/>
      <c r="L1942" s="170">
        <v>44865</v>
      </c>
      <c r="M1942" s="116">
        <v>524.35</v>
      </c>
      <c r="N1942" s="116">
        <v>526</v>
      </c>
      <c r="O1942" s="116">
        <v>517.04999999999995</v>
      </c>
      <c r="P1942" s="116">
        <v>518.5</v>
      </c>
      <c r="Q1942" s="116">
        <v>524.35</v>
      </c>
      <c r="R1942">
        <v>484944</v>
      </c>
    </row>
    <row r="1943" spans="1:18" x14ac:dyDescent="0.25">
      <c r="A1943" s="170">
        <v>44867</v>
      </c>
      <c r="B1943" s="116">
        <v>27.368547487707399</v>
      </c>
      <c r="C1943" s="116">
        <v>26.424586011858199</v>
      </c>
      <c r="D1943" s="116">
        <v>25.7562106044616</v>
      </c>
      <c r="E1943" s="116">
        <v>26.605142401534</v>
      </c>
      <c r="F1943" s="116">
        <v>417.1</v>
      </c>
      <c r="G1943">
        <v>41367</v>
      </c>
      <c r="H1943" s="116"/>
      <c r="I1943" s="116"/>
      <c r="L1943" s="170">
        <v>44866</v>
      </c>
      <c r="M1943" s="116">
        <v>521</v>
      </c>
      <c r="N1943" s="116">
        <v>528</v>
      </c>
      <c r="O1943" s="116">
        <v>519.20000000000005</v>
      </c>
      <c r="P1943" s="116">
        <v>525.04999999999995</v>
      </c>
      <c r="Q1943" s="116">
        <v>521</v>
      </c>
      <c r="R1943">
        <v>372771</v>
      </c>
    </row>
    <row r="1944" spans="1:18" x14ac:dyDescent="0.25">
      <c r="A1944" s="170">
        <v>44868</v>
      </c>
      <c r="B1944" s="116">
        <v>27.115135010969301</v>
      </c>
      <c r="C1944" s="116">
        <v>26.833213630598301</v>
      </c>
      <c r="D1944" s="116">
        <v>26.038131984832699</v>
      </c>
      <c r="E1944" s="116">
        <v>26.038131984832699</v>
      </c>
      <c r="F1944" s="116">
        <v>423.55</v>
      </c>
      <c r="G1944">
        <v>41841</v>
      </c>
      <c r="H1944" s="116"/>
      <c r="I1944" s="116"/>
      <c r="L1944" s="170">
        <v>44867</v>
      </c>
      <c r="M1944" s="116">
        <v>507.3</v>
      </c>
      <c r="N1944" s="116">
        <v>523.65</v>
      </c>
      <c r="O1944" s="116">
        <v>500.6</v>
      </c>
      <c r="P1944" s="116">
        <v>523.65</v>
      </c>
      <c r="Q1944" s="116">
        <v>507.3</v>
      </c>
      <c r="R1944">
        <v>1196586</v>
      </c>
    </row>
    <row r="1945" spans="1:18" x14ac:dyDescent="0.25">
      <c r="A1945" s="170">
        <v>44869</v>
      </c>
      <c r="B1945" s="116">
        <v>27.495253726076399</v>
      </c>
      <c r="C1945" s="116">
        <v>26.440424291654299</v>
      </c>
      <c r="D1945" s="116">
        <v>26.164838223201698</v>
      </c>
      <c r="E1945" s="116">
        <v>27.178488130153799</v>
      </c>
      <c r="F1945" s="116">
        <v>417.35</v>
      </c>
      <c r="G1945">
        <v>24961</v>
      </c>
      <c r="H1945" s="116"/>
      <c r="I1945" s="116"/>
      <c r="L1945" s="170">
        <v>44868</v>
      </c>
      <c r="M1945" s="116">
        <v>521.15</v>
      </c>
      <c r="N1945" s="116">
        <v>522.75</v>
      </c>
      <c r="O1945" s="116">
        <v>498.95</v>
      </c>
      <c r="P1945" s="116">
        <v>506.45</v>
      </c>
      <c r="Q1945" s="116">
        <v>521.15</v>
      </c>
      <c r="R1945">
        <v>1192676</v>
      </c>
    </row>
    <row r="1946" spans="1:18" x14ac:dyDescent="0.25">
      <c r="A1946" s="170">
        <v>44872</v>
      </c>
      <c r="B1946" s="116">
        <v>28.825669228951</v>
      </c>
      <c r="C1946" s="116">
        <v>28.331514899311902</v>
      </c>
      <c r="D1946" s="116">
        <v>26.735016295862302</v>
      </c>
      <c r="E1946" s="116">
        <v>26.858554878272098</v>
      </c>
      <c r="F1946" s="116">
        <v>447.2</v>
      </c>
      <c r="G1946">
        <v>88470</v>
      </c>
      <c r="H1946" s="116"/>
      <c r="I1946" s="116"/>
      <c r="L1946" s="170">
        <v>44869</v>
      </c>
      <c r="M1946" s="116">
        <v>516.25</v>
      </c>
      <c r="N1946" s="116">
        <v>522.75</v>
      </c>
      <c r="O1946" s="116">
        <v>511.2</v>
      </c>
      <c r="P1946" s="116">
        <v>521.15</v>
      </c>
      <c r="Q1946" s="116">
        <v>516.25</v>
      </c>
      <c r="R1946">
        <v>540693</v>
      </c>
    </row>
    <row r="1947" spans="1:18" x14ac:dyDescent="0.25">
      <c r="A1947" s="170">
        <v>44874</v>
      </c>
      <c r="B1947" s="116">
        <v>30.029378493456701</v>
      </c>
      <c r="C1947" s="116">
        <v>29.091752329525999</v>
      </c>
      <c r="D1947" s="116">
        <v>28.635609871397499</v>
      </c>
      <c r="E1947" s="116">
        <v>28.822501572991801</v>
      </c>
      <c r="F1947" s="116">
        <v>459.2</v>
      </c>
      <c r="G1947">
        <v>70156</v>
      </c>
      <c r="H1947" s="116"/>
      <c r="I1947" s="116"/>
      <c r="L1947" s="170">
        <v>44872</v>
      </c>
      <c r="M1947" s="116">
        <v>521.79999999999995</v>
      </c>
      <c r="N1947" s="116">
        <v>530</v>
      </c>
      <c r="O1947" s="116">
        <v>518.25</v>
      </c>
      <c r="P1947" s="116">
        <v>518.85</v>
      </c>
      <c r="Q1947" s="116">
        <v>521.79999999999995</v>
      </c>
      <c r="R1947">
        <v>560519</v>
      </c>
    </row>
    <row r="1948" spans="1:18" x14ac:dyDescent="0.25">
      <c r="A1948" s="170">
        <v>44875</v>
      </c>
      <c r="B1948" s="116">
        <v>29.1424348248736</v>
      </c>
      <c r="C1948" s="116">
        <v>26.817375350802099</v>
      </c>
      <c r="D1948" s="116">
        <v>26.3548975807552</v>
      </c>
      <c r="E1948" s="116">
        <v>29.136099512955099</v>
      </c>
      <c r="F1948" s="116">
        <v>423.3</v>
      </c>
      <c r="G1948">
        <v>67279</v>
      </c>
      <c r="H1948" s="116"/>
      <c r="I1948" s="116"/>
      <c r="L1948" s="170">
        <v>44874</v>
      </c>
      <c r="M1948" s="116">
        <v>534.79999999999995</v>
      </c>
      <c r="N1948" s="116">
        <v>538.95000000000005</v>
      </c>
      <c r="O1948" s="116">
        <v>522.25</v>
      </c>
      <c r="P1948" s="116">
        <v>525</v>
      </c>
      <c r="Q1948" s="116">
        <v>534.79999999999995</v>
      </c>
      <c r="R1948">
        <v>1459380</v>
      </c>
    </row>
    <row r="1949" spans="1:18" x14ac:dyDescent="0.25">
      <c r="A1949" s="170">
        <v>44876</v>
      </c>
      <c r="B1949" s="116">
        <v>28.1731321013506</v>
      </c>
      <c r="C1949" s="116">
        <v>26.972590492804201</v>
      </c>
      <c r="D1949" s="116">
        <v>26.4372566356951</v>
      </c>
      <c r="E1949" s="116">
        <v>27.742330890896</v>
      </c>
      <c r="F1949" s="116">
        <v>425.75</v>
      </c>
      <c r="G1949">
        <v>44190</v>
      </c>
      <c r="H1949" s="116"/>
      <c r="I1949" s="116"/>
      <c r="L1949" s="170">
        <v>44875</v>
      </c>
      <c r="M1949" s="116">
        <v>531.04999999999995</v>
      </c>
      <c r="N1949" s="116">
        <v>537.65</v>
      </c>
      <c r="O1949" s="116">
        <v>527.04999999999995</v>
      </c>
      <c r="P1949" s="116">
        <v>534.70000000000005</v>
      </c>
      <c r="Q1949" s="116">
        <v>531.04999999999995</v>
      </c>
      <c r="R1949">
        <v>711156</v>
      </c>
    </row>
    <row r="1950" spans="1:18" x14ac:dyDescent="0.25">
      <c r="A1950" s="170">
        <v>44879</v>
      </c>
      <c r="B1950" s="116">
        <v>27.2418412493384</v>
      </c>
      <c r="C1950" s="116">
        <v>26.301047429448399</v>
      </c>
      <c r="D1950" s="116">
        <v>25.594660150541099</v>
      </c>
      <c r="E1950" s="116">
        <v>27.2418412493384</v>
      </c>
      <c r="F1950" s="116">
        <v>415.15</v>
      </c>
      <c r="G1950">
        <v>31733</v>
      </c>
      <c r="H1950" s="116"/>
      <c r="I1950" s="116"/>
      <c r="L1950" s="170">
        <v>44876</v>
      </c>
      <c r="M1950" s="116">
        <v>535.54999999999995</v>
      </c>
      <c r="N1950" s="116">
        <v>540</v>
      </c>
      <c r="O1950" s="116">
        <v>529.70000000000005</v>
      </c>
      <c r="P1950" s="116">
        <v>538.95000000000005</v>
      </c>
      <c r="Q1950" s="116">
        <v>535.54999999999995</v>
      </c>
      <c r="R1950">
        <v>559981</v>
      </c>
    </row>
    <row r="1951" spans="1:18" x14ac:dyDescent="0.25">
      <c r="A1951" s="170">
        <v>44880</v>
      </c>
      <c r="B1951" s="116">
        <v>29.5732360353282</v>
      </c>
      <c r="C1951" s="116">
        <v>28.150958509635998</v>
      </c>
      <c r="D1951" s="116">
        <v>26.7952017590876</v>
      </c>
      <c r="E1951" s="116">
        <v>26.7952017590876</v>
      </c>
      <c r="F1951" s="116">
        <v>444.35</v>
      </c>
      <c r="G1951">
        <v>67709</v>
      </c>
      <c r="H1951" s="116"/>
      <c r="I1951" s="116"/>
      <c r="L1951" s="170">
        <v>44879</v>
      </c>
      <c r="M1951" s="116">
        <v>536.70000000000005</v>
      </c>
      <c r="N1951" s="116">
        <v>538</v>
      </c>
      <c r="O1951" s="116">
        <v>530</v>
      </c>
      <c r="P1951" s="116">
        <v>535.95000000000005</v>
      </c>
      <c r="Q1951" s="116">
        <v>536.70000000000005</v>
      </c>
      <c r="R1951">
        <v>348789</v>
      </c>
    </row>
    <row r="1952" spans="1:18" x14ac:dyDescent="0.25">
      <c r="A1952" s="170">
        <v>44881</v>
      </c>
      <c r="B1952" s="116">
        <v>29.139267168914401</v>
      </c>
      <c r="C1952" s="116">
        <v>28.052761174900098</v>
      </c>
      <c r="D1952" s="116">
        <v>27.2703501529714</v>
      </c>
      <c r="E1952" s="116">
        <v>28.946040155401601</v>
      </c>
      <c r="F1952" s="116">
        <v>442.8</v>
      </c>
      <c r="G1952">
        <v>64455</v>
      </c>
      <c r="H1952" s="116"/>
      <c r="I1952" s="116"/>
      <c r="L1952" s="170">
        <v>44880</v>
      </c>
      <c r="M1952" s="116">
        <v>535.95000000000005</v>
      </c>
      <c r="N1952" s="116">
        <v>538.9</v>
      </c>
      <c r="O1952" s="116">
        <v>532.25</v>
      </c>
      <c r="P1952" s="116">
        <v>538</v>
      </c>
      <c r="Q1952" s="116">
        <v>535.95000000000005</v>
      </c>
      <c r="R1952">
        <v>367553</v>
      </c>
    </row>
    <row r="1953" spans="1:18" x14ac:dyDescent="0.25">
      <c r="A1953" s="170">
        <v>44882</v>
      </c>
      <c r="B1953" s="116">
        <v>29.3926796456524</v>
      </c>
      <c r="C1953" s="116">
        <v>28.4898976972732</v>
      </c>
      <c r="D1953" s="116">
        <v>27.371715143666599</v>
      </c>
      <c r="E1953" s="116">
        <v>28.122449606002998</v>
      </c>
      <c r="F1953" s="116">
        <v>449.7</v>
      </c>
      <c r="G1953">
        <v>30129</v>
      </c>
      <c r="H1953" s="116"/>
      <c r="I1953" s="116"/>
      <c r="L1953" s="170">
        <v>44881</v>
      </c>
      <c r="M1953" s="116">
        <v>520.9</v>
      </c>
      <c r="N1953" s="116">
        <v>537</v>
      </c>
      <c r="O1953" s="116">
        <v>518</v>
      </c>
      <c r="P1953" s="116">
        <v>534.79999999999995</v>
      </c>
      <c r="Q1953" s="116">
        <v>520.9</v>
      </c>
      <c r="R1953">
        <v>607315</v>
      </c>
    </row>
    <row r="1954" spans="1:18" x14ac:dyDescent="0.25">
      <c r="A1954" s="170">
        <v>44883</v>
      </c>
      <c r="B1954" s="116">
        <v>29.237464503650301</v>
      </c>
      <c r="C1954" s="116">
        <v>28.543747848580001</v>
      </c>
      <c r="D1954" s="116">
        <v>27.5776127810162</v>
      </c>
      <c r="E1954" s="116">
        <v>29.132931856995899</v>
      </c>
      <c r="F1954" s="116">
        <v>450.55</v>
      </c>
      <c r="G1954">
        <v>22392</v>
      </c>
      <c r="H1954" s="116"/>
      <c r="I1954" s="116"/>
      <c r="L1954" s="170">
        <v>44882</v>
      </c>
      <c r="M1954" s="116">
        <v>518.85</v>
      </c>
      <c r="N1954" s="116">
        <v>524.85</v>
      </c>
      <c r="O1954" s="116">
        <v>511.2</v>
      </c>
      <c r="P1954" s="116">
        <v>519.45000000000005</v>
      </c>
      <c r="Q1954" s="116">
        <v>518.85</v>
      </c>
      <c r="R1954">
        <v>677692</v>
      </c>
    </row>
    <row r="1955" spans="1:18" x14ac:dyDescent="0.25">
      <c r="A1955" s="170">
        <v>44886</v>
      </c>
      <c r="B1955" s="116">
        <v>28.952375467320099</v>
      </c>
      <c r="C1955" s="116">
        <v>28.052761174900098</v>
      </c>
      <c r="D1955" s="116">
        <v>27.558606845260901</v>
      </c>
      <c r="E1955" s="116">
        <v>28.952375467320099</v>
      </c>
      <c r="F1955" s="116">
        <v>442.8</v>
      </c>
      <c r="G1955">
        <v>15587</v>
      </c>
      <c r="H1955" s="116"/>
      <c r="I1955" s="116"/>
      <c r="L1955" s="170">
        <v>44883</v>
      </c>
      <c r="M1955" s="116">
        <v>512.1</v>
      </c>
      <c r="N1955" s="116">
        <v>519.45000000000005</v>
      </c>
      <c r="O1955" s="116">
        <v>508.5</v>
      </c>
      <c r="P1955" s="116">
        <v>518.29999999999995</v>
      </c>
      <c r="Q1955" s="116">
        <v>512.1</v>
      </c>
      <c r="R1955">
        <v>464472</v>
      </c>
    </row>
    <row r="1956" spans="1:18" x14ac:dyDescent="0.25">
      <c r="A1956" s="170">
        <v>44887</v>
      </c>
      <c r="B1956" s="116">
        <v>28.493065353232399</v>
      </c>
      <c r="C1956" s="116">
        <v>27.986240399756301</v>
      </c>
      <c r="D1956" s="116">
        <v>27.8817077531019</v>
      </c>
      <c r="E1956" s="116">
        <v>28.0464258629816</v>
      </c>
      <c r="F1956" s="116">
        <v>441.75</v>
      </c>
      <c r="G1956">
        <v>15993</v>
      </c>
      <c r="H1956" s="116"/>
      <c r="I1956" s="116"/>
      <c r="L1956" s="170">
        <v>44886</v>
      </c>
      <c r="M1956" s="116">
        <v>510.6</v>
      </c>
      <c r="N1956" s="116">
        <v>517.45000000000005</v>
      </c>
      <c r="O1956" s="116">
        <v>503.1</v>
      </c>
      <c r="P1956" s="116">
        <v>509</v>
      </c>
      <c r="Q1956" s="116">
        <v>510.6</v>
      </c>
      <c r="R1956">
        <v>669466</v>
      </c>
    </row>
    <row r="1957" spans="1:18" x14ac:dyDescent="0.25">
      <c r="A1957" s="170">
        <v>44888</v>
      </c>
      <c r="B1957" s="116">
        <v>28.5025683211101</v>
      </c>
      <c r="C1957" s="116">
        <v>27.368547487707399</v>
      </c>
      <c r="D1957" s="116">
        <v>26.925075653415799</v>
      </c>
      <c r="E1957" s="116">
        <v>28.1034436702477</v>
      </c>
      <c r="F1957" s="116">
        <v>432</v>
      </c>
      <c r="G1957">
        <v>44611</v>
      </c>
      <c r="H1957" s="116"/>
      <c r="I1957" s="116"/>
      <c r="L1957" s="170">
        <v>44887</v>
      </c>
      <c r="M1957" s="116">
        <v>514.29999999999995</v>
      </c>
      <c r="N1957" s="116">
        <v>516.95000000000005</v>
      </c>
      <c r="O1957" s="116">
        <v>506</v>
      </c>
      <c r="P1957" s="116">
        <v>513.20000000000005</v>
      </c>
      <c r="Q1957" s="116">
        <v>514.29999999999995</v>
      </c>
      <c r="R1957">
        <v>495904</v>
      </c>
    </row>
    <row r="1958" spans="1:18" x14ac:dyDescent="0.25">
      <c r="A1958" s="170">
        <v>44889</v>
      </c>
      <c r="B1958" s="116">
        <v>27.995743367633999</v>
      </c>
      <c r="C1958" s="116">
        <v>27.666307147874601</v>
      </c>
      <c r="D1958" s="116">
        <v>27.013770020274102</v>
      </c>
      <c r="E1958" s="116">
        <v>27.371715143666599</v>
      </c>
      <c r="F1958" s="116">
        <v>436.7</v>
      </c>
      <c r="G1958">
        <v>11515</v>
      </c>
      <c r="H1958" s="116"/>
      <c r="I1958" s="116"/>
      <c r="L1958" s="170">
        <v>44888</v>
      </c>
      <c r="M1958" s="116">
        <v>525.65</v>
      </c>
      <c r="N1958" s="116">
        <v>527.4</v>
      </c>
      <c r="O1958" s="116">
        <v>512.75</v>
      </c>
      <c r="P1958" s="116">
        <v>515.5</v>
      </c>
      <c r="Q1958" s="116">
        <v>525.65</v>
      </c>
      <c r="R1958">
        <v>596619</v>
      </c>
    </row>
    <row r="1959" spans="1:18" x14ac:dyDescent="0.25">
      <c r="A1959" s="170">
        <v>44890</v>
      </c>
      <c r="B1959" s="116">
        <v>28.0622641427777</v>
      </c>
      <c r="C1959" s="116">
        <v>27.010602364314899</v>
      </c>
      <c r="D1959" s="116">
        <v>26.8933990938236</v>
      </c>
      <c r="E1959" s="116">
        <v>28.0622641427777</v>
      </c>
      <c r="F1959" s="116">
        <v>426.35</v>
      </c>
      <c r="G1959">
        <v>19432</v>
      </c>
      <c r="H1959" s="116"/>
      <c r="I1959" s="116"/>
      <c r="L1959" s="170">
        <v>44889</v>
      </c>
      <c r="M1959" s="116">
        <v>524.6</v>
      </c>
      <c r="N1959" s="116">
        <v>530.04999999999995</v>
      </c>
      <c r="O1959" s="116">
        <v>521.4</v>
      </c>
      <c r="P1959" s="116">
        <v>529.35</v>
      </c>
      <c r="Q1959" s="116">
        <v>524.6</v>
      </c>
      <c r="R1959">
        <v>381729</v>
      </c>
    </row>
    <row r="1960" spans="1:18" x14ac:dyDescent="0.25">
      <c r="A1960" s="170">
        <v>44893</v>
      </c>
      <c r="B1960" s="116">
        <v>27.805684010080501</v>
      </c>
      <c r="C1960" s="116">
        <v>27.666307147874601</v>
      </c>
      <c r="D1960" s="116">
        <v>27.010602364314899</v>
      </c>
      <c r="E1960" s="116">
        <v>27.238673593379101</v>
      </c>
      <c r="F1960" s="116">
        <v>436.7</v>
      </c>
      <c r="G1960">
        <v>16171</v>
      </c>
      <c r="H1960" s="116"/>
      <c r="I1960" s="116"/>
      <c r="L1960" s="170">
        <v>44890</v>
      </c>
      <c r="M1960" s="116">
        <v>544.70000000000005</v>
      </c>
      <c r="N1960" s="116">
        <v>547.20000000000005</v>
      </c>
      <c r="O1960" s="116">
        <v>521.79999999999995</v>
      </c>
      <c r="P1960" s="116">
        <v>525</v>
      </c>
      <c r="Q1960" s="116">
        <v>544.70000000000005</v>
      </c>
      <c r="R1960">
        <v>1505086</v>
      </c>
    </row>
    <row r="1961" spans="1:18" x14ac:dyDescent="0.25">
      <c r="A1961" s="170">
        <v>44894</v>
      </c>
      <c r="B1961" s="116">
        <v>27.9355579044087</v>
      </c>
      <c r="C1961" s="116">
        <v>27.6156246525269</v>
      </c>
      <c r="D1961" s="116">
        <v>27.058117203703301</v>
      </c>
      <c r="E1961" s="116">
        <v>27.431900606891901</v>
      </c>
      <c r="F1961" s="116">
        <v>435.9</v>
      </c>
      <c r="G1961">
        <v>14645</v>
      </c>
      <c r="H1961" s="116"/>
      <c r="I1961" s="116"/>
      <c r="L1961" s="170">
        <v>44893</v>
      </c>
      <c r="M1961" s="116">
        <v>545.95000000000005</v>
      </c>
      <c r="N1961" s="116">
        <v>554</v>
      </c>
      <c r="O1961" s="116">
        <v>543</v>
      </c>
      <c r="P1961" s="116">
        <v>546</v>
      </c>
      <c r="Q1961" s="116">
        <v>545.95000000000005</v>
      </c>
      <c r="R1961">
        <v>985840</v>
      </c>
    </row>
    <row r="1962" spans="1:18" x14ac:dyDescent="0.25">
      <c r="A1962" s="170">
        <v>44895</v>
      </c>
      <c r="B1962" s="116">
        <v>27.748666202814402</v>
      </c>
      <c r="C1962" s="116">
        <v>27.4097270151773</v>
      </c>
      <c r="D1962" s="116">
        <v>27.083458451377101</v>
      </c>
      <c r="E1962" s="116">
        <v>27.729660267059099</v>
      </c>
      <c r="F1962" s="116">
        <v>432.65</v>
      </c>
      <c r="G1962">
        <v>16345</v>
      </c>
      <c r="H1962" s="116"/>
      <c r="I1962" s="116"/>
      <c r="L1962" s="170">
        <v>44894</v>
      </c>
      <c r="M1962" s="116">
        <v>549.20000000000005</v>
      </c>
      <c r="N1962" s="116">
        <v>554</v>
      </c>
      <c r="O1962" s="116">
        <v>546.29999999999995</v>
      </c>
      <c r="P1962" s="116">
        <v>549.35</v>
      </c>
      <c r="Q1962" s="116">
        <v>549.20000000000005</v>
      </c>
      <c r="R1962">
        <v>770660</v>
      </c>
    </row>
    <row r="1963" spans="1:18" x14ac:dyDescent="0.25">
      <c r="A1963" s="170">
        <v>44896</v>
      </c>
      <c r="B1963" s="116">
        <v>28.508903633028499</v>
      </c>
      <c r="C1963" s="116">
        <v>28.401203330414798</v>
      </c>
      <c r="D1963" s="116">
        <v>27.2418412493384</v>
      </c>
      <c r="E1963" s="116">
        <v>27.558606845260901</v>
      </c>
      <c r="F1963" s="116">
        <v>448.3</v>
      </c>
      <c r="G1963">
        <v>28921</v>
      </c>
      <c r="H1963" s="116"/>
      <c r="I1963" s="116"/>
      <c r="L1963" s="170">
        <v>44895</v>
      </c>
      <c r="M1963" s="116">
        <v>553.04999999999995</v>
      </c>
      <c r="N1963" s="116">
        <v>555</v>
      </c>
      <c r="O1963" s="116">
        <v>547.20000000000005</v>
      </c>
      <c r="P1963" s="116">
        <v>551.45000000000005</v>
      </c>
      <c r="Q1963" s="116">
        <v>553.04999999999995</v>
      </c>
      <c r="R1963">
        <v>555749</v>
      </c>
    </row>
    <row r="1964" spans="1:18" x14ac:dyDescent="0.25">
      <c r="A1964" s="170">
        <v>44897</v>
      </c>
      <c r="B1964" s="116">
        <v>28.749645485929602</v>
      </c>
      <c r="C1964" s="116">
        <v>28.261826468208898</v>
      </c>
      <c r="D1964" s="116">
        <v>27.476247790321001</v>
      </c>
      <c r="E1964" s="116">
        <v>27.875372441183401</v>
      </c>
      <c r="F1964" s="116">
        <v>446.1</v>
      </c>
      <c r="G1964">
        <v>26151</v>
      </c>
      <c r="H1964" s="116"/>
      <c r="I1964" s="116"/>
      <c r="L1964" s="170">
        <v>44896</v>
      </c>
      <c r="M1964" s="116">
        <v>548.85</v>
      </c>
      <c r="N1964" s="116">
        <v>556</v>
      </c>
      <c r="O1964" s="116">
        <v>545.15</v>
      </c>
      <c r="P1964" s="116">
        <v>555.5</v>
      </c>
      <c r="Q1964" s="116">
        <v>548.85</v>
      </c>
      <c r="R1964">
        <v>390437</v>
      </c>
    </row>
    <row r="1965" spans="1:18" x14ac:dyDescent="0.25">
      <c r="A1965" s="170">
        <v>44900</v>
      </c>
      <c r="B1965" s="116">
        <v>28.889022348135601</v>
      </c>
      <c r="C1965" s="116">
        <v>28.496233009191599</v>
      </c>
      <c r="D1965" s="116">
        <v>28.1984733490244</v>
      </c>
      <c r="E1965" s="116">
        <v>28.445550513844001</v>
      </c>
      <c r="F1965" s="116">
        <v>449.8</v>
      </c>
      <c r="G1965">
        <v>34707</v>
      </c>
      <c r="H1965" s="116"/>
      <c r="I1965" s="116"/>
      <c r="L1965" s="170">
        <v>44897</v>
      </c>
      <c r="M1965" s="116">
        <v>551.79999999999995</v>
      </c>
      <c r="N1965" s="116">
        <v>553.5</v>
      </c>
      <c r="O1965" s="116">
        <v>547.65</v>
      </c>
      <c r="P1965" s="116">
        <v>549.95000000000005</v>
      </c>
      <c r="Q1965" s="116">
        <v>551.79999999999995</v>
      </c>
      <c r="R1965">
        <v>406138</v>
      </c>
    </row>
    <row r="1966" spans="1:18" x14ac:dyDescent="0.25">
      <c r="A1966" s="170">
        <v>44901</v>
      </c>
      <c r="B1966" s="116">
        <v>28.816166261073398</v>
      </c>
      <c r="C1966" s="116">
        <v>27.913384312694099</v>
      </c>
      <c r="D1966" s="116">
        <v>27.403391703258801</v>
      </c>
      <c r="E1966" s="116">
        <v>28.816166261073398</v>
      </c>
      <c r="F1966" s="116">
        <v>440.6</v>
      </c>
      <c r="G1966">
        <v>13861</v>
      </c>
      <c r="H1966" s="116"/>
      <c r="I1966" s="116"/>
      <c r="L1966" s="170">
        <v>44900</v>
      </c>
      <c r="M1966" s="116">
        <v>563.5</v>
      </c>
      <c r="N1966" s="116">
        <v>569</v>
      </c>
      <c r="O1966" s="116">
        <v>547.1</v>
      </c>
      <c r="P1966" s="116">
        <v>554</v>
      </c>
      <c r="Q1966" s="116">
        <v>563.5</v>
      </c>
      <c r="R1966">
        <v>1468184</v>
      </c>
    </row>
    <row r="1967" spans="1:18" x14ac:dyDescent="0.25">
      <c r="A1967" s="170">
        <v>44902</v>
      </c>
      <c r="B1967" s="116">
        <v>28.3125089635565</v>
      </c>
      <c r="C1967" s="116">
        <v>27.026440644110998</v>
      </c>
      <c r="D1967" s="116">
        <v>26.608310057493298</v>
      </c>
      <c r="E1967" s="116">
        <v>28.3125089635565</v>
      </c>
      <c r="F1967" s="116">
        <v>426.6</v>
      </c>
      <c r="G1967">
        <v>32466</v>
      </c>
      <c r="H1967" s="116"/>
      <c r="I1967" s="116"/>
      <c r="L1967" s="170">
        <v>44901</v>
      </c>
      <c r="M1967" s="116">
        <v>558.6</v>
      </c>
      <c r="N1967" s="116">
        <v>567.70000000000005</v>
      </c>
      <c r="O1967" s="116">
        <v>555.29999999999995</v>
      </c>
      <c r="P1967" s="116">
        <v>564.4</v>
      </c>
      <c r="Q1967" s="116">
        <v>558.6</v>
      </c>
      <c r="R1967">
        <v>757831</v>
      </c>
    </row>
    <row r="1968" spans="1:18" x14ac:dyDescent="0.25">
      <c r="A1968" s="170">
        <v>44903</v>
      </c>
      <c r="B1968" s="116">
        <v>27.8785400971427</v>
      </c>
      <c r="C1968" s="116">
        <v>27.2956914006452</v>
      </c>
      <c r="D1968" s="116">
        <v>26.861722534231301</v>
      </c>
      <c r="E1968" s="116">
        <v>27.0612848596625</v>
      </c>
      <c r="F1968" s="116">
        <v>430.85</v>
      </c>
      <c r="G1968">
        <v>17416</v>
      </c>
      <c r="H1968" s="116"/>
      <c r="I1968" s="116"/>
      <c r="L1968" s="170">
        <v>44902</v>
      </c>
      <c r="M1968" s="116">
        <v>550.95000000000005</v>
      </c>
      <c r="N1968" s="116">
        <v>560.95000000000005</v>
      </c>
      <c r="O1968" s="116">
        <v>545</v>
      </c>
      <c r="P1968" s="116">
        <v>560.95000000000005</v>
      </c>
      <c r="Q1968" s="116">
        <v>550.95000000000005</v>
      </c>
      <c r="R1968">
        <v>639860</v>
      </c>
    </row>
    <row r="1969" spans="1:18" x14ac:dyDescent="0.25">
      <c r="A1969" s="170">
        <v>44904</v>
      </c>
      <c r="B1969" s="116">
        <v>27.7138219872629</v>
      </c>
      <c r="C1969" s="116">
        <v>27.153146882480002</v>
      </c>
      <c r="D1969" s="116">
        <v>26.988428772600301</v>
      </c>
      <c r="E1969" s="116">
        <v>27.251344217216001</v>
      </c>
      <c r="F1969" s="116">
        <v>428.6</v>
      </c>
      <c r="G1969">
        <v>16194</v>
      </c>
      <c r="H1969" s="116"/>
      <c r="I1969" s="116"/>
      <c r="L1969" s="170">
        <v>44903</v>
      </c>
      <c r="M1969" s="116">
        <v>556.35</v>
      </c>
      <c r="N1969" s="116">
        <v>560.6</v>
      </c>
      <c r="O1969" s="116">
        <v>548.04999999999995</v>
      </c>
      <c r="P1969" s="116">
        <v>551</v>
      </c>
      <c r="Q1969" s="116">
        <v>556.35</v>
      </c>
      <c r="R1969">
        <v>486439</v>
      </c>
    </row>
    <row r="1970" spans="1:18" x14ac:dyDescent="0.25">
      <c r="A1970" s="170">
        <v>44907</v>
      </c>
      <c r="B1970" s="116">
        <v>27.539600909505499</v>
      </c>
      <c r="C1970" s="116">
        <v>26.484771475083502</v>
      </c>
      <c r="D1970" s="116">
        <v>26.3548975807552</v>
      </c>
      <c r="E1970" s="116">
        <v>27.181655786113101</v>
      </c>
      <c r="F1970" s="116">
        <v>418.05</v>
      </c>
      <c r="G1970">
        <v>27018</v>
      </c>
      <c r="H1970" s="116"/>
      <c r="I1970" s="116"/>
      <c r="L1970" s="170">
        <v>44904</v>
      </c>
      <c r="M1970" s="116">
        <v>557.15</v>
      </c>
      <c r="N1970" s="116">
        <v>566.70000000000005</v>
      </c>
      <c r="O1970" s="116">
        <v>549</v>
      </c>
      <c r="P1970" s="116">
        <v>559.29999999999995</v>
      </c>
      <c r="Q1970" s="116">
        <v>557.15</v>
      </c>
      <c r="R1970">
        <v>723937</v>
      </c>
    </row>
    <row r="1971" spans="1:18" x14ac:dyDescent="0.25">
      <c r="A1971" s="170">
        <v>44908</v>
      </c>
      <c r="B1971" s="116">
        <v>26.605142401534</v>
      </c>
      <c r="C1971" s="116">
        <v>25.677019205480999</v>
      </c>
      <c r="D1971" s="116">
        <v>25.594660150541099</v>
      </c>
      <c r="E1971" s="116">
        <v>26.605142401534</v>
      </c>
      <c r="F1971" s="116">
        <v>405.3</v>
      </c>
      <c r="G1971">
        <v>39960</v>
      </c>
      <c r="H1971" s="116"/>
      <c r="I1971" s="116"/>
      <c r="L1971" s="170">
        <v>44907</v>
      </c>
      <c r="M1971" s="116">
        <v>551.79999999999995</v>
      </c>
      <c r="N1971" s="116">
        <v>558.75</v>
      </c>
      <c r="O1971" s="116">
        <v>548.1</v>
      </c>
      <c r="P1971" s="116">
        <v>558</v>
      </c>
      <c r="Q1971" s="116">
        <v>551.79999999999995</v>
      </c>
      <c r="R1971">
        <v>375039</v>
      </c>
    </row>
    <row r="1972" spans="1:18" x14ac:dyDescent="0.25">
      <c r="A1972" s="170">
        <v>44909</v>
      </c>
      <c r="B1972" s="116">
        <v>26.291544461570702</v>
      </c>
      <c r="C1972" s="116">
        <v>25.5471453111528</v>
      </c>
      <c r="D1972" s="116">
        <v>25.024482077880599</v>
      </c>
      <c r="E1972" s="116">
        <v>25.848072627279201</v>
      </c>
      <c r="F1972" s="116">
        <v>403.25</v>
      </c>
      <c r="G1972">
        <v>33466</v>
      </c>
      <c r="H1972" s="116"/>
      <c r="I1972" s="116"/>
      <c r="L1972" s="170">
        <v>44908</v>
      </c>
      <c r="M1972" s="116">
        <v>539.79999999999995</v>
      </c>
      <c r="N1972" s="116">
        <v>558</v>
      </c>
      <c r="O1972" s="116">
        <v>538.5</v>
      </c>
      <c r="P1972" s="116">
        <v>554.70000000000005</v>
      </c>
      <c r="Q1972" s="116">
        <v>539.79999999999995</v>
      </c>
      <c r="R1972">
        <v>1176963</v>
      </c>
    </row>
    <row r="1973" spans="1:18" x14ac:dyDescent="0.25">
      <c r="A1973" s="170">
        <v>44910</v>
      </c>
      <c r="B1973" s="116">
        <v>26.259867901978499</v>
      </c>
      <c r="C1973" s="116">
        <v>25.151188316249598</v>
      </c>
      <c r="D1973" s="116">
        <v>25.024482077880599</v>
      </c>
      <c r="E1973" s="116">
        <v>25.7847195080947</v>
      </c>
      <c r="F1973" s="116">
        <v>397</v>
      </c>
      <c r="G1973">
        <v>20470</v>
      </c>
      <c r="H1973" s="116"/>
      <c r="I1973" s="116"/>
      <c r="L1973" s="170">
        <v>44909</v>
      </c>
      <c r="M1973" s="116">
        <v>546.70000000000005</v>
      </c>
      <c r="N1973" s="116">
        <v>563.6</v>
      </c>
      <c r="O1973" s="116">
        <v>540.20000000000005</v>
      </c>
      <c r="P1973" s="116">
        <v>540.20000000000005</v>
      </c>
      <c r="Q1973" s="116">
        <v>546.70000000000005</v>
      </c>
      <c r="R1973">
        <v>1892544</v>
      </c>
    </row>
    <row r="1974" spans="1:18" x14ac:dyDescent="0.25">
      <c r="A1974" s="170">
        <v>44911</v>
      </c>
      <c r="B1974" s="116">
        <v>25.594660150541099</v>
      </c>
      <c r="C1974" s="116">
        <v>24.790075536897898</v>
      </c>
      <c r="D1974" s="116">
        <v>24.660201642569699</v>
      </c>
      <c r="E1974" s="116">
        <v>25.135350036453499</v>
      </c>
      <c r="F1974" s="116">
        <v>391.3</v>
      </c>
      <c r="G1974">
        <v>15706</v>
      </c>
      <c r="H1974" s="116"/>
      <c r="I1974" s="116"/>
      <c r="L1974" s="170">
        <v>44910</v>
      </c>
      <c r="M1974" s="116">
        <v>538.6</v>
      </c>
      <c r="N1974" s="116">
        <v>552.70000000000005</v>
      </c>
      <c r="O1974" s="116">
        <v>536.04999999999995</v>
      </c>
      <c r="P1974" s="116">
        <v>548.9</v>
      </c>
      <c r="Q1974" s="116">
        <v>538.6</v>
      </c>
      <c r="R1974">
        <v>648246</v>
      </c>
    </row>
    <row r="1975" spans="1:18" x14ac:dyDescent="0.25">
      <c r="A1975" s="170">
        <v>44914</v>
      </c>
      <c r="B1975" s="116">
        <v>25.151188316249598</v>
      </c>
      <c r="C1975" s="116">
        <v>24.210394496359701</v>
      </c>
      <c r="D1975" s="116">
        <v>23.789096253782699</v>
      </c>
      <c r="E1975" s="116">
        <v>25.0878351970651</v>
      </c>
      <c r="F1975" s="116">
        <v>382.15</v>
      </c>
      <c r="G1975">
        <v>40758</v>
      </c>
      <c r="H1975" s="116"/>
      <c r="I1975" s="116"/>
      <c r="L1975" s="170">
        <v>44911</v>
      </c>
      <c r="M1975" s="116">
        <v>524.29999999999995</v>
      </c>
      <c r="N1975" s="116">
        <v>542.95000000000005</v>
      </c>
      <c r="O1975" s="116">
        <v>521</v>
      </c>
      <c r="P1975" s="116">
        <v>538.79999999999995</v>
      </c>
      <c r="Q1975" s="116">
        <v>524.29999999999995</v>
      </c>
      <c r="R1975">
        <v>740455</v>
      </c>
    </row>
    <row r="1976" spans="1:18" x14ac:dyDescent="0.25">
      <c r="A1976" s="170">
        <v>44915</v>
      </c>
      <c r="B1976" s="116">
        <v>24.6443633627735</v>
      </c>
      <c r="C1976" s="116">
        <v>24.257909335748</v>
      </c>
      <c r="D1976" s="116">
        <v>23.7732579739865</v>
      </c>
      <c r="E1976" s="116">
        <v>24.454304005219999</v>
      </c>
      <c r="F1976" s="116">
        <v>382.9</v>
      </c>
      <c r="G1976">
        <v>16223</v>
      </c>
      <c r="H1976" s="116"/>
      <c r="I1976" s="116"/>
      <c r="L1976" s="170">
        <v>44914</v>
      </c>
      <c r="M1976" s="116">
        <v>541.6</v>
      </c>
      <c r="N1976" s="116">
        <v>546.5</v>
      </c>
      <c r="O1976" s="116">
        <v>519.04999999999995</v>
      </c>
      <c r="P1976" s="116">
        <v>525.45000000000005</v>
      </c>
      <c r="Q1976" s="116">
        <v>541.6</v>
      </c>
      <c r="R1976">
        <v>990569</v>
      </c>
    </row>
    <row r="1977" spans="1:18" x14ac:dyDescent="0.25">
      <c r="A1977" s="170">
        <v>44916</v>
      </c>
      <c r="B1977" s="116">
        <v>25.689689829317899</v>
      </c>
      <c r="C1977" s="116">
        <v>23.801766877619599</v>
      </c>
      <c r="D1977" s="116">
        <v>23.551522056840799</v>
      </c>
      <c r="E1977" s="116">
        <v>24.273747615544199</v>
      </c>
      <c r="F1977" s="116">
        <v>375.7</v>
      </c>
      <c r="G1977">
        <v>29681</v>
      </c>
      <c r="H1977" s="116"/>
      <c r="I1977" s="116"/>
      <c r="L1977" s="170">
        <v>44915</v>
      </c>
      <c r="M1977" s="116">
        <v>546.25</v>
      </c>
      <c r="N1977" s="116">
        <v>548</v>
      </c>
      <c r="O1977" s="116">
        <v>531</v>
      </c>
      <c r="P1977" s="116">
        <v>542</v>
      </c>
      <c r="Q1977" s="116">
        <v>546.25</v>
      </c>
      <c r="R1977">
        <v>857830</v>
      </c>
    </row>
    <row r="1978" spans="1:18" x14ac:dyDescent="0.25">
      <c r="A1978" s="170">
        <v>44917</v>
      </c>
      <c r="B1978" s="116">
        <v>24.707716481957998</v>
      </c>
      <c r="C1978" s="116">
        <v>23.016188199731701</v>
      </c>
      <c r="D1978" s="116">
        <v>22.401662943641998</v>
      </c>
      <c r="E1978" s="116">
        <v>24.080520602031399</v>
      </c>
      <c r="F1978" s="116">
        <v>363.3</v>
      </c>
      <c r="G1978">
        <v>44120</v>
      </c>
      <c r="H1978" s="116"/>
      <c r="I1978" s="116"/>
      <c r="L1978" s="170">
        <v>44916</v>
      </c>
      <c r="M1978" s="116">
        <v>534.6</v>
      </c>
      <c r="N1978" s="116">
        <v>551.95000000000005</v>
      </c>
      <c r="O1978" s="116">
        <v>532</v>
      </c>
      <c r="P1978" s="116">
        <v>550</v>
      </c>
      <c r="Q1978" s="116">
        <v>534.6</v>
      </c>
      <c r="R1978">
        <v>1093746</v>
      </c>
    </row>
    <row r="1979" spans="1:18" x14ac:dyDescent="0.25">
      <c r="A1979" s="170">
        <v>44918</v>
      </c>
      <c r="B1979" s="116">
        <v>23.060535383160801</v>
      </c>
      <c r="C1979" s="116">
        <v>21.384845380730599</v>
      </c>
      <c r="D1979" s="116">
        <v>20.906529330887601</v>
      </c>
      <c r="E1979" s="116">
        <v>22.870476025607299</v>
      </c>
      <c r="F1979" s="116">
        <v>337.55</v>
      </c>
      <c r="G1979">
        <v>39889</v>
      </c>
      <c r="H1979" s="116"/>
      <c r="I1979" s="116"/>
      <c r="L1979" s="170">
        <v>44917</v>
      </c>
      <c r="M1979" s="116">
        <v>521.70000000000005</v>
      </c>
      <c r="N1979" s="116">
        <v>539.45000000000005</v>
      </c>
      <c r="O1979" s="116">
        <v>519.04999999999995</v>
      </c>
      <c r="P1979" s="116">
        <v>535.70000000000005</v>
      </c>
      <c r="Q1979" s="116">
        <v>521.70000000000005</v>
      </c>
      <c r="R1979">
        <v>777151</v>
      </c>
    </row>
    <row r="1980" spans="1:18" x14ac:dyDescent="0.25">
      <c r="A1980" s="170">
        <v>44921</v>
      </c>
      <c r="B1980" s="116">
        <v>23.947479051743901</v>
      </c>
      <c r="C1980" s="116">
        <v>23.706737198842799</v>
      </c>
      <c r="D1980" s="116">
        <v>21.350001165179101</v>
      </c>
      <c r="E1980" s="116">
        <v>21.3975160045675</v>
      </c>
      <c r="F1980" s="116">
        <v>374.2</v>
      </c>
      <c r="G1980">
        <v>37537</v>
      </c>
      <c r="H1980" s="116"/>
      <c r="I1980" s="116"/>
      <c r="L1980" s="170">
        <v>44918</v>
      </c>
      <c r="M1980" s="116">
        <v>489.6</v>
      </c>
      <c r="N1980" s="116">
        <v>518.54999999999995</v>
      </c>
      <c r="O1980" s="116">
        <v>486.4</v>
      </c>
      <c r="P1980" s="116">
        <v>512</v>
      </c>
      <c r="Q1980" s="116">
        <v>489.6</v>
      </c>
      <c r="R1980">
        <v>1120435</v>
      </c>
    </row>
    <row r="1981" spans="1:18" x14ac:dyDescent="0.25">
      <c r="A1981" s="170">
        <v>44922</v>
      </c>
      <c r="B1981" s="116">
        <v>25.2145414354341</v>
      </c>
      <c r="C1981" s="116">
        <v>23.7574196941904</v>
      </c>
      <c r="D1981" s="116">
        <v>23.459660034023202</v>
      </c>
      <c r="E1981" s="116">
        <v>24.327597766851</v>
      </c>
      <c r="F1981" s="116">
        <v>375</v>
      </c>
      <c r="G1981">
        <v>25356</v>
      </c>
      <c r="H1981" s="116"/>
      <c r="I1981" s="116"/>
      <c r="L1981" s="170">
        <v>44921</v>
      </c>
      <c r="M1981" s="116">
        <v>519.70000000000005</v>
      </c>
      <c r="N1981" s="116">
        <v>535</v>
      </c>
      <c r="O1981" s="116">
        <v>489.85</v>
      </c>
      <c r="P1981" s="116">
        <v>494.25</v>
      </c>
      <c r="Q1981" s="116">
        <v>519.70000000000005</v>
      </c>
      <c r="R1981">
        <v>1169514</v>
      </c>
    </row>
    <row r="1982" spans="1:18" x14ac:dyDescent="0.25">
      <c r="A1982" s="170">
        <v>44923</v>
      </c>
      <c r="B1982" s="116">
        <v>24.295921207258701</v>
      </c>
      <c r="C1982" s="116">
        <v>23.7289107905574</v>
      </c>
      <c r="D1982" s="116">
        <v>23.6307134558214</v>
      </c>
      <c r="E1982" s="116">
        <v>24.137538409297498</v>
      </c>
      <c r="F1982" s="116">
        <v>374.55</v>
      </c>
      <c r="G1982">
        <v>14713</v>
      </c>
      <c r="H1982" s="116"/>
      <c r="I1982" s="116"/>
      <c r="L1982" s="170">
        <v>44922</v>
      </c>
      <c r="M1982" s="116">
        <v>529.35</v>
      </c>
      <c r="N1982" s="116">
        <v>535</v>
      </c>
      <c r="O1982" s="116">
        <v>519.35</v>
      </c>
      <c r="P1982" s="116">
        <v>523.20000000000005</v>
      </c>
      <c r="Q1982" s="116">
        <v>529.35</v>
      </c>
      <c r="R1982">
        <v>789738</v>
      </c>
    </row>
    <row r="1983" spans="1:18" x14ac:dyDescent="0.25">
      <c r="A1983" s="170">
        <v>44924</v>
      </c>
      <c r="B1983" s="116">
        <v>24.010832170928499</v>
      </c>
      <c r="C1983" s="116">
        <v>23.6465517356175</v>
      </c>
      <c r="D1983" s="116">
        <v>23.5230131532077</v>
      </c>
      <c r="E1983" s="116">
        <v>24.004496859010001</v>
      </c>
      <c r="F1983" s="116">
        <v>373.25</v>
      </c>
      <c r="G1983">
        <v>15660</v>
      </c>
      <c r="H1983" s="116"/>
      <c r="I1983" s="116"/>
      <c r="L1983" s="170">
        <v>44923</v>
      </c>
      <c r="M1983" s="116">
        <v>525.54999999999995</v>
      </c>
      <c r="N1983" s="116">
        <v>530</v>
      </c>
      <c r="O1983" s="116">
        <v>523.25</v>
      </c>
      <c r="P1983" s="116">
        <v>529.35</v>
      </c>
      <c r="Q1983" s="116">
        <v>525.54999999999995</v>
      </c>
      <c r="R1983">
        <v>732938</v>
      </c>
    </row>
    <row r="1984" spans="1:18" x14ac:dyDescent="0.25">
      <c r="A1984" s="170">
        <v>44925</v>
      </c>
      <c r="B1984" s="116">
        <v>24.454304005219999</v>
      </c>
      <c r="C1984" s="116">
        <v>24.3117594870549</v>
      </c>
      <c r="D1984" s="116">
        <v>23.7574196941904</v>
      </c>
      <c r="E1984" s="116">
        <v>23.998161547091598</v>
      </c>
      <c r="F1984" s="116">
        <v>383.75</v>
      </c>
      <c r="G1984">
        <v>24532</v>
      </c>
      <c r="H1984" s="116"/>
      <c r="I1984" s="116"/>
      <c r="L1984" s="170">
        <v>44924</v>
      </c>
      <c r="M1984" s="116">
        <v>530.54999999999995</v>
      </c>
      <c r="N1984" s="116">
        <v>531.79999999999995</v>
      </c>
      <c r="O1984" s="116">
        <v>516</v>
      </c>
      <c r="P1984" s="116">
        <v>523.5</v>
      </c>
      <c r="Q1984" s="116">
        <v>530.54999999999995</v>
      </c>
      <c r="R1984">
        <v>655812</v>
      </c>
    </row>
    <row r="1985" spans="1:18" x14ac:dyDescent="0.25">
      <c r="A1985" s="170">
        <v>44928</v>
      </c>
      <c r="B1985" s="116">
        <v>25.024482077880599</v>
      </c>
      <c r="C1985" s="116">
        <v>24.289585895340299</v>
      </c>
      <c r="D1985" s="116">
        <v>24.0900235699091</v>
      </c>
      <c r="E1985" s="116">
        <v>24.638028050855102</v>
      </c>
      <c r="F1985" s="116">
        <v>383.4</v>
      </c>
      <c r="G1985">
        <v>15374</v>
      </c>
      <c r="H1985" s="116"/>
      <c r="I1985" s="116"/>
      <c r="L1985" s="170">
        <v>44925</v>
      </c>
      <c r="M1985" s="116">
        <v>535.04999999999995</v>
      </c>
      <c r="N1985" s="116">
        <v>540.70000000000005</v>
      </c>
      <c r="O1985" s="116">
        <v>528.29999999999995</v>
      </c>
      <c r="P1985" s="116">
        <v>533.20000000000005</v>
      </c>
      <c r="Q1985" s="116">
        <v>535.04999999999995</v>
      </c>
      <c r="R1985">
        <v>599983</v>
      </c>
    </row>
    <row r="1986" spans="1:18" x14ac:dyDescent="0.25">
      <c r="A1986" s="170">
        <v>44929</v>
      </c>
      <c r="B1986" s="116">
        <v>24.961128958696101</v>
      </c>
      <c r="C1986" s="116">
        <v>24.780572569020201</v>
      </c>
      <c r="D1986" s="116">
        <v>24.305424175136402</v>
      </c>
      <c r="E1986" s="116">
        <v>24.5746749316706</v>
      </c>
      <c r="F1986" s="116">
        <v>391.15</v>
      </c>
      <c r="G1986">
        <v>7280</v>
      </c>
      <c r="H1986" s="116"/>
      <c r="I1986" s="116"/>
      <c r="L1986" s="170">
        <v>44928</v>
      </c>
      <c r="M1986" s="116">
        <v>546.35</v>
      </c>
      <c r="N1986" s="116">
        <v>550.95000000000005</v>
      </c>
      <c r="O1986" s="116">
        <v>534.5</v>
      </c>
      <c r="P1986" s="116">
        <v>536.70000000000005</v>
      </c>
      <c r="Q1986" s="116">
        <v>546.35</v>
      </c>
      <c r="R1986">
        <v>908590</v>
      </c>
    </row>
    <row r="1987" spans="1:18" x14ac:dyDescent="0.25">
      <c r="A1987" s="170">
        <v>44930</v>
      </c>
      <c r="B1987" s="116">
        <v>25.024482077880599</v>
      </c>
      <c r="C1987" s="116">
        <v>24.286418239381099</v>
      </c>
      <c r="D1987" s="116">
        <v>23.668725327332101</v>
      </c>
      <c r="E1987" s="116">
        <v>25.018146765962101</v>
      </c>
      <c r="F1987" s="116">
        <v>383.35</v>
      </c>
      <c r="G1987">
        <v>13722</v>
      </c>
      <c r="H1987" s="116"/>
      <c r="I1987" s="116"/>
      <c r="L1987" s="170">
        <v>44929</v>
      </c>
      <c r="M1987" s="116">
        <v>548.65</v>
      </c>
      <c r="N1987" s="116">
        <v>551.9</v>
      </c>
      <c r="O1987" s="116">
        <v>544.75</v>
      </c>
      <c r="P1987" s="116">
        <v>548.70000000000005</v>
      </c>
      <c r="Q1987" s="116">
        <v>548.65</v>
      </c>
      <c r="R1987">
        <v>500255</v>
      </c>
    </row>
    <row r="1988" spans="1:18" x14ac:dyDescent="0.25">
      <c r="A1988" s="170">
        <v>44931</v>
      </c>
      <c r="B1988" s="116">
        <v>25.018146765962101</v>
      </c>
      <c r="C1988" s="116">
        <v>24.5746749316706</v>
      </c>
      <c r="D1988" s="116">
        <v>24.137538409297498</v>
      </c>
      <c r="E1988" s="116">
        <v>24.549333683996799</v>
      </c>
      <c r="F1988" s="116">
        <v>387.9</v>
      </c>
      <c r="G1988">
        <v>20258</v>
      </c>
      <c r="H1988" s="116"/>
      <c r="I1988" s="116"/>
      <c r="L1988" s="170">
        <v>44930</v>
      </c>
      <c r="M1988" s="116">
        <v>543.04999999999995</v>
      </c>
      <c r="N1988" s="116">
        <v>551.95000000000005</v>
      </c>
      <c r="O1988" s="116">
        <v>538.25</v>
      </c>
      <c r="P1988" s="116">
        <v>548</v>
      </c>
      <c r="Q1988" s="116">
        <v>543.04999999999995</v>
      </c>
      <c r="R1988">
        <v>421218</v>
      </c>
    </row>
    <row r="1989" spans="1:18" x14ac:dyDescent="0.25">
      <c r="A1989" s="170">
        <v>44932</v>
      </c>
      <c r="B1989" s="116">
        <v>25.974778865648201</v>
      </c>
      <c r="C1989" s="116">
        <v>25.486959847927501</v>
      </c>
      <c r="D1989" s="116">
        <v>24.707716481957998</v>
      </c>
      <c r="E1989" s="116">
        <v>24.834422720327101</v>
      </c>
      <c r="F1989" s="116">
        <v>402.3</v>
      </c>
      <c r="G1989">
        <v>27852</v>
      </c>
      <c r="H1989" s="116"/>
      <c r="I1989" s="116"/>
      <c r="L1989" s="170">
        <v>44931</v>
      </c>
      <c r="M1989" s="116">
        <v>545.45000000000005</v>
      </c>
      <c r="N1989" s="116">
        <v>549.79999999999995</v>
      </c>
      <c r="O1989" s="116">
        <v>538</v>
      </c>
      <c r="P1989" s="116">
        <v>547</v>
      </c>
      <c r="Q1989" s="116">
        <v>545.45000000000005</v>
      </c>
      <c r="R1989">
        <v>847069</v>
      </c>
    </row>
    <row r="1990" spans="1:18" x14ac:dyDescent="0.25">
      <c r="A1990" s="170">
        <v>44935</v>
      </c>
      <c r="B1990" s="116">
        <v>27.140476258643101</v>
      </c>
      <c r="C1990" s="116">
        <v>26.855387222312899</v>
      </c>
      <c r="D1990" s="116">
        <v>25.6580132697257</v>
      </c>
      <c r="E1990" s="116">
        <v>25.6580132697257</v>
      </c>
      <c r="F1990" s="116">
        <v>423.9</v>
      </c>
      <c r="G1990">
        <v>46980</v>
      </c>
      <c r="H1990" s="116"/>
      <c r="I1990" s="116"/>
      <c r="L1990" s="170">
        <v>44932</v>
      </c>
      <c r="M1990" s="116">
        <v>543.4</v>
      </c>
      <c r="N1990" s="116">
        <v>548.79999999999995</v>
      </c>
      <c r="O1990" s="116">
        <v>535.4</v>
      </c>
      <c r="P1990" s="116">
        <v>545.95000000000005</v>
      </c>
      <c r="Q1990" s="116">
        <v>543.4</v>
      </c>
      <c r="R1990">
        <v>650320</v>
      </c>
    </row>
    <row r="1991" spans="1:18" x14ac:dyDescent="0.25">
      <c r="A1991" s="170">
        <v>44936</v>
      </c>
      <c r="B1991" s="116">
        <v>27.368547487707399</v>
      </c>
      <c r="C1991" s="116">
        <v>27.175320474194599</v>
      </c>
      <c r="D1991" s="116">
        <v>26.608310057493298</v>
      </c>
      <c r="E1991" s="116">
        <v>26.925075653415799</v>
      </c>
      <c r="F1991" s="116">
        <v>428.95</v>
      </c>
      <c r="G1991">
        <v>31168</v>
      </c>
      <c r="H1991" s="116"/>
      <c r="I1991" s="116"/>
      <c r="L1991" s="170">
        <v>44935</v>
      </c>
      <c r="M1991" s="116">
        <v>554.1</v>
      </c>
      <c r="N1991" s="116">
        <v>558.79999999999995</v>
      </c>
      <c r="O1991" s="116">
        <v>544.4</v>
      </c>
      <c r="P1991" s="116">
        <v>545.20000000000005</v>
      </c>
      <c r="Q1991" s="116">
        <v>554.1</v>
      </c>
      <c r="R1991">
        <v>962862</v>
      </c>
    </row>
    <row r="1992" spans="1:18" x14ac:dyDescent="0.25">
      <c r="A1992" s="170">
        <v>44937</v>
      </c>
      <c r="B1992" s="116">
        <v>27.368547487707399</v>
      </c>
      <c r="C1992" s="116">
        <v>26.4911067870019</v>
      </c>
      <c r="D1992" s="116">
        <v>26.2281913423862</v>
      </c>
      <c r="E1992" s="116">
        <v>27.2418412493384</v>
      </c>
      <c r="F1992" s="116">
        <v>418.15</v>
      </c>
      <c r="G1992">
        <v>13946</v>
      </c>
      <c r="H1992" s="116"/>
      <c r="I1992" s="116"/>
      <c r="L1992" s="170">
        <v>44936</v>
      </c>
      <c r="M1992" s="116">
        <v>546.45000000000005</v>
      </c>
      <c r="N1992" s="116">
        <v>558.75</v>
      </c>
      <c r="O1992" s="116">
        <v>541.5</v>
      </c>
      <c r="P1992" s="116">
        <v>555</v>
      </c>
      <c r="Q1992" s="116">
        <v>546.45000000000005</v>
      </c>
      <c r="R1992">
        <v>474771</v>
      </c>
    </row>
    <row r="1993" spans="1:18" x14ac:dyDescent="0.25">
      <c r="A1993" s="170">
        <v>44938</v>
      </c>
      <c r="B1993" s="116">
        <v>27.2418412493384</v>
      </c>
      <c r="C1993" s="116">
        <v>27.146811570561599</v>
      </c>
      <c r="D1993" s="116">
        <v>25.721366388910202</v>
      </c>
      <c r="E1993" s="116">
        <v>26.2281913423862</v>
      </c>
      <c r="F1993" s="116">
        <v>428.5</v>
      </c>
      <c r="G1993">
        <v>32444</v>
      </c>
      <c r="H1993" s="116"/>
      <c r="I1993" s="116"/>
      <c r="L1993" s="170">
        <v>44937</v>
      </c>
      <c r="M1993" s="116">
        <v>550.20000000000005</v>
      </c>
      <c r="N1993" s="116">
        <v>552.9</v>
      </c>
      <c r="O1993" s="116">
        <v>540.1</v>
      </c>
      <c r="P1993" s="116">
        <v>549.20000000000005</v>
      </c>
      <c r="Q1993" s="116">
        <v>550.20000000000005</v>
      </c>
      <c r="R1993">
        <v>427182</v>
      </c>
    </row>
    <row r="1994" spans="1:18" x14ac:dyDescent="0.25">
      <c r="A1994" s="170">
        <v>44939</v>
      </c>
      <c r="B1994" s="116">
        <v>27.2418412493384</v>
      </c>
      <c r="C1994" s="116">
        <v>26.206017750671599</v>
      </c>
      <c r="D1994" s="116">
        <v>25.911425746463699</v>
      </c>
      <c r="E1994" s="116">
        <v>27.146811570561599</v>
      </c>
      <c r="F1994" s="116">
        <v>413.65</v>
      </c>
      <c r="G1994">
        <v>16199</v>
      </c>
      <c r="H1994" s="116"/>
      <c r="I1994" s="116"/>
      <c r="L1994" s="170">
        <v>44938</v>
      </c>
      <c r="M1994" s="116">
        <v>547.54999999999995</v>
      </c>
      <c r="N1994" s="116">
        <v>554.54999999999995</v>
      </c>
      <c r="O1994" s="116">
        <v>545</v>
      </c>
      <c r="P1994" s="116">
        <v>550.20000000000005</v>
      </c>
      <c r="Q1994" s="116">
        <v>547.54999999999995</v>
      </c>
      <c r="R1994">
        <v>383567</v>
      </c>
    </row>
    <row r="1995" spans="1:18" x14ac:dyDescent="0.25">
      <c r="A1995" s="170">
        <v>44942</v>
      </c>
      <c r="B1995" s="116">
        <v>27.146811570561599</v>
      </c>
      <c r="C1995" s="116">
        <v>26.5893041217379</v>
      </c>
      <c r="D1995" s="116">
        <v>25.974778865648201</v>
      </c>
      <c r="E1995" s="116">
        <v>27.080290795417898</v>
      </c>
      <c r="F1995" s="116">
        <v>419.7</v>
      </c>
      <c r="G1995">
        <v>15402</v>
      </c>
      <c r="H1995" s="116"/>
      <c r="I1995" s="116"/>
      <c r="L1995" s="170">
        <v>44939</v>
      </c>
      <c r="M1995" s="116">
        <v>549.54999999999995</v>
      </c>
      <c r="N1995" s="116">
        <v>551.15</v>
      </c>
      <c r="O1995" s="116">
        <v>543.20000000000005</v>
      </c>
      <c r="P1995" s="116">
        <v>547.65</v>
      </c>
      <c r="Q1995" s="116">
        <v>549.54999999999995</v>
      </c>
      <c r="R1995">
        <v>279457</v>
      </c>
    </row>
    <row r="1996" spans="1:18" x14ac:dyDescent="0.25">
      <c r="A1996" s="170">
        <v>44943</v>
      </c>
      <c r="B1996" s="116">
        <v>26.985261116641102</v>
      </c>
      <c r="C1996" s="116">
        <v>26.735016295862302</v>
      </c>
      <c r="D1996" s="116">
        <v>26.136329319568699</v>
      </c>
      <c r="E1996" s="116">
        <v>26.5449569383088</v>
      </c>
      <c r="F1996" s="116">
        <v>422</v>
      </c>
      <c r="G1996">
        <v>13608</v>
      </c>
      <c r="H1996" s="116"/>
      <c r="I1996" s="116"/>
      <c r="L1996" s="170">
        <v>44942</v>
      </c>
      <c r="M1996" s="116">
        <v>542.9</v>
      </c>
      <c r="N1996" s="116">
        <v>555.75</v>
      </c>
      <c r="O1996" s="116">
        <v>541</v>
      </c>
      <c r="P1996" s="116">
        <v>551</v>
      </c>
      <c r="Q1996" s="116">
        <v>542.9</v>
      </c>
      <c r="R1996">
        <v>359399</v>
      </c>
    </row>
    <row r="1997" spans="1:18" x14ac:dyDescent="0.25">
      <c r="A1997" s="170">
        <v>44944</v>
      </c>
      <c r="B1997" s="116">
        <v>26.703339736269999</v>
      </c>
      <c r="C1997" s="116">
        <v>26.196514782794001</v>
      </c>
      <c r="D1997" s="116">
        <v>26.038131984832699</v>
      </c>
      <c r="E1997" s="116">
        <v>26.5449569383088</v>
      </c>
      <c r="F1997" s="116">
        <v>413.5</v>
      </c>
      <c r="G1997">
        <v>24757</v>
      </c>
      <c r="H1997" s="116"/>
      <c r="I1997" s="116"/>
      <c r="L1997" s="170">
        <v>44943</v>
      </c>
      <c r="M1997" s="116">
        <v>526.04999999999995</v>
      </c>
      <c r="N1997" s="116">
        <v>545.35</v>
      </c>
      <c r="O1997" s="116">
        <v>517.1</v>
      </c>
      <c r="P1997" s="116">
        <v>542.95000000000005</v>
      </c>
      <c r="Q1997" s="116">
        <v>526.04999999999995</v>
      </c>
      <c r="R1997">
        <v>1938132</v>
      </c>
    </row>
    <row r="1998" spans="1:18" x14ac:dyDescent="0.25">
      <c r="A1998" s="170">
        <v>44945</v>
      </c>
      <c r="B1998" s="116">
        <v>26.731848639903099</v>
      </c>
      <c r="C1998" s="116">
        <v>26.1458322874464</v>
      </c>
      <c r="D1998" s="116">
        <v>25.848072627279201</v>
      </c>
      <c r="E1998" s="116">
        <v>26.291544461570702</v>
      </c>
      <c r="F1998" s="116">
        <v>412.7</v>
      </c>
      <c r="G1998">
        <v>11268</v>
      </c>
      <c r="H1998" s="116"/>
      <c r="I1998" s="116"/>
      <c r="L1998" s="170">
        <v>44944</v>
      </c>
      <c r="M1998" s="116">
        <v>533.5</v>
      </c>
      <c r="N1998" s="116">
        <v>538.04999999999995</v>
      </c>
      <c r="O1998" s="116">
        <v>525.4</v>
      </c>
      <c r="P1998" s="116">
        <v>528.85</v>
      </c>
      <c r="Q1998" s="116">
        <v>533.5</v>
      </c>
      <c r="R1998">
        <v>638097</v>
      </c>
    </row>
    <row r="1999" spans="1:18" x14ac:dyDescent="0.25">
      <c r="A1999" s="170">
        <v>44946</v>
      </c>
      <c r="B1999" s="116">
        <v>26.291544461570702</v>
      </c>
      <c r="C1999" s="116">
        <v>25.382427201273</v>
      </c>
      <c r="D1999" s="116">
        <v>25.097338164942801</v>
      </c>
      <c r="E1999" s="116">
        <v>26.069808544425001</v>
      </c>
      <c r="F1999" s="116">
        <v>400.65</v>
      </c>
      <c r="G1999">
        <v>26913</v>
      </c>
      <c r="H1999" s="116"/>
      <c r="I1999" s="116"/>
      <c r="L1999" s="170">
        <v>44945</v>
      </c>
      <c r="M1999" s="116">
        <v>530.35</v>
      </c>
      <c r="N1999" s="116">
        <v>537.4</v>
      </c>
      <c r="O1999" s="116">
        <v>528</v>
      </c>
      <c r="P1999" s="116">
        <v>533.54999999999995</v>
      </c>
      <c r="Q1999" s="116">
        <v>530.35</v>
      </c>
      <c r="R1999">
        <v>360319</v>
      </c>
    </row>
    <row r="2000" spans="1:18" x14ac:dyDescent="0.25">
      <c r="A2000" s="170">
        <v>44949</v>
      </c>
      <c r="B2000" s="116">
        <v>26.956752213008102</v>
      </c>
      <c r="C2000" s="116">
        <v>26.206017750671599</v>
      </c>
      <c r="D2000" s="116">
        <v>25.499630471764402</v>
      </c>
      <c r="E2000" s="116">
        <v>25.502798127723601</v>
      </c>
      <c r="F2000" s="116">
        <v>413.65</v>
      </c>
      <c r="G2000">
        <v>33007</v>
      </c>
      <c r="H2000" s="116"/>
      <c r="I2000" s="116"/>
      <c r="L2000" s="170">
        <v>44946</v>
      </c>
      <c r="M2000" s="116">
        <v>521.1</v>
      </c>
      <c r="N2000" s="116">
        <v>535.45000000000005</v>
      </c>
      <c r="O2000" s="116">
        <v>517.1</v>
      </c>
      <c r="P2000" s="116">
        <v>535.45000000000005</v>
      </c>
      <c r="Q2000" s="116">
        <v>521.1</v>
      </c>
      <c r="R2000">
        <v>808127</v>
      </c>
    </row>
    <row r="2001" spans="1:18" x14ac:dyDescent="0.25">
      <c r="A2001" s="170">
        <v>44950</v>
      </c>
      <c r="B2001" s="116">
        <v>27.3527092079112</v>
      </c>
      <c r="C2001" s="116">
        <v>26.522783346594199</v>
      </c>
      <c r="D2001" s="116">
        <v>26.323221021163</v>
      </c>
      <c r="E2001" s="116">
        <v>26.925075653415799</v>
      </c>
      <c r="F2001" s="116">
        <v>418.65</v>
      </c>
      <c r="G2001">
        <v>27159</v>
      </c>
      <c r="H2001" s="116"/>
      <c r="I2001" s="116"/>
      <c r="L2001" s="170">
        <v>44949</v>
      </c>
      <c r="M2001" s="116">
        <v>551.85</v>
      </c>
      <c r="N2001" s="116">
        <v>554.79999999999995</v>
      </c>
      <c r="O2001" s="116">
        <v>522.45000000000005</v>
      </c>
      <c r="P2001" s="116">
        <v>530</v>
      </c>
      <c r="Q2001" s="116">
        <v>551.85</v>
      </c>
      <c r="R2001">
        <v>3376553</v>
      </c>
    </row>
    <row r="2002" spans="1:18" x14ac:dyDescent="0.25">
      <c r="A2002" s="170">
        <v>44951</v>
      </c>
      <c r="B2002" s="116">
        <v>26.735016295862302</v>
      </c>
      <c r="C2002" s="116">
        <v>25.886084498789899</v>
      </c>
      <c r="D2002" s="116">
        <v>25.594660150541099</v>
      </c>
      <c r="E2002" s="116">
        <v>26.608310057493298</v>
      </c>
      <c r="F2002" s="116">
        <v>408.6</v>
      </c>
      <c r="G2002">
        <v>18965</v>
      </c>
      <c r="H2002" s="116"/>
      <c r="I2002" s="116"/>
      <c r="L2002" s="170">
        <v>44950</v>
      </c>
      <c r="M2002" s="116">
        <v>563.6</v>
      </c>
      <c r="N2002" s="116">
        <v>565</v>
      </c>
      <c r="O2002" s="116">
        <v>548.75</v>
      </c>
      <c r="P2002" s="116">
        <v>553</v>
      </c>
      <c r="Q2002" s="116">
        <v>563.6</v>
      </c>
      <c r="R2002">
        <v>1733068</v>
      </c>
    </row>
    <row r="2003" spans="1:18" x14ac:dyDescent="0.25">
      <c r="A2003" s="170">
        <v>44953</v>
      </c>
      <c r="B2003" s="116">
        <v>27.051781891784799</v>
      </c>
      <c r="C2003" s="116">
        <v>25.955772929892799</v>
      </c>
      <c r="D2003" s="116">
        <v>25.5914924945819</v>
      </c>
      <c r="E2003" s="116">
        <v>26.7983694150468</v>
      </c>
      <c r="F2003" s="116">
        <v>409.7</v>
      </c>
      <c r="G2003">
        <v>41727</v>
      </c>
      <c r="H2003" s="116"/>
      <c r="I2003" s="116"/>
      <c r="L2003" s="170">
        <v>44951</v>
      </c>
      <c r="M2003" s="116">
        <v>556.75</v>
      </c>
      <c r="N2003" s="116">
        <v>563.5</v>
      </c>
      <c r="O2003" s="116">
        <v>548.70000000000005</v>
      </c>
      <c r="P2003" s="116">
        <v>563.5</v>
      </c>
      <c r="Q2003" s="116">
        <v>556.75</v>
      </c>
      <c r="R2003">
        <v>822355</v>
      </c>
    </row>
    <row r="2004" spans="1:18" x14ac:dyDescent="0.25">
      <c r="A2004" s="170">
        <v>44956</v>
      </c>
      <c r="B2004" s="116">
        <v>26.411915388021299</v>
      </c>
      <c r="C2004" s="116">
        <v>25.455283288335199</v>
      </c>
      <c r="D2004" s="116">
        <v>24.843925688204699</v>
      </c>
      <c r="E2004" s="116">
        <v>26.2281913423862</v>
      </c>
      <c r="F2004" s="116">
        <v>401.8</v>
      </c>
      <c r="G2004">
        <v>24410</v>
      </c>
      <c r="H2004" s="116"/>
      <c r="I2004" s="116"/>
      <c r="L2004" s="170">
        <v>44953</v>
      </c>
      <c r="M2004" s="116">
        <v>539.70000000000005</v>
      </c>
      <c r="N2004" s="116">
        <v>562</v>
      </c>
      <c r="O2004" s="116">
        <v>532.65</v>
      </c>
      <c r="P2004" s="116">
        <v>560</v>
      </c>
      <c r="Q2004" s="116">
        <v>539.70000000000005</v>
      </c>
      <c r="R2004">
        <v>597972</v>
      </c>
    </row>
    <row r="2005" spans="1:18" x14ac:dyDescent="0.25">
      <c r="A2005" s="170">
        <v>44957</v>
      </c>
      <c r="B2005" s="116">
        <v>26.190179470875499</v>
      </c>
      <c r="C2005" s="116">
        <v>25.800557787890799</v>
      </c>
      <c r="D2005" s="116">
        <v>24.793243192857101</v>
      </c>
      <c r="E2005" s="116">
        <v>25.6580132697257</v>
      </c>
      <c r="F2005" s="116">
        <v>407.25</v>
      </c>
      <c r="G2005">
        <v>13547</v>
      </c>
      <c r="H2005" s="116"/>
      <c r="I2005" s="116"/>
      <c r="L2005" s="170">
        <v>44956</v>
      </c>
      <c r="M2005" s="116">
        <v>540.70000000000005</v>
      </c>
      <c r="N2005" s="116">
        <v>547.35</v>
      </c>
      <c r="O2005" s="116">
        <v>534.95000000000005</v>
      </c>
      <c r="P2005" s="116">
        <v>542.4</v>
      </c>
      <c r="Q2005" s="116">
        <v>540.70000000000005</v>
      </c>
      <c r="R2005">
        <v>506326</v>
      </c>
    </row>
    <row r="2006" spans="1:18" x14ac:dyDescent="0.25">
      <c r="A2006" s="170">
        <v>44958</v>
      </c>
      <c r="B2006" s="116">
        <v>26.8268783186798</v>
      </c>
      <c r="C2006" s="116">
        <v>25.613666086296501</v>
      </c>
      <c r="D2006" s="116">
        <v>25.0339850457583</v>
      </c>
      <c r="E2006" s="116">
        <v>26.285209149652299</v>
      </c>
      <c r="F2006" s="116">
        <v>404.3</v>
      </c>
      <c r="G2006">
        <v>21396</v>
      </c>
      <c r="H2006" s="116"/>
      <c r="I2006" s="116"/>
      <c r="L2006" s="170">
        <v>44957</v>
      </c>
      <c r="M2006" s="116">
        <v>567.54999999999995</v>
      </c>
      <c r="N2006" s="116">
        <v>569.79999999999995</v>
      </c>
      <c r="O2006" s="116">
        <v>541.29999999999995</v>
      </c>
      <c r="P2006" s="116">
        <v>541.29999999999995</v>
      </c>
      <c r="Q2006" s="116">
        <v>567.54999999999995</v>
      </c>
      <c r="R2006">
        <v>1512615</v>
      </c>
    </row>
    <row r="2007" spans="1:18" x14ac:dyDescent="0.25">
      <c r="A2007" s="170">
        <v>44959</v>
      </c>
      <c r="B2007" s="116">
        <v>26.2155207185493</v>
      </c>
      <c r="C2007" s="116">
        <v>25.385594857232299</v>
      </c>
      <c r="D2007" s="116">
        <v>24.897775839511599</v>
      </c>
      <c r="E2007" s="116">
        <v>25.151188316249598</v>
      </c>
      <c r="F2007" s="116">
        <v>400.7</v>
      </c>
      <c r="G2007">
        <v>16571</v>
      </c>
      <c r="H2007" s="116"/>
      <c r="I2007" s="116"/>
      <c r="L2007" s="170">
        <v>44958</v>
      </c>
      <c r="M2007" s="116">
        <v>541.79999999999995</v>
      </c>
      <c r="N2007" s="116">
        <v>578.75</v>
      </c>
      <c r="O2007" s="116">
        <v>521</v>
      </c>
      <c r="P2007" s="116">
        <v>571.15</v>
      </c>
      <c r="Q2007" s="116">
        <v>541.79999999999995</v>
      </c>
      <c r="R2007">
        <v>1547817</v>
      </c>
    </row>
    <row r="2008" spans="1:18" x14ac:dyDescent="0.25">
      <c r="A2008" s="170">
        <v>44960</v>
      </c>
      <c r="B2008" s="116">
        <v>25.848072627279201</v>
      </c>
      <c r="C2008" s="116">
        <v>24.9231170871854</v>
      </c>
      <c r="D2008" s="116">
        <v>24.390950886035501</v>
      </c>
      <c r="E2008" s="116">
        <v>25.848072627279201</v>
      </c>
      <c r="F2008" s="116">
        <v>393.4</v>
      </c>
      <c r="G2008">
        <v>20553</v>
      </c>
      <c r="H2008" s="116"/>
      <c r="I2008" s="116"/>
      <c r="L2008" s="170">
        <v>44959</v>
      </c>
      <c r="M2008" s="116">
        <v>571.65</v>
      </c>
      <c r="N2008" s="116">
        <v>576</v>
      </c>
      <c r="O2008" s="116">
        <v>537.25</v>
      </c>
      <c r="P2008" s="116">
        <v>543.70000000000005</v>
      </c>
      <c r="Q2008" s="116">
        <v>571.65</v>
      </c>
      <c r="R2008">
        <v>1497538</v>
      </c>
    </row>
    <row r="2009" spans="1:18" x14ac:dyDescent="0.25">
      <c r="A2009" s="170">
        <v>44963</v>
      </c>
      <c r="B2009" s="116">
        <v>25.594660150541099</v>
      </c>
      <c r="C2009" s="116">
        <v>25.2842298665371</v>
      </c>
      <c r="D2009" s="116">
        <v>24.1470413771751</v>
      </c>
      <c r="E2009" s="116">
        <v>25.303235802292399</v>
      </c>
      <c r="F2009" s="116">
        <v>399.1</v>
      </c>
      <c r="G2009">
        <v>12692</v>
      </c>
      <c r="H2009" s="116"/>
      <c r="I2009" s="116"/>
      <c r="L2009" s="170">
        <v>44960</v>
      </c>
      <c r="M2009" s="116">
        <v>578.1</v>
      </c>
      <c r="N2009" s="116">
        <v>581</v>
      </c>
      <c r="O2009" s="116">
        <v>564.04999999999995</v>
      </c>
      <c r="P2009" s="116">
        <v>578</v>
      </c>
      <c r="Q2009" s="116">
        <v>578.1</v>
      </c>
      <c r="R2009">
        <v>1067554</v>
      </c>
    </row>
    <row r="2010" spans="1:18" x14ac:dyDescent="0.25">
      <c r="A2010" s="170">
        <v>44964</v>
      </c>
      <c r="B2010" s="116">
        <v>25.778384196176201</v>
      </c>
      <c r="C2010" s="116">
        <v>24.657033986610401</v>
      </c>
      <c r="D2010" s="116">
        <v>24.390950886035501</v>
      </c>
      <c r="E2010" s="116">
        <v>25.778384196176201</v>
      </c>
      <c r="F2010" s="116">
        <v>389.2</v>
      </c>
      <c r="G2010">
        <v>13955</v>
      </c>
      <c r="H2010" s="116"/>
      <c r="I2010" s="116"/>
      <c r="L2010" s="170">
        <v>44963</v>
      </c>
      <c r="M2010" s="116">
        <v>581.9</v>
      </c>
      <c r="N2010" s="116">
        <v>583.70000000000005</v>
      </c>
      <c r="O2010" s="116">
        <v>572.35</v>
      </c>
      <c r="P2010" s="116">
        <v>578.1</v>
      </c>
      <c r="Q2010" s="116">
        <v>581.9</v>
      </c>
      <c r="R2010">
        <v>626504</v>
      </c>
    </row>
    <row r="2011" spans="1:18" x14ac:dyDescent="0.25">
      <c r="A2011" s="170">
        <v>44965</v>
      </c>
      <c r="B2011" s="116">
        <v>25.974778865648201</v>
      </c>
      <c r="C2011" s="116">
        <v>25.461618600253701</v>
      </c>
      <c r="D2011" s="116">
        <v>24.904111151430001</v>
      </c>
      <c r="E2011" s="116">
        <v>25.176529563923399</v>
      </c>
      <c r="F2011" s="116">
        <v>401.9</v>
      </c>
      <c r="G2011">
        <v>37511</v>
      </c>
      <c r="H2011" s="116"/>
      <c r="I2011" s="116"/>
      <c r="L2011" s="170">
        <v>44964</v>
      </c>
      <c r="M2011" s="116">
        <v>579.79999999999995</v>
      </c>
      <c r="N2011" s="116">
        <v>584.75</v>
      </c>
      <c r="O2011" s="116">
        <v>570.04999999999995</v>
      </c>
      <c r="P2011" s="116">
        <v>583</v>
      </c>
      <c r="Q2011" s="116">
        <v>579.79999999999995</v>
      </c>
      <c r="R2011">
        <v>592372</v>
      </c>
    </row>
    <row r="2012" spans="1:18" x14ac:dyDescent="0.25">
      <c r="A2012" s="170">
        <v>44966</v>
      </c>
      <c r="B2012" s="116">
        <v>25.791054820013098</v>
      </c>
      <c r="C2012" s="116">
        <v>25.357085953599199</v>
      </c>
      <c r="D2012" s="116">
        <v>25.154355972208801</v>
      </c>
      <c r="E2012" s="116">
        <v>25.6580132697257</v>
      </c>
      <c r="F2012" s="116">
        <v>400.25</v>
      </c>
      <c r="G2012">
        <v>6151</v>
      </c>
      <c r="H2012" s="116"/>
      <c r="I2012" s="116"/>
      <c r="L2012" s="170">
        <v>44965</v>
      </c>
      <c r="M2012" s="116">
        <v>591.65</v>
      </c>
      <c r="N2012" s="116">
        <v>598.5</v>
      </c>
      <c r="O2012" s="116">
        <v>570.5</v>
      </c>
      <c r="P2012" s="116">
        <v>580</v>
      </c>
      <c r="Q2012" s="116">
        <v>591.65</v>
      </c>
      <c r="R2012">
        <v>1334583</v>
      </c>
    </row>
    <row r="2013" spans="1:18" x14ac:dyDescent="0.25">
      <c r="A2013" s="170">
        <v>44967</v>
      </c>
      <c r="B2013" s="116">
        <v>25.531307031356601</v>
      </c>
      <c r="C2013" s="116">
        <v>25.081499885146599</v>
      </c>
      <c r="D2013" s="116">
        <v>24.707716481957998</v>
      </c>
      <c r="E2013" s="116">
        <v>25.531307031356601</v>
      </c>
      <c r="F2013" s="116">
        <v>395.9</v>
      </c>
      <c r="G2013">
        <v>7126</v>
      </c>
      <c r="H2013" s="116"/>
      <c r="I2013" s="116"/>
      <c r="L2013" s="170">
        <v>44966</v>
      </c>
      <c r="M2013" s="116">
        <v>600.35</v>
      </c>
      <c r="N2013" s="116">
        <v>601.9</v>
      </c>
      <c r="O2013" s="116">
        <v>585.79999999999995</v>
      </c>
      <c r="P2013" s="116">
        <v>593</v>
      </c>
      <c r="Q2013" s="116">
        <v>600.35</v>
      </c>
      <c r="R2013">
        <v>985852</v>
      </c>
    </row>
    <row r="2014" spans="1:18" x14ac:dyDescent="0.25">
      <c r="A2014" s="170">
        <v>44970</v>
      </c>
      <c r="B2014" s="116">
        <v>25.404600792987601</v>
      </c>
      <c r="C2014" s="116">
        <v>24.793243192857101</v>
      </c>
      <c r="D2014" s="116">
        <v>24.676039922365799</v>
      </c>
      <c r="E2014" s="116">
        <v>25.404600792987601</v>
      </c>
      <c r="F2014" s="116">
        <v>391.35</v>
      </c>
      <c r="G2014">
        <v>6292</v>
      </c>
      <c r="H2014" s="116"/>
      <c r="I2014" s="116"/>
      <c r="L2014" s="170">
        <v>44967</v>
      </c>
      <c r="M2014" s="116">
        <v>597.35</v>
      </c>
      <c r="N2014" s="116">
        <v>606.1</v>
      </c>
      <c r="O2014" s="116">
        <v>595.70000000000005</v>
      </c>
      <c r="P2014" s="116">
        <v>599</v>
      </c>
      <c r="Q2014" s="116">
        <v>597.35</v>
      </c>
      <c r="R2014">
        <v>543572</v>
      </c>
    </row>
    <row r="2015" spans="1:18" x14ac:dyDescent="0.25">
      <c r="A2015" s="170">
        <v>44971</v>
      </c>
      <c r="B2015" s="116">
        <v>25.208206123515598</v>
      </c>
      <c r="C2015" s="116">
        <v>24.473309940975401</v>
      </c>
      <c r="D2015" s="116">
        <v>24.390950886035501</v>
      </c>
      <c r="E2015" s="116">
        <v>25.208206123515598</v>
      </c>
      <c r="F2015" s="116">
        <v>386.3</v>
      </c>
      <c r="G2015">
        <v>8180</v>
      </c>
      <c r="H2015" s="116"/>
      <c r="I2015" s="116"/>
      <c r="L2015" s="170">
        <v>44970</v>
      </c>
      <c r="M2015" s="116">
        <v>591.04999999999995</v>
      </c>
      <c r="N2015" s="116">
        <v>598.54999999999995</v>
      </c>
      <c r="O2015" s="116">
        <v>580</v>
      </c>
      <c r="P2015" s="116">
        <v>595</v>
      </c>
      <c r="Q2015" s="116">
        <v>591.04999999999995</v>
      </c>
      <c r="R2015">
        <v>531299</v>
      </c>
    </row>
    <row r="2016" spans="1:18" x14ac:dyDescent="0.25">
      <c r="A2016" s="170">
        <v>44972</v>
      </c>
      <c r="B2016" s="116">
        <v>24.961128958696101</v>
      </c>
      <c r="C2016" s="116">
        <v>24.669704610447301</v>
      </c>
      <c r="D2016" s="116">
        <v>24.264244647666501</v>
      </c>
      <c r="E2016" s="116">
        <v>24.6316927389366</v>
      </c>
      <c r="F2016" s="116">
        <v>389.4</v>
      </c>
      <c r="G2016">
        <v>10133</v>
      </c>
      <c r="H2016" s="116"/>
      <c r="I2016" s="116"/>
      <c r="L2016" s="170">
        <v>44971</v>
      </c>
      <c r="M2016" s="116">
        <v>590.4</v>
      </c>
      <c r="N2016" s="116">
        <v>597.6</v>
      </c>
      <c r="O2016" s="116">
        <v>587.1</v>
      </c>
      <c r="P2016" s="116">
        <v>591.1</v>
      </c>
      <c r="Q2016" s="116">
        <v>590.4</v>
      </c>
      <c r="R2016">
        <v>469223</v>
      </c>
    </row>
    <row r="2017" spans="1:18" x14ac:dyDescent="0.25">
      <c r="A2017" s="170">
        <v>44973</v>
      </c>
      <c r="B2017" s="116">
        <v>25.277894554618602</v>
      </c>
      <c r="C2017" s="116">
        <v>24.8946081835523</v>
      </c>
      <c r="D2017" s="116">
        <v>24.7267224177134</v>
      </c>
      <c r="E2017" s="116">
        <v>25.277894554618602</v>
      </c>
      <c r="F2017" s="116">
        <v>392.95</v>
      </c>
      <c r="G2017">
        <v>6814</v>
      </c>
      <c r="H2017" s="116"/>
      <c r="I2017" s="116"/>
      <c r="L2017" s="170">
        <v>44972</v>
      </c>
      <c r="M2017" s="116">
        <v>594.79999999999995</v>
      </c>
      <c r="N2017" s="116">
        <v>600</v>
      </c>
      <c r="O2017" s="116">
        <v>587</v>
      </c>
      <c r="P2017" s="116">
        <v>589.9</v>
      </c>
      <c r="Q2017" s="116">
        <v>594.79999999999995</v>
      </c>
      <c r="R2017">
        <v>484600</v>
      </c>
    </row>
    <row r="2018" spans="1:18" x14ac:dyDescent="0.25">
      <c r="A2018" s="170">
        <v>44974</v>
      </c>
      <c r="B2018" s="116">
        <v>25.277894554618602</v>
      </c>
      <c r="C2018" s="116">
        <v>24.7140517938765</v>
      </c>
      <c r="D2018" s="116">
        <v>24.327597766851</v>
      </c>
      <c r="E2018" s="116">
        <v>25.277894554618602</v>
      </c>
      <c r="F2018" s="116">
        <v>390.1</v>
      </c>
      <c r="G2018">
        <v>7586</v>
      </c>
      <c r="H2018" s="116"/>
      <c r="I2018" s="116"/>
      <c r="L2018" s="170">
        <v>44973</v>
      </c>
      <c r="M2018" s="116">
        <v>586.54999999999995</v>
      </c>
      <c r="N2018" s="116">
        <v>597.79999999999995</v>
      </c>
      <c r="O2018" s="116">
        <v>583</v>
      </c>
      <c r="P2018" s="116">
        <v>595.75</v>
      </c>
      <c r="Q2018" s="116">
        <v>586.54999999999995</v>
      </c>
      <c r="R2018">
        <v>248733</v>
      </c>
    </row>
    <row r="2019" spans="1:18" x14ac:dyDescent="0.25">
      <c r="A2019" s="170">
        <v>44977</v>
      </c>
      <c r="B2019" s="116">
        <v>26.291544461570702</v>
      </c>
      <c r="C2019" s="116">
        <v>25.844904971319998</v>
      </c>
      <c r="D2019" s="116">
        <v>25.277894554618602</v>
      </c>
      <c r="E2019" s="116">
        <v>25.277894554618602</v>
      </c>
      <c r="F2019" s="116">
        <v>407.95</v>
      </c>
      <c r="G2019">
        <v>25186</v>
      </c>
      <c r="H2019" s="116"/>
      <c r="I2019" s="116"/>
      <c r="L2019" s="170">
        <v>44974</v>
      </c>
      <c r="M2019" s="116">
        <v>578.85</v>
      </c>
      <c r="N2019" s="116">
        <v>590</v>
      </c>
      <c r="O2019" s="116">
        <v>576.54999999999995</v>
      </c>
      <c r="P2019" s="116">
        <v>583.1</v>
      </c>
      <c r="Q2019" s="116">
        <v>578.85</v>
      </c>
      <c r="R2019">
        <v>365113</v>
      </c>
    </row>
    <row r="2020" spans="1:18" x14ac:dyDescent="0.25">
      <c r="A2020" s="170">
        <v>44978</v>
      </c>
      <c r="B2020" s="116">
        <v>25.943102306055899</v>
      </c>
      <c r="C2020" s="116">
        <v>25.708695765073301</v>
      </c>
      <c r="D2020" s="116">
        <v>25.376091889354601</v>
      </c>
      <c r="E2020" s="116">
        <v>25.911425746463699</v>
      </c>
      <c r="F2020" s="116">
        <v>405.8</v>
      </c>
      <c r="G2020">
        <v>6573</v>
      </c>
      <c r="H2020" s="116"/>
      <c r="I2020" s="116"/>
      <c r="L2020" s="170">
        <v>44977</v>
      </c>
      <c r="M2020" s="116">
        <v>590</v>
      </c>
      <c r="N2020" s="116">
        <v>593.70000000000005</v>
      </c>
      <c r="O2020" s="116">
        <v>574</v>
      </c>
      <c r="P2020" s="116">
        <v>578.95000000000005</v>
      </c>
      <c r="Q2020" s="116">
        <v>590</v>
      </c>
      <c r="R2020">
        <v>699245</v>
      </c>
    </row>
    <row r="2021" spans="1:18" x14ac:dyDescent="0.25">
      <c r="A2021" s="170">
        <v>44979</v>
      </c>
      <c r="B2021" s="116">
        <v>26.133161663609499</v>
      </c>
      <c r="C2021" s="116">
        <v>24.9928055182883</v>
      </c>
      <c r="D2021" s="116">
        <v>24.707716481957998</v>
      </c>
      <c r="E2021" s="116">
        <v>25.344415329762299</v>
      </c>
      <c r="F2021" s="116">
        <v>394.5</v>
      </c>
      <c r="G2021">
        <v>18470</v>
      </c>
      <c r="H2021" s="116"/>
      <c r="I2021" s="116"/>
      <c r="L2021" s="170">
        <v>44978</v>
      </c>
      <c r="M2021" s="116">
        <v>578.29999999999995</v>
      </c>
      <c r="N2021" s="116">
        <v>596.70000000000005</v>
      </c>
      <c r="O2021" s="116">
        <v>575.5</v>
      </c>
      <c r="P2021" s="116">
        <v>589.04999999999995</v>
      </c>
      <c r="Q2021" s="116">
        <v>578.29999999999995</v>
      </c>
      <c r="R2021">
        <v>747401</v>
      </c>
    </row>
    <row r="2022" spans="1:18" x14ac:dyDescent="0.25">
      <c r="A2022" s="170">
        <v>44980</v>
      </c>
      <c r="B2022" s="116">
        <v>25.452115632376</v>
      </c>
      <c r="C2022" s="116">
        <v>24.973799582533001</v>
      </c>
      <c r="D2022" s="116">
        <v>24.707716481957998</v>
      </c>
      <c r="E2022" s="116">
        <v>25.452115632376</v>
      </c>
      <c r="F2022" s="116">
        <v>394.2</v>
      </c>
      <c r="G2022">
        <v>10577</v>
      </c>
      <c r="H2022" s="116"/>
      <c r="I2022" s="116"/>
      <c r="L2022" s="170">
        <v>44979</v>
      </c>
      <c r="M2022" s="116">
        <v>564.04999999999995</v>
      </c>
      <c r="N2022" s="116">
        <v>581</v>
      </c>
      <c r="O2022" s="116">
        <v>557.70000000000005</v>
      </c>
      <c r="P2022" s="116">
        <v>574.5</v>
      </c>
      <c r="Q2022" s="116">
        <v>564.04999999999995</v>
      </c>
      <c r="R2022">
        <v>367589</v>
      </c>
    </row>
    <row r="2023" spans="1:18" x14ac:dyDescent="0.25">
      <c r="A2023" s="170">
        <v>44981</v>
      </c>
      <c r="B2023" s="116">
        <v>25.404600792987601</v>
      </c>
      <c r="C2023" s="116">
        <v>25.249385650985602</v>
      </c>
      <c r="D2023" s="116">
        <v>24.7140517938765</v>
      </c>
      <c r="E2023" s="116">
        <v>24.7140517938765</v>
      </c>
      <c r="F2023" s="116">
        <v>398.55</v>
      </c>
      <c r="G2023">
        <v>5964</v>
      </c>
      <c r="H2023" s="116"/>
      <c r="I2023" s="116"/>
      <c r="L2023" s="170">
        <v>44980</v>
      </c>
      <c r="M2023" s="116">
        <v>563.35</v>
      </c>
      <c r="N2023" s="116">
        <v>567.1</v>
      </c>
      <c r="O2023" s="116">
        <v>556.04999999999995</v>
      </c>
      <c r="P2023" s="116">
        <v>560</v>
      </c>
      <c r="Q2023" s="116">
        <v>563.35</v>
      </c>
      <c r="R2023">
        <v>348750</v>
      </c>
    </row>
    <row r="2024" spans="1:18" x14ac:dyDescent="0.25">
      <c r="A2024" s="170">
        <v>44984</v>
      </c>
      <c r="B2024" s="116">
        <v>25.271559242700199</v>
      </c>
      <c r="C2024" s="116">
        <v>24.786907880938699</v>
      </c>
      <c r="D2024" s="116">
        <v>24.5208247803637</v>
      </c>
      <c r="E2024" s="116">
        <v>24.847093344164001</v>
      </c>
      <c r="F2024" s="116">
        <v>391.25</v>
      </c>
      <c r="G2024">
        <v>8441</v>
      </c>
      <c r="H2024" s="116"/>
      <c r="I2024" s="116"/>
      <c r="L2024" s="170">
        <v>44981</v>
      </c>
      <c r="M2024" s="116">
        <v>566.45000000000005</v>
      </c>
      <c r="N2024" s="116">
        <v>577</v>
      </c>
      <c r="O2024" s="116">
        <v>564.54999999999995</v>
      </c>
      <c r="P2024" s="116">
        <v>565</v>
      </c>
      <c r="Q2024" s="116">
        <v>566.45000000000005</v>
      </c>
      <c r="R2024">
        <v>297130</v>
      </c>
    </row>
    <row r="2025" spans="1:18" x14ac:dyDescent="0.25">
      <c r="A2025" s="170">
        <v>44985</v>
      </c>
      <c r="B2025" s="116">
        <v>25.125847068575801</v>
      </c>
      <c r="C2025" s="116">
        <v>24.679207578324998</v>
      </c>
      <c r="D2025" s="116">
        <v>24.581010243588999</v>
      </c>
      <c r="E2025" s="116">
        <v>24.8660992799193</v>
      </c>
      <c r="F2025" s="116">
        <v>389.55</v>
      </c>
      <c r="G2025">
        <v>7416</v>
      </c>
      <c r="H2025" s="116"/>
      <c r="I2025" s="116"/>
      <c r="L2025" s="170">
        <v>44984</v>
      </c>
      <c r="M2025" s="116">
        <v>570.20000000000005</v>
      </c>
      <c r="N2025" s="116">
        <v>573.79999999999995</v>
      </c>
      <c r="O2025" s="116">
        <v>561.75</v>
      </c>
      <c r="P2025" s="116">
        <v>567</v>
      </c>
      <c r="Q2025" s="116">
        <v>570.20000000000005</v>
      </c>
      <c r="R2025">
        <v>445168</v>
      </c>
    </row>
    <row r="2026" spans="1:18" x14ac:dyDescent="0.25">
      <c r="A2026" s="170">
        <v>44986</v>
      </c>
      <c r="B2026" s="116">
        <v>25.974778865648201</v>
      </c>
      <c r="C2026" s="116">
        <v>25.382427201273</v>
      </c>
      <c r="D2026" s="116">
        <v>24.707716481957998</v>
      </c>
      <c r="E2026" s="116">
        <v>24.831255064367799</v>
      </c>
      <c r="F2026" s="116">
        <v>400.65</v>
      </c>
      <c r="G2026">
        <v>11563</v>
      </c>
      <c r="H2026" s="116"/>
      <c r="I2026" s="116"/>
      <c r="L2026" s="170">
        <v>44985</v>
      </c>
      <c r="M2026" s="116">
        <v>575.20000000000005</v>
      </c>
      <c r="N2026" s="116">
        <v>578.65</v>
      </c>
      <c r="O2026" s="116">
        <v>567.25</v>
      </c>
      <c r="P2026" s="116">
        <v>572</v>
      </c>
      <c r="Q2026" s="116">
        <v>575.20000000000005</v>
      </c>
      <c r="R2026">
        <v>428394</v>
      </c>
    </row>
    <row r="2027" spans="1:18" x14ac:dyDescent="0.25">
      <c r="A2027" s="170">
        <v>44987</v>
      </c>
      <c r="B2027" s="116">
        <v>25.9652758977705</v>
      </c>
      <c r="C2027" s="116">
        <v>25.195535499678702</v>
      </c>
      <c r="D2027" s="116">
        <v>25.040320357676698</v>
      </c>
      <c r="E2027" s="116">
        <v>25.467953912172099</v>
      </c>
      <c r="F2027" s="116">
        <v>397.7</v>
      </c>
      <c r="G2027">
        <v>6186</v>
      </c>
      <c r="H2027" s="116"/>
      <c r="I2027" s="116"/>
      <c r="L2027" s="170">
        <v>44986</v>
      </c>
      <c r="M2027" s="116">
        <v>576.9</v>
      </c>
      <c r="N2027" s="116">
        <v>579</v>
      </c>
      <c r="O2027" s="116">
        <v>572.65</v>
      </c>
      <c r="P2027" s="116">
        <v>577.5</v>
      </c>
      <c r="Q2027" s="116">
        <v>576.9</v>
      </c>
      <c r="R2027">
        <v>743579</v>
      </c>
    </row>
    <row r="2028" spans="1:18" x14ac:dyDescent="0.25">
      <c r="A2028" s="170">
        <v>44988</v>
      </c>
      <c r="B2028" s="116">
        <v>25.746707636583999</v>
      </c>
      <c r="C2028" s="116">
        <v>25.1860325318011</v>
      </c>
      <c r="D2028" s="116">
        <v>24.9928055182883</v>
      </c>
      <c r="E2028" s="116">
        <v>25.224044403311801</v>
      </c>
      <c r="F2028" s="116">
        <v>397.55</v>
      </c>
      <c r="G2028">
        <v>16337</v>
      </c>
      <c r="H2028" s="116"/>
      <c r="I2028" s="116"/>
      <c r="L2028" s="170">
        <v>44987</v>
      </c>
      <c r="M2028" s="116">
        <v>566.9</v>
      </c>
      <c r="N2028" s="116">
        <v>579.79999999999995</v>
      </c>
      <c r="O2028" s="116">
        <v>563</v>
      </c>
      <c r="P2028" s="116">
        <v>579.79999999999995</v>
      </c>
      <c r="Q2028" s="116">
        <v>566.9</v>
      </c>
      <c r="R2028">
        <v>188574</v>
      </c>
    </row>
    <row r="2029" spans="1:18" x14ac:dyDescent="0.25">
      <c r="A2029" s="170">
        <v>44991</v>
      </c>
      <c r="B2029" s="116">
        <v>25.651677957807198</v>
      </c>
      <c r="C2029" s="116">
        <v>24.932620055063001</v>
      </c>
      <c r="D2029" s="116">
        <v>24.707716481957998</v>
      </c>
      <c r="E2029" s="116">
        <v>24.834422720327101</v>
      </c>
      <c r="F2029" s="116">
        <v>393.55</v>
      </c>
      <c r="G2029">
        <v>15602</v>
      </c>
      <c r="H2029" s="116"/>
      <c r="I2029" s="116"/>
      <c r="L2029" s="170">
        <v>44988</v>
      </c>
      <c r="M2029" s="116">
        <v>563.75</v>
      </c>
      <c r="N2029" s="116">
        <v>570.95000000000005</v>
      </c>
      <c r="O2029" s="116">
        <v>560.70000000000005</v>
      </c>
      <c r="P2029" s="116">
        <v>567.85</v>
      </c>
      <c r="Q2029" s="116">
        <v>563.75</v>
      </c>
      <c r="R2029">
        <v>273370</v>
      </c>
    </row>
    <row r="2030" spans="1:18" x14ac:dyDescent="0.25">
      <c r="A2030" s="170">
        <v>44993</v>
      </c>
      <c r="B2030" s="116">
        <v>25.021314421921399</v>
      </c>
      <c r="C2030" s="116">
        <v>24.736225385591101</v>
      </c>
      <c r="D2030" s="116">
        <v>24.397286197953999</v>
      </c>
      <c r="E2030" s="116">
        <v>24.888272871633902</v>
      </c>
      <c r="F2030" s="116">
        <v>390.45</v>
      </c>
      <c r="G2030">
        <v>12614</v>
      </c>
      <c r="H2030" s="116"/>
      <c r="I2030" s="116"/>
      <c r="L2030" s="170">
        <v>44991</v>
      </c>
      <c r="M2030" s="116">
        <v>569.45000000000005</v>
      </c>
      <c r="N2030" s="116">
        <v>574</v>
      </c>
      <c r="O2030" s="116">
        <v>561.75</v>
      </c>
      <c r="P2030" s="116">
        <v>565</v>
      </c>
      <c r="Q2030" s="116">
        <v>569.45000000000005</v>
      </c>
      <c r="R2030">
        <v>750886</v>
      </c>
    </row>
    <row r="2031" spans="1:18" x14ac:dyDescent="0.25">
      <c r="A2031" s="170">
        <v>44994</v>
      </c>
      <c r="B2031" s="116">
        <v>25.192367843719499</v>
      </c>
      <c r="C2031" s="116">
        <v>24.850261000123201</v>
      </c>
      <c r="D2031" s="116">
        <v>24.6443633627735</v>
      </c>
      <c r="E2031" s="116">
        <v>25.192367843719499</v>
      </c>
      <c r="F2031" s="116">
        <v>392.25</v>
      </c>
      <c r="G2031">
        <v>9306</v>
      </c>
      <c r="H2031" s="116"/>
      <c r="I2031" s="116"/>
      <c r="L2031" s="170">
        <v>44993</v>
      </c>
      <c r="M2031" s="116">
        <v>564.35</v>
      </c>
      <c r="N2031" s="116">
        <v>569.95000000000005</v>
      </c>
      <c r="O2031" s="116">
        <v>557.5</v>
      </c>
      <c r="P2031" s="116">
        <v>569.20000000000005</v>
      </c>
      <c r="Q2031" s="116">
        <v>564.35</v>
      </c>
      <c r="R2031">
        <v>544207</v>
      </c>
    </row>
    <row r="2032" spans="1:18" x14ac:dyDescent="0.25">
      <c r="A2032" s="170">
        <v>44995</v>
      </c>
      <c r="B2032" s="116">
        <v>24.831255064367799</v>
      </c>
      <c r="C2032" s="116">
        <v>24.723554761754201</v>
      </c>
      <c r="D2032" s="116">
        <v>24.390950886035501</v>
      </c>
      <c r="E2032" s="116">
        <v>24.653866330651201</v>
      </c>
      <c r="F2032" s="116">
        <v>390.25</v>
      </c>
      <c r="G2032">
        <v>11428</v>
      </c>
      <c r="H2032" s="116"/>
      <c r="I2032" s="116"/>
      <c r="L2032" s="170">
        <v>44994</v>
      </c>
      <c r="M2032" s="116">
        <v>568.5</v>
      </c>
      <c r="N2032" s="116">
        <v>580</v>
      </c>
      <c r="O2032" s="116">
        <v>565</v>
      </c>
      <c r="P2032" s="116">
        <v>567.20000000000005</v>
      </c>
      <c r="Q2032" s="116">
        <v>568.5</v>
      </c>
      <c r="R2032">
        <v>496275</v>
      </c>
    </row>
    <row r="2033" spans="1:18" x14ac:dyDescent="0.25">
      <c r="A2033" s="170">
        <v>44998</v>
      </c>
      <c r="B2033" s="116">
        <v>25.211373779474901</v>
      </c>
      <c r="C2033" s="116">
        <v>24.647531018732799</v>
      </c>
      <c r="D2033" s="116">
        <v>24.390950886035501</v>
      </c>
      <c r="E2033" s="116">
        <v>24.707716481957998</v>
      </c>
      <c r="F2033" s="116">
        <v>389.05</v>
      </c>
      <c r="G2033">
        <v>16005</v>
      </c>
      <c r="H2033" s="116"/>
      <c r="I2033" s="116"/>
      <c r="L2033" s="170">
        <v>44995</v>
      </c>
      <c r="M2033" s="116">
        <v>557.1</v>
      </c>
      <c r="N2033" s="116">
        <v>565</v>
      </c>
      <c r="O2033" s="116">
        <v>550.85</v>
      </c>
      <c r="P2033" s="116">
        <v>565</v>
      </c>
      <c r="Q2033" s="116">
        <v>557.1</v>
      </c>
      <c r="R2033">
        <v>369574</v>
      </c>
    </row>
    <row r="2034" spans="1:18" x14ac:dyDescent="0.25">
      <c r="A2034" s="170">
        <v>44999</v>
      </c>
      <c r="B2034" s="116">
        <v>24.834422720327101</v>
      </c>
      <c r="C2034" s="116">
        <v>23.9791556113362</v>
      </c>
      <c r="D2034" s="116">
        <v>23.1872416215299</v>
      </c>
      <c r="E2034" s="116">
        <v>24.733057729631799</v>
      </c>
      <c r="F2034" s="116">
        <v>378.5</v>
      </c>
      <c r="G2034">
        <v>41557</v>
      </c>
      <c r="H2034" s="116"/>
      <c r="I2034" s="116"/>
      <c r="L2034" s="170">
        <v>44998</v>
      </c>
      <c r="M2034" s="116">
        <v>540</v>
      </c>
      <c r="N2034" s="116">
        <v>573.5</v>
      </c>
      <c r="O2034" s="116">
        <v>536.9</v>
      </c>
      <c r="P2034" s="116">
        <v>557.04999999999995</v>
      </c>
      <c r="Q2034" s="116">
        <v>540</v>
      </c>
      <c r="R2034">
        <v>932544</v>
      </c>
    </row>
    <row r="2035" spans="1:18" x14ac:dyDescent="0.25">
      <c r="A2035" s="170">
        <v>45000</v>
      </c>
      <c r="B2035" s="116">
        <v>26.291544461570702</v>
      </c>
      <c r="C2035" s="116">
        <v>24.403621509872401</v>
      </c>
      <c r="D2035" s="116">
        <v>24.390950886035501</v>
      </c>
      <c r="E2035" s="116">
        <v>24.390950886035501</v>
      </c>
      <c r="F2035" s="116">
        <v>385.2</v>
      </c>
      <c r="G2035">
        <v>16749</v>
      </c>
      <c r="H2035" s="116"/>
      <c r="I2035" s="116"/>
      <c r="L2035" s="170">
        <v>44999</v>
      </c>
      <c r="M2035" s="116">
        <v>528.4</v>
      </c>
      <c r="N2035" s="116">
        <v>545.5</v>
      </c>
      <c r="O2035" s="116">
        <v>526</v>
      </c>
      <c r="P2035" s="116">
        <v>540.45000000000005</v>
      </c>
      <c r="Q2035" s="116">
        <v>528.4</v>
      </c>
      <c r="R2035">
        <v>592536</v>
      </c>
    </row>
    <row r="2036" spans="1:18" x14ac:dyDescent="0.25">
      <c r="A2036" s="170">
        <v>45001</v>
      </c>
      <c r="B2036" s="116">
        <v>24.577842587629799</v>
      </c>
      <c r="C2036" s="116">
        <v>23.877790620641001</v>
      </c>
      <c r="D2036" s="116">
        <v>23.377300979083401</v>
      </c>
      <c r="E2036" s="116">
        <v>24.403621509872401</v>
      </c>
      <c r="F2036" s="116">
        <v>376.9</v>
      </c>
      <c r="G2036">
        <v>32228</v>
      </c>
      <c r="H2036" s="116"/>
      <c r="I2036" s="116"/>
      <c r="L2036" s="170">
        <v>45000</v>
      </c>
      <c r="M2036" s="116">
        <v>519.75</v>
      </c>
      <c r="N2036" s="116">
        <v>535.5</v>
      </c>
      <c r="O2036" s="116">
        <v>516.65</v>
      </c>
      <c r="P2036" s="116">
        <v>532.5</v>
      </c>
      <c r="Q2036" s="116">
        <v>519.75</v>
      </c>
      <c r="R2036">
        <v>571925</v>
      </c>
    </row>
    <row r="2037" spans="1:18" x14ac:dyDescent="0.25">
      <c r="A2037" s="170">
        <v>45002</v>
      </c>
      <c r="B2037" s="116">
        <v>25.265223930781701</v>
      </c>
      <c r="C2037" s="116">
        <v>24.523992436322999</v>
      </c>
      <c r="D2037" s="116">
        <v>24.169214968889701</v>
      </c>
      <c r="E2037" s="116">
        <v>24.292753551299501</v>
      </c>
      <c r="F2037" s="116">
        <v>387.1</v>
      </c>
      <c r="G2037">
        <v>12258</v>
      </c>
      <c r="H2037" s="116"/>
      <c r="I2037" s="116"/>
      <c r="L2037" s="170">
        <v>45001</v>
      </c>
      <c r="M2037" s="116">
        <v>521.15</v>
      </c>
      <c r="N2037" s="116">
        <v>526.1</v>
      </c>
      <c r="O2037" s="116">
        <v>508.55</v>
      </c>
      <c r="P2037" s="116">
        <v>517</v>
      </c>
      <c r="Q2037" s="116">
        <v>521.15</v>
      </c>
      <c r="R2037">
        <v>476795</v>
      </c>
    </row>
    <row r="2038" spans="1:18" x14ac:dyDescent="0.25">
      <c r="A2038" s="170">
        <v>45005</v>
      </c>
      <c r="B2038" s="116">
        <v>24.7710696011425</v>
      </c>
      <c r="C2038" s="116">
        <v>24.628525082977401</v>
      </c>
      <c r="D2038" s="116">
        <v>24.140706065256701</v>
      </c>
      <c r="E2038" s="116">
        <v>24.7710696011425</v>
      </c>
      <c r="F2038" s="116">
        <v>388.75</v>
      </c>
      <c r="G2038">
        <v>19384</v>
      </c>
      <c r="H2038" s="116"/>
      <c r="I2038" s="116"/>
      <c r="L2038" s="170">
        <v>45002</v>
      </c>
      <c r="M2038" s="116">
        <v>530.15</v>
      </c>
      <c r="N2038" s="116">
        <v>532.04999999999995</v>
      </c>
      <c r="O2038" s="116">
        <v>517.54999999999995</v>
      </c>
      <c r="P2038" s="116">
        <v>526.4</v>
      </c>
      <c r="Q2038" s="116">
        <v>530.15</v>
      </c>
      <c r="R2038">
        <v>682828</v>
      </c>
    </row>
    <row r="2039" spans="1:18" x14ac:dyDescent="0.25">
      <c r="A2039" s="170">
        <v>45006</v>
      </c>
      <c r="B2039" s="116">
        <v>24.739393041550301</v>
      </c>
      <c r="C2039" s="116">
        <v>24.010832170928499</v>
      </c>
      <c r="D2039" s="116">
        <v>23.820772813374901</v>
      </c>
      <c r="E2039" s="116">
        <v>24.704548825998799</v>
      </c>
      <c r="F2039" s="116">
        <v>379</v>
      </c>
      <c r="G2039">
        <v>32377</v>
      </c>
      <c r="H2039" s="116"/>
      <c r="I2039" s="116"/>
      <c r="L2039" s="170">
        <v>45005</v>
      </c>
      <c r="M2039" s="116">
        <v>530.20000000000005</v>
      </c>
      <c r="N2039" s="116">
        <v>535.85</v>
      </c>
      <c r="O2039" s="116">
        <v>515.6</v>
      </c>
      <c r="P2039" s="116">
        <v>532</v>
      </c>
      <c r="Q2039" s="116">
        <v>530.20000000000005</v>
      </c>
      <c r="R2039">
        <v>964205</v>
      </c>
    </row>
    <row r="2040" spans="1:18" x14ac:dyDescent="0.25">
      <c r="A2040" s="170">
        <v>45007</v>
      </c>
      <c r="B2040" s="116">
        <v>25.056158637472802</v>
      </c>
      <c r="C2040" s="116">
        <v>24.904111151430001</v>
      </c>
      <c r="D2040" s="116">
        <v>24.264244647666501</v>
      </c>
      <c r="E2040" s="116">
        <v>24.371944950280099</v>
      </c>
      <c r="F2040" s="116">
        <v>393.1</v>
      </c>
      <c r="G2040">
        <v>13222</v>
      </c>
      <c r="H2040" s="116"/>
      <c r="I2040" s="116"/>
      <c r="L2040" s="170">
        <v>45006</v>
      </c>
      <c r="M2040" s="116">
        <v>531.70000000000005</v>
      </c>
      <c r="N2040" s="116">
        <v>536.15</v>
      </c>
      <c r="O2040" s="116">
        <v>524.29999999999995</v>
      </c>
      <c r="P2040" s="116">
        <v>532.85</v>
      </c>
      <c r="Q2040" s="116">
        <v>531.70000000000005</v>
      </c>
      <c r="R2040">
        <v>370906</v>
      </c>
    </row>
    <row r="2041" spans="1:18" x14ac:dyDescent="0.25">
      <c r="A2041" s="170">
        <v>45008</v>
      </c>
      <c r="B2041" s="116">
        <v>25.151188316249598</v>
      </c>
      <c r="C2041" s="116">
        <v>24.821752096490201</v>
      </c>
      <c r="D2041" s="116">
        <v>24.153376689093601</v>
      </c>
      <c r="E2041" s="116">
        <v>24.9928055182883</v>
      </c>
      <c r="F2041" s="116">
        <v>391.8</v>
      </c>
      <c r="G2041">
        <v>6725</v>
      </c>
      <c r="H2041" s="116"/>
      <c r="I2041" s="116"/>
      <c r="L2041" s="170">
        <v>45007</v>
      </c>
      <c r="M2041" s="116">
        <v>547.79999999999995</v>
      </c>
      <c r="N2041" s="116">
        <v>549.35</v>
      </c>
      <c r="O2041" s="116">
        <v>534</v>
      </c>
      <c r="P2041" s="116">
        <v>534.35</v>
      </c>
      <c r="Q2041" s="116">
        <v>547.79999999999995</v>
      </c>
      <c r="R2041">
        <v>576421</v>
      </c>
    </row>
    <row r="2042" spans="1:18" x14ac:dyDescent="0.25">
      <c r="A2042" s="170">
        <v>45009</v>
      </c>
      <c r="B2042" s="116">
        <v>24.828087408408599</v>
      </c>
      <c r="C2042" s="116">
        <v>24.555668995915202</v>
      </c>
      <c r="D2042" s="116">
        <v>24.318094798973299</v>
      </c>
      <c r="E2042" s="116">
        <v>24.802746160734799</v>
      </c>
      <c r="F2042" s="116">
        <v>387.6</v>
      </c>
      <c r="G2042">
        <v>10193</v>
      </c>
      <c r="H2042" s="116"/>
      <c r="I2042" s="116"/>
      <c r="L2042" s="170">
        <v>45008</v>
      </c>
      <c r="M2042" s="116">
        <v>540.25</v>
      </c>
      <c r="N2042" s="116">
        <v>548</v>
      </c>
      <c r="O2042" s="116">
        <v>536.6</v>
      </c>
      <c r="P2042" s="116">
        <v>548</v>
      </c>
      <c r="Q2042" s="116">
        <v>540.25</v>
      </c>
      <c r="R2042">
        <v>840185</v>
      </c>
    </row>
    <row r="2043" spans="1:18" x14ac:dyDescent="0.25">
      <c r="A2043" s="170">
        <v>45012</v>
      </c>
      <c r="B2043" s="116">
        <v>24.7013811700396</v>
      </c>
      <c r="C2043" s="116">
        <v>23.9664849874993</v>
      </c>
      <c r="D2043" s="116">
        <v>23.763755006108902</v>
      </c>
      <c r="E2043" s="116">
        <v>24.7013811700396</v>
      </c>
      <c r="F2043" s="116">
        <v>378.3</v>
      </c>
      <c r="G2043">
        <v>11853</v>
      </c>
      <c r="H2043" s="116"/>
      <c r="I2043" s="116"/>
      <c r="L2043" s="170">
        <v>45009</v>
      </c>
      <c r="M2043" s="116">
        <v>524.9</v>
      </c>
      <c r="N2043" s="116">
        <v>541.75</v>
      </c>
      <c r="O2043" s="116">
        <v>521</v>
      </c>
      <c r="P2043" s="116">
        <v>540.4</v>
      </c>
      <c r="Q2043" s="116">
        <v>524.9</v>
      </c>
      <c r="R2043">
        <v>386989</v>
      </c>
    </row>
    <row r="2044" spans="1:18" x14ac:dyDescent="0.25">
      <c r="A2044" s="170">
        <v>45013</v>
      </c>
      <c r="B2044" s="116">
        <v>24.378280262198601</v>
      </c>
      <c r="C2044" s="116">
        <v>23.3519597314096</v>
      </c>
      <c r="D2044" s="116">
        <v>22.997182263976299</v>
      </c>
      <c r="E2044" s="116">
        <v>24.378280262198601</v>
      </c>
      <c r="F2044" s="116">
        <v>368.6</v>
      </c>
      <c r="G2044">
        <v>31083</v>
      </c>
      <c r="H2044" s="116"/>
      <c r="I2044" s="116"/>
      <c r="L2044" s="170">
        <v>45012</v>
      </c>
      <c r="M2044" s="116">
        <v>519.9</v>
      </c>
      <c r="N2044" s="116">
        <v>530.5</v>
      </c>
      <c r="O2044" s="116">
        <v>512</v>
      </c>
      <c r="P2044" s="116">
        <v>524.20000000000005</v>
      </c>
      <c r="Q2044" s="116">
        <v>519.9</v>
      </c>
      <c r="R2044">
        <v>367199</v>
      </c>
    </row>
    <row r="2045" spans="1:18" x14ac:dyDescent="0.25">
      <c r="A2045" s="170">
        <v>45014</v>
      </c>
      <c r="B2045" s="116">
        <v>25.5883248386227</v>
      </c>
      <c r="C2045" s="116">
        <v>25.0086437980844</v>
      </c>
      <c r="D2045" s="116">
        <v>23.567360336636899</v>
      </c>
      <c r="E2045" s="116">
        <v>23.6877312630875</v>
      </c>
      <c r="F2045" s="116">
        <v>394.75</v>
      </c>
      <c r="G2045">
        <v>25125</v>
      </c>
      <c r="H2045" s="116"/>
      <c r="I2045" s="116"/>
      <c r="L2045" s="170">
        <v>45013</v>
      </c>
      <c r="M2045" s="116">
        <v>518.85</v>
      </c>
      <c r="N2045" s="116">
        <v>520.5</v>
      </c>
      <c r="O2045" s="116">
        <v>511.9</v>
      </c>
      <c r="P2045" s="116">
        <v>519</v>
      </c>
      <c r="Q2045" s="116">
        <v>518.85</v>
      </c>
      <c r="R2045">
        <v>337531</v>
      </c>
    </row>
    <row r="2046" spans="1:18" x14ac:dyDescent="0.25">
      <c r="A2046" s="170">
        <v>45016</v>
      </c>
      <c r="B2046" s="116">
        <v>26.291544461570702</v>
      </c>
      <c r="C2046" s="116">
        <v>25.581989526704199</v>
      </c>
      <c r="D2046" s="116">
        <v>24.457471661179198</v>
      </c>
      <c r="E2046" s="116">
        <v>25.518636407519701</v>
      </c>
      <c r="F2046" s="116">
        <v>403.8</v>
      </c>
      <c r="G2046">
        <v>29283</v>
      </c>
      <c r="H2046" s="116"/>
      <c r="I2046" s="116"/>
      <c r="L2046" s="170">
        <v>45014</v>
      </c>
      <c r="M2046" s="116">
        <v>515.4</v>
      </c>
      <c r="N2046" s="116">
        <v>523.35</v>
      </c>
      <c r="O2046" s="116">
        <v>512</v>
      </c>
      <c r="P2046" s="116">
        <v>520.75</v>
      </c>
      <c r="Q2046" s="116">
        <v>515.4</v>
      </c>
      <c r="R2046">
        <v>846192</v>
      </c>
    </row>
    <row r="2047" spans="1:18" x14ac:dyDescent="0.25">
      <c r="A2047" s="170">
        <v>45019</v>
      </c>
      <c r="B2047" s="116">
        <v>26.988428772600301</v>
      </c>
      <c r="C2047" s="116">
        <v>26.421418355899</v>
      </c>
      <c r="D2047" s="116">
        <v>25.962108241811301</v>
      </c>
      <c r="E2047" s="116">
        <v>25.962108241811301</v>
      </c>
      <c r="F2047" s="116">
        <v>417.05</v>
      </c>
      <c r="G2047">
        <v>34664</v>
      </c>
      <c r="H2047" s="116"/>
      <c r="I2047" s="116"/>
      <c r="L2047" s="170">
        <v>45016</v>
      </c>
      <c r="M2047" s="116">
        <v>529.20000000000005</v>
      </c>
      <c r="N2047" s="116">
        <v>532.5</v>
      </c>
      <c r="O2047" s="116">
        <v>519</v>
      </c>
      <c r="P2047" s="116">
        <v>520</v>
      </c>
      <c r="Q2047" s="116">
        <v>529.20000000000005</v>
      </c>
      <c r="R2047">
        <v>404383</v>
      </c>
    </row>
    <row r="2048" spans="1:18" x14ac:dyDescent="0.25">
      <c r="A2048" s="170">
        <v>45021</v>
      </c>
      <c r="B2048" s="116">
        <v>28.933369531564701</v>
      </c>
      <c r="C2048" s="116">
        <v>28.660951119071299</v>
      </c>
      <c r="D2048" s="116">
        <v>26.481603819124299</v>
      </c>
      <c r="E2048" s="116">
        <v>26.988428772600301</v>
      </c>
      <c r="F2048" s="116">
        <v>452.4</v>
      </c>
      <c r="G2048">
        <v>91529</v>
      </c>
      <c r="H2048" s="116"/>
      <c r="I2048" s="116"/>
      <c r="L2048" s="170">
        <v>45019</v>
      </c>
      <c r="M2048" s="116">
        <v>545.4</v>
      </c>
      <c r="N2048" s="116">
        <v>547.79999999999995</v>
      </c>
      <c r="O2048" s="116">
        <v>530.20000000000005</v>
      </c>
      <c r="P2048" s="116">
        <v>532.85</v>
      </c>
      <c r="Q2048" s="116">
        <v>545.4</v>
      </c>
      <c r="R2048">
        <v>634976</v>
      </c>
    </row>
    <row r="2049" spans="1:18" x14ac:dyDescent="0.25">
      <c r="A2049" s="170">
        <v>45022</v>
      </c>
      <c r="B2049" s="116">
        <v>29.072746393770601</v>
      </c>
      <c r="C2049" s="116">
        <v>28.293503027801201</v>
      </c>
      <c r="D2049" s="116">
        <v>27.583948092934701</v>
      </c>
      <c r="E2049" s="116">
        <v>29.041069834178401</v>
      </c>
      <c r="F2049" s="116">
        <v>446.6</v>
      </c>
      <c r="G2049">
        <v>34172</v>
      </c>
      <c r="H2049" s="116"/>
      <c r="I2049" s="116"/>
      <c r="L2049" s="170">
        <v>45021</v>
      </c>
      <c r="M2049" s="116">
        <v>544.20000000000005</v>
      </c>
      <c r="N2049" s="116">
        <v>546.85</v>
      </c>
      <c r="O2049" s="116">
        <v>539.45000000000005</v>
      </c>
      <c r="P2049" s="116">
        <v>546.04999999999995</v>
      </c>
      <c r="Q2049" s="116">
        <v>544.20000000000005</v>
      </c>
      <c r="R2049">
        <v>234421</v>
      </c>
    </row>
    <row r="2050" spans="1:18" x14ac:dyDescent="0.25">
      <c r="A2050" s="170">
        <v>45026</v>
      </c>
      <c r="B2050" s="116">
        <v>29.680936337941901</v>
      </c>
      <c r="C2050" s="116">
        <v>28.5057359770693</v>
      </c>
      <c r="D2050" s="116">
        <v>28.341017867189599</v>
      </c>
      <c r="E2050" s="116">
        <v>28.445550513844001</v>
      </c>
      <c r="F2050" s="116">
        <v>449.95</v>
      </c>
      <c r="G2050">
        <v>44065</v>
      </c>
      <c r="H2050" s="116"/>
      <c r="I2050" s="116"/>
      <c r="L2050" s="170">
        <v>45022</v>
      </c>
      <c r="M2050" s="116">
        <v>567.15</v>
      </c>
      <c r="N2050" s="116">
        <v>569.29999999999995</v>
      </c>
      <c r="O2050" s="116">
        <v>538.6</v>
      </c>
      <c r="P2050" s="116">
        <v>544.35</v>
      </c>
      <c r="Q2050" s="116">
        <v>567.15</v>
      </c>
      <c r="R2050">
        <v>881334</v>
      </c>
    </row>
    <row r="2051" spans="1:18" x14ac:dyDescent="0.25">
      <c r="A2051" s="170">
        <v>45027</v>
      </c>
      <c r="B2051" s="116">
        <v>29.1424348248736</v>
      </c>
      <c r="C2051" s="116">
        <v>28.771819077644199</v>
      </c>
      <c r="D2051" s="116">
        <v>28.572256752213001</v>
      </c>
      <c r="E2051" s="116">
        <v>28.939704843483199</v>
      </c>
      <c r="F2051" s="116">
        <v>454.15</v>
      </c>
      <c r="G2051">
        <v>24292</v>
      </c>
      <c r="H2051" s="116"/>
      <c r="I2051" s="116"/>
      <c r="L2051" s="170">
        <v>45026</v>
      </c>
      <c r="M2051" s="116">
        <v>582.15</v>
      </c>
      <c r="N2051" s="116">
        <v>583.6</v>
      </c>
      <c r="O2051" s="116">
        <v>568.04999999999995</v>
      </c>
      <c r="P2051" s="116">
        <v>572.95000000000005</v>
      </c>
      <c r="Q2051" s="116">
        <v>582.15</v>
      </c>
      <c r="R2051">
        <v>765353</v>
      </c>
    </row>
    <row r="2052" spans="1:18" x14ac:dyDescent="0.25">
      <c r="A2052" s="170">
        <v>45028</v>
      </c>
      <c r="B2052" s="116">
        <v>29.649259778349599</v>
      </c>
      <c r="C2052" s="116">
        <v>29.4338591731223</v>
      </c>
      <c r="D2052" s="116">
        <v>28.2554911562905</v>
      </c>
      <c r="E2052" s="116">
        <v>29.072746393770601</v>
      </c>
      <c r="F2052" s="116">
        <v>464.6</v>
      </c>
      <c r="G2052">
        <v>53115</v>
      </c>
      <c r="H2052" s="116"/>
      <c r="I2052" s="116"/>
      <c r="L2052" s="170">
        <v>45027</v>
      </c>
      <c r="M2052" s="116">
        <v>574.95000000000005</v>
      </c>
      <c r="N2052" s="116">
        <v>590.95000000000005</v>
      </c>
      <c r="O2052" s="116">
        <v>572.65</v>
      </c>
      <c r="P2052" s="116">
        <v>585</v>
      </c>
      <c r="Q2052" s="116">
        <v>574.95000000000005</v>
      </c>
      <c r="R2052">
        <v>1127721</v>
      </c>
    </row>
    <row r="2053" spans="1:18" x14ac:dyDescent="0.25">
      <c r="A2053" s="170">
        <v>45029</v>
      </c>
      <c r="B2053" s="116">
        <v>31.673391936294699</v>
      </c>
      <c r="C2053" s="116">
        <v>31.4769972668227</v>
      </c>
      <c r="D2053" s="116">
        <v>28.572256752213001</v>
      </c>
      <c r="E2053" s="116">
        <v>29.953354750435299</v>
      </c>
      <c r="F2053" s="116">
        <v>496.85</v>
      </c>
      <c r="G2053">
        <v>237144</v>
      </c>
      <c r="H2053" s="116"/>
      <c r="I2053" s="116"/>
      <c r="L2053" s="170">
        <v>45028</v>
      </c>
      <c r="M2053" s="116">
        <v>569.6</v>
      </c>
      <c r="N2053" s="116">
        <v>575.35</v>
      </c>
      <c r="O2053" s="116">
        <v>565.20000000000005</v>
      </c>
      <c r="P2053" s="116">
        <v>574.95000000000005</v>
      </c>
      <c r="Q2053" s="116">
        <v>569.6</v>
      </c>
      <c r="R2053">
        <v>303075</v>
      </c>
    </row>
    <row r="2054" spans="1:18" x14ac:dyDescent="0.25">
      <c r="A2054" s="170">
        <v>45033</v>
      </c>
      <c r="B2054" s="116">
        <v>32.056678307360897</v>
      </c>
      <c r="C2054" s="116">
        <v>31.508673826414999</v>
      </c>
      <c r="D2054" s="116">
        <v>30.206767227173302</v>
      </c>
      <c r="E2054" s="116">
        <v>31.743080367397599</v>
      </c>
      <c r="F2054" s="116">
        <v>497.35</v>
      </c>
      <c r="G2054">
        <v>74504</v>
      </c>
      <c r="H2054" s="116"/>
      <c r="I2054" s="116"/>
      <c r="L2054" s="170">
        <v>45029</v>
      </c>
      <c r="M2054" s="116">
        <v>566.75</v>
      </c>
      <c r="N2054" s="116">
        <v>572</v>
      </c>
      <c r="O2054" s="116">
        <v>558.1</v>
      </c>
      <c r="P2054" s="116">
        <v>570</v>
      </c>
      <c r="Q2054" s="116">
        <v>566.75</v>
      </c>
      <c r="R2054">
        <v>407594</v>
      </c>
    </row>
    <row r="2055" spans="1:18" x14ac:dyDescent="0.25">
      <c r="A2055" s="170">
        <v>45034</v>
      </c>
      <c r="B2055" s="116">
        <v>32.056678307360897</v>
      </c>
      <c r="C2055" s="116">
        <v>30.4760179837075</v>
      </c>
      <c r="D2055" s="116">
        <v>30.285958626153899</v>
      </c>
      <c r="E2055" s="116">
        <v>31.929972068991901</v>
      </c>
      <c r="F2055" s="116">
        <v>481.05</v>
      </c>
      <c r="G2055">
        <v>46029</v>
      </c>
      <c r="H2055" s="116"/>
      <c r="I2055" s="116"/>
      <c r="L2055" s="170">
        <v>45033</v>
      </c>
      <c r="M2055" s="116">
        <v>570.4</v>
      </c>
      <c r="N2055" s="116">
        <v>574.95000000000005</v>
      </c>
      <c r="O2055" s="116">
        <v>564.04999999999995</v>
      </c>
      <c r="P2055" s="116">
        <v>570</v>
      </c>
      <c r="Q2055" s="116">
        <v>570.4</v>
      </c>
      <c r="R2055">
        <v>308969</v>
      </c>
    </row>
    <row r="2056" spans="1:18" x14ac:dyDescent="0.25">
      <c r="A2056" s="170">
        <v>45035</v>
      </c>
      <c r="B2056" s="116">
        <v>30.970172313346598</v>
      </c>
      <c r="C2056" s="116">
        <v>30.374652993012301</v>
      </c>
      <c r="D2056" s="116">
        <v>30.263785034439401</v>
      </c>
      <c r="E2056" s="116">
        <v>30.460179703911301</v>
      </c>
      <c r="F2056" s="116">
        <v>479.45</v>
      </c>
      <c r="G2056">
        <v>28694</v>
      </c>
      <c r="H2056" s="116"/>
      <c r="I2056" s="116"/>
      <c r="L2056" s="170">
        <v>45034</v>
      </c>
      <c r="M2056" s="116">
        <v>562.45000000000005</v>
      </c>
      <c r="N2056" s="116">
        <v>571</v>
      </c>
      <c r="O2056" s="116">
        <v>550.79999999999995</v>
      </c>
      <c r="P2056" s="116">
        <v>570.25</v>
      </c>
      <c r="Q2056" s="116">
        <v>562.45000000000005</v>
      </c>
      <c r="R2056">
        <v>590385</v>
      </c>
    </row>
    <row r="2057" spans="1:18" x14ac:dyDescent="0.25">
      <c r="A2057" s="170">
        <v>45036</v>
      </c>
      <c r="B2057" s="116">
        <v>32.234067041077601</v>
      </c>
      <c r="C2057" s="116">
        <v>31.214081822207</v>
      </c>
      <c r="D2057" s="116">
        <v>30.618562501872599</v>
      </c>
      <c r="E2057" s="116">
        <v>30.6439037495464</v>
      </c>
      <c r="F2057" s="116">
        <v>492.7</v>
      </c>
      <c r="G2057">
        <v>69196</v>
      </c>
      <c r="H2057" s="116"/>
      <c r="I2057" s="116"/>
      <c r="L2057" s="170">
        <v>45035</v>
      </c>
      <c r="M2057" s="116">
        <v>564.54999999999995</v>
      </c>
      <c r="N2057" s="116">
        <v>574.85</v>
      </c>
      <c r="O2057" s="116">
        <v>561.5</v>
      </c>
      <c r="P2057" s="116">
        <v>561.5</v>
      </c>
      <c r="Q2057" s="116">
        <v>564.54999999999995</v>
      </c>
      <c r="R2057">
        <v>412979</v>
      </c>
    </row>
    <row r="2058" spans="1:18" x14ac:dyDescent="0.25">
      <c r="A2058" s="170">
        <v>45037</v>
      </c>
      <c r="B2058" s="116">
        <v>32.044007683524001</v>
      </c>
      <c r="C2058" s="116">
        <v>30.967004657387399</v>
      </c>
      <c r="D2058" s="116">
        <v>30.5995565661173</v>
      </c>
      <c r="E2058" s="116">
        <v>31.800098174663699</v>
      </c>
      <c r="F2058" s="116">
        <v>488.8</v>
      </c>
      <c r="G2058">
        <v>39132</v>
      </c>
      <c r="H2058" s="116"/>
      <c r="I2058" s="116"/>
      <c r="L2058" s="170">
        <v>45036</v>
      </c>
      <c r="M2058" s="116">
        <v>563.35</v>
      </c>
      <c r="N2058" s="116">
        <v>570.04999999999995</v>
      </c>
      <c r="O2058" s="116">
        <v>561.1</v>
      </c>
      <c r="P2058" s="116">
        <v>564</v>
      </c>
      <c r="Q2058" s="116">
        <v>563.35</v>
      </c>
      <c r="R2058">
        <v>259117</v>
      </c>
    </row>
    <row r="2059" spans="1:18" x14ac:dyDescent="0.25">
      <c r="A2059" s="170">
        <v>45040</v>
      </c>
      <c r="B2059" s="116">
        <v>31.986989876258001</v>
      </c>
      <c r="C2059" s="116">
        <v>31.160231670900199</v>
      </c>
      <c r="D2059" s="116">
        <v>30.577382974402699</v>
      </c>
      <c r="E2059" s="116">
        <v>31.6005358492325</v>
      </c>
      <c r="F2059" s="116">
        <v>491.85</v>
      </c>
      <c r="G2059">
        <v>32347</v>
      </c>
      <c r="H2059" s="116"/>
      <c r="I2059" s="116"/>
      <c r="L2059" s="170">
        <v>45037</v>
      </c>
      <c r="M2059" s="116">
        <v>562</v>
      </c>
      <c r="N2059" s="116">
        <v>566.35</v>
      </c>
      <c r="O2059" s="116">
        <v>552.1</v>
      </c>
      <c r="P2059" s="116">
        <v>566.35</v>
      </c>
      <c r="Q2059" s="116">
        <v>562</v>
      </c>
      <c r="R2059">
        <v>451968</v>
      </c>
    </row>
    <row r="2060" spans="1:18" x14ac:dyDescent="0.25">
      <c r="A2060" s="170">
        <v>45041</v>
      </c>
      <c r="B2060" s="116">
        <v>31.359793996331401</v>
      </c>
      <c r="C2060" s="116">
        <v>30.469682671788998</v>
      </c>
      <c r="D2060" s="116">
        <v>30.428503144319102</v>
      </c>
      <c r="E2060" s="116">
        <v>31.233087757962299</v>
      </c>
      <c r="F2060" s="116">
        <v>480.95</v>
      </c>
      <c r="G2060">
        <v>23091</v>
      </c>
      <c r="H2060" s="116"/>
      <c r="I2060" s="116"/>
      <c r="L2060" s="170">
        <v>45040</v>
      </c>
      <c r="M2060" s="116">
        <v>577.1</v>
      </c>
      <c r="N2060" s="116">
        <v>579.5</v>
      </c>
      <c r="O2060" s="116">
        <v>560.85</v>
      </c>
      <c r="P2060" s="116">
        <v>562.9</v>
      </c>
      <c r="Q2060" s="116">
        <v>577.1</v>
      </c>
      <c r="R2060">
        <v>703195</v>
      </c>
    </row>
    <row r="2061" spans="1:18" x14ac:dyDescent="0.25">
      <c r="A2061" s="170">
        <v>45042</v>
      </c>
      <c r="B2061" s="116">
        <v>30.897316226284399</v>
      </c>
      <c r="C2061" s="116">
        <v>30.1434141079888</v>
      </c>
      <c r="D2061" s="116">
        <v>30.0610550530489</v>
      </c>
      <c r="E2061" s="116">
        <v>30.0610550530489</v>
      </c>
      <c r="F2061" s="116">
        <v>475.8</v>
      </c>
      <c r="G2061">
        <v>18779</v>
      </c>
      <c r="H2061" s="116"/>
      <c r="I2061" s="116"/>
      <c r="L2061" s="170">
        <v>45041</v>
      </c>
      <c r="M2061" s="116">
        <v>584.15</v>
      </c>
      <c r="N2061" s="116">
        <v>587.5</v>
      </c>
      <c r="O2061" s="116">
        <v>576.6</v>
      </c>
      <c r="P2061" s="116">
        <v>580</v>
      </c>
      <c r="Q2061" s="116">
        <v>584.15</v>
      </c>
      <c r="R2061">
        <v>550626</v>
      </c>
    </row>
    <row r="2062" spans="1:18" x14ac:dyDescent="0.25">
      <c r="A2062" s="170">
        <v>45043</v>
      </c>
      <c r="B2062" s="116">
        <v>31.043028400408801</v>
      </c>
      <c r="C2062" s="116">
        <v>30.650239061464902</v>
      </c>
      <c r="D2062" s="116">
        <v>30.118072860314999</v>
      </c>
      <c r="E2062" s="116">
        <v>30.118072860314999</v>
      </c>
      <c r="F2062" s="116">
        <v>483.8</v>
      </c>
      <c r="G2062">
        <v>31512</v>
      </c>
      <c r="H2062" s="116"/>
      <c r="I2062" s="116"/>
      <c r="L2062" s="170">
        <v>45042</v>
      </c>
      <c r="M2062" s="116">
        <v>585.15</v>
      </c>
      <c r="N2062" s="116">
        <v>592.15</v>
      </c>
      <c r="O2062" s="116">
        <v>578.20000000000005</v>
      </c>
      <c r="P2062" s="116">
        <v>582.5</v>
      </c>
      <c r="Q2062" s="116">
        <v>585.15</v>
      </c>
      <c r="R2062">
        <v>724986</v>
      </c>
    </row>
    <row r="2063" spans="1:18" x14ac:dyDescent="0.25">
      <c r="A2063" s="170">
        <v>45044</v>
      </c>
      <c r="B2063" s="116">
        <v>30.973339969305901</v>
      </c>
      <c r="C2063" s="116">
        <v>30.3936589287676</v>
      </c>
      <c r="D2063" s="116">
        <v>30.206767227173302</v>
      </c>
      <c r="E2063" s="116">
        <v>30.7262628044863</v>
      </c>
      <c r="F2063" s="116">
        <v>479.75</v>
      </c>
      <c r="G2063">
        <v>15014</v>
      </c>
      <c r="H2063" s="116"/>
      <c r="I2063" s="116"/>
      <c r="L2063" s="170">
        <v>45043</v>
      </c>
      <c r="M2063" s="116">
        <v>593.20000000000005</v>
      </c>
      <c r="N2063" s="116">
        <v>598</v>
      </c>
      <c r="O2063" s="116">
        <v>576.04999999999995</v>
      </c>
      <c r="P2063" s="116">
        <v>578</v>
      </c>
      <c r="Q2063" s="116">
        <v>593.20000000000005</v>
      </c>
      <c r="R2063">
        <v>1275144</v>
      </c>
    </row>
    <row r="2064" spans="1:18" x14ac:dyDescent="0.25">
      <c r="A2064" s="170">
        <v>45048</v>
      </c>
      <c r="B2064" s="116">
        <v>30.979675281224299</v>
      </c>
      <c r="C2064" s="116">
        <v>30.7421010842824</v>
      </c>
      <c r="D2064" s="116">
        <v>30.108569892437298</v>
      </c>
      <c r="E2064" s="116">
        <v>30.8941485703252</v>
      </c>
      <c r="F2064" s="116">
        <v>485.25</v>
      </c>
      <c r="G2064">
        <v>31813</v>
      </c>
      <c r="H2064" s="116"/>
      <c r="I2064" s="116"/>
      <c r="L2064" s="170">
        <v>45044</v>
      </c>
      <c r="M2064" s="116">
        <v>616.70000000000005</v>
      </c>
      <c r="N2064" s="116">
        <v>625</v>
      </c>
      <c r="O2064" s="116">
        <v>596.70000000000005</v>
      </c>
      <c r="P2064" s="116">
        <v>598.35</v>
      </c>
      <c r="Q2064" s="116">
        <v>616.70000000000005</v>
      </c>
      <c r="R2064">
        <v>1601617</v>
      </c>
    </row>
    <row r="2065" spans="1:18" x14ac:dyDescent="0.25">
      <c r="A2065" s="170">
        <v>45049</v>
      </c>
      <c r="B2065" s="116">
        <v>31.2964408771469</v>
      </c>
      <c r="C2065" s="116">
        <v>30.8656396666922</v>
      </c>
      <c r="D2065" s="116">
        <v>30.472850327748201</v>
      </c>
      <c r="E2065" s="116">
        <v>30.916322162039801</v>
      </c>
      <c r="F2065" s="116">
        <v>487.2</v>
      </c>
      <c r="G2065">
        <v>19726</v>
      </c>
      <c r="H2065" s="116"/>
      <c r="I2065" s="116"/>
      <c r="L2065" s="170">
        <v>45048</v>
      </c>
      <c r="M2065" s="116">
        <v>627.29999999999995</v>
      </c>
      <c r="N2065" s="116">
        <v>632.5</v>
      </c>
      <c r="O2065" s="116">
        <v>617.1</v>
      </c>
      <c r="P2065" s="116">
        <v>619.75</v>
      </c>
      <c r="Q2065" s="116">
        <v>627.29999999999995</v>
      </c>
      <c r="R2065">
        <v>1067045</v>
      </c>
    </row>
    <row r="2066" spans="1:18" x14ac:dyDescent="0.25">
      <c r="A2066" s="170">
        <v>45050</v>
      </c>
      <c r="B2066" s="116">
        <v>31.0050165288981</v>
      </c>
      <c r="C2066" s="116">
        <v>30.609059533994898</v>
      </c>
      <c r="D2066" s="116">
        <v>30.4094972085637</v>
      </c>
      <c r="E2066" s="116">
        <v>30.567880006525002</v>
      </c>
      <c r="F2066" s="116">
        <v>483.15</v>
      </c>
      <c r="G2066">
        <v>12384</v>
      </c>
      <c r="H2066" s="116"/>
      <c r="I2066" s="116"/>
      <c r="L2066" s="170">
        <v>45049</v>
      </c>
      <c r="M2066" s="116">
        <v>633.54999999999995</v>
      </c>
      <c r="N2066" s="116">
        <v>639.79999999999995</v>
      </c>
      <c r="O2066" s="116">
        <v>623.1</v>
      </c>
      <c r="P2066" s="116">
        <v>623.1</v>
      </c>
      <c r="Q2066" s="116">
        <v>633.54999999999995</v>
      </c>
      <c r="R2066">
        <v>616261</v>
      </c>
    </row>
    <row r="2067" spans="1:18" x14ac:dyDescent="0.25">
      <c r="A2067" s="170">
        <v>45051</v>
      </c>
      <c r="B2067" s="116">
        <v>30.973339969305901</v>
      </c>
      <c r="C2067" s="116">
        <v>30.010372557701299</v>
      </c>
      <c r="D2067" s="116">
        <v>29.775966016718701</v>
      </c>
      <c r="E2067" s="116">
        <v>30.441173768155998</v>
      </c>
      <c r="F2067" s="116">
        <v>473.7</v>
      </c>
      <c r="G2067">
        <v>33164</v>
      </c>
      <c r="H2067" s="116"/>
      <c r="I2067" s="116"/>
      <c r="L2067" s="170">
        <v>45050</v>
      </c>
      <c r="M2067" s="116">
        <v>637.4</v>
      </c>
      <c r="N2067" s="116">
        <v>640</v>
      </c>
      <c r="O2067" s="116">
        <v>631.54999999999995</v>
      </c>
      <c r="P2067" s="116">
        <v>634</v>
      </c>
      <c r="Q2067" s="116">
        <v>637.4</v>
      </c>
      <c r="R2067">
        <v>378592</v>
      </c>
    </row>
    <row r="2068" spans="1:18" x14ac:dyDescent="0.25">
      <c r="A2068" s="170">
        <v>45054</v>
      </c>
      <c r="B2068" s="116">
        <v>30.216270195050999</v>
      </c>
      <c r="C2068" s="116">
        <v>29.592241971083599</v>
      </c>
      <c r="D2068" s="116">
        <v>29.459200420796101</v>
      </c>
      <c r="E2068" s="116">
        <v>30.2131025390918</v>
      </c>
      <c r="F2068" s="116">
        <v>467.1</v>
      </c>
      <c r="G2068">
        <v>21313</v>
      </c>
      <c r="H2068" s="116"/>
      <c r="I2068" s="116"/>
      <c r="L2068" s="170">
        <v>45051</v>
      </c>
      <c r="M2068" s="116">
        <v>643.75</v>
      </c>
      <c r="N2068" s="116">
        <v>649.54999999999995</v>
      </c>
      <c r="O2068" s="116">
        <v>635.6</v>
      </c>
      <c r="P2068" s="116">
        <v>637.95000000000005</v>
      </c>
      <c r="Q2068" s="116">
        <v>643.75</v>
      </c>
      <c r="R2068">
        <v>687273</v>
      </c>
    </row>
    <row r="2069" spans="1:18" x14ac:dyDescent="0.25">
      <c r="A2069" s="170">
        <v>45055</v>
      </c>
      <c r="B2069" s="116">
        <v>29.918510534883801</v>
      </c>
      <c r="C2069" s="116">
        <v>29.6714333700642</v>
      </c>
      <c r="D2069" s="116">
        <v>29.459200420796101</v>
      </c>
      <c r="E2069" s="116">
        <v>29.9058399110469</v>
      </c>
      <c r="F2069" s="116">
        <v>468.35</v>
      </c>
      <c r="G2069">
        <v>12591</v>
      </c>
      <c r="H2069" s="116"/>
      <c r="I2069" s="116"/>
      <c r="L2069" s="170">
        <v>45054</v>
      </c>
      <c r="M2069" s="116">
        <v>657</v>
      </c>
      <c r="N2069" s="116">
        <v>658.95</v>
      </c>
      <c r="O2069" s="116">
        <v>639.5</v>
      </c>
      <c r="P2069" s="116">
        <v>642.20000000000005</v>
      </c>
      <c r="Q2069" s="116">
        <v>657</v>
      </c>
      <c r="R2069">
        <v>618516</v>
      </c>
    </row>
    <row r="2070" spans="1:18" x14ac:dyDescent="0.25">
      <c r="A2070" s="170">
        <v>45056</v>
      </c>
      <c r="B2070" s="116">
        <v>31.423147115515899</v>
      </c>
      <c r="C2070" s="116">
        <v>31.1032138636341</v>
      </c>
      <c r="D2070" s="116">
        <v>29.9090075670061</v>
      </c>
      <c r="E2070" s="116">
        <v>30.2827909701947</v>
      </c>
      <c r="F2070" s="116">
        <v>490.95</v>
      </c>
      <c r="G2070">
        <v>79843</v>
      </c>
      <c r="H2070" s="116"/>
      <c r="I2070" s="116"/>
      <c r="L2070" s="170">
        <v>45055</v>
      </c>
      <c r="M2070" s="116">
        <v>645.85</v>
      </c>
      <c r="N2070" s="116">
        <v>659.2</v>
      </c>
      <c r="O2070" s="116">
        <v>642.65</v>
      </c>
      <c r="P2070" s="116">
        <v>659</v>
      </c>
      <c r="Q2070" s="116">
        <v>645.85</v>
      </c>
      <c r="R2070">
        <v>535583</v>
      </c>
    </row>
    <row r="2071" spans="1:18" x14ac:dyDescent="0.25">
      <c r="A2071" s="170">
        <v>45057</v>
      </c>
      <c r="B2071" s="116">
        <v>31.9458103487881</v>
      </c>
      <c r="C2071" s="116">
        <v>31.733577399520001</v>
      </c>
      <c r="D2071" s="116">
        <v>31.011351840816602</v>
      </c>
      <c r="E2071" s="116">
        <v>31.638547720743201</v>
      </c>
      <c r="F2071" s="116">
        <v>500.9</v>
      </c>
      <c r="G2071">
        <v>44824</v>
      </c>
      <c r="H2071" s="116"/>
      <c r="I2071" s="116"/>
      <c r="L2071" s="170">
        <v>45056</v>
      </c>
      <c r="M2071" s="116">
        <v>646.45000000000005</v>
      </c>
      <c r="N2071" s="116">
        <v>652.5</v>
      </c>
      <c r="O2071" s="116">
        <v>641.85</v>
      </c>
      <c r="P2071" s="116">
        <v>645.85</v>
      </c>
      <c r="Q2071" s="116">
        <v>646.45000000000005</v>
      </c>
      <c r="R2071">
        <v>375429</v>
      </c>
    </row>
    <row r="2072" spans="1:18" x14ac:dyDescent="0.25">
      <c r="A2072" s="170">
        <v>45058</v>
      </c>
      <c r="B2072" s="116">
        <v>32.310090784099003</v>
      </c>
      <c r="C2072" s="116">
        <v>31.857115981929699</v>
      </c>
      <c r="D2072" s="116">
        <v>31.359793996331401</v>
      </c>
      <c r="E2072" s="116">
        <v>31.7399127114384</v>
      </c>
      <c r="F2072" s="116">
        <v>502.85</v>
      </c>
      <c r="G2072">
        <v>33730</v>
      </c>
      <c r="H2072" s="116"/>
      <c r="I2072" s="116"/>
      <c r="L2072" s="170">
        <v>45057</v>
      </c>
      <c r="M2072" s="116">
        <v>643.95000000000005</v>
      </c>
      <c r="N2072" s="116">
        <v>654.95000000000005</v>
      </c>
      <c r="O2072" s="116">
        <v>642.1</v>
      </c>
      <c r="P2072" s="116">
        <v>649.79999999999995</v>
      </c>
      <c r="Q2072" s="116">
        <v>643.95000000000005</v>
      </c>
      <c r="R2072">
        <v>337114</v>
      </c>
    </row>
    <row r="2073" spans="1:18" x14ac:dyDescent="0.25">
      <c r="A2073" s="170">
        <v>45061</v>
      </c>
      <c r="B2073" s="116">
        <v>32.151707986137701</v>
      </c>
      <c r="C2073" s="116">
        <v>31.480164922781899</v>
      </c>
      <c r="D2073" s="116">
        <v>31.043028400408801</v>
      </c>
      <c r="E2073" s="116">
        <v>32.104193146749303</v>
      </c>
      <c r="F2073" s="116">
        <v>496.9</v>
      </c>
      <c r="G2073">
        <v>18405</v>
      </c>
      <c r="H2073" s="116"/>
      <c r="I2073" s="116"/>
      <c r="L2073" s="170">
        <v>45058</v>
      </c>
      <c r="M2073" s="116">
        <v>643.65</v>
      </c>
      <c r="N2073" s="116">
        <v>649.4</v>
      </c>
      <c r="O2073" s="116">
        <v>640.29999999999995</v>
      </c>
      <c r="P2073" s="116">
        <v>643.95000000000005</v>
      </c>
      <c r="Q2073" s="116">
        <v>643.65</v>
      </c>
      <c r="R2073">
        <v>357957</v>
      </c>
    </row>
    <row r="2074" spans="1:18" x14ac:dyDescent="0.25">
      <c r="A2074" s="170">
        <v>45062</v>
      </c>
      <c r="B2074" s="116">
        <v>31.993325188176399</v>
      </c>
      <c r="C2074" s="116">
        <v>31.090543239797199</v>
      </c>
      <c r="D2074" s="116">
        <v>30.916322162039801</v>
      </c>
      <c r="E2074" s="116">
        <v>31.6290447528655</v>
      </c>
      <c r="F2074" s="116">
        <v>490.75</v>
      </c>
      <c r="G2074">
        <v>16621</v>
      </c>
      <c r="H2074" s="116"/>
      <c r="I2074" s="116"/>
      <c r="L2074" s="170">
        <v>45061</v>
      </c>
      <c r="M2074" s="116">
        <v>658.95</v>
      </c>
      <c r="N2074" s="116">
        <v>661.55</v>
      </c>
      <c r="O2074" s="116">
        <v>640.45000000000005</v>
      </c>
      <c r="P2074" s="116">
        <v>645.04999999999995</v>
      </c>
      <c r="Q2074" s="116">
        <v>658.95</v>
      </c>
      <c r="R2074">
        <v>786620</v>
      </c>
    </row>
    <row r="2075" spans="1:18" x14ac:dyDescent="0.25">
      <c r="A2075" s="170">
        <v>45063</v>
      </c>
      <c r="B2075" s="116">
        <v>31.423147115515899</v>
      </c>
      <c r="C2075" s="116">
        <v>30.827627795181499</v>
      </c>
      <c r="D2075" s="116">
        <v>30.748436396200901</v>
      </c>
      <c r="E2075" s="116">
        <v>31.423147115515899</v>
      </c>
      <c r="F2075" s="116">
        <v>486.6</v>
      </c>
      <c r="G2075">
        <v>11322</v>
      </c>
      <c r="H2075" s="116"/>
      <c r="I2075" s="116"/>
      <c r="L2075" s="170">
        <v>45062</v>
      </c>
      <c r="M2075" s="116">
        <v>658.5</v>
      </c>
      <c r="N2075" s="116">
        <v>672.45</v>
      </c>
      <c r="O2075" s="116">
        <v>653.65</v>
      </c>
      <c r="P2075" s="116">
        <v>663.45</v>
      </c>
      <c r="Q2075" s="116">
        <v>658.5</v>
      </c>
      <c r="R2075">
        <v>719609</v>
      </c>
    </row>
    <row r="2076" spans="1:18" x14ac:dyDescent="0.25">
      <c r="A2076" s="170">
        <v>45064</v>
      </c>
      <c r="B2076" s="116">
        <v>31.638547720743201</v>
      </c>
      <c r="C2076" s="116">
        <v>31.413644147638198</v>
      </c>
      <c r="D2076" s="116">
        <v>30.662909685301798</v>
      </c>
      <c r="E2076" s="116">
        <v>30.979675281224299</v>
      </c>
      <c r="F2076" s="116">
        <v>495.85</v>
      </c>
      <c r="G2076">
        <v>13711</v>
      </c>
      <c r="H2076" s="116"/>
      <c r="I2076" s="116"/>
      <c r="L2076" s="170">
        <v>45063</v>
      </c>
      <c r="M2076" s="116">
        <v>670.55</v>
      </c>
      <c r="N2076" s="116">
        <v>673.45</v>
      </c>
      <c r="O2076" s="116">
        <v>649.6</v>
      </c>
      <c r="P2076" s="116">
        <v>659</v>
      </c>
      <c r="Q2076" s="116">
        <v>670.55</v>
      </c>
      <c r="R2076">
        <v>650229</v>
      </c>
    </row>
    <row r="2077" spans="1:18" x14ac:dyDescent="0.25">
      <c r="A2077" s="170">
        <v>45065</v>
      </c>
      <c r="B2077" s="116">
        <v>31.7399127114384</v>
      </c>
      <c r="C2077" s="116">
        <v>31.4611589870266</v>
      </c>
      <c r="D2077" s="116">
        <v>31.359793996331401</v>
      </c>
      <c r="E2077" s="116">
        <v>31.6005358492325</v>
      </c>
      <c r="F2077" s="116">
        <v>496.6</v>
      </c>
      <c r="G2077">
        <v>15631</v>
      </c>
      <c r="H2077" s="116"/>
      <c r="I2077" s="116"/>
      <c r="L2077" s="170">
        <v>45064</v>
      </c>
      <c r="M2077" s="116">
        <v>675.45</v>
      </c>
      <c r="N2077" s="116">
        <v>698.55</v>
      </c>
      <c r="O2077" s="116">
        <v>671.5</v>
      </c>
      <c r="P2077" s="116">
        <v>677.45</v>
      </c>
      <c r="Q2077" s="116">
        <v>675.45</v>
      </c>
      <c r="R2077">
        <v>2562867</v>
      </c>
    </row>
    <row r="2078" spans="1:18" x14ac:dyDescent="0.25">
      <c r="A2078" s="170">
        <v>45068</v>
      </c>
      <c r="B2078" s="116">
        <v>32.5603356048778</v>
      </c>
      <c r="C2078" s="116">
        <v>32.392449839038797</v>
      </c>
      <c r="D2078" s="116">
        <v>31.4611589870266</v>
      </c>
      <c r="E2078" s="116">
        <v>31.676559592253899</v>
      </c>
      <c r="F2078" s="116">
        <v>511.3</v>
      </c>
      <c r="G2078">
        <v>77439</v>
      </c>
      <c r="H2078" s="116"/>
      <c r="I2078" s="116"/>
      <c r="L2078" s="170">
        <v>45065</v>
      </c>
      <c r="M2078" s="116">
        <v>666.35</v>
      </c>
      <c r="N2078" s="116">
        <v>678.95</v>
      </c>
      <c r="O2078" s="116">
        <v>651</v>
      </c>
      <c r="P2078" s="116">
        <v>678.95</v>
      </c>
      <c r="Q2078" s="116">
        <v>666.35</v>
      </c>
      <c r="R2078">
        <v>901489</v>
      </c>
    </row>
    <row r="2079" spans="1:18" x14ac:dyDescent="0.25">
      <c r="A2079" s="170">
        <v>45069</v>
      </c>
      <c r="B2079" s="116">
        <v>32.816915737575002</v>
      </c>
      <c r="C2079" s="116">
        <v>32.031337059687097</v>
      </c>
      <c r="D2079" s="116">
        <v>31.549853353884899</v>
      </c>
      <c r="E2079" s="116">
        <v>32.753562618390497</v>
      </c>
      <c r="F2079" s="116">
        <v>505.6</v>
      </c>
      <c r="G2079">
        <v>83935</v>
      </c>
      <c r="H2079" s="116"/>
      <c r="I2079" s="116"/>
      <c r="L2079" s="170">
        <v>45068</v>
      </c>
      <c r="M2079" s="116">
        <v>670.1</v>
      </c>
      <c r="N2079" s="116">
        <v>674.35</v>
      </c>
      <c r="O2079" s="116">
        <v>655.45</v>
      </c>
      <c r="P2079" s="116">
        <v>668.8</v>
      </c>
      <c r="Q2079" s="116">
        <v>670.1</v>
      </c>
      <c r="R2079">
        <v>500401</v>
      </c>
    </row>
    <row r="2080" spans="1:18" x14ac:dyDescent="0.25">
      <c r="A2080" s="170">
        <v>45070</v>
      </c>
      <c r="B2080" s="116">
        <v>32.614185756184597</v>
      </c>
      <c r="C2080" s="116">
        <v>31.093710895756399</v>
      </c>
      <c r="D2080" s="116">
        <v>31.043028400408801</v>
      </c>
      <c r="E2080" s="116">
        <v>32.389282183079601</v>
      </c>
      <c r="F2080" s="116">
        <v>490.8</v>
      </c>
      <c r="G2080">
        <v>22614</v>
      </c>
      <c r="H2080" s="116"/>
      <c r="I2080" s="116"/>
      <c r="L2080" s="170">
        <v>45069</v>
      </c>
      <c r="M2080" s="116">
        <v>676.95</v>
      </c>
      <c r="N2080" s="116">
        <v>686.55</v>
      </c>
      <c r="O2080" s="116">
        <v>671.05</v>
      </c>
      <c r="P2080" s="116">
        <v>673.95</v>
      </c>
      <c r="Q2080" s="116">
        <v>676.95</v>
      </c>
      <c r="R2080">
        <v>452425</v>
      </c>
    </row>
    <row r="2081" spans="1:18" x14ac:dyDescent="0.25">
      <c r="A2081" s="170">
        <v>45071</v>
      </c>
      <c r="B2081" s="116">
        <v>31.8096011425414</v>
      </c>
      <c r="C2081" s="116">
        <v>31.153896358981701</v>
      </c>
      <c r="D2081" s="116">
        <v>31.043028400408801</v>
      </c>
      <c r="E2081" s="116">
        <v>31.356626340372099</v>
      </c>
      <c r="F2081" s="116">
        <v>491.75</v>
      </c>
      <c r="G2081">
        <v>16416</v>
      </c>
      <c r="H2081" s="116"/>
      <c r="I2081" s="116"/>
      <c r="L2081" s="170">
        <v>45070</v>
      </c>
      <c r="M2081" s="116">
        <v>679.3</v>
      </c>
      <c r="N2081" s="116">
        <v>684.7</v>
      </c>
      <c r="O2081" s="116">
        <v>669.6</v>
      </c>
      <c r="P2081" s="116">
        <v>672.8</v>
      </c>
      <c r="Q2081" s="116">
        <v>679.3</v>
      </c>
      <c r="R2081">
        <v>398758</v>
      </c>
    </row>
    <row r="2082" spans="1:18" x14ac:dyDescent="0.25">
      <c r="A2082" s="170">
        <v>45072</v>
      </c>
      <c r="B2082" s="116">
        <v>31.6005358492325</v>
      </c>
      <c r="C2082" s="116">
        <v>31.125387455348701</v>
      </c>
      <c r="D2082" s="116">
        <v>31.043028400408801</v>
      </c>
      <c r="E2082" s="116">
        <v>31.537182730047999</v>
      </c>
      <c r="F2082" s="116">
        <v>491.3</v>
      </c>
      <c r="G2082">
        <v>19544</v>
      </c>
      <c r="H2082" s="116"/>
      <c r="I2082" s="116"/>
      <c r="L2082" s="170">
        <v>45071</v>
      </c>
      <c r="M2082" s="116">
        <v>677.25</v>
      </c>
      <c r="N2082" s="116">
        <v>683.2</v>
      </c>
      <c r="O2082" s="116">
        <v>673</v>
      </c>
      <c r="P2082" s="116">
        <v>680.1</v>
      </c>
      <c r="Q2082" s="116">
        <v>677.25</v>
      </c>
      <c r="R2082">
        <v>249670</v>
      </c>
    </row>
    <row r="2083" spans="1:18" x14ac:dyDescent="0.25">
      <c r="A2083" s="170">
        <v>45075</v>
      </c>
      <c r="B2083" s="116">
        <v>32.246737664914498</v>
      </c>
      <c r="C2083" s="116">
        <v>31.2552613496769</v>
      </c>
      <c r="D2083" s="116">
        <v>31.049363712327299</v>
      </c>
      <c r="E2083" s="116">
        <v>31.1697346387778</v>
      </c>
      <c r="F2083" s="116">
        <v>493.35</v>
      </c>
      <c r="G2083">
        <v>24780</v>
      </c>
      <c r="H2083" s="116"/>
      <c r="I2083" s="116"/>
      <c r="L2083" s="170">
        <v>45072</v>
      </c>
      <c r="M2083" s="116">
        <v>676.8</v>
      </c>
      <c r="N2083" s="116">
        <v>685</v>
      </c>
      <c r="O2083" s="116">
        <v>673</v>
      </c>
      <c r="P2083" s="116">
        <v>673</v>
      </c>
      <c r="Q2083" s="116">
        <v>676.8</v>
      </c>
      <c r="R2083">
        <v>321713</v>
      </c>
    </row>
    <row r="2084" spans="1:18" x14ac:dyDescent="0.25">
      <c r="A2084" s="170">
        <v>45076</v>
      </c>
      <c r="B2084" s="116">
        <v>32.310090784099003</v>
      </c>
      <c r="C2084" s="116">
        <v>31.3787999320867</v>
      </c>
      <c r="D2084" s="116">
        <v>31.055699024245701</v>
      </c>
      <c r="E2084" s="116">
        <v>31.480164922781899</v>
      </c>
      <c r="F2084" s="116">
        <v>495.3</v>
      </c>
      <c r="G2084">
        <v>17688</v>
      </c>
      <c r="H2084" s="116"/>
      <c r="I2084" s="116"/>
      <c r="L2084" s="170">
        <v>45075</v>
      </c>
      <c r="M2084" s="116">
        <v>690.15</v>
      </c>
      <c r="N2084" s="116">
        <v>694.35</v>
      </c>
      <c r="O2084" s="116">
        <v>677.45</v>
      </c>
      <c r="P2084" s="116">
        <v>678.15</v>
      </c>
      <c r="Q2084" s="116">
        <v>690.15</v>
      </c>
      <c r="R2084">
        <v>483110</v>
      </c>
    </row>
    <row r="2085" spans="1:18" x14ac:dyDescent="0.25">
      <c r="A2085" s="170">
        <v>45077</v>
      </c>
      <c r="B2085" s="116">
        <v>31.8096011425414</v>
      </c>
      <c r="C2085" s="116">
        <v>31.499170858537301</v>
      </c>
      <c r="D2085" s="116">
        <v>31.106381519593299</v>
      </c>
      <c r="E2085" s="116">
        <v>31.803265830622902</v>
      </c>
      <c r="F2085" s="116">
        <v>497.2</v>
      </c>
      <c r="G2085">
        <v>28400</v>
      </c>
      <c r="H2085" s="116"/>
      <c r="I2085" s="116"/>
      <c r="L2085" s="170">
        <v>45076</v>
      </c>
      <c r="M2085" s="116">
        <v>690.3</v>
      </c>
      <c r="N2085" s="116">
        <v>695</v>
      </c>
      <c r="O2085" s="116">
        <v>684.35</v>
      </c>
      <c r="P2085" s="116">
        <v>691.5</v>
      </c>
      <c r="Q2085" s="116">
        <v>690.3</v>
      </c>
      <c r="R2085">
        <v>342247</v>
      </c>
    </row>
    <row r="2086" spans="1:18" x14ac:dyDescent="0.25">
      <c r="A2086" s="170">
        <v>45078</v>
      </c>
      <c r="B2086" s="116">
        <v>31.917301445155001</v>
      </c>
      <c r="C2086" s="116">
        <v>31.214081822207</v>
      </c>
      <c r="D2086" s="116">
        <v>31.055699024245701</v>
      </c>
      <c r="E2086" s="116">
        <v>31.499170858537301</v>
      </c>
      <c r="F2086" s="116">
        <v>492.7</v>
      </c>
      <c r="G2086">
        <v>36435</v>
      </c>
      <c r="H2086" s="116"/>
      <c r="I2086" s="116"/>
      <c r="L2086" s="170">
        <v>45077</v>
      </c>
      <c r="M2086" s="116">
        <v>707.2</v>
      </c>
      <c r="N2086" s="116">
        <v>710.1</v>
      </c>
      <c r="O2086" s="116">
        <v>685.9</v>
      </c>
      <c r="P2086" s="116">
        <v>688.95</v>
      </c>
      <c r="Q2086" s="116">
        <v>707.2</v>
      </c>
      <c r="R2086">
        <v>1383366</v>
      </c>
    </row>
    <row r="2087" spans="1:18" x14ac:dyDescent="0.25">
      <c r="A2087" s="170">
        <v>45079</v>
      </c>
      <c r="B2087" s="116">
        <v>31.7399127114384</v>
      </c>
      <c r="C2087" s="116">
        <v>31.597368193273301</v>
      </c>
      <c r="D2087" s="116">
        <v>31.049363712327299</v>
      </c>
      <c r="E2087" s="116">
        <v>31.049363712327299</v>
      </c>
      <c r="F2087" s="116">
        <v>498.75</v>
      </c>
      <c r="G2087">
        <v>28361</v>
      </c>
      <c r="H2087" s="116"/>
      <c r="I2087" s="116"/>
      <c r="L2087" s="170">
        <v>45078</v>
      </c>
      <c r="M2087" s="116">
        <v>728.1</v>
      </c>
      <c r="N2087" s="116">
        <v>732.55</v>
      </c>
      <c r="O2087" s="116">
        <v>705</v>
      </c>
      <c r="P2087" s="116">
        <v>711.85</v>
      </c>
      <c r="Q2087" s="116">
        <v>728.1</v>
      </c>
      <c r="R2087">
        <v>1398058</v>
      </c>
    </row>
    <row r="2088" spans="1:18" x14ac:dyDescent="0.25">
      <c r="A2088" s="170">
        <v>45082</v>
      </c>
      <c r="B2088" s="116">
        <v>33.884415795834002</v>
      </c>
      <c r="C2088" s="116">
        <v>33.377590842357897</v>
      </c>
      <c r="D2088" s="116">
        <v>31.692397872050002</v>
      </c>
      <c r="E2088" s="116">
        <v>31.929972068991901</v>
      </c>
      <c r="F2088" s="116">
        <v>526.85</v>
      </c>
      <c r="G2088">
        <v>99217</v>
      </c>
      <c r="H2088" s="116"/>
      <c r="I2088" s="116"/>
      <c r="L2088" s="170">
        <v>45079</v>
      </c>
      <c r="M2088" s="116">
        <v>725.9</v>
      </c>
      <c r="N2088" s="116">
        <v>729.05</v>
      </c>
      <c r="O2088" s="116">
        <v>715.3</v>
      </c>
      <c r="P2088" s="116">
        <v>728</v>
      </c>
      <c r="Q2088" s="116">
        <v>725.9</v>
      </c>
      <c r="R2088">
        <v>720903</v>
      </c>
    </row>
    <row r="2089" spans="1:18" x14ac:dyDescent="0.25">
      <c r="A2089" s="170">
        <v>45083</v>
      </c>
      <c r="B2089" s="116">
        <v>34.527449955556698</v>
      </c>
      <c r="C2089" s="116">
        <v>34.1283253046944</v>
      </c>
      <c r="D2089" s="116">
        <v>33.396596778113299</v>
      </c>
      <c r="E2089" s="116">
        <v>33.941433603100101</v>
      </c>
      <c r="F2089" s="116">
        <v>538.70000000000005</v>
      </c>
      <c r="G2089">
        <v>69762</v>
      </c>
      <c r="H2089" s="116"/>
      <c r="I2089" s="116"/>
      <c r="L2089" s="170">
        <v>45082</v>
      </c>
      <c r="M2089" s="116">
        <v>713.85</v>
      </c>
      <c r="N2089" s="116">
        <v>731.5</v>
      </c>
      <c r="O2089" s="116">
        <v>712</v>
      </c>
      <c r="P2089" s="116">
        <v>728.95</v>
      </c>
      <c r="Q2089" s="116">
        <v>713.85</v>
      </c>
      <c r="R2089">
        <v>496947</v>
      </c>
    </row>
    <row r="2090" spans="1:18" x14ac:dyDescent="0.25">
      <c r="A2090" s="170">
        <v>45084</v>
      </c>
      <c r="B2090" s="116">
        <v>35.664638444918701</v>
      </c>
      <c r="C2090" s="116">
        <v>35.468243775446702</v>
      </c>
      <c r="D2090" s="116">
        <v>33.672182846565903</v>
      </c>
      <c r="E2090" s="116">
        <v>34.758688840580199</v>
      </c>
      <c r="F2090" s="116">
        <v>559.85</v>
      </c>
      <c r="G2090">
        <v>68478</v>
      </c>
      <c r="H2090" s="116"/>
      <c r="I2090" s="116"/>
      <c r="L2090" s="170">
        <v>45083</v>
      </c>
      <c r="M2090" s="116">
        <v>717.95</v>
      </c>
      <c r="N2090" s="116">
        <v>719.9</v>
      </c>
      <c r="O2090" s="116">
        <v>707.05</v>
      </c>
      <c r="P2090" s="116">
        <v>713.8</v>
      </c>
      <c r="Q2090" s="116">
        <v>717.95</v>
      </c>
      <c r="R2090">
        <v>429223</v>
      </c>
    </row>
    <row r="2091" spans="1:18" x14ac:dyDescent="0.25">
      <c r="A2091" s="170">
        <v>45085</v>
      </c>
      <c r="B2091" s="116">
        <v>38.3223017947088</v>
      </c>
      <c r="C2091" s="116">
        <v>38.053051038174601</v>
      </c>
      <c r="D2091" s="116">
        <v>35.800847651165398</v>
      </c>
      <c r="E2091" s="116">
        <v>35.984571696800401</v>
      </c>
      <c r="F2091" s="116">
        <v>600.65</v>
      </c>
      <c r="G2091">
        <v>158678</v>
      </c>
      <c r="H2091" s="116"/>
      <c r="I2091" s="116"/>
      <c r="L2091" s="170">
        <v>45084</v>
      </c>
      <c r="M2091" s="116">
        <v>749.45</v>
      </c>
      <c r="N2091" s="116">
        <v>752.8</v>
      </c>
      <c r="O2091" s="116">
        <v>721</v>
      </c>
      <c r="P2091" s="116">
        <v>723.3</v>
      </c>
      <c r="Q2091" s="116">
        <v>749.45</v>
      </c>
      <c r="R2091">
        <v>2141726</v>
      </c>
    </row>
    <row r="2092" spans="1:18" x14ac:dyDescent="0.25">
      <c r="A2092" s="170">
        <v>45086</v>
      </c>
      <c r="B2092" s="116">
        <v>39.722405728686397</v>
      </c>
      <c r="C2092" s="116">
        <v>37.907338864050203</v>
      </c>
      <c r="D2092" s="116">
        <v>37.387843286737301</v>
      </c>
      <c r="E2092" s="116">
        <v>38.328637106627198</v>
      </c>
      <c r="F2092" s="116">
        <v>598.35</v>
      </c>
      <c r="G2092">
        <v>57524</v>
      </c>
      <c r="H2092" s="116"/>
      <c r="I2092" s="116"/>
      <c r="L2092" s="170">
        <v>45085</v>
      </c>
      <c r="M2092" s="116">
        <v>741.25</v>
      </c>
      <c r="N2092" s="116">
        <v>752.25</v>
      </c>
      <c r="O2092" s="116">
        <v>739.05</v>
      </c>
      <c r="P2092" s="116">
        <v>749.95</v>
      </c>
      <c r="Q2092" s="116">
        <v>741.25</v>
      </c>
      <c r="R2092">
        <v>464175</v>
      </c>
    </row>
    <row r="2093" spans="1:18" x14ac:dyDescent="0.25">
      <c r="A2093" s="170">
        <v>45089</v>
      </c>
      <c r="B2093" s="116">
        <v>42.003118019328703</v>
      </c>
      <c r="C2093" s="116">
        <v>41.689520079365401</v>
      </c>
      <c r="D2093" s="116">
        <v>39.874453214729201</v>
      </c>
      <c r="E2093" s="116">
        <v>39.874453214729201</v>
      </c>
      <c r="F2093" s="116">
        <v>658.05</v>
      </c>
      <c r="G2093">
        <v>166447</v>
      </c>
      <c r="H2093" s="116"/>
      <c r="I2093" s="116"/>
      <c r="L2093" s="170">
        <v>45086</v>
      </c>
      <c r="M2093" s="116">
        <v>741.8</v>
      </c>
      <c r="N2093" s="116">
        <v>746.95</v>
      </c>
      <c r="O2093" s="116">
        <v>732.7</v>
      </c>
      <c r="P2093" s="116">
        <v>740</v>
      </c>
      <c r="Q2093" s="116">
        <v>741.8</v>
      </c>
      <c r="R2093">
        <v>488172</v>
      </c>
    </row>
    <row r="2094" spans="1:18" x14ac:dyDescent="0.25">
      <c r="A2094" s="170">
        <v>45090</v>
      </c>
      <c r="B2094" s="116">
        <v>44.600595905893499</v>
      </c>
      <c r="C2094" s="116">
        <v>42.297710023536602</v>
      </c>
      <c r="D2094" s="116">
        <v>39.6685555773796</v>
      </c>
      <c r="E2094" s="116">
        <v>42.700002330358302</v>
      </c>
      <c r="F2094" s="116">
        <v>667.65</v>
      </c>
      <c r="G2094">
        <v>173336</v>
      </c>
      <c r="H2094" s="116"/>
      <c r="I2094" s="116"/>
      <c r="L2094" s="170">
        <v>45089</v>
      </c>
      <c r="M2094" s="116">
        <v>744.3</v>
      </c>
      <c r="N2094" s="116">
        <v>758.65</v>
      </c>
      <c r="O2094" s="116">
        <v>735.05</v>
      </c>
      <c r="P2094" s="116">
        <v>741.95</v>
      </c>
      <c r="Q2094" s="116">
        <v>744.3</v>
      </c>
      <c r="R2094">
        <v>723202</v>
      </c>
    </row>
    <row r="2095" spans="1:18" x14ac:dyDescent="0.25">
      <c r="A2095" s="170">
        <v>45091</v>
      </c>
      <c r="B2095" s="116">
        <v>43.080121045465297</v>
      </c>
      <c r="C2095" s="116">
        <v>41.223874653359204</v>
      </c>
      <c r="D2095" s="116">
        <v>40.229230682162402</v>
      </c>
      <c r="E2095" s="116">
        <v>42.890061687911803</v>
      </c>
      <c r="F2095" s="116">
        <v>650.70000000000005</v>
      </c>
      <c r="G2095">
        <v>59668</v>
      </c>
      <c r="H2095" s="116"/>
      <c r="I2095" s="116"/>
      <c r="L2095" s="170">
        <v>45090</v>
      </c>
      <c r="M2095" s="116">
        <v>746.3</v>
      </c>
      <c r="N2095" s="116">
        <v>754.45</v>
      </c>
      <c r="O2095" s="116">
        <v>740.8</v>
      </c>
      <c r="P2095" s="116">
        <v>750.95</v>
      </c>
      <c r="Q2095" s="116">
        <v>746.3</v>
      </c>
      <c r="R2095">
        <v>529028</v>
      </c>
    </row>
    <row r="2096" spans="1:18" x14ac:dyDescent="0.25">
      <c r="A2096" s="170">
        <v>45092</v>
      </c>
      <c r="B2096" s="116">
        <v>42.700002330358302</v>
      </c>
      <c r="C2096" s="116">
        <v>42.110818321942297</v>
      </c>
      <c r="D2096" s="116">
        <v>41.407598698994299</v>
      </c>
      <c r="E2096" s="116">
        <v>41.809891005815899</v>
      </c>
      <c r="F2096" s="116">
        <v>664.7</v>
      </c>
      <c r="G2096">
        <v>45032</v>
      </c>
      <c r="H2096" s="116"/>
      <c r="I2096" s="116"/>
      <c r="L2096" s="170">
        <v>45091</v>
      </c>
      <c r="M2096" s="116">
        <v>748.85</v>
      </c>
      <c r="N2096" s="116">
        <v>754.45</v>
      </c>
      <c r="O2096" s="116">
        <v>741.15</v>
      </c>
      <c r="P2096" s="116">
        <v>748.95</v>
      </c>
      <c r="Q2096" s="116">
        <v>748.85</v>
      </c>
      <c r="R2096">
        <v>494588</v>
      </c>
    </row>
    <row r="2097" spans="1:18" x14ac:dyDescent="0.25">
      <c r="A2097" s="170">
        <v>45093</v>
      </c>
      <c r="B2097" s="116">
        <v>43.586945998941403</v>
      </c>
      <c r="C2097" s="116">
        <v>43.187821348078998</v>
      </c>
      <c r="D2097" s="116">
        <v>42.132991913656902</v>
      </c>
      <c r="E2097" s="116">
        <v>42.661990458847498</v>
      </c>
      <c r="F2097" s="116">
        <v>681.7</v>
      </c>
      <c r="G2097">
        <v>38985</v>
      </c>
      <c r="H2097" s="116"/>
      <c r="I2097" s="116"/>
      <c r="L2097" s="170">
        <v>45092</v>
      </c>
      <c r="M2097" s="116">
        <v>733.1</v>
      </c>
      <c r="N2097" s="116">
        <v>758.5</v>
      </c>
      <c r="O2097" s="116">
        <v>730</v>
      </c>
      <c r="P2097" s="116">
        <v>750</v>
      </c>
      <c r="Q2097" s="116">
        <v>733.1</v>
      </c>
      <c r="R2097">
        <v>636878</v>
      </c>
    </row>
    <row r="2098" spans="1:18" x14ac:dyDescent="0.25">
      <c r="A2098" s="170">
        <v>45096</v>
      </c>
      <c r="B2098" s="116">
        <v>45.044067740185</v>
      </c>
      <c r="C2098" s="116">
        <v>43.219497907671197</v>
      </c>
      <c r="D2098" s="116">
        <v>42.953414807096301</v>
      </c>
      <c r="E2098" s="116">
        <v>43.954394090211501</v>
      </c>
      <c r="F2098" s="116">
        <v>682.2</v>
      </c>
      <c r="G2098">
        <v>45190</v>
      </c>
      <c r="H2098" s="116"/>
      <c r="I2098" s="116"/>
      <c r="L2098" s="170">
        <v>45093</v>
      </c>
      <c r="M2098" s="116">
        <v>749.65</v>
      </c>
      <c r="N2098" s="116">
        <v>758.5</v>
      </c>
      <c r="O2098" s="116">
        <v>738.55</v>
      </c>
      <c r="P2098" s="116">
        <v>740.25</v>
      </c>
      <c r="Q2098" s="116">
        <v>749.65</v>
      </c>
      <c r="R2098">
        <v>939196</v>
      </c>
    </row>
    <row r="2099" spans="1:18" x14ac:dyDescent="0.25">
      <c r="A2099" s="170">
        <v>45097</v>
      </c>
      <c r="B2099" s="116">
        <v>44.2648243742156</v>
      </c>
      <c r="C2099" s="116">
        <v>43.910046906782298</v>
      </c>
      <c r="D2099" s="116">
        <v>43.143474164649803</v>
      </c>
      <c r="E2099" s="116">
        <v>44.214141878867999</v>
      </c>
      <c r="F2099" s="116">
        <v>693.1</v>
      </c>
      <c r="G2099">
        <v>31370</v>
      </c>
      <c r="H2099" s="116"/>
      <c r="I2099" s="116"/>
      <c r="L2099" s="170">
        <v>45096</v>
      </c>
      <c r="M2099" s="116">
        <v>745.2</v>
      </c>
      <c r="N2099" s="116">
        <v>765.75</v>
      </c>
      <c r="O2099" s="116">
        <v>743.1</v>
      </c>
      <c r="P2099" s="116">
        <v>755</v>
      </c>
      <c r="Q2099" s="116">
        <v>745.2</v>
      </c>
      <c r="R2099">
        <v>772856</v>
      </c>
    </row>
    <row r="2100" spans="1:18" x14ac:dyDescent="0.25">
      <c r="A2100" s="170">
        <v>45098</v>
      </c>
      <c r="B2100" s="116">
        <v>44.663949025077997</v>
      </c>
      <c r="C2100" s="116">
        <v>43.301856962611097</v>
      </c>
      <c r="D2100" s="116">
        <v>42.465595789375598</v>
      </c>
      <c r="E2100" s="116">
        <v>44.660781369118801</v>
      </c>
      <c r="F2100" s="116">
        <v>683.5</v>
      </c>
      <c r="G2100">
        <v>25174</v>
      </c>
      <c r="H2100" s="116"/>
      <c r="I2100" s="116"/>
      <c r="L2100" s="170">
        <v>45097</v>
      </c>
      <c r="M2100" s="116">
        <v>751.2</v>
      </c>
      <c r="N2100" s="116">
        <v>758.7</v>
      </c>
      <c r="O2100" s="116">
        <v>746</v>
      </c>
      <c r="P2100" s="116">
        <v>748.45</v>
      </c>
      <c r="Q2100" s="116">
        <v>751.2</v>
      </c>
      <c r="R2100">
        <v>1081401</v>
      </c>
    </row>
    <row r="2101" spans="1:18" x14ac:dyDescent="0.25">
      <c r="A2101" s="170">
        <v>45099</v>
      </c>
      <c r="B2101" s="116">
        <v>44.439045451973001</v>
      </c>
      <c r="C2101" s="116">
        <v>43.6249578704521</v>
      </c>
      <c r="D2101" s="116">
        <v>43.396886641387802</v>
      </c>
      <c r="E2101" s="116">
        <v>44.344015773196197</v>
      </c>
      <c r="F2101" s="116">
        <v>688.6</v>
      </c>
      <c r="G2101">
        <v>37869</v>
      </c>
      <c r="H2101" s="116"/>
      <c r="I2101" s="116"/>
      <c r="L2101" s="170">
        <v>45098</v>
      </c>
      <c r="M2101" s="116">
        <v>744.2</v>
      </c>
      <c r="N2101" s="116">
        <v>757.2</v>
      </c>
      <c r="O2101" s="116">
        <v>742.3</v>
      </c>
      <c r="P2101" s="116">
        <v>757.2</v>
      </c>
      <c r="Q2101" s="116">
        <v>744.2</v>
      </c>
      <c r="R2101">
        <v>338545</v>
      </c>
    </row>
    <row r="2102" spans="1:18" x14ac:dyDescent="0.25">
      <c r="A2102" s="170">
        <v>45100</v>
      </c>
      <c r="B2102" s="116">
        <v>44.980714621000502</v>
      </c>
      <c r="C2102" s="116">
        <v>44.350351085114703</v>
      </c>
      <c r="D2102" s="116">
        <v>42.449757509579399</v>
      </c>
      <c r="E2102" s="116">
        <v>43.8466937875978</v>
      </c>
      <c r="F2102" s="116">
        <v>700.05</v>
      </c>
      <c r="G2102">
        <v>56817</v>
      </c>
      <c r="H2102" s="116"/>
      <c r="I2102" s="116"/>
      <c r="L2102" s="170">
        <v>45099</v>
      </c>
      <c r="M2102" s="116">
        <v>733.25</v>
      </c>
      <c r="N2102" s="116">
        <v>755.5</v>
      </c>
      <c r="O2102" s="116">
        <v>730.25</v>
      </c>
      <c r="P2102" s="116">
        <v>745.65</v>
      </c>
      <c r="Q2102" s="116">
        <v>733.25</v>
      </c>
      <c r="R2102">
        <v>662262</v>
      </c>
    </row>
    <row r="2103" spans="1:18" x14ac:dyDescent="0.25">
      <c r="A2103" s="170">
        <v>45103</v>
      </c>
      <c r="B2103" s="116">
        <v>48.465136176148498</v>
      </c>
      <c r="C2103" s="116">
        <v>47.492665796666302</v>
      </c>
      <c r="D2103" s="116">
        <v>45.614245812845603</v>
      </c>
      <c r="E2103" s="116">
        <v>47.191738480539897</v>
      </c>
      <c r="F2103" s="116">
        <v>749.65</v>
      </c>
      <c r="G2103">
        <v>84161</v>
      </c>
      <c r="H2103" s="116"/>
      <c r="I2103" s="116"/>
      <c r="L2103" s="170">
        <v>45100</v>
      </c>
      <c r="M2103" s="116">
        <v>736.6</v>
      </c>
      <c r="N2103" s="116">
        <v>738.5</v>
      </c>
      <c r="O2103" s="116">
        <v>720.55</v>
      </c>
      <c r="P2103" s="116">
        <v>733</v>
      </c>
      <c r="Q2103" s="116">
        <v>736.6</v>
      </c>
      <c r="R2103">
        <v>452389</v>
      </c>
    </row>
    <row r="2104" spans="1:18" x14ac:dyDescent="0.25">
      <c r="A2104" s="170">
        <v>45104</v>
      </c>
      <c r="B2104" s="116">
        <v>50.992925631610298</v>
      </c>
      <c r="C2104" s="116">
        <v>50.752183778709202</v>
      </c>
      <c r="D2104" s="116">
        <v>47.907628727324798</v>
      </c>
      <c r="E2104" s="116">
        <v>48.148370580225901</v>
      </c>
      <c r="F2104" s="116">
        <v>801.1</v>
      </c>
      <c r="G2104">
        <v>94679</v>
      </c>
      <c r="H2104" s="116"/>
      <c r="I2104" s="116"/>
      <c r="L2104" s="170">
        <v>45103</v>
      </c>
      <c r="M2104" s="116">
        <v>742.4</v>
      </c>
      <c r="N2104" s="116">
        <v>748</v>
      </c>
      <c r="O2104" s="116">
        <v>733.05</v>
      </c>
      <c r="P2104" s="116">
        <v>739.9</v>
      </c>
      <c r="Q2104" s="116">
        <v>742.4</v>
      </c>
      <c r="R2104">
        <v>447265</v>
      </c>
    </row>
    <row r="2105" spans="1:18" x14ac:dyDescent="0.25">
      <c r="A2105" s="170">
        <v>45105</v>
      </c>
      <c r="B2105" s="116">
        <v>52.266323327218899</v>
      </c>
      <c r="C2105" s="116">
        <v>49.744869183675497</v>
      </c>
      <c r="D2105" s="116">
        <v>48.813578331663301</v>
      </c>
      <c r="E2105" s="116">
        <v>51.949557731296402</v>
      </c>
      <c r="F2105" s="116">
        <v>785.2</v>
      </c>
      <c r="G2105">
        <v>59792</v>
      </c>
      <c r="H2105" s="116"/>
      <c r="I2105" s="116"/>
      <c r="L2105" s="170">
        <v>45104</v>
      </c>
      <c r="M2105" s="116">
        <v>780.1</v>
      </c>
      <c r="N2105" s="116">
        <v>786.6</v>
      </c>
      <c r="O2105" s="116">
        <v>743</v>
      </c>
      <c r="P2105" s="116">
        <v>743</v>
      </c>
      <c r="Q2105" s="116">
        <v>780.1</v>
      </c>
      <c r="R2105">
        <v>1937866</v>
      </c>
    </row>
    <row r="2106" spans="1:18" x14ac:dyDescent="0.25">
      <c r="A2106" s="170">
        <v>45107</v>
      </c>
      <c r="B2106" s="116">
        <v>49.744869183675497</v>
      </c>
      <c r="C2106" s="116">
        <v>47.150558953069897</v>
      </c>
      <c r="D2106" s="116">
        <v>42.757020137624302</v>
      </c>
      <c r="E2106" s="116">
        <v>49.744869183675497</v>
      </c>
      <c r="F2106" s="116">
        <v>744.25</v>
      </c>
      <c r="G2106">
        <v>82654</v>
      </c>
      <c r="H2106" s="116"/>
      <c r="I2106" s="116"/>
      <c r="L2106" s="170">
        <v>45105</v>
      </c>
      <c r="M2106" s="116">
        <v>782.1</v>
      </c>
      <c r="N2106" s="116">
        <v>799.5</v>
      </c>
      <c r="O2106" s="116">
        <v>778.95</v>
      </c>
      <c r="P2106" s="116">
        <v>792</v>
      </c>
      <c r="Q2106" s="116">
        <v>782.1</v>
      </c>
      <c r="R2106">
        <v>1831098</v>
      </c>
    </row>
    <row r="2107" spans="1:18" x14ac:dyDescent="0.25">
      <c r="A2107" s="170">
        <v>45110</v>
      </c>
      <c r="B2107" s="116">
        <v>50.365729751683702</v>
      </c>
      <c r="C2107" s="116">
        <v>50.0521318117204</v>
      </c>
      <c r="D2107" s="116">
        <v>45.867658289583602</v>
      </c>
      <c r="E2107" s="116">
        <v>48.256070882839602</v>
      </c>
      <c r="F2107" s="116">
        <v>790.05</v>
      </c>
      <c r="G2107">
        <v>74898</v>
      </c>
      <c r="H2107" s="116"/>
      <c r="I2107" s="116"/>
      <c r="L2107" s="170">
        <v>45107</v>
      </c>
      <c r="M2107" s="116">
        <v>777.35</v>
      </c>
      <c r="N2107" s="116">
        <v>790</v>
      </c>
      <c r="O2107" s="116">
        <v>770.8</v>
      </c>
      <c r="P2107" s="116">
        <v>785.95</v>
      </c>
      <c r="Q2107" s="116">
        <v>777.35</v>
      </c>
      <c r="R2107">
        <v>533796</v>
      </c>
    </row>
    <row r="2108" spans="1:18" x14ac:dyDescent="0.25">
      <c r="A2108" s="170">
        <v>45111</v>
      </c>
      <c r="B2108" s="116">
        <v>50.682495347606199</v>
      </c>
      <c r="C2108" s="116">
        <v>49.051152528605201</v>
      </c>
      <c r="D2108" s="116">
        <v>48.465136176148498</v>
      </c>
      <c r="E2108" s="116">
        <v>50.0521318117204</v>
      </c>
      <c r="F2108" s="116">
        <v>774.25</v>
      </c>
      <c r="G2108">
        <v>36591</v>
      </c>
      <c r="H2108" s="116"/>
      <c r="I2108" s="116"/>
      <c r="L2108" s="170">
        <v>45110</v>
      </c>
      <c r="M2108" s="116">
        <v>778.45</v>
      </c>
      <c r="N2108" s="116">
        <v>793.4</v>
      </c>
      <c r="O2108" s="116">
        <v>775.65</v>
      </c>
      <c r="P2108" s="116">
        <v>778.55</v>
      </c>
      <c r="Q2108" s="116">
        <v>778.45</v>
      </c>
      <c r="R2108">
        <v>489048</v>
      </c>
    </row>
    <row r="2109" spans="1:18" x14ac:dyDescent="0.25">
      <c r="A2109" s="170">
        <v>45112</v>
      </c>
      <c r="B2109" s="116">
        <v>50.2897060086623</v>
      </c>
      <c r="C2109" s="116">
        <v>48.9434522259915</v>
      </c>
      <c r="D2109" s="116">
        <v>48.256070882839602</v>
      </c>
      <c r="E2109" s="116">
        <v>48.908608010439998</v>
      </c>
      <c r="F2109" s="116">
        <v>772.55</v>
      </c>
      <c r="G2109">
        <v>45851</v>
      </c>
      <c r="H2109" s="116"/>
      <c r="I2109" s="116"/>
      <c r="L2109" s="170">
        <v>45111</v>
      </c>
      <c r="M2109" s="116">
        <v>797.9</v>
      </c>
      <c r="N2109" s="116">
        <v>802.55</v>
      </c>
      <c r="O2109" s="116">
        <v>773.45</v>
      </c>
      <c r="P2109" s="116">
        <v>781.65</v>
      </c>
      <c r="Q2109" s="116">
        <v>797.9</v>
      </c>
      <c r="R2109">
        <v>1472282</v>
      </c>
    </row>
    <row r="2110" spans="1:18" x14ac:dyDescent="0.25">
      <c r="A2110" s="170">
        <v>45113</v>
      </c>
      <c r="B2110" s="116">
        <v>49.716360280042501</v>
      </c>
      <c r="C2110" s="116">
        <v>49.079661432238197</v>
      </c>
      <c r="D2110" s="116">
        <v>48.297250410309502</v>
      </c>
      <c r="E2110" s="116">
        <v>48.297250410309502</v>
      </c>
      <c r="F2110" s="116">
        <v>774.7</v>
      </c>
      <c r="G2110">
        <v>28221</v>
      </c>
      <c r="H2110" s="116"/>
      <c r="I2110" s="116"/>
      <c r="L2110" s="170">
        <v>45112</v>
      </c>
      <c r="M2110" s="116">
        <v>768.9</v>
      </c>
      <c r="N2110" s="116">
        <v>804</v>
      </c>
      <c r="O2110" s="116">
        <v>765.1</v>
      </c>
      <c r="P2110" s="116">
        <v>801.95</v>
      </c>
      <c r="Q2110" s="116">
        <v>768.9</v>
      </c>
      <c r="R2110">
        <v>997197</v>
      </c>
    </row>
    <row r="2111" spans="1:18" x14ac:dyDescent="0.25">
      <c r="A2111" s="170">
        <v>45114</v>
      </c>
      <c r="B2111" s="116">
        <v>49.415432963916103</v>
      </c>
      <c r="C2111" s="116">
        <v>48.889602074684703</v>
      </c>
      <c r="D2111" s="116">
        <v>48.284579786472598</v>
      </c>
      <c r="E2111" s="116">
        <v>49.079661432238197</v>
      </c>
      <c r="F2111" s="116">
        <v>771.7</v>
      </c>
      <c r="G2111">
        <v>22952</v>
      </c>
      <c r="H2111" s="116"/>
      <c r="I2111" s="116"/>
      <c r="L2111" s="170">
        <v>45113</v>
      </c>
      <c r="M2111" s="116">
        <v>768.6</v>
      </c>
      <c r="N2111" s="116">
        <v>773.2</v>
      </c>
      <c r="O2111" s="116">
        <v>761.65</v>
      </c>
      <c r="P2111" s="116">
        <v>769.9</v>
      </c>
      <c r="Q2111" s="116">
        <v>768.6</v>
      </c>
      <c r="R2111">
        <v>362221</v>
      </c>
    </row>
    <row r="2112" spans="1:18" x14ac:dyDescent="0.25">
      <c r="A2112" s="170">
        <v>45117</v>
      </c>
      <c r="B2112" s="116">
        <v>49.729030903879398</v>
      </c>
      <c r="C2112" s="116">
        <v>48.9592905057876</v>
      </c>
      <c r="D2112" s="116">
        <v>48.781901772071002</v>
      </c>
      <c r="E2112" s="116">
        <v>49.729030903879398</v>
      </c>
      <c r="F2112" s="116">
        <v>772.8</v>
      </c>
      <c r="G2112">
        <v>18921</v>
      </c>
      <c r="H2112" s="116"/>
      <c r="I2112" s="116"/>
      <c r="L2112" s="170">
        <v>45114</v>
      </c>
      <c r="M2112" s="116">
        <v>774.05</v>
      </c>
      <c r="N2112" s="116">
        <v>791</v>
      </c>
      <c r="O2112" s="116">
        <v>762.55</v>
      </c>
      <c r="P2112" s="116">
        <v>769</v>
      </c>
      <c r="Q2112" s="116">
        <v>774.05</v>
      </c>
      <c r="R2112">
        <v>948619</v>
      </c>
    </row>
    <row r="2113" spans="1:18" x14ac:dyDescent="0.25">
      <c r="A2113" s="170">
        <v>45118</v>
      </c>
      <c r="B2113" s="116">
        <v>56.447629193396402</v>
      </c>
      <c r="C2113" s="116">
        <v>55.234416961013103</v>
      </c>
      <c r="D2113" s="116">
        <v>49.415432963916103</v>
      </c>
      <c r="E2113" s="116">
        <v>49.475618427141399</v>
      </c>
      <c r="F2113" s="116">
        <v>871.85</v>
      </c>
      <c r="G2113">
        <v>124138</v>
      </c>
      <c r="H2113" s="116"/>
      <c r="I2113" s="116"/>
      <c r="L2113" s="170">
        <v>45117</v>
      </c>
      <c r="M2113" s="116">
        <v>778.4</v>
      </c>
      <c r="N2113" s="116">
        <v>787.85</v>
      </c>
      <c r="O2113" s="116">
        <v>771.25</v>
      </c>
      <c r="P2113" s="116">
        <v>774.05</v>
      </c>
      <c r="Q2113" s="116">
        <v>778.4</v>
      </c>
      <c r="R2113">
        <v>424035</v>
      </c>
    </row>
    <row r="2114" spans="1:18" x14ac:dyDescent="0.25">
      <c r="A2114" s="170">
        <v>45119</v>
      </c>
      <c r="B2114" s="116">
        <v>57.420099572878598</v>
      </c>
      <c r="C2114" s="116">
        <v>56.425455601681897</v>
      </c>
      <c r="D2114" s="116">
        <v>55.433979286444298</v>
      </c>
      <c r="E2114" s="116">
        <v>56.564832463887797</v>
      </c>
      <c r="F2114" s="116">
        <v>890.65</v>
      </c>
      <c r="G2114">
        <v>67580</v>
      </c>
      <c r="H2114" s="116"/>
      <c r="I2114" s="116"/>
      <c r="L2114" s="170">
        <v>45118</v>
      </c>
      <c r="M2114" s="116">
        <v>782.9</v>
      </c>
      <c r="N2114" s="116">
        <v>791.8</v>
      </c>
      <c r="O2114" s="116">
        <v>778.5</v>
      </c>
      <c r="P2114" s="116">
        <v>778.5</v>
      </c>
      <c r="Q2114" s="116">
        <v>782.9</v>
      </c>
      <c r="R2114">
        <v>437391</v>
      </c>
    </row>
    <row r="2115" spans="1:18" x14ac:dyDescent="0.25">
      <c r="A2115" s="170">
        <v>45120</v>
      </c>
      <c r="B2115" s="116">
        <v>57.017807266056998</v>
      </c>
      <c r="C2115" s="116">
        <v>51.721486502232203</v>
      </c>
      <c r="D2115" s="116">
        <v>50.752183778709202</v>
      </c>
      <c r="E2115" s="116">
        <v>56.447629193396402</v>
      </c>
      <c r="F2115" s="116">
        <v>816.4</v>
      </c>
      <c r="G2115">
        <v>148027</v>
      </c>
      <c r="H2115" s="116"/>
      <c r="I2115" s="116"/>
      <c r="L2115" s="170">
        <v>45119</v>
      </c>
      <c r="M2115" s="116">
        <v>795.4</v>
      </c>
      <c r="N2115" s="116">
        <v>797.9</v>
      </c>
      <c r="O2115" s="116">
        <v>781.3</v>
      </c>
      <c r="P2115" s="116">
        <v>786.3</v>
      </c>
      <c r="Q2115" s="116">
        <v>795.4</v>
      </c>
      <c r="R2115">
        <v>869228</v>
      </c>
    </row>
    <row r="2116" spans="1:18" x14ac:dyDescent="0.25">
      <c r="A2116" s="170">
        <v>45121</v>
      </c>
      <c r="B2116" s="116">
        <v>55.414973350689003</v>
      </c>
      <c r="C2116" s="116">
        <v>55.015848699826599</v>
      </c>
      <c r="D2116" s="116">
        <v>51.3160265394513</v>
      </c>
      <c r="E2116" s="116">
        <v>53.3433263533556</v>
      </c>
      <c r="F2116" s="116">
        <v>868.4</v>
      </c>
      <c r="G2116">
        <v>72679</v>
      </c>
      <c r="H2116" s="116"/>
      <c r="I2116" s="116"/>
      <c r="L2116" s="170">
        <v>45120</v>
      </c>
      <c r="M2116" s="116">
        <v>792.2</v>
      </c>
      <c r="N2116" s="116">
        <v>802.5</v>
      </c>
      <c r="O2116" s="116">
        <v>786.6</v>
      </c>
      <c r="P2116" s="116">
        <v>797.9</v>
      </c>
      <c r="Q2116" s="116">
        <v>792.2</v>
      </c>
      <c r="R2116">
        <v>375091</v>
      </c>
    </row>
    <row r="2117" spans="1:18" x14ac:dyDescent="0.25">
      <c r="A2117" s="170">
        <v>45124</v>
      </c>
      <c r="B2117" s="116">
        <v>57.014639610097802</v>
      </c>
      <c r="C2117" s="116">
        <v>55.319943671912199</v>
      </c>
      <c r="D2117" s="116">
        <v>54.882807149539097</v>
      </c>
      <c r="E2117" s="116">
        <v>55.433979286444298</v>
      </c>
      <c r="F2117" s="116">
        <v>873.2</v>
      </c>
      <c r="G2117">
        <v>65282</v>
      </c>
      <c r="H2117" s="116"/>
      <c r="I2117" s="116"/>
      <c r="L2117" s="170">
        <v>45121</v>
      </c>
      <c r="M2117" s="116">
        <v>802.4</v>
      </c>
      <c r="N2117" s="116">
        <v>811.95</v>
      </c>
      <c r="O2117" s="116">
        <v>791.05</v>
      </c>
      <c r="P2117" s="116">
        <v>792.85</v>
      </c>
      <c r="Q2117" s="116">
        <v>802.4</v>
      </c>
      <c r="R2117">
        <v>618625</v>
      </c>
    </row>
    <row r="2118" spans="1:18" x14ac:dyDescent="0.25">
      <c r="A2118" s="170">
        <v>45125</v>
      </c>
      <c r="B2118" s="116">
        <v>56.384276074211897</v>
      </c>
      <c r="C2118" s="116">
        <v>54.933489644886698</v>
      </c>
      <c r="D2118" s="116">
        <v>54.737094975414699</v>
      </c>
      <c r="E2118" s="116">
        <v>55.319943671912199</v>
      </c>
      <c r="F2118" s="116">
        <v>867.1</v>
      </c>
      <c r="G2118">
        <v>33318</v>
      </c>
      <c r="H2118" s="116"/>
      <c r="I2118" s="116"/>
      <c r="L2118" s="170">
        <v>45124</v>
      </c>
      <c r="M2118" s="116">
        <v>811.8</v>
      </c>
      <c r="N2118" s="116">
        <v>814.5</v>
      </c>
      <c r="O2118" s="116">
        <v>802.05</v>
      </c>
      <c r="P2118" s="116">
        <v>808.45</v>
      </c>
      <c r="Q2118" s="116">
        <v>811.8</v>
      </c>
      <c r="R2118">
        <v>370293</v>
      </c>
    </row>
    <row r="2119" spans="1:18" x14ac:dyDescent="0.25">
      <c r="A2119" s="170">
        <v>45126</v>
      </c>
      <c r="B2119" s="116">
        <v>55.7475772264076</v>
      </c>
      <c r="C2119" s="116">
        <v>54.610388737045703</v>
      </c>
      <c r="D2119" s="116">
        <v>53.618912421808197</v>
      </c>
      <c r="E2119" s="116">
        <v>54.939824956805197</v>
      </c>
      <c r="F2119" s="116">
        <v>862</v>
      </c>
      <c r="G2119">
        <v>19838</v>
      </c>
      <c r="H2119" s="116"/>
      <c r="I2119" s="116"/>
      <c r="L2119" s="170">
        <v>45125</v>
      </c>
      <c r="M2119" s="116">
        <v>797.65</v>
      </c>
      <c r="N2119" s="116">
        <v>814.1</v>
      </c>
      <c r="O2119" s="116">
        <v>791.4</v>
      </c>
      <c r="P2119" s="116">
        <v>811.8</v>
      </c>
      <c r="Q2119" s="116">
        <v>797.65</v>
      </c>
      <c r="R2119">
        <v>278643</v>
      </c>
    </row>
    <row r="2120" spans="1:18" x14ac:dyDescent="0.25">
      <c r="A2120" s="170">
        <v>45127</v>
      </c>
      <c r="B2120" s="116">
        <v>55.430811630485103</v>
      </c>
      <c r="C2120" s="116">
        <v>53.032896069351501</v>
      </c>
      <c r="D2120" s="116">
        <v>52.646442042326001</v>
      </c>
      <c r="E2120" s="116">
        <v>54.547035617861198</v>
      </c>
      <c r="F2120" s="116">
        <v>837.1</v>
      </c>
      <c r="G2120">
        <v>34960</v>
      </c>
      <c r="H2120" s="116"/>
      <c r="I2120" s="116"/>
      <c r="L2120" s="170">
        <v>45126</v>
      </c>
      <c r="M2120" s="116">
        <v>818.3</v>
      </c>
      <c r="N2120" s="116">
        <v>823.9</v>
      </c>
      <c r="O2120" s="116">
        <v>800.25</v>
      </c>
      <c r="P2120" s="116">
        <v>802.45</v>
      </c>
      <c r="Q2120" s="116">
        <v>818.3</v>
      </c>
      <c r="R2120">
        <v>1075146</v>
      </c>
    </row>
    <row r="2121" spans="1:18" x14ac:dyDescent="0.25">
      <c r="A2121" s="170">
        <v>45128</v>
      </c>
      <c r="B2121" s="116">
        <v>53.153266995801999</v>
      </c>
      <c r="C2121" s="116">
        <v>52.1522877126868</v>
      </c>
      <c r="D2121" s="116">
        <v>51.7594983737429</v>
      </c>
      <c r="E2121" s="116">
        <v>51.9558930432148</v>
      </c>
      <c r="F2121" s="116">
        <v>823.2</v>
      </c>
      <c r="G2121">
        <v>28224</v>
      </c>
      <c r="H2121" s="116"/>
      <c r="I2121" s="116"/>
      <c r="L2121" s="170">
        <v>45127</v>
      </c>
      <c r="M2121" s="116">
        <v>831.1</v>
      </c>
      <c r="N2121" s="116">
        <v>843.4</v>
      </c>
      <c r="O2121" s="116">
        <v>809.65</v>
      </c>
      <c r="P2121" s="116">
        <v>810.9</v>
      </c>
      <c r="Q2121" s="116">
        <v>831.1</v>
      </c>
      <c r="R2121">
        <v>1848350</v>
      </c>
    </row>
    <row r="2122" spans="1:18" x14ac:dyDescent="0.25">
      <c r="A2122" s="170">
        <v>45131</v>
      </c>
      <c r="B2122" s="116">
        <v>52.836501399879502</v>
      </c>
      <c r="C2122" s="116">
        <v>50.0267905640466</v>
      </c>
      <c r="D2122" s="116">
        <v>49.162020487177998</v>
      </c>
      <c r="E2122" s="116">
        <v>52.5799212671822</v>
      </c>
      <c r="F2122" s="116">
        <v>789.65</v>
      </c>
      <c r="G2122">
        <v>53986</v>
      </c>
      <c r="H2122" s="116"/>
      <c r="I2122" s="116"/>
      <c r="L2122" s="170">
        <v>45128</v>
      </c>
      <c r="M2122" s="116">
        <v>837.65</v>
      </c>
      <c r="N2122" s="116">
        <v>845.45</v>
      </c>
      <c r="O2122" s="116">
        <v>824.7</v>
      </c>
      <c r="P2122" s="116">
        <v>836</v>
      </c>
      <c r="Q2122" s="116">
        <v>837.65</v>
      </c>
      <c r="R2122">
        <v>670647</v>
      </c>
    </row>
    <row r="2123" spans="1:18" x14ac:dyDescent="0.25">
      <c r="A2123" s="170">
        <v>45132</v>
      </c>
      <c r="B2123" s="116">
        <v>49.795551679023099</v>
      </c>
      <c r="C2123" s="116">
        <v>47.746078273404301</v>
      </c>
      <c r="D2123" s="116">
        <v>47.261426911642801</v>
      </c>
      <c r="E2123" s="116">
        <v>49.415432963916103</v>
      </c>
      <c r="F2123" s="116">
        <v>753.65</v>
      </c>
      <c r="G2123">
        <v>85378</v>
      </c>
      <c r="H2123" s="116"/>
      <c r="I2123" s="116"/>
      <c r="L2123" s="170">
        <v>45131</v>
      </c>
      <c r="M2123" s="116">
        <v>889.95</v>
      </c>
      <c r="N2123" s="116">
        <v>896.4</v>
      </c>
      <c r="O2123" s="116">
        <v>847.9</v>
      </c>
      <c r="P2123" s="116">
        <v>855</v>
      </c>
      <c r="Q2123" s="116">
        <v>889.95</v>
      </c>
      <c r="R2123">
        <v>3582032</v>
      </c>
    </row>
    <row r="2124" spans="1:18" x14ac:dyDescent="0.25">
      <c r="A2124" s="170">
        <v>45133</v>
      </c>
      <c r="B2124" s="116">
        <v>50.682495347606199</v>
      </c>
      <c r="C2124" s="116">
        <v>50.185173362007802</v>
      </c>
      <c r="D2124" s="116">
        <v>46.881308196535798</v>
      </c>
      <c r="E2124" s="116">
        <v>47.324780030827299</v>
      </c>
      <c r="F2124" s="116">
        <v>792.15</v>
      </c>
      <c r="G2124">
        <v>51046</v>
      </c>
      <c r="H2124" s="116"/>
      <c r="I2124" s="116"/>
      <c r="L2124" s="170">
        <v>45132</v>
      </c>
      <c r="M2124" s="116">
        <v>851.2</v>
      </c>
      <c r="N2124" s="116">
        <v>909.8</v>
      </c>
      <c r="O2124" s="116">
        <v>832.8</v>
      </c>
      <c r="P2124" s="116">
        <v>909.8</v>
      </c>
      <c r="Q2124" s="116">
        <v>851.2</v>
      </c>
      <c r="R2124">
        <v>4066238</v>
      </c>
    </row>
    <row r="2125" spans="1:18" x14ac:dyDescent="0.25">
      <c r="A2125" s="170">
        <v>45134</v>
      </c>
      <c r="B2125" s="116">
        <v>53.470032591724603</v>
      </c>
      <c r="C2125" s="116">
        <v>52.4152031573025</v>
      </c>
      <c r="D2125" s="116">
        <v>50.999260943528803</v>
      </c>
      <c r="E2125" s="116">
        <v>51.312858883492098</v>
      </c>
      <c r="F2125" s="116">
        <v>827.35</v>
      </c>
      <c r="G2125">
        <v>39188</v>
      </c>
      <c r="H2125" s="116"/>
      <c r="I2125" s="116"/>
      <c r="L2125" s="170">
        <v>45133</v>
      </c>
      <c r="M2125" s="116">
        <v>771.2</v>
      </c>
      <c r="N2125" s="116">
        <v>817.75</v>
      </c>
      <c r="O2125" s="116">
        <v>767.4</v>
      </c>
      <c r="P2125" s="116">
        <v>795</v>
      </c>
      <c r="Q2125" s="116">
        <v>771.2</v>
      </c>
      <c r="R2125">
        <v>9546545</v>
      </c>
    </row>
    <row r="2126" spans="1:18" x14ac:dyDescent="0.25">
      <c r="A2126" s="170">
        <v>45135</v>
      </c>
      <c r="B2126" s="116">
        <v>53.786798187647101</v>
      </c>
      <c r="C2126" s="116">
        <v>52.3170058225665</v>
      </c>
      <c r="D2126" s="116">
        <v>51.696145254558402</v>
      </c>
      <c r="E2126" s="116">
        <v>52.586256579100699</v>
      </c>
      <c r="F2126" s="116">
        <v>825.8</v>
      </c>
      <c r="G2126">
        <v>22534</v>
      </c>
      <c r="H2126" s="116"/>
      <c r="I2126" s="116"/>
      <c r="L2126" s="170">
        <v>45134</v>
      </c>
      <c r="M2126" s="116">
        <v>745.4</v>
      </c>
      <c r="N2126" s="116">
        <v>770.75</v>
      </c>
      <c r="O2126" s="116">
        <v>738.8</v>
      </c>
      <c r="P2126" s="116">
        <v>769</v>
      </c>
      <c r="Q2126" s="116">
        <v>745.4</v>
      </c>
      <c r="R2126">
        <v>5395601</v>
      </c>
    </row>
    <row r="2127" spans="1:18" x14ac:dyDescent="0.25">
      <c r="A2127" s="170">
        <v>45138</v>
      </c>
      <c r="B2127" s="116">
        <v>52.507065180120101</v>
      </c>
      <c r="C2127" s="116">
        <v>51.962228355133298</v>
      </c>
      <c r="D2127" s="116">
        <v>50.752183778709202</v>
      </c>
      <c r="E2127" s="116">
        <v>52.507065180120101</v>
      </c>
      <c r="F2127" s="116">
        <v>820.2</v>
      </c>
      <c r="G2127">
        <v>25279</v>
      </c>
      <c r="H2127" s="116"/>
      <c r="I2127" s="116"/>
      <c r="L2127" s="170">
        <v>45135</v>
      </c>
      <c r="M2127" s="116">
        <v>732.7</v>
      </c>
      <c r="N2127" s="116">
        <v>751.2</v>
      </c>
      <c r="O2127" s="116">
        <v>725.8</v>
      </c>
      <c r="P2127" s="116">
        <v>746</v>
      </c>
      <c r="Q2127" s="116">
        <v>732.7</v>
      </c>
      <c r="R2127">
        <v>2393751</v>
      </c>
    </row>
    <row r="2128" spans="1:18" x14ac:dyDescent="0.25">
      <c r="A2128" s="170">
        <v>45139</v>
      </c>
      <c r="B2128" s="116">
        <v>55.304105392116099</v>
      </c>
      <c r="C2128" s="116">
        <v>54.6642388883526</v>
      </c>
      <c r="D2128" s="116">
        <v>52.583088923141503</v>
      </c>
      <c r="E2128" s="116">
        <v>52.583088923141503</v>
      </c>
      <c r="F2128" s="116">
        <v>862.85</v>
      </c>
      <c r="G2128">
        <v>57702</v>
      </c>
      <c r="H2128" s="116"/>
      <c r="I2128" s="116"/>
      <c r="L2128" s="170">
        <v>45138</v>
      </c>
      <c r="M2128" s="116">
        <v>751.4</v>
      </c>
      <c r="N2128" s="116">
        <v>755.4</v>
      </c>
      <c r="O2128" s="116">
        <v>730.15</v>
      </c>
      <c r="P2128" s="116">
        <v>731</v>
      </c>
      <c r="Q2128" s="116">
        <v>751.4</v>
      </c>
      <c r="R2128">
        <v>1762697</v>
      </c>
    </row>
    <row r="2129" spans="1:18" x14ac:dyDescent="0.25">
      <c r="A2129" s="170">
        <v>45140</v>
      </c>
      <c r="B2129" s="116">
        <v>56.257569835842901</v>
      </c>
      <c r="C2129" s="116">
        <v>54.087725503773498</v>
      </c>
      <c r="D2129" s="116">
        <v>53.3433263533556</v>
      </c>
      <c r="E2129" s="116">
        <v>56.257569835842901</v>
      </c>
      <c r="F2129" s="116">
        <v>853.75</v>
      </c>
      <c r="G2129">
        <v>45349</v>
      </c>
      <c r="H2129" s="116"/>
      <c r="I2129" s="116"/>
      <c r="L2129" s="170">
        <v>45139</v>
      </c>
      <c r="M2129" s="116">
        <v>738.1</v>
      </c>
      <c r="N2129" s="116">
        <v>753.8</v>
      </c>
      <c r="O2129" s="116">
        <v>733.5</v>
      </c>
      <c r="P2129" s="116">
        <v>751.1</v>
      </c>
      <c r="Q2129" s="116">
        <v>738.1</v>
      </c>
      <c r="R2129">
        <v>1082718</v>
      </c>
    </row>
    <row r="2130" spans="1:18" x14ac:dyDescent="0.25">
      <c r="A2130" s="170">
        <v>45141</v>
      </c>
      <c r="B2130" s="116">
        <v>55.757080194285301</v>
      </c>
      <c r="C2130" s="116">
        <v>55.044357603459602</v>
      </c>
      <c r="D2130" s="116">
        <v>53.634750701604297</v>
      </c>
      <c r="E2130" s="116">
        <v>54.103563783569697</v>
      </c>
      <c r="F2130" s="116">
        <v>868.85</v>
      </c>
      <c r="G2130">
        <v>22511</v>
      </c>
      <c r="H2130" s="116"/>
      <c r="I2130" s="116"/>
      <c r="L2130" s="170">
        <v>45140</v>
      </c>
      <c r="M2130" s="116">
        <v>721.7</v>
      </c>
      <c r="N2130" s="116">
        <v>743.4</v>
      </c>
      <c r="O2130" s="116">
        <v>714.4</v>
      </c>
      <c r="P2130" s="116">
        <v>740.45</v>
      </c>
      <c r="Q2130" s="116">
        <v>721.7</v>
      </c>
      <c r="R2130">
        <v>1363681</v>
      </c>
    </row>
    <row r="2131" spans="1:18" x14ac:dyDescent="0.25">
      <c r="A2131" s="170">
        <v>45142</v>
      </c>
      <c r="B2131" s="116">
        <v>55.744409570448397</v>
      </c>
      <c r="C2131" s="116">
        <v>54.752933255210898</v>
      </c>
      <c r="D2131" s="116">
        <v>54.4836824986767</v>
      </c>
      <c r="E2131" s="116">
        <v>55.744409570448397</v>
      </c>
      <c r="F2131" s="116">
        <v>864.25</v>
      </c>
      <c r="G2131">
        <v>17405</v>
      </c>
      <c r="H2131" s="116"/>
      <c r="I2131" s="116"/>
      <c r="L2131" s="170">
        <v>45141</v>
      </c>
      <c r="M2131" s="116">
        <v>727.25</v>
      </c>
      <c r="N2131" s="116">
        <v>731.9</v>
      </c>
      <c r="O2131" s="116">
        <v>715.7</v>
      </c>
      <c r="P2131" s="116">
        <v>722.9</v>
      </c>
      <c r="Q2131" s="116">
        <v>727.25</v>
      </c>
      <c r="R2131">
        <v>583834</v>
      </c>
    </row>
    <row r="2132" spans="1:18" x14ac:dyDescent="0.25">
      <c r="A2132" s="170">
        <v>45145</v>
      </c>
      <c r="B2132" s="116">
        <v>55.687391763182298</v>
      </c>
      <c r="C2132" s="116">
        <v>54.610388737045703</v>
      </c>
      <c r="D2132" s="116">
        <v>54.429832347369903</v>
      </c>
      <c r="E2132" s="116">
        <v>55.367458511300597</v>
      </c>
      <c r="F2132" s="116">
        <v>862</v>
      </c>
      <c r="G2132">
        <v>30704</v>
      </c>
      <c r="H2132" s="116"/>
      <c r="I2132" s="116"/>
      <c r="L2132" s="170">
        <v>45142</v>
      </c>
      <c r="M2132" s="116">
        <v>733.1</v>
      </c>
      <c r="N2132" s="116">
        <v>739.4</v>
      </c>
      <c r="O2132" s="116">
        <v>726.1</v>
      </c>
      <c r="P2132" s="116">
        <v>736</v>
      </c>
      <c r="Q2132" s="116">
        <v>733.1</v>
      </c>
      <c r="R2132">
        <v>517243</v>
      </c>
    </row>
    <row r="2133" spans="1:18" x14ac:dyDescent="0.25">
      <c r="A2133" s="170">
        <v>45146</v>
      </c>
      <c r="B2133" s="116">
        <v>55.3706261672598</v>
      </c>
      <c r="C2133" s="116">
        <v>54.9271543329683</v>
      </c>
      <c r="D2133" s="116">
        <v>54.547035617861198</v>
      </c>
      <c r="E2133" s="116">
        <v>55.180566809706299</v>
      </c>
      <c r="F2133" s="116">
        <v>867</v>
      </c>
      <c r="G2133">
        <v>21761</v>
      </c>
      <c r="H2133" s="116"/>
      <c r="I2133" s="116"/>
      <c r="L2133" s="170">
        <v>45145</v>
      </c>
      <c r="M2133" s="116">
        <v>743.3</v>
      </c>
      <c r="N2133" s="116">
        <v>751</v>
      </c>
      <c r="O2133" s="116">
        <v>734.65</v>
      </c>
      <c r="P2133" s="116">
        <v>736</v>
      </c>
      <c r="Q2133" s="116">
        <v>743.3</v>
      </c>
      <c r="R2133">
        <v>1064653</v>
      </c>
    </row>
    <row r="2134" spans="1:18" x14ac:dyDescent="0.25">
      <c r="A2134" s="170">
        <v>45147</v>
      </c>
      <c r="B2134" s="116">
        <v>56.384276074211897</v>
      </c>
      <c r="C2134" s="116">
        <v>56.305084675231299</v>
      </c>
      <c r="D2134" s="116">
        <v>54.800448094599197</v>
      </c>
      <c r="E2134" s="116">
        <v>54.955663236601303</v>
      </c>
      <c r="F2134" s="116">
        <v>888.75</v>
      </c>
      <c r="G2134">
        <v>38340</v>
      </c>
      <c r="H2134" s="116"/>
      <c r="I2134" s="116"/>
      <c r="L2134" s="170">
        <v>45146</v>
      </c>
      <c r="M2134" s="116">
        <v>738.3</v>
      </c>
      <c r="N2134" s="116">
        <v>749.5</v>
      </c>
      <c r="O2134" s="116">
        <v>734.9</v>
      </c>
      <c r="P2134" s="116">
        <v>749.5</v>
      </c>
      <c r="Q2134" s="116">
        <v>738.3</v>
      </c>
      <c r="R2134">
        <v>437912</v>
      </c>
    </row>
    <row r="2135" spans="1:18" x14ac:dyDescent="0.25">
      <c r="A2135" s="170">
        <v>45148</v>
      </c>
      <c r="B2135" s="116">
        <v>57.968104053824597</v>
      </c>
      <c r="C2135" s="116">
        <v>54.904980741253702</v>
      </c>
      <c r="D2135" s="116">
        <v>53.5397210228275</v>
      </c>
      <c r="E2135" s="116">
        <v>57.011471954138599</v>
      </c>
      <c r="F2135" s="116">
        <v>866.65</v>
      </c>
      <c r="G2135">
        <v>51955</v>
      </c>
      <c r="H2135" s="116"/>
      <c r="I2135" s="116"/>
      <c r="L2135" s="170">
        <v>45147</v>
      </c>
      <c r="M2135" s="116">
        <v>732.7</v>
      </c>
      <c r="N2135" s="116">
        <v>742</v>
      </c>
      <c r="O2135" s="116">
        <v>728</v>
      </c>
      <c r="P2135" s="116">
        <v>739.05</v>
      </c>
      <c r="Q2135" s="116">
        <v>732.7</v>
      </c>
      <c r="R2135">
        <v>362215</v>
      </c>
    </row>
    <row r="2136" spans="1:18" x14ac:dyDescent="0.25">
      <c r="A2136" s="170">
        <v>45149</v>
      </c>
      <c r="B2136" s="116">
        <v>55.433979286444298</v>
      </c>
      <c r="C2136" s="116">
        <v>53.264134954374903</v>
      </c>
      <c r="D2136" s="116">
        <v>50.162999770293297</v>
      </c>
      <c r="E2136" s="116">
        <v>54.768771535006998</v>
      </c>
      <c r="F2136" s="116">
        <v>840.75</v>
      </c>
      <c r="G2136">
        <v>63446</v>
      </c>
      <c r="H2136" s="116"/>
      <c r="I2136" s="116"/>
      <c r="L2136" s="170">
        <v>45148</v>
      </c>
      <c r="M2136" s="116">
        <v>751.25</v>
      </c>
      <c r="N2136" s="116">
        <v>759.05</v>
      </c>
      <c r="O2136" s="116">
        <v>718</v>
      </c>
      <c r="P2136" s="116">
        <v>732.7</v>
      </c>
      <c r="Q2136" s="116">
        <v>751.25</v>
      </c>
      <c r="R2136">
        <v>1819423</v>
      </c>
    </row>
    <row r="2137" spans="1:18" x14ac:dyDescent="0.25">
      <c r="A2137" s="170">
        <v>45152</v>
      </c>
      <c r="B2137" s="116">
        <v>63.907458977372201</v>
      </c>
      <c r="C2137" s="116">
        <v>63.226412946138801</v>
      </c>
      <c r="D2137" s="116">
        <v>53.850151306831599</v>
      </c>
      <c r="E2137" s="116">
        <v>54.166916902754203</v>
      </c>
      <c r="F2137" s="116">
        <v>199.6</v>
      </c>
      <c r="G2137">
        <v>514659</v>
      </c>
      <c r="H2137" s="116"/>
      <c r="I2137" s="116"/>
      <c r="L2137" s="170">
        <v>45149</v>
      </c>
      <c r="M2137" s="116">
        <v>723.7</v>
      </c>
      <c r="N2137" s="116">
        <v>771.4</v>
      </c>
      <c r="O2137" s="116">
        <v>720</v>
      </c>
      <c r="P2137" s="116">
        <v>758</v>
      </c>
      <c r="Q2137" s="116">
        <v>723.7</v>
      </c>
      <c r="R2137">
        <v>4143870</v>
      </c>
    </row>
    <row r="2138" spans="1:18" x14ac:dyDescent="0.25">
      <c r="A2138" s="170">
        <v>45154</v>
      </c>
      <c r="B2138" s="116">
        <v>74.424076762000496</v>
      </c>
      <c r="C2138" s="116">
        <v>73.030308139941397</v>
      </c>
      <c r="D2138" s="116">
        <v>64.081680055129596</v>
      </c>
      <c r="E2138" s="116">
        <v>64.620181568198007</v>
      </c>
      <c r="F2138" s="116">
        <v>230.55</v>
      </c>
      <c r="G2138">
        <v>817445</v>
      </c>
      <c r="H2138" s="116"/>
      <c r="I2138" s="116"/>
      <c r="L2138" s="170">
        <v>45152</v>
      </c>
      <c r="M2138" s="116">
        <v>734.8</v>
      </c>
      <c r="N2138" s="116">
        <v>740</v>
      </c>
      <c r="O2138" s="116">
        <v>700.05</v>
      </c>
      <c r="P2138" s="116">
        <v>726</v>
      </c>
      <c r="Q2138" s="116">
        <v>734.8</v>
      </c>
      <c r="R2138">
        <v>2175253</v>
      </c>
    </row>
    <row r="2139" spans="1:18" x14ac:dyDescent="0.25">
      <c r="A2139" s="170">
        <v>45155</v>
      </c>
      <c r="B2139" s="116">
        <v>70.163579496842402</v>
      </c>
      <c r="C2139" s="116">
        <v>65.364580718615898</v>
      </c>
      <c r="D2139" s="116">
        <v>61.816806044283503</v>
      </c>
      <c r="E2139" s="116">
        <v>69.688431102958603</v>
      </c>
      <c r="F2139" s="116">
        <v>206.35</v>
      </c>
      <c r="G2139">
        <v>741049</v>
      </c>
      <c r="H2139" s="116"/>
      <c r="I2139" s="116"/>
      <c r="L2139" s="170">
        <v>45154</v>
      </c>
      <c r="M2139" s="116">
        <v>736.4</v>
      </c>
      <c r="N2139" s="116">
        <v>740.45</v>
      </c>
      <c r="O2139" s="116">
        <v>717.15</v>
      </c>
      <c r="P2139" s="116">
        <v>732</v>
      </c>
      <c r="Q2139" s="116">
        <v>736.4</v>
      </c>
      <c r="R2139">
        <v>1145518</v>
      </c>
    </row>
    <row r="2140" spans="1:18" x14ac:dyDescent="0.25">
      <c r="A2140" s="170">
        <v>45156</v>
      </c>
      <c r="B2140" s="116">
        <v>72.4759683470769</v>
      </c>
      <c r="C2140" s="116">
        <v>67.835352366811705</v>
      </c>
      <c r="D2140" s="116">
        <v>60.9932154948849</v>
      </c>
      <c r="E2140" s="116">
        <v>64.002488656148998</v>
      </c>
      <c r="F2140" s="116">
        <v>214.15</v>
      </c>
      <c r="G2140">
        <v>696911</v>
      </c>
      <c r="H2140" s="116"/>
      <c r="I2140" s="116"/>
      <c r="L2140" s="170">
        <v>45155</v>
      </c>
      <c r="M2140" s="116">
        <v>735.35</v>
      </c>
      <c r="N2140" s="116">
        <v>747.95</v>
      </c>
      <c r="O2140" s="116">
        <v>732.05</v>
      </c>
      <c r="P2140" s="116">
        <v>736.95</v>
      </c>
      <c r="Q2140" s="116">
        <v>735.35</v>
      </c>
      <c r="R2140">
        <v>796354</v>
      </c>
    </row>
    <row r="2141" spans="1:18" x14ac:dyDescent="0.25">
      <c r="A2141" s="170">
        <v>45159</v>
      </c>
      <c r="B2141" s="116">
        <v>72.159202751154396</v>
      </c>
      <c r="C2141" s="116">
        <v>70.021034978677207</v>
      </c>
      <c r="D2141" s="116">
        <v>68.057088283957498</v>
      </c>
      <c r="E2141" s="116">
        <v>68.057088283957498</v>
      </c>
      <c r="F2141" s="116">
        <v>221.05</v>
      </c>
      <c r="G2141">
        <v>382613</v>
      </c>
      <c r="H2141" s="116"/>
      <c r="I2141" s="116"/>
      <c r="L2141" s="170">
        <v>45156</v>
      </c>
      <c r="M2141" s="116">
        <v>726.55</v>
      </c>
      <c r="N2141" s="116">
        <v>737.95</v>
      </c>
      <c r="O2141" s="116">
        <v>722.3</v>
      </c>
      <c r="P2141" s="116">
        <v>737.35</v>
      </c>
      <c r="Q2141" s="116">
        <v>726.55</v>
      </c>
      <c r="R2141">
        <v>476526</v>
      </c>
    </row>
    <row r="2142" spans="1:18" x14ac:dyDescent="0.25">
      <c r="A2142" s="170">
        <v>45160</v>
      </c>
      <c r="B2142" s="116">
        <v>74.123149445874105</v>
      </c>
      <c r="C2142" s="116">
        <v>73.489618254028997</v>
      </c>
      <c r="D2142" s="116">
        <v>70.955493486648706</v>
      </c>
      <c r="E2142" s="116">
        <v>71.240582522978997</v>
      </c>
      <c r="F2142" s="116">
        <v>232</v>
      </c>
      <c r="G2142">
        <v>456339</v>
      </c>
      <c r="H2142" s="116"/>
      <c r="I2142" s="116"/>
      <c r="L2142" s="170">
        <v>45159</v>
      </c>
      <c r="M2142" s="116">
        <v>741.85</v>
      </c>
      <c r="N2142" s="116">
        <v>746.8</v>
      </c>
      <c r="O2142" s="116">
        <v>727</v>
      </c>
      <c r="P2142" s="116">
        <v>732.45</v>
      </c>
      <c r="Q2142" s="116">
        <v>741.85</v>
      </c>
      <c r="R2142">
        <v>689595</v>
      </c>
    </row>
    <row r="2143" spans="1:18" x14ac:dyDescent="0.25">
      <c r="A2143" s="170">
        <v>45161</v>
      </c>
      <c r="B2143" s="116">
        <v>76.023743021409302</v>
      </c>
      <c r="C2143" s="116">
        <v>74.471591601388894</v>
      </c>
      <c r="D2143" s="116">
        <v>72.570998025853697</v>
      </c>
      <c r="E2143" s="116">
        <v>75.706977425486798</v>
      </c>
      <c r="F2143" s="116">
        <v>235.1</v>
      </c>
      <c r="G2143">
        <v>366338</v>
      </c>
      <c r="H2143" s="116"/>
      <c r="I2143" s="116"/>
      <c r="L2143" s="170">
        <v>45160</v>
      </c>
      <c r="M2143" s="116">
        <v>746.55</v>
      </c>
      <c r="N2143" s="116">
        <v>752</v>
      </c>
      <c r="O2143" s="116">
        <v>740</v>
      </c>
      <c r="P2143" s="116">
        <v>746.9</v>
      </c>
      <c r="Q2143" s="116">
        <v>746.55</v>
      </c>
      <c r="R2143">
        <v>460473</v>
      </c>
    </row>
    <row r="2144" spans="1:18" x14ac:dyDescent="0.25">
      <c r="A2144" s="170">
        <v>45162</v>
      </c>
      <c r="B2144" s="116">
        <v>82.343216660064002</v>
      </c>
      <c r="C2144" s="116">
        <v>79.840768452275896</v>
      </c>
      <c r="D2144" s="116">
        <v>76.340508617331906</v>
      </c>
      <c r="E2144" s="116">
        <v>76.340508617331906</v>
      </c>
      <c r="F2144" s="116">
        <v>252.05</v>
      </c>
      <c r="G2144">
        <v>861593</v>
      </c>
      <c r="H2144" s="116"/>
      <c r="I2144" s="116"/>
      <c r="L2144" s="170">
        <v>45161</v>
      </c>
      <c r="M2144" s="116">
        <v>747.85</v>
      </c>
      <c r="N2144" s="116">
        <v>755.35</v>
      </c>
      <c r="O2144" s="116">
        <v>742</v>
      </c>
      <c r="P2144" s="116">
        <v>747</v>
      </c>
      <c r="Q2144" s="116">
        <v>747.85</v>
      </c>
      <c r="R2144">
        <v>384807</v>
      </c>
    </row>
    <row r="2145" spans="1:18" x14ac:dyDescent="0.25">
      <c r="A2145" s="170">
        <v>45163</v>
      </c>
      <c r="B2145" s="116">
        <v>83.942882919472794</v>
      </c>
      <c r="C2145" s="116">
        <v>81.4879495510731</v>
      </c>
      <c r="D2145" s="116">
        <v>80.1416957684024</v>
      </c>
      <c r="E2145" s="116">
        <v>82.343216660064002</v>
      </c>
      <c r="F2145" s="116">
        <v>257.25</v>
      </c>
      <c r="G2145">
        <v>498052</v>
      </c>
      <c r="H2145" s="116"/>
      <c r="I2145" s="116"/>
      <c r="L2145" s="170">
        <v>45162</v>
      </c>
      <c r="M2145" s="116">
        <v>748.05</v>
      </c>
      <c r="N2145" s="116">
        <v>761.75</v>
      </c>
      <c r="O2145" s="116">
        <v>745.25</v>
      </c>
      <c r="P2145" s="116">
        <v>757.95</v>
      </c>
      <c r="Q2145" s="116">
        <v>748.05</v>
      </c>
      <c r="R2145">
        <v>652056</v>
      </c>
    </row>
    <row r="2146" spans="1:18" x14ac:dyDescent="0.25">
      <c r="A2146" s="170">
        <v>45166</v>
      </c>
      <c r="B2146" s="116">
        <v>86.698743603998906</v>
      </c>
      <c r="C2146" s="116">
        <v>82.168995582306593</v>
      </c>
      <c r="D2146" s="116">
        <v>74.344885363019898</v>
      </c>
      <c r="E2146" s="116">
        <v>85.209945303162996</v>
      </c>
      <c r="F2146" s="116">
        <v>259.39999999999998</v>
      </c>
      <c r="G2146">
        <v>637527</v>
      </c>
      <c r="H2146" s="116"/>
      <c r="I2146" s="116"/>
      <c r="L2146" s="170">
        <v>45163</v>
      </c>
      <c r="M2146" s="116">
        <v>738.9</v>
      </c>
      <c r="N2146" s="116">
        <v>754.75</v>
      </c>
      <c r="O2146" s="116">
        <v>734.4</v>
      </c>
      <c r="P2146" s="116">
        <v>747.7</v>
      </c>
      <c r="Q2146" s="116">
        <v>738.9</v>
      </c>
      <c r="R2146">
        <v>643105</v>
      </c>
    </row>
    <row r="2147" spans="1:18" x14ac:dyDescent="0.25">
      <c r="A2147" s="170">
        <v>45167</v>
      </c>
      <c r="B2147" s="116">
        <v>83.942882919472794</v>
      </c>
      <c r="C2147" s="116">
        <v>81.582979229849897</v>
      </c>
      <c r="D2147" s="116">
        <v>80.838580079431907</v>
      </c>
      <c r="E2147" s="116">
        <v>82.675820535782705</v>
      </c>
      <c r="F2147" s="116">
        <v>257.55</v>
      </c>
      <c r="G2147">
        <v>242616</v>
      </c>
      <c r="H2147" s="116"/>
      <c r="I2147" s="116"/>
      <c r="L2147" s="170">
        <v>45166</v>
      </c>
      <c r="M2147" s="116">
        <v>743.55</v>
      </c>
      <c r="N2147" s="116">
        <v>750.9</v>
      </c>
      <c r="O2147" s="116">
        <v>739</v>
      </c>
      <c r="P2147" s="116">
        <v>740</v>
      </c>
      <c r="Q2147" s="116">
        <v>743.55</v>
      </c>
      <c r="R2147">
        <v>403428</v>
      </c>
    </row>
    <row r="2148" spans="1:18" x14ac:dyDescent="0.25">
      <c r="A2148" s="170">
        <v>45168</v>
      </c>
      <c r="B2148" s="116">
        <v>82.960909572112897</v>
      </c>
      <c r="C2148" s="116">
        <v>78.747927146343201</v>
      </c>
      <c r="D2148" s="116">
        <v>77.607571001021995</v>
      </c>
      <c r="E2148" s="116">
        <v>81.139507395558297</v>
      </c>
      <c r="F2148" s="116">
        <v>248.6</v>
      </c>
      <c r="G2148">
        <v>394939</v>
      </c>
      <c r="H2148" s="116"/>
      <c r="I2148" s="116"/>
      <c r="L2148" s="170">
        <v>45167</v>
      </c>
      <c r="M2148" s="116">
        <v>749.2</v>
      </c>
      <c r="N2148" s="116">
        <v>750.65</v>
      </c>
      <c r="O2148" s="116">
        <v>741.7</v>
      </c>
      <c r="P2148" s="116">
        <v>744.05</v>
      </c>
      <c r="Q2148" s="116">
        <v>749.2</v>
      </c>
      <c r="R2148">
        <v>494610</v>
      </c>
    </row>
    <row r="2149" spans="1:18" x14ac:dyDescent="0.25">
      <c r="A2149" s="170">
        <v>45169</v>
      </c>
      <c r="B2149" s="116">
        <v>79.824930172479796</v>
      </c>
      <c r="C2149" s="116">
        <v>77.465026482856899</v>
      </c>
      <c r="D2149" s="116">
        <v>76.340508617331906</v>
      </c>
      <c r="E2149" s="116">
        <v>78.747927146343201</v>
      </c>
      <c r="F2149" s="116">
        <v>244.55</v>
      </c>
      <c r="G2149">
        <v>247568</v>
      </c>
      <c r="H2149" s="116"/>
      <c r="I2149" s="116"/>
      <c r="L2149" s="170">
        <v>45168</v>
      </c>
      <c r="M2149" s="116">
        <v>749.65</v>
      </c>
      <c r="N2149" s="116">
        <v>756</v>
      </c>
      <c r="O2149" s="116">
        <v>748</v>
      </c>
      <c r="P2149" s="116">
        <v>751.05</v>
      </c>
      <c r="Q2149" s="116">
        <v>749.65</v>
      </c>
      <c r="R2149">
        <v>421738</v>
      </c>
    </row>
    <row r="2150" spans="1:18" x14ac:dyDescent="0.25">
      <c r="A2150" s="170">
        <v>45170</v>
      </c>
      <c r="B2150" s="116">
        <v>81.091992556169998</v>
      </c>
      <c r="C2150" s="116">
        <v>80.442623084528805</v>
      </c>
      <c r="D2150" s="116">
        <v>76.419700016312504</v>
      </c>
      <c r="E2150" s="116">
        <v>78.241102192867103</v>
      </c>
      <c r="F2150" s="116">
        <v>253.95</v>
      </c>
      <c r="G2150">
        <v>255091</v>
      </c>
      <c r="H2150" s="116"/>
      <c r="I2150" s="116"/>
      <c r="L2150" s="170">
        <v>45169</v>
      </c>
      <c r="M2150" s="116">
        <v>751.35</v>
      </c>
      <c r="N2150" s="116">
        <v>757.8</v>
      </c>
      <c r="O2150" s="116">
        <v>745.75</v>
      </c>
      <c r="P2150" s="116">
        <v>750.35</v>
      </c>
      <c r="Q2150" s="116">
        <v>751.35</v>
      </c>
      <c r="R2150">
        <v>503892</v>
      </c>
    </row>
    <row r="2151" spans="1:18" x14ac:dyDescent="0.25">
      <c r="A2151" s="170">
        <v>45173</v>
      </c>
      <c r="B2151" s="116">
        <v>82.359054939860101</v>
      </c>
      <c r="C2151" s="116">
        <v>80.268402006771396</v>
      </c>
      <c r="D2151" s="116">
        <v>79.824930172479796</v>
      </c>
      <c r="E2151" s="116">
        <v>82.359054939860101</v>
      </c>
      <c r="F2151" s="116">
        <v>253.4</v>
      </c>
      <c r="G2151">
        <v>200154</v>
      </c>
      <c r="H2151" s="116"/>
      <c r="I2151" s="116"/>
      <c r="L2151" s="170">
        <v>45170</v>
      </c>
      <c r="M2151" s="116">
        <v>760</v>
      </c>
      <c r="N2151" s="116">
        <v>765</v>
      </c>
      <c r="O2151" s="116">
        <v>745.6</v>
      </c>
      <c r="P2151" s="116">
        <v>751.85</v>
      </c>
      <c r="Q2151" s="116">
        <v>760</v>
      </c>
      <c r="R2151">
        <v>596150</v>
      </c>
    </row>
    <row r="2152" spans="1:18" x14ac:dyDescent="0.25">
      <c r="A2152" s="170">
        <v>45174</v>
      </c>
      <c r="B2152" s="116">
        <v>80.680197281470697</v>
      </c>
      <c r="C2152" s="116">
        <v>77.765953798983304</v>
      </c>
      <c r="D2152" s="116">
        <v>77.496703042449198</v>
      </c>
      <c r="E2152" s="116">
        <v>80.680197281470697</v>
      </c>
      <c r="F2152" s="116">
        <v>245.5</v>
      </c>
      <c r="G2152">
        <v>283247</v>
      </c>
      <c r="H2152" s="116"/>
      <c r="I2152" s="116"/>
      <c r="L2152" s="170">
        <v>45173</v>
      </c>
      <c r="M2152" s="116">
        <v>766.1</v>
      </c>
      <c r="N2152" s="116">
        <v>770</v>
      </c>
      <c r="O2152" s="116">
        <v>758.7</v>
      </c>
      <c r="P2152" s="116">
        <v>767.6</v>
      </c>
      <c r="Q2152" s="116">
        <v>766.1</v>
      </c>
      <c r="R2152">
        <v>633312</v>
      </c>
    </row>
    <row r="2153" spans="1:18" x14ac:dyDescent="0.25">
      <c r="A2153" s="170">
        <v>45175</v>
      </c>
      <c r="B2153" s="116">
        <v>78.874633384712197</v>
      </c>
      <c r="C2153" s="116">
        <v>77.956013156536798</v>
      </c>
      <c r="D2153" s="116">
        <v>77.290805405099505</v>
      </c>
      <c r="E2153" s="116">
        <v>78.700412306954803</v>
      </c>
      <c r="F2153" s="116">
        <v>246.1</v>
      </c>
      <c r="G2153">
        <v>189784</v>
      </c>
      <c r="H2153" s="116"/>
      <c r="I2153" s="116"/>
      <c r="L2153" s="170">
        <v>45174</v>
      </c>
      <c r="M2153" s="116">
        <v>782.9</v>
      </c>
      <c r="N2153" s="116">
        <v>797</v>
      </c>
      <c r="O2153" s="116">
        <v>768.15</v>
      </c>
      <c r="P2153" s="116">
        <v>769.95</v>
      </c>
      <c r="Q2153" s="116">
        <v>782.9</v>
      </c>
      <c r="R2153">
        <v>1574345</v>
      </c>
    </row>
    <row r="2154" spans="1:18" x14ac:dyDescent="0.25">
      <c r="A2154" s="170">
        <v>45176</v>
      </c>
      <c r="B2154" s="116">
        <v>78.874633384712197</v>
      </c>
      <c r="C2154" s="116">
        <v>76.514729695089301</v>
      </c>
      <c r="D2154" s="116">
        <v>76.166287539574498</v>
      </c>
      <c r="E2154" s="116">
        <v>77.971851436332997</v>
      </c>
      <c r="F2154" s="116">
        <v>241.55</v>
      </c>
      <c r="G2154">
        <v>189838</v>
      </c>
      <c r="H2154" s="116"/>
      <c r="I2154" s="116"/>
      <c r="L2154" s="170">
        <v>45175</v>
      </c>
      <c r="M2154" s="116">
        <v>782.1</v>
      </c>
      <c r="N2154" s="116">
        <v>792</v>
      </c>
      <c r="O2154" s="116">
        <v>775</v>
      </c>
      <c r="P2154" s="116">
        <v>784.75</v>
      </c>
      <c r="Q2154" s="116">
        <v>782.1</v>
      </c>
      <c r="R2154">
        <v>561361</v>
      </c>
    </row>
    <row r="2155" spans="1:18" x14ac:dyDescent="0.25">
      <c r="A2155" s="170">
        <v>45177</v>
      </c>
      <c r="B2155" s="116">
        <v>78.526191229197394</v>
      </c>
      <c r="C2155" s="116">
        <v>76.974039809177</v>
      </c>
      <c r="D2155" s="116">
        <v>76.498891415293201</v>
      </c>
      <c r="E2155" s="116">
        <v>78.051042835313595</v>
      </c>
      <c r="F2155" s="116">
        <v>243</v>
      </c>
      <c r="G2155">
        <v>143342</v>
      </c>
      <c r="H2155" s="116"/>
      <c r="I2155" s="116"/>
      <c r="L2155" s="170">
        <v>45176</v>
      </c>
      <c r="M2155" s="116">
        <v>773.4</v>
      </c>
      <c r="N2155" s="116">
        <v>784.95</v>
      </c>
      <c r="O2155" s="116">
        <v>770.25</v>
      </c>
      <c r="P2155" s="116">
        <v>781.95</v>
      </c>
      <c r="Q2155" s="116">
        <v>773.4</v>
      </c>
      <c r="R2155">
        <v>378499</v>
      </c>
    </row>
    <row r="2156" spans="1:18" x14ac:dyDescent="0.25">
      <c r="A2156" s="170">
        <v>45180</v>
      </c>
      <c r="B2156" s="116">
        <v>78.526191229197394</v>
      </c>
      <c r="C2156" s="116">
        <v>74.360723642815998</v>
      </c>
      <c r="D2156" s="116">
        <v>73.806383849951601</v>
      </c>
      <c r="E2156" s="116">
        <v>78.241102192867103</v>
      </c>
      <c r="F2156" s="116">
        <v>234.75</v>
      </c>
      <c r="G2156">
        <v>279922</v>
      </c>
      <c r="H2156" s="116"/>
      <c r="I2156" s="116"/>
      <c r="L2156" s="170">
        <v>45177</v>
      </c>
      <c r="M2156" s="116">
        <v>773.65</v>
      </c>
      <c r="N2156" s="116">
        <v>783.95</v>
      </c>
      <c r="O2156" s="116">
        <v>770.4</v>
      </c>
      <c r="P2156" s="116">
        <v>778.7</v>
      </c>
      <c r="Q2156" s="116">
        <v>773.65</v>
      </c>
      <c r="R2156">
        <v>371319</v>
      </c>
    </row>
    <row r="2157" spans="1:18" x14ac:dyDescent="0.25">
      <c r="A2157" s="170">
        <v>45181</v>
      </c>
      <c r="B2157" s="116">
        <v>75.073446233641704</v>
      </c>
      <c r="C2157" s="116">
        <v>70.971331766444806</v>
      </c>
      <c r="D2157" s="116">
        <v>66.869217299248007</v>
      </c>
      <c r="E2157" s="116">
        <v>74.439915041796695</v>
      </c>
      <c r="F2157" s="116">
        <v>224.05</v>
      </c>
      <c r="G2157">
        <v>535751</v>
      </c>
      <c r="H2157" s="116"/>
      <c r="I2157" s="116"/>
      <c r="L2157" s="170">
        <v>45180</v>
      </c>
      <c r="M2157" s="116">
        <v>788.55</v>
      </c>
      <c r="N2157" s="116">
        <v>793.75</v>
      </c>
      <c r="O2157" s="116">
        <v>774.7</v>
      </c>
      <c r="P2157" s="116">
        <v>778.95</v>
      </c>
      <c r="Q2157" s="116">
        <v>788.55</v>
      </c>
      <c r="R2157">
        <v>602304</v>
      </c>
    </row>
    <row r="2158" spans="1:18" x14ac:dyDescent="0.25">
      <c r="A2158" s="170">
        <v>45182</v>
      </c>
      <c r="B2158" s="116">
        <v>70.923816927056507</v>
      </c>
      <c r="C2158" s="116">
        <v>69.704269382754703</v>
      </c>
      <c r="D2158" s="116">
        <v>64.936947164120497</v>
      </c>
      <c r="E2158" s="116">
        <v>65.253712760043001</v>
      </c>
      <c r="F2158" s="116">
        <v>220.05</v>
      </c>
      <c r="G2158">
        <v>624220</v>
      </c>
      <c r="H2158" s="116"/>
      <c r="I2158" s="116"/>
      <c r="L2158" s="170">
        <v>45181</v>
      </c>
      <c r="M2158" s="116">
        <v>751.8</v>
      </c>
      <c r="N2158" s="116">
        <v>794.2</v>
      </c>
      <c r="O2158" s="116">
        <v>740.6</v>
      </c>
      <c r="P2158" s="116">
        <v>793.7</v>
      </c>
      <c r="Q2158" s="116">
        <v>751.8</v>
      </c>
      <c r="R2158">
        <v>994930</v>
      </c>
    </row>
    <row r="2159" spans="1:18" x14ac:dyDescent="0.25">
      <c r="A2159" s="170">
        <v>45183</v>
      </c>
      <c r="B2159" s="116">
        <v>72.666027704630395</v>
      </c>
      <c r="C2159" s="116">
        <v>71.113876284610001</v>
      </c>
      <c r="D2159" s="116">
        <v>68.738134315190905</v>
      </c>
      <c r="E2159" s="116">
        <v>72.159202751154396</v>
      </c>
      <c r="F2159" s="116">
        <v>224.5</v>
      </c>
      <c r="G2159">
        <v>165085</v>
      </c>
      <c r="H2159" s="116"/>
      <c r="I2159" s="116"/>
      <c r="L2159" s="170">
        <v>45182</v>
      </c>
      <c r="M2159" s="116">
        <v>775.05</v>
      </c>
      <c r="N2159" s="116">
        <v>780.95</v>
      </c>
      <c r="O2159" s="116">
        <v>751.8</v>
      </c>
      <c r="P2159" s="116">
        <v>757.45</v>
      </c>
      <c r="Q2159" s="116">
        <v>775.05</v>
      </c>
      <c r="R2159">
        <v>1052204</v>
      </c>
    </row>
    <row r="2160" spans="1:18" x14ac:dyDescent="0.25">
      <c r="A2160" s="170">
        <v>45184</v>
      </c>
      <c r="B2160" s="116">
        <v>72.333423828911805</v>
      </c>
      <c r="C2160" s="116">
        <v>69.720107662550802</v>
      </c>
      <c r="D2160" s="116">
        <v>69.134091310094107</v>
      </c>
      <c r="E2160" s="116">
        <v>72.333423828911805</v>
      </c>
      <c r="F2160" s="116">
        <v>220.1</v>
      </c>
      <c r="G2160">
        <v>98362</v>
      </c>
      <c r="H2160" s="116"/>
      <c r="I2160" s="116"/>
      <c r="L2160" s="170">
        <v>45183</v>
      </c>
      <c r="M2160" s="116">
        <v>781.85</v>
      </c>
      <c r="N2160" s="116">
        <v>787.95</v>
      </c>
      <c r="O2160" s="116">
        <v>770.35</v>
      </c>
      <c r="P2160" s="116">
        <v>780.1</v>
      </c>
      <c r="Q2160" s="116">
        <v>781.85</v>
      </c>
      <c r="R2160">
        <v>523449</v>
      </c>
    </row>
    <row r="2161" spans="1:18" x14ac:dyDescent="0.25">
      <c r="A2161" s="170">
        <v>45187</v>
      </c>
      <c r="B2161" s="116">
        <v>71.193067683590598</v>
      </c>
      <c r="C2161" s="116">
        <v>66.6474813821022</v>
      </c>
      <c r="D2161" s="116">
        <v>66.489098584140905</v>
      </c>
      <c r="E2161" s="116">
        <v>69.735945942346902</v>
      </c>
      <c r="F2161" s="116">
        <v>210.4</v>
      </c>
      <c r="G2161">
        <v>294397</v>
      </c>
      <c r="H2161" s="116"/>
      <c r="I2161" s="116"/>
      <c r="L2161" s="170">
        <v>45184</v>
      </c>
      <c r="M2161" s="116">
        <v>781.25</v>
      </c>
      <c r="N2161" s="116">
        <v>791.7</v>
      </c>
      <c r="O2161" s="116">
        <v>778.8</v>
      </c>
      <c r="P2161" s="116">
        <v>787.9</v>
      </c>
      <c r="Q2161" s="116">
        <v>781.25</v>
      </c>
      <c r="R2161">
        <v>464526</v>
      </c>
    </row>
    <row r="2162" spans="1:18" x14ac:dyDescent="0.25">
      <c r="A2162" s="170">
        <v>45189</v>
      </c>
      <c r="B2162" s="116">
        <v>66.6474813821022</v>
      </c>
      <c r="C2162" s="116">
        <v>64.636019847994106</v>
      </c>
      <c r="D2162" s="116">
        <v>64.034165215741297</v>
      </c>
      <c r="E2162" s="116">
        <v>66.6474813821022</v>
      </c>
      <c r="F2162" s="116">
        <v>204.05</v>
      </c>
      <c r="G2162">
        <v>241294</v>
      </c>
      <c r="H2162" s="116"/>
      <c r="I2162" s="116"/>
      <c r="L2162" s="170">
        <v>45187</v>
      </c>
      <c r="M2162" s="116">
        <v>769.6</v>
      </c>
      <c r="N2162" s="116">
        <v>781.95</v>
      </c>
      <c r="O2162" s="116">
        <v>757.95</v>
      </c>
      <c r="P2162" s="116">
        <v>781.4</v>
      </c>
      <c r="Q2162" s="116">
        <v>769.6</v>
      </c>
      <c r="R2162">
        <v>669152</v>
      </c>
    </row>
    <row r="2163" spans="1:18" x14ac:dyDescent="0.25">
      <c r="A2163" s="170">
        <v>45190</v>
      </c>
      <c r="B2163" s="116">
        <v>76.340508617331906</v>
      </c>
      <c r="C2163" s="116">
        <v>68.959870232336698</v>
      </c>
      <c r="D2163" s="116">
        <v>64.667696407586305</v>
      </c>
      <c r="E2163" s="116">
        <v>64.936947164120497</v>
      </c>
      <c r="F2163" s="116">
        <v>217.7</v>
      </c>
      <c r="G2163">
        <v>355504</v>
      </c>
      <c r="H2163" s="116"/>
      <c r="I2163" s="116"/>
      <c r="L2163" s="170">
        <v>45189</v>
      </c>
      <c r="M2163" s="116">
        <v>771.5</v>
      </c>
      <c r="N2163" s="116">
        <v>783.3</v>
      </c>
      <c r="O2163" s="116">
        <v>764.85</v>
      </c>
      <c r="P2163" s="116">
        <v>767.05</v>
      </c>
      <c r="Q2163" s="116">
        <v>771.5</v>
      </c>
      <c r="R2163">
        <v>525752</v>
      </c>
    </row>
    <row r="2164" spans="1:18" x14ac:dyDescent="0.25">
      <c r="A2164" s="170">
        <v>45191</v>
      </c>
      <c r="B2164" s="116">
        <v>70.923816927056507</v>
      </c>
      <c r="C2164" s="116">
        <v>68.294662480899404</v>
      </c>
      <c r="D2164" s="116">
        <v>67.233497734558895</v>
      </c>
      <c r="E2164" s="116">
        <v>70.923816927056507</v>
      </c>
      <c r="F2164" s="116">
        <v>215.6</v>
      </c>
      <c r="G2164">
        <v>137706</v>
      </c>
      <c r="H2164" s="116"/>
      <c r="I2164" s="116"/>
      <c r="L2164" s="170">
        <v>45190</v>
      </c>
      <c r="M2164" s="116">
        <v>758.8</v>
      </c>
      <c r="N2164" s="116">
        <v>783.95</v>
      </c>
      <c r="O2164" s="116">
        <v>753.35</v>
      </c>
      <c r="P2164" s="116">
        <v>770.45</v>
      </c>
      <c r="Q2164" s="116">
        <v>758.8</v>
      </c>
      <c r="R2164">
        <v>467947</v>
      </c>
    </row>
    <row r="2165" spans="1:18" x14ac:dyDescent="0.25">
      <c r="A2165" s="170">
        <v>45194</v>
      </c>
      <c r="B2165" s="116">
        <v>71.272259082571296</v>
      </c>
      <c r="C2165" s="116">
        <v>69.086576470705694</v>
      </c>
      <c r="D2165" s="116">
        <v>68.389692159676201</v>
      </c>
      <c r="E2165" s="116">
        <v>68.817325714171602</v>
      </c>
      <c r="F2165" s="116">
        <v>218.1</v>
      </c>
      <c r="G2165">
        <v>139897</v>
      </c>
      <c r="H2165" s="116"/>
      <c r="I2165" s="116"/>
      <c r="L2165" s="170">
        <v>45191</v>
      </c>
      <c r="M2165" s="116">
        <v>761.5</v>
      </c>
      <c r="N2165" s="116">
        <v>770</v>
      </c>
      <c r="O2165" s="116">
        <v>755.6</v>
      </c>
      <c r="P2165" s="116">
        <v>765.45</v>
      </c>
      <c r="Q2165" s="116">
        <v>761.5</v>
      </c>
      <c r="R2165">
        <v>479223</v>
      </c>
    </row>
    <row r="2166" spans="1:18" x14ac:dyDescent="0.25">
      <c r="A2166" s="170">
        <v>45195</v>
      </c>
      <c r="B2166" s="116">
        <v>70.607051331133903</v>
      </c>
      <c r="C2166" s="116">
        <v>69.846813900919798</v>
      </c>
      <c r="D2166" s="116">
        <v>67.5344250506853</v>
      </c>
      <c r="E2166" s="116">
        <v>68.595589797025795</v>
      </c>
      <c r="F2166" s="116">
        <v>220.5</v>
      </c>
      <c r="G2166">
        <v>144970</v>
      </c>
      <c r="H2166" s="116"/>
      <c r="I2166" s="116"/>
      <c r="L2166" s="170">
        <v>45194</v>
      </c>
      <c r="M2166" s="116">
        <v>771.75</v>
      </c>
      <c r="N2166" s="116">
        <v>776.65</v>
      </c>
      <c r="O2166" s="116">
        <v>737.05</v>
      </c>
      <c r="P2166" s="116">
        <v>763</v>
      </c>
      <c r="Q2166" s="116">
        <v>771.75</v>
      </c>
      <c r="R2166">
        <v>1024817</v>
      </c>
    </row>
    <row r="2167" spans="1:18" x14ac:dyDescent="0.25">
      <c r="A2167" s="170">
        <v>45196</v>
      </c>
      <c r="B2167" s="116">
        <v>72.856087062184002</v>
      </c>
      <c r="C2167" s="116">
        <v>71.763245756251195</v>
      </c>
      <c r="D2167" s="116">
        <v>68.769810874783204</v>
      </c>
      <c r="E2167" s="116">
        <v>71.256420802775096</v>
      </c>
      <c r="F2167" s="116">
        <v>226.55</v>
      </c>
      <c r="G2167">
        <v>185125</v>
      </c>
      <c r="H2167" s="116"/>
      <c r="I2167" s="116"/>
      <c r="L2167" s="170">
        <v>45195</v>
      </c>
      <c r="M2167" s="116">
        <v>758.85</v>
      </c>
      <c r="N2167" s="116">
        <v>776.75</v>
      </c>
      <c r="O2167" s="116">
        <v>754.45</v>
      </c>
      <c r="P2167" s="116">
        <v>775</v>
      </c>
      <c r="Q2167" s="116">
        <v>758.85</v>
      </c>
      <c r="R2167">
        <v>437747</v>
      </c>
    </row>
    <row r="2168" spans="1:18" x14ac:dyDescent="0.25">
      <c r="A2168" s="170">
        <v>45197</v>
      </c>
      <c r="B2168" s="116">
        <v>75.960389902224804</v>
      </c>
      <c r="C2168" s="116">
        <v>74.424076762000496</v>
      </c>
      <c r="D2168" s="116">
        <v>71.272259082571296</v>
      </c>
      <c r="E2168" s="116">
        <v>72.222555870338894</v>
      </c>
      <c r="F2168" s="116">
        <v>234.95</v>
      </c>
      <c r="G2168">
        <v>398224</v>
      </c>
      <c r="H2168" s="116"/>
      <c r="I2168" s="116"/>
      <c r="L2168" s="170">
        <v>45196</v>
      </c>
      <c r="M2168" s="116">
        <v>769.95</v>
      </c>
      <c r="N2168" s="116">
        <v>777</v>
      </c>
      <c r="O2168" s="116">
        <v>758</v>
      </c>
      <c r="P2168" s="116">
        <v>758.85</v>
      </c>
      <c r="Q2168" s="116">
        <v>769.95</v>
      </c>
      <c r="R2168">
        <v>785341</v>
      </c>
    </row>
    <row r="2169" spans="1:18" x14ac:dyDescent="0.25">
      <c r="A2169" s="170">
        <v>45198</v>
      </c>
      <c r="B2169" s="116">
        <v>82.343216660064002</v>
      </c>
      <c r="C2169" s="116">
        <v>79.6982239341108</v>
      </c>
      <c r="D2169" s="116">
        <v>74.804195477107598</v>
      </c>
      <c r="E2169" s="116">
        <v>76.974039809177</v>
      </c>
      <c r="F2169" s="116">
        <v>251.6</v>
      </c>
      <c r="G2169">
        <v>732316</v>
      </c>
      <c r="H2169" s="116"/>
      <c r="I2169" s="116"/>
      <c r="L2169" s="170">
        <v>45197</v>
      </c>
      <c r="M2169" s="116">
        <v>748.2</v>
      </c>
      <c r="N2169" s="116">
        <v>773.95</v>
      </c>
      <c r="O2169" s="116">
        <v>745.65</v>
      </c>
      <c r="P2169" s="116">
        <v>773.95</v>
      </c>
      <c r="Q2169" s="116">
        <v>748.2</v>
      </c>
      <c r="R2169">
        <v>739021</v>
      </c>
    </row>
    <row r="2170" spans="1:18" x14ac:dyDescent="0.25">
      <c r="A2170" s="170">
        <v>45202</v>
      </c>
      <c r="B2170" s="116">
        <v>87.554010712989793</v>
      </c>
      <c r="C2170" s="116">
        <v>85.780123375823607</v>
      </c>
      <c r="D2170" s="116">
        <v>80.711873841062896</v>
      </c>
      <c r="E2170" s="116">
        <v>81.963097944956999</v>
      </c>
      <c r="F2170" s="116">
        <v>270.8</v>
      </c>
      <c r="G2170">
        <v>700787</v>
      </c>
      <c r="H2170" s="116"/>
      <c r="I2170" s="116"/>
      <c r="L2170" s="170">
        <v>45198</v>
      </c>
      <c r="M2170" s="116">
        <v>764.8</v>
      </c>
      <c r="N2170" s="116">
        <v>770.25</v>
      </c>
      <c r="O2170" s="116">
        <v>753</v>
      </c>
      <c r="P2170" s="116">
        <v>754.8</v>
      </c>
      <c r="Q2170" s="116">
        <v>764.8</v>
      </c>
      <c r="R2170">
        <v>690640</v>
      </c>
    </row>
    <row r="2171" spans="1:18" x14ac:dyDescent="0.25">
      <c r="A2171" s="170">
        <v>45203</v>
      </c>
      <c r="B2171" s="116">
        <v>90.531607314661599</v>
      </c>
      <c r="C2171" s="116">
        <v>89.058647293621803</v>
      </c>
      <c r="D2171" s="116">
        <v>85.875153054600304</v>
      </c>
      <c r="E2171" s="116">
        <v>87.506495873601395</v>
      </c>
      <c r="F2171" s="116">
        <v>281.14999999999998</v>
      </c>
      <c r="G2171">
        <v>609775</v>
      </c>
      <c r="H2171" s="116"/>
      <c r="I2171" s="116"/>
      <c r="L2171" s="170">
        <v>45202</v>
      </c>
      <c r="M2171" s="116">
        <v>765.35</v>
      </c>
      <c r="N2171" s="116">
        <v>772.45</v>
      </c>
      <c r="O2171" s="116">
        <v>760.3</v>
      </c>
      <c r="P2171" s="116">
        <v>764.75</v>
      </c>
      <c r="Q2171" s="116">
        <v>765.35</v>
      </c>
      <c r="R2171">
        <v>425743</v>
      </c>
    </row>
    <row r="2172" spans="1:18" x14ac:dyDescent="0.25">
      <c r="A2172" s="170">
        <v>45204</v>
      </c>
      <c r="B2172" s="116">
        <v>91.988729055905296</v>
      </c>
      <c r="C2172" s="116">
        <v>89.723855045059196</v>
      </c>
      <c r="D2172" s="116">
        <v>89.327898050155994</v>
      </c>
      <c r="E2172" s="116">
        <v>91.988729055905296</v>
      </c>
      <c r="F2172" s="116">
        <v>283.25</v>
      </c>
      <c r="G2172">
        <v>309904</v>
      </c>
      <c r="H2172" s="116"/>
      <c r="I2172" s="116"/>
      <c r="L2172" s="170">
        <v>45203</v>
      </c>
      <c r="M2172" s="116">
        <v>754.25</v>
      </c>
      <c r="N2172" s="116">
        <v>763.55</v>
      </c>
      <c r="O2172" s="116">
        <v>746.8</v>
      </c>
      <c r="P2172" s="116">
        <v>760</v>
      </c>
      <c r="Q2172" s="116">
        <v>754.25</v>
      </c>
      <c r="R2172">
        <v>545246</v>
      </c>
    </row>
    <row r="2173" spans="1:18" x14ac:dyDescent="0.25">
      <c r="A2173" s="170">
        <v>45205</v>
      </c>
      <c r="B2173" s="116">
        <v>91.133461946914494</v>
      </c>
      <c r="C2173" s="116">
        <v>86.112727251542196</v>
      </c>
      <c r="D2173" s="116">
        <v>79.888283291664294</v>
      </c>
      <c r="E2173" s="116">
        <v>91.133461946914494</v>
      </c>
      <c r="F2173" s="116">
        <v>271.85000000000002</v>
      </c>
      <c r="G2173">
        <v>534168</v>
      </c>
      <c r="H2173" s="116"/>
      <c r="I2173" s="116"/>
      <c r="L2173" s="170">
        <v>45204</v>
      </c>
      <c r="M2173" s="116">
        <v>757.85</v>
      </c>
      <c r="N2173" s="116">
        <v>769.85</v>
      </c>
      <c r="O2173" s="116">
        <v>756.2</v>
      </c>
      <c r="P2173" s="116">
        <v>756.2</v>
      </c>
      <c r="Q2173" s="116">
        <v>757.85</v>
      </c>
      <c r="R2173">
        <v>340178</v>
      </c>
    </row>
    <row r="2174" spans="1:18" x14ac:dyDescent="0.25">
      <c r="A2174" s="170">
        <v>45208</v>
      </c>
      <c r="B2174" s="116">
        <v>89.011132454233405</v>
      </c>
      <c r="C2174" s="116">
        <v>85.558387458677799</v>
      </c>
      <c r="D2174" s="116">
        <v>82.359054939860101</v>
      </c>
      <c r="E2174" s="116">
        <v>85.083239064794</v>
      </c>
      <c r="F2174" s="116">
        <v>270.10000000000002</v>
      </c>
      <c r="G2174">
        <v>440254</v>
      </c>
      <c r="H2174" s="116"/>
      <c r="I2174" s="116"/>
      <c r="L2174" s="170">
        <v>45205</v>
      </c>
      <c r="M2174" s="116">
        <v>773.7</v>
      </c>
      <c r="N2174" s="116">
        <v>776.9</v>
      </c>
      <c r="O2174" s="116">
        <v>759.1</v>
      </c>
      <c r="P2174" s="116">
        <v>759.1</v>
      </c>
      <c r="Q2174" s="116">
        <v>773.7</v>
      </c>
      <c r="R2174">
        <v>540414</v>
      </c>
    </row>
    <row r="2175" spans="1:18" x14ac:dyDescent="0.25">
      <c r="A2175" s="170">
        <v>45209</v>
      </c>
      <c r="B2175" s="116">
        <v>102.663729638495</v>
      </c>
      <c r="C2175" s="116">
        <v>100.414693907445</v>
      </c>
      <c r="D2175" s="116">
        <v>95.029678776761699</v>
      </c>
      <c r="E2175" s="116">
        <v>97.880569140064495</v>
      </c>
      <c r="F2175" s="116">
        <v>317</v>
      </c>
      <c r="G2175">
        <v>2318643</v>
      </c>
      <c r="H2175" s="116"/>
      <c r="I2175" s="116"/>
      <c r="L2175" s="170">
        <v>45208</v>
      </c>
      <c r="M2175" s="116">
        <v>750.4</v>
      </c>
      <c r="N2175" s="116">
        <v>766.7</v>
      </c>
      <c r="O2175" s="116">
        <v>746.05</v>
      </c>
      <c r="P2175" s="116">
        <v>766.55</v>
      </c>
      <c r="Q2175" s="116">
        <v>750.4</v>
      </c>
      <c r="R2175">
        <v>405469</v>
      </c>
    </row>
    <row r="2176" spans="1:18" x14ac:dyDescent="0.25">
      <c r="A2176" s="170">
        <v>45210</v>
      </c>
      <c r="B2176" s="116">
        <v>108.745629080208</v>
      </c>
      <c r="C2176" s="116">
        <v>105.11866300689501</v>
      </c>
      <c r="D2176" s="116">
        <v>103.107201472786</v>
      </c>
      <c r="E2176" s="116">
        <v>105.799709038128</v>
      </c>
      <c r="F2176" s="116">
        <v>331.85</v>
      </c>
      <c r="G2176">
        <v>1039217</v>
      </c>
      <c r="H2176" s="116"/>
      <c r="I2176" s="116"/>
      <c r="L2176" s="170">
        <v>45209</v>
      </c>
      <c r="M2176" s="116">
        <v>758.9</v>
      </c>
      <c r="N2176" s="116">
        <v>761.55</v>
      </c>
      <c r="O2176" s="116">
        <v>753.55</v>
      </c>
      <c r="P2176" s="116">
        <v>756.4</v>
      </c>
      <c r="Q2176" s="116">
        <v>758.9</v>
      </c>
      <c r="R2176">
        <v>211643</v>
      </c>
    </row>
    <row r="2177" spans="1:18" x14ac:dyDescent="0.25">
      <c r="A2177" s="170">
        <v>45211</v>
      </c>
      <c r="B2177" s="116">
        <v>106.750005825896</v>
      </c>
      <c r="C2177" s="116">
        <v>104.881088809953</v>
      </c>
      <c r="D2177" s="116">
        <v>101.95100704766899</v>
      </c>
      <c r="E2177" s="116">
        <v>106.750005825896</v>
      </c>
      <c r="F2177" s="116">
        <v>331.1</v>
      </c>
      <c r="G2177">
        <v>415600</v>
      </c>
      <c r="H2177" s="116"/>
      <c r="I2177" s="116"/>
      <c r="L2177" s="170">
        <v>45210</v>
      </c>
      <c r="M2177" s="116">
        <v>755.05</v>
      </c>
      <c r="N2177" s="116">
        <v>767.8</v>
      </c>
      <c r="O2177" s="116">
        <v>751.1</v>
      </c>
      <c r="P2177" s="116">
        <v>760</v>
      </c>
      <c r="Q2177" s="116">
        <v>755.05</v>
      </c>
      <c r="R2177">
        <v>509165</v>
      </c>
    </row>
    <row r="2178" spans="1:18" x14ac:dyDescent="0.25">
      <c r="A2178" s="170">
        <v>45212</v>
      </c>
      <c r="B2178" s="116">
        <v>105.15033956648701</v>
      </c>
      <c r="C2178" s="116">
        <v>103.867438903001</v>
      </c>
      <c r="D2178" s="116">
        <v>102.94881867482501</v>
      </c>
      <c r="E2178" s="116">
        <v>104.801897410972</v>
      </c>
      <c r="F2178" s="116">
        <v>327.9</v>
      </c>
      <c r="G2178">
        <v>314583</v>
      </c>
      <c r="H2178" s="116"/>
      <c r="I2178" s="116"/>
      <c r="L2178" s="170">
        <v>45211</v>
      </c>
      <c r="M2178" s="116">
        <v>752.25</v>
      </c>
      <c r="N2178" s="116">
        <v>762.6</v>
      </c>
      <c r="O2178" s="116">
        <v>750</v>
      </c>
      <c r="P2178" s="116">
        <v>756</v>
      </c>
      <c r="Q2178" s="116">
        <v>752.25</v>
      </c>
      <c r="R2178">
        <v>197145</v>
      </c>
    </row>
    <row r="2179" spans="1:18" x14ac:dyDescent="0.25">
      <c r="A2179" s="170">
        <v>45215</v>
      </c>
      <c r="B2179" s="116">
        <v>105.59381140077799</v>
      </c>
      <c r="C2179" s="116">
        <v>99.195146363143095</v>
      </c>
      <c r="D2179" s="116">
        <v>98.197334735987098</v>
      </c>
      <c r="E2179" s="116">
        <v>105.482943442205</v>
      </c>
      <c r="F2179" s="116">
        <v>313.14999999999998</v>
      </c>
      <c r="G2179">
        <v>503191</v>
      </c>
      <c r="H2179" s="116"/>
      <c r="I2179" s="116"/>
      <c r="L2179" s="170">
        <v>45212</v>
      </c>
      <c r="M2179" s="116">
        <v>746.85</v>
      </c>
      <c r="N2179" s="116">
        <v>758.7</v>
      </c>
      <c r="O2179" s="116">
        <v>743.15</v>
      </c>
      <c r="P2179" s="116">
        <v>752</v>
      </c>
      <c r="Q2179" s="116">
        <v>746.85</v>
      </c>
      <c r="R2179">
        <v>453556</v>
      </c>
    </row>
    <row r="2180" spans="1:18" x14ac:dyDescent="0.25">
      <c r="A2180" s="170">
        <v>45216</v>
      </c>
      <c r="B2180" s="116">
        <v>102.74292103747599</v>
      </c>
      <c r="C2180" s="116">
        <v>100.747297783164</v>
      </c>
      <c r="D2180" s="116">
        <v>99.765324435803606</v>
      </c>
      <c r="E2180" s="116">
        <v>99.765324435803606</v>
      </c>
      <c r="F2180" s="116">
        <v>318.05</v>
      </c>
      <c r="G2180">
        <v>234763</v>
      </c>
      <c r="H2180" s="116"/>
      <c r="I2180" s="116"/>
      <c r="L2180" s="170">
        <v>45215</v>
      </c>
      <c r="M2180" s="116">
        <v>738.95</v>
      </c>
      <c r="N2180" s="116">
        <v>746.85</v>
      </c>
      <c r="O2180" s="116">
        <v>738</v>
      </c>
      <c r="P2180" s="116">
        <v>742.2</v>
      </c>
      <c r="Q2180" s="116">
        <v>738.95</v>
      </c>
      <c r="R2180">
        <v>387137</v>
      </c>
    </row>
    <row r="2181" spans="1:18" x14ac:dyDescent="0.25">
      <c r="A2181" s="170">
        <v>45217</v>
      </c>
      <c r="B2181" s="116">
        <v>102.47367028094099</v>
      </c>
      <c r="C2181" s="116">
        <v>99.4960736792695</v>
      </c>
      <c r="D2181" s="116">
        <v>98.260687855171597</v>
      </c>
      <c r="E2181" s="116">
        <v>101.650079731543</v>
      </c>
      <c r="F2181" s="116">
        <v>314.10000000000002</v>
      </c>
      <c r="G2181">
        <v>209451</v>
      </c>
      <c r="H2181" s="116"/>
      <c r="I2181" s="116"/>
      <c r="L2181" s="170">
        <v>45216</v>
      </c>
      <c r="M2181" s="116">
        <v>768.25</v>
      </c>
      <c r="N2181" s="116">
        <v>770.5</v>
      </c>
      <c r="O2181" s="116">
        <v>741.15</v>
      </c>
      <c r="P2181" s="116">
        <v>742.8</v>
      </c>
      <c r="Q2181" s="116">
        <v>768.25</v>
      </c>
      <c r="R2181">
        <v>1608867</v>
      </c>
    </row>
    <row r="2182" spans="1:18" x14ac:dyDescent="0.25">
      <c r="A2182" s="170">
        <v>45218</v>
      </c>
      <c r="B2182" s="116">
        <v>100.398855627649</v>
      </c>
      <c r="C2182" s="116">
        <v>98.1656581763948</v>
      </c>
      <c r="D2182" s="116">
        <v>97.563803544142004</v>
      </c>
      <c r="E2182" s="116">
        <v>99.4960736792695</v>
      </c>
      <c r="F2182" s="116">
        <v>309.89999999999998</v>
      </c>
      <c r="G2182">
        <v>190449</v>
      </c>
      <c r="H2182" s="116"/>
      <c r="I2182" s="116"/>
      <c r="L2182" s="170">
        <v>45217</v>
      </c>
      <c r="M2182" s="116">
        <v>762.7</v>
      </c>
      <c r="N2182" s="116">
        <v>776</v>
      </c>
      <c r="O2182" s="116">
        <v>752</v>
      </c>
      <c r="P2182" s="116">
        <v>773</v>
      </c>
      <c r="Q2182" s="116">
        <v>762.7</v>
      </c>
      <c r="R2182">
        <v>1863055</v>
      </c>
    </row>
    <row r="2183" spans="1:18" x14ac:dyDescent="0.25">
      <c r="A2183" s="170">
        <v>45219</v>
      </c>
      <c r="B2183" s="116">
        <v>99.939545513561001</v>
      </c>
      <c r="C2183" s="116">
        <v>99.163469803550797</v>
      </c>
      <c r="D2183" s="116">
        <v>98.1656581763948</v>
      </c>
      <c r="E2183" s="116">
        <v>98.1656581763948</v>
      </c>
      <c r="F2183" s="116">
        <v>313.05</v>
      </c>
      <c r="G2183">
        <v>126112</v>
      </c>
      <c r="H2183" s="116"/>
      <c r="I2183" s="116"/>
      <c r="L2183" s="170">
        <v>45218</v>
      </c>
      <c r="M2183" s="116">
        <v>765.1</v>
      </c>
      <c r="N2183" s="116">
        <v>769.5</v>
      </c>
      <c r="O2183" s="116">
        <v>755.8</v>
      </c>
      <c r="P2183" s="116">
        <v>764.15</v>
      </c>
      <c r="Q2183" s="116">
        <v>765.1</v>
      </c>
      <c r="R2183">
        <v>1170357</v>
      </c>
    </row>
    <row r="2184" spans="1:18" x14ac:dyDescent="0.25">
      <c r="A2184" s="170">
        <v>45222</v>
      </c>
      <c r="B2184" s="116">
        <v>100.24047282968699</v>
      </c>
      <c r="C2184" s="116">
        <v>95.029678776761699</v>
      </c>
      <c r="D2184" s="116">
        <v>94.396147584916605</v>
      </c>
      <c r="E2184" s="116">
        <v>99.781162715599805</v>
      </c>
      <c r="F2184" s="116">
        <v>300</v>
      </c>
      <c r="G2184">
        <v>301075</v>
      </c>
      <c r="H2184" s="116"/>
      <c r="I2184" s="116"/>
      <c r="L2184" s="170">
        <v>45219</v>
      </c>
      <c r="M2184" s="116">
        <v>761.75</v>
      </c>
      <c r="N2184" s="116">
        <v>782.95</v>
      </c>
      <c r="O2184" s="116">
        <v>757.25</v>
      </c>
      <c r="P2184" s="116">
        <v>764.45</v>
      </c>
      <c r="Q2184" s="116">
        <v>761.75</v>
      </c>
      <c r="R2184">
        <v>2055776</v>
      </c>
    </row>
    <row r="2185" spans="1:18" x14ac:dyDescent="0.25">
      <c r="A2185" s="170">
        <v>45224</v>
      </c>
      <c r="B2185" s="116">
        <v>98.514100331909603</v>
      </c>
      <c r="C2185" s="116">
        <v>94.665398341450796</v>
      </c>
      <c r="D2185" s="116">
        <v>91.545257221613795</v>
      </c>
      <c r="E2185" s="116">
        <v>95.647371688810594</v>
      </c>
      <c r="F2185" s="116">
        <v>298.85000000000002</v>
      </c>
      <c r="G2185">
        <v>261179</v>
      </c>
      <c r="H2185" s="116"/>
      <c r="I2185" s="116"/>
      <c r="L2185" s="170">
        <v>45222</v>
      </c>
      <c r="M2185" s="116">
        <v>736.15</v>
      </c>
      <c r="N2185" s="116">
        <v>768.25</v>
      </c>
      <c r="O2185" s="116">
        <v>728.7</v>
      </c>
      <c r="P2185" s="116">
        <v>760.05</v>
      </c>
      <c r="Q2185" s="116">
        <v>736.15</v>
      </c>
      <c r="R2185">
        <v>838083</v>
      </c>
    </row>
    <row r="2186" spans="1:18" x14ac:dyDescent="0.25">
      <c r="A2186" s="170">
        <v>45225</v>
      </c>
      <c r="B2186" s="116">
        <v>98.102305057210302</v>
      </c>
      <c r="C2186" s="116">
        <v>96.835242673520199</v>
      </c>
      <c r="D2186" s="116">
        <v>86.160242090930595</v>
      </c>
      <c r="E2186" s="116">
        <v>93.129085201226403</v>
      </c>
      <c r="F2186" s="116">
        <v>305.7</v>
      </c>
      <c r="G2186">
        <v>601832</v>
      </c>
      <c r="H2186" s="116"/>
      <c r="I2186" s="116"/>
      <c r="L2186" s="170">
        <v>45224</v>
      </c>
      <c r="M2186" s="116">
        <v>720.9</v>
      </c>
      <c r="N2186" s="116">
        <v>746.2</v>
      </c>
      <c r="O2186" s="116">
        <v>717</v>
      </c>
      <c r="P2186" s="116">
        <v>740.45</v>
      </c>
      <c r="Q2186" s="116">
        <v>720.9</v>
      </c>
      <c r="R2186">
        <v>807717</v>
      </c>
    </row>
    <row r="2187" spans="1:18" x14ac:dyDescent="0.25">
      <c r="A2187" s="170">
        <v>45226</v>
      </c>
      <c r="B2187" s="116">
        <v>99.781162715599805</v>
      </c>
      <c r="C2187" s="116">
        <v>98.957572166201203</v>
      </c>
      <c r="D2187" s="116">
        <v>96.296741160451802</v>
      </c>
      <c r="E2187" s="116">
        <v>96.930272352296896</v>
      </c>
      <c r="F2187" s="116">
        <v>312.39999999999998</v>
      </c>
      <c r="G2187">
        <v>234631</v>
      </c>
      <c r="H2187" s="116"/>
      <c r="I2187" s="116"/>
      <c r="L2187" s="170">
        <v>45225</v>
      </c>
      <c r="M2187" s="116">
        <v>719.8</v>
      </c>
      <c r="N2187" s="116">
        <v>722</v>
      </c>
      <c r="O2187" s="116">
        <v>692.05</v>
      </c>
      <c r="P2187" s="116">
        <v>719.5</v>
      </c>
      <c r="Q2187" s="116">
        <v>719.8</v>
      </c>
      <c r="R2187">
        <v>987386</v>
      </c>
    </row>
    <row r="2188" spans="1:18" x14ac:dyDescent="0.25">
      <c r="A2188" s="170">
        <v>45229</v>
      </c>
      <c r="B2188" s="116">
        <v>100.383017347853</v>
      </c>
      <c r="C2188" s="116">
        <v>98.815027648035993</v>
      </c>
      <c r="D2188" s="116">
        <v>95.029678776761699</v>
      </c>
      <c r="E2188" s="116">
        <v>100.097928311522</v>
      </c>
      <c r="F2188" s="116">
        <v>311.95</v>
      </c>
      <c r="G2188">
        <v>146162</v>
      </c>
      <c r="H2188" s="116"/>
      <c r="I2188" s="116"/>
      <c r="L2188" s="170">
        <v>45226</v>
      </c>
      <c r="M2188" s="116">
        <v>740.7</v>
      </c>
      <c r="N2188" s="116">
        <v>745</v>
      </c>
      <c r="O2188" s="116">
        <v>721.35</v>
      </c>
      <c r="P2188" s="116">
        <v>723.95</v>
      </c>
      <c r="Q2188" s="116">
        <v>740.7</v>
      </c>
      <c r="R2188">
        <v>575335</v>
      </c>
    </row>
    <row r="2189" spans="1:18" x14ac:dyDescent="0.25">
      <c r="A2189" s="170">
        <v>45230</v>
      </c>
      <c r="B2189" s="116">
        <v>100.414693907445</v>
      </c>
      <c r="C2189" s="116">
        <v>99.448558839881102</v>
      </c>
      <c r="D2189" s="116">
        <v>99.147631523754697</v>
      </c>
      <c r="E2189" s="116">
        <v>100.256311109484</v>
      </c>
      <c r="F2189" s="116">
        <v>313.95</v>
      </c>
      <c r="G2189">
        <v>105667</v>
      </c>
      <c r="H2189" s="116"/>
      <c r="I2189" s="116"/>
      <c r="L2189" s="170">
        <v>45229</v>
      </c>
      <c r="M2189" s="116">
        <v>751.7</v>
      </c>
      <c r="N2189" s="116">
        <v>755</v>
      </c>
      <c r="O2189" s="116">
        <v>736.7</v>
      </c>
      <c r="P2189" s="116">
        <v>744.8</v>
      </c>
      <c r="Q2189" s="116">
        <v>751.7</v>
      </c>
      <c r="R2189">
        <v>480397</v>
      </c>
    </row>
    <row r="2190" spans="1:18" x14ac:dyDescent="0.25">
      <c r="A2190" s="170">
        <v>45231</v>
      </c>
      <c r="B2190" s="116">
        <v>101.349152415416</v>
      </c>
      <c r="C2190" s="116">
        <v>100.367179068056</v>
      </c>
      <c r="D2190" s="116">
        <v>98.941733886405004</v>
      </c>
      <c r="E2190" s="116">
        <v>99.781162715599805</v>
      </c>
      <c r="F2190" s="116">
        <v>316.85000000000002</v>
      </c>
      <c r="G2190">
        <v>149876</v>
      </c>
      <c r="H2190" s="116"/>
      <c r="I2190" s="116"/>
      <c r="L2190" s="170">
        <v>45230</v>
      </c>
      <c r="M2190" s="116">
        <v>763.45</v>
      </c>
      <c r="N2190" s="116">
        <v>768.2</v>
      </c>
      <c r="O2190" s="116">
        <v>752.75</v>
      </c>
      <c r="P2190" s="116">
        <v>752.95</v>
      </c>
      <c r="Q2190" s="116">
        <v>763.45</v>
      </c>
      <c r="R2190">
        <v>537057</v>
      </c>
    </row>
    <row r="2191" spans="1:18" x14ac:dyDescent="0.25">
      <c r="A2191" s="170">
        <v>45232</v>
      </c>
      <c r="B2191" s="116">
        <v>103.58234986667</v>
      </c>
      <c r="C2191" s="116">
        <v>101.729271130523</v>
      </c>
      <c r="D2191" s="116">
        <v>101.364990695212</v>
      </c>
      <c r="E2191" s="116">
        <v>102.94881867482501</v>
      </c>
      <c r="F2191" s="116">
        <v>321.14999999999998</v>
      </c>
      <c r="G2191">
        <v>152180</v>
      </c>
      <c r="H2191" s="116"/>
      <c r="I2191" s="116"/>
      <c r="L2191" s="170">
        <v>45231</v>
      </c>
      <c r="M2191" s="116">
        <v>758.7</v>
      </c>
      <c r="N2191" s="116">
        <v>776.4</v>
      </c>
      <c r="O2191" s="116">
        <v>756.85</v>
      </c>
      <c r="P2191" s="116">
        <v>764.2</v>
      </c>
      <c r="Q2191" s="116">
        <v>758.7</v>
      </c>
      <c r="R2191">
        <v>437508</v>
      </c>
    </row>
    <row r="2192" spans="1:18" x14ac:dyDescent="0.25">
      <c r="A2192" s="170">
        <v>45233</v>
      </c>
      <c r="B2192" s="116">
        <v>104.247557618108</v>
      </c>
      <c r="C2192" s="116">
        <v>100.446370467037</v>
      </c>
      <c r="D2192" s="116">
        <v>98.276526134967696</v>
      </c>
      <c r="E2192" s="116">
        <v>102.869627275845</v>
      </c>
      <c r="F2192" s="116">
        <v>317.10000000000002</v>
      </c>
      <c r="G2192">
        <v>138316</v>
      </c>
      <c r="H2192" s="116"/>
      <c r="I2192" s="116"/>
      <c r="L2192" s="170">
        <v>45232</v>
      </c>
      <c r="M2192" s="116">
        <v>768.9</v>
      </c>
      <c r="N2192" s="116">
        <v>772.9</v>
      </c>
      <c r="O2192" s="116">
        <v>762.55</v>
      </c>
      <c r="P2192" s="116">
        <v>762.7</v>
      </c>
      <c r="Q2192" s="116">
        <v>768.9</v>
      </c>
      <c r="R2192">
        <v>360254</v>
      </c>
    </row>
    <row r="2193" spans="1:18" x14ac:dyDescent="0.25">
      <c r="A2193" s="170">
        <v>45236</v>
      </c>
      <c r="B2193" s="116">
        <v>101.93516876787299</v>
      </c>
      <c r="C2193" s="116">
        <v>99.210984642939195</v>
      </c>
      <c r="D2193" s="116">
        <v>97.120331709850404</v>
      </c>
      <c r="E2193" s="116">
        <v>101.364990695212</v>
      </c>
      <c r="F2193" s="116">
        <v>313.2</v>
      </c>
      <c r="G2193">
        <v>207531</v>
      </c>
      <c r="H2193" s="116"/>
      <c r="I2193" s="116"/>
      <c r="L2193" s="170">
        <v>45233</v>
      </c>
      <c r="M2193" s="116">
        <v>772.05</v>
      </c>
      <c r="N2193" s="116">
        <v>780.5</v>
      </c>
      <c r="O2193" s="116">
        <v>769</v>
      </c>
      <c r="P2193" s="116">
        <v>773.5</v>
      </c>
      <c r="Q2193" s="116">
        <v>772.05</v>
      </c>
      <c r="R2193">
        <v>380511</v>
      </c>
    </row>
    <row r="2194" spans="1:18" x14ac:dyDescent="0.25">
      <c r="A2194" s="170">
        <v>45237</v>
      </c>
      <c r="B2194" s="116">
        <v>100.256311109484</v>
      </c>
      <c r="C2194" s="116">
        <v>99.321852601512106</v>
      </c>
      <c r="D2194" s="116">
        <v>97.231199668423301</v>
      </c>
      <c r="E2194" s="116">
        <v>99.210984642939195</v>
      </c>
      <c r="F2194" s="116">
        <v>313.55</v>
      </c>
      <c r="G2194">
        <v>103489</v>
      </c>
      <c r="H2194" s="116"/>
      <c r="I2194" s="116"/>
      <c r="L2194" s="170">
        <v>45236</v>
      </c>
      <c r="M2194" s="116">
        <v>776.6</v>
      </c>
      <c r="N2194" s="116">
        <v>781.1</v>
      </c>
      <c r="O2194" s="116">
        <v>770.95</v>
      </c>
      <c r="P2194" s="116">
        <v>775.25</v>
      </c>
      <c r="Q2194" s="116">
        <v>776.6</v>
      </c>
      <c r="R2194">
        <v>314085</v>
      </c>
    </row>
    <row r="2195" spans="1:18" x14ac:dyDescent="0.25">
      <c r="A2195" s="170">
        <v>45238</v>
      </c>
      <c r="B2195" s="116">
        <v>100.383017347853</v>
      </c>
      <c r="C2195" s="116">
        <v>97.880569140064495</v>
      </c>
      <c r="D2195" s="116">
        <v>97.532126984549706</v>
      </c>
      <c r="E2195" s="116">
        <v>100.097928311522</v>
      </c>
      <c r="F2195" s="116">
        <v>309</v>
      </c>
      <c r="G2195">
        <v>134187</v>
      </c>
      <c r="H2195" s="116"/>
      <c r="I2195" s="116"/>
      <c r="L2195" s="170">
        <v>45237</v>
      </c>
      <c r="M2195" s="116">
        <v>756.5</v>
      </c>
      <c r="N2195" s="116">
        <v>776.5</v>
      </c>
      <c r="O2195" s="116">
        <v>754.55</v>
      </c>
      <c r="P2195" s="116">
        <v>775.1</v>
      </c>
      <c r="Q2195" s="116">
        <v>756.5</v>
      </c>
      <c r="R2195">
        <v>335202</v>
      </c>
    </row>
    <row r="2196" spans="1:18" x14ac:dyDescent="0.25">
      <c r="A2196" s="170">
        <v>45239</v>
      </c>
      <c r="B2196" s="116">
        <v>98.672483129870898</v>
      </c>
      <c r="C2196" s="116">
        <v>96.375932559432499</v>
      </c>
      <c r="D2196" s="116">
        <v>95.663209968606793</v>
      </c>
      <c r="E2196" s="116">
        <v>97.2628762280156</v>
      </c>
      <c r="F2196" s="116">
        <v>304.25</v>
      </c>
      <c r="G2196">
        <v>152183</v>
      </c>
      <c r="H2196" s="116"/>
      <c r="I2196" s="116"/>
      <c r="L2196" s="170">
        <v>45238</v>
      </c>
      <c r="M2196" s="116">
        <v>761.4</v>
      </c>
      <c r="N2196" s="116">
        <v>764.95</v>
      </c>
      <c r="O2196" s="116">
        <v>757</v>
      </c>
      <c r="P2196" s="116">
        <v>757.25</v>
      </c>
      <c r="Q2196" s="116">
        <v>761.4</v>
      </c>
      <c r="R2196">
        <v>172512</v>
      </c>
    </row>
    <row r="2197" spans="1:18" x14ac:dyDescent="0.25">
      <c r="A2197" s="170">
        <v>45240</v>
      </c>
      <c r="B2197" s="116">
        <v>99.432720560085002</v>
      </c>
      <c r="C2197" s="116">
        <v>98.640806570278599</v>
      </c>
      <c r="D2197" s="116">
        <v>96.629345036170506</v>
      </c>
      <c r="E2197" s="116">
        <v>96.629345036170506</v>
      </c>
      <c r="F2197" s="116">
        <v>311.39999999999998</v>
      </c>
      <c r="G2197">
        <v>151134</v>
      </c>
      <c r="H2197" s="116"/>
      <c r="I2197" s="116"/>
      <c r="L2197" s="170">
        <v>45239</v>
      </c>
      <c r="M2197" s="116">
        <v>754.45</v>
      </c>
      <c r="N2197" s="116">
        <v>769.5</v>
      </c>
      <c r="O2197" s="116">
        <v>750.45</v>
      </c>
      <c r="P2197" s="116">
        <v>762.15</v>
      </c>
      <c r="Q2197" s="116">
        <v>754.45</v>
      </c>
      <c r="R2197">
        <v>276416</v>
      </c>
    </row>
    <row r="2198" spans="1:18" x14ac:dyDescent="0.25">
      <c r="A2198" s="170">
        <v>45242</v>
      </c>
      <c r="B2198" s="116">
        <v>104.16836621912699</v>
      </c>
      <c r="C2198" s="116">
        <v>102.39447888196101</v>
      </c>
      <c r="D2198" s="116">
        <v>100.68394466397901</v>
      </c>
      <c r="E2198" s="116">
        <v>101.364990695212</v>
      </c>
      <c r="F2198" s="116">
        <v>323.25</v>
      </c>
      <c r="G2198">
        <v>170490</v>
      </c>
      <c r="H2198" s="116"/>
      <c r="I2198" s="116"/>
      <c r="L2198" s="170">
        <v>45240</v>
      </c>
      <c r="M2198" s="116">
        <v>748.35</v>
      </c>
      <c r="N2198" s="116">
        <v>755.9</v>
      </c>
      <c r="O2198" s="116">
        <v>746.7</v>
      </c>
      <c r="P2198" s="116">
        <v>753.9</v>
      </c>
      <c r="Q2198" s="116">
        <v>748.35</v>
      </c>
      <c r="R2198">
        <v>199819</v>
      </c>
    </row>
    <row r="2199" spans="1:18" x14ac:dyDescent="0.25">
      <c r="A2199" s="170">
        <v>45243</v>
      </c>
      <c r="B2199" s="116">
        <v>106.116474634051</v>
      </c>
      <c r="C2199" s="116">
        <v>105.19785440587501</v>
      </c>
      <c r="D2199" s="116">
        <v>101.364990695212</v>
      </c>
      <c r="E2199" s="116">
        <v>102.91714211523301</v>
      </c>
      <c r="F2199" s="116">
        <v>332.1</v>
      </c>
      <c r="G2199">
        <v>286425</v>
      </c>
      <c r="H2199" s="116"/>
      <c r="I2199" s="116"/>
      <c r="L2199" s="170">
        <v>45242</v>
      </c>
      <c r="M2199" s="116">
        <v>756.5</v>
      </c>
      <c r="N2199" s="116">
        <v>759</v>
      </c>
      <c r="O2199" s="116">
        <v>751.2</v>
      </c>
      <c r="P2199" s="116">
        <v>751.2</v>
      </c>
      <c r="Q2199" s="116">
        <v>756.5</v>
      </c>
      <c r="R2199">
        <v>29968</v>
      </c>
    </row>
    <row r="2200" spans="1:18" x14ac:dyDescent="0.25">
      <c r="A2200" s="170">
        <v>45245</v>
      </c>
      <c r="B2200" s="116">
        <v>109.474189950829</v>
      </c>
      <c r="C2200" s="116">
        <v>108.935688437761</v>
      </c>
      <c r="D2200" s="116">
        <v>105.19785440587501</v>
      </c>
      <c r="E2200" s="116">
        <v>107.700302613663</v>
      </c>
      <c r="F2200" s="116">
        <v>343.9</v>
      </c>
      <c r="G2200">
        <v>412756</v>
      </c>
      <c r="H2200" s="116"/>
      <c r="I2200" s="116"/>
      <c r="L2200" s="170">
        <v>45243</v>
      </c>
      <c r="M2200" s="116">
        <v>748.7</v>
      </c>
      <c r="N2200" s="116">
        <v>756.8</v>
      </c>
      <c r="O2200" s="116">
        <v>746.85</v>
      </c>
      <c r="P2200" s="116">
        <v>756</v>
      </c>
      <c r="Q2200" s="116">
        <v>748.7</v>
      </c>
      <c r="R2200">
        <v>158426</v>
      </c>
    </row>
    <row r="2201" spans="1:18" x14ac:dyDescent="0.25">
      <c r="A2201" s="170">
        <v>45246</v>
      </c>
      <c r="B2201" s="116">
        <v>109.917661785121</v>
      </c>
      <c r="C2201" s="116">
        <v>109.014879836742</v>
      </c>
      <c r="D2201" s="116">
        <v>108.33383380550799</v>
      </c>
      <c r="E2201" s="116">
        <v>109.600896189198</v>
      </c>
      <c r="F2201" s="116">
        <v>344.15</v>
      </c>
      <c r="G2201">
        <v>249142</v>
      </c>
      <c r="H2201" s="116"/>
      <c r="I2201" s="116"/>
      <c r="L2201" s="170">
        <v>45245</v>
      </c>
      <c r="M2201" s="116">
        <v>752.3</v>
      </c>
      <c r="N2201" s="116">
        <v>764.8</v>
      </c>
      <c r="O2201" s="116">
        <v>750.25</v>
      </c>
      <c r="P2201" s="116">
        <v>755.9</v>
      </c>
      <c r="Q2201" s="116">
        <v>752.3</v>
      </c>
      <c r="R2201">
        <v>606512</v>
      </c>
    </row>
    <row r="2202" spans="1:18" x14ac:dyDescent="0.25">
      <c r="A2202" s="170">
        <v>45247</v>
      </c>
      <c r="B2202" s="116">
        <v>110.234427381044</v>
      </c>
      <c r="C2202" s="116">
        <v>108.34967208530399</v>
      </c>
      <c r="D2202" s="116">
        <v>106.148151193643</v>
      </c>
      <c r="E2202" s="116">
        <v>110.234427381044</v>
      </c>
      <c r="F2202" s="116">
        <v>342.05</v>
      </c>
      <c r="G2202">
        <v>224831</v>
      </c>
      <c r="H2202" s="116"/>
      <c r="I2202" s="116"/>
      <c r="L2202" s="170">
        <v>45246</v>
      </c>
      <c r="M2202" s="116">
        <v>749.5</v>
      </c>
      <c r="N2202" s="116">
        <v>757.25</v>
      </c>
      <c r="O2202" s="116">
        <v>747.7</v>
      </c>
      <c r="P2202" s="116">
        <v>752.4</v>
      </c>
      <c r="Q2202" s="116">
        <v>749.5</v>
      </c>
      <c r="R2202">
        <v>176802</v>
      </c>
    </row>
    <row r="2203" spans="1:18" x14ac:dyDescent="0.25">
      <c r="A2203" s="170">
        <v>45250</v>
      </c>
      <c r="B2203" s="116">
        <v>113.71884893619099</v>
      </c>
      <c r="C2203" s="116">
        <v>113.449598179657</v>
      </c>
      <c r="D2203" s="116">
        <v>110.234427381044</v>
      </c>
      <c r="E2203" s="116">
        <v>111.327268686976</v>
      </c>
      <c r="F2203" s="116">
        <v>358.15</v>
      </c>
      <c r="G2203">
        <v>505752</v>
      </c>
      <c r="H2203" s="116"/>
      <c r="I2203" s="116"/>
      <c r="L2203" s="170">
        <v>45247</v>
      </c>
      <c r="M2203" s="116">
        <v>766.5</v>
      </c>
      <c r="N2203" s="116">
        <v>771.95</v>
      </c>
      <c r="O2203" s="116">
        <v>746.1</v>
      </c>
      <c r="P2203" s="116">
        <v>746.1</v>
      </c>
      <c r="Q2203" s="116">
        <v>766.5</v>
      </c>
      <c r="R2203">
        <v>1021033</v>
      </c>
    </row>
    <row r="2204" spans="1:18" x14ac:dyDescent="0.25">
      <c r="A2204" s="170">
        <v>45251</v>
      </c>
      <c r="B2204" s="116">
        <v>117.203270491339</v>
      </c>
      <c r="C2204" s="116">
        <v>112.08750611719</v>
      </c>
      <c r="D2204" s="116">
        <v>107.731979173255</v>
      </c>
      <c r="E2204" s="116">
        <v>116.252973703572</v>
      </c>
      <c r="F2204" s="116">
        <v>353.85</v>
      </c>
      <c r="G2204">
        <v>555315</v>
      </c>
      <c r="H2204" s="116"/>
      <c r="I2204" s="116"/>
      <c r="L2204" s="170">
        <v>45250</v>
      </c>
      <c r="M2204" s="116">
        <v>773.35</v>
      </c>
      <c r="N2204" s="116">
        <v>791.9</v>
      </c>
      <c r="O2204" s="116">
        <v>766.7</v>
      </c>
      <c r="P2204" s="116">
        <v>771.75</v>
      </c>
      <c r="Q2204" s="116">
        <v>773.35</v>
      </c>
      <c r="R2204">
        <v>1110878</v>
      </c>
    </row>
    <row r="2205" spans="1:18" x14ac:dyDescent="0.25">
      <c r="A2205" s="170">
        <v>45252</v>
      </c>
      <c r="B2205" s="116">
        <v>113.71884893619099</v>
      </c>
      <c r="C2205" s="116">
        <v>111.200562448607</v>
      </c>
      <c r="D2205" s="116">
        <v>109.949338344713</v>
      </c>
      <c r="E2205" s="116">
        <v>113.68717237659899</v>
      </c>
      <c r="F2205" s="116">
        <v>351.05</v>
      </c>
      <c r="G2205">
        <v>279996</v>
      </c>
      <c r="H2205" s="116"/>
      <c r="I2205" s="116"/>
      <c r="L2205" s="170">
        <v>45251</v>
      </c>
      <c r="M2205" s="116">
        <v>779.7</v>
      </c>
      <c r="N2205" s="116">
        <v>785</v>
      </c>
      <c r="O2205" s="116">
        <v>770.1</v>
      </c>
      <c r="P2205" s="116">
        <v>774</v>
      </c>
      <c r="Q2205" s="116">
        <v>779.7</v>
      </c>
      <c r="R2205">
        <v>539366</v>
      </c>
    </row>
    <row r="2206" spans="1:18" x14ac:dyDescent="0.25">
      <c r="A2206" s="170">
        <v>45253</v>
      </c>
      <c r="B2206" s="116">
        <v>112.610169350463</v>
      </c>
      <c r="C2206" s="116">
        <v>111.2322390082</v>
      </c>
      <c r="D2206" s="116">
        <v>110.25026566084</v>
      </c>
      <c r="E2206" s="116">
        <v>111.501489764734</v>
      </c>
      <c r="F2206" s="116">
        <v>351.15</v>
      </c>
      <c r="G2206">
        <v>362990</v>
      </c>
      <c r="H2206" s="116"/>
      <c r="I2206" s="116"/>
      <c r="L2206" s="170">
        <v>45252</v>
      </c>
      <c r="M2206" s="116">
        <v>766.4</v>
      </c>
      <c r="N2206" s="116">
        <v>786.15</v>
      </c>
      <c r="O2206" s="116">
        <v>762.5</v>
      </c>
      <c r="P2206" s="116">
        <v>780</v>
      </c>
      <c r="Q2206" s="116">
        <v>766.4</v>
      </c>
      <c r="R2206">
        <v>233945</v>
      </c>
    </row>
    <row r="2207" spans="1:18" x14ac:dyDescent="0.25">
      <c r="A2207" s="170">
        <v>45254</v>
      </c>
      <c r="B2207" s="116">
        <v>122.20816690691601</v>
      </c>
      <c r="C2207" s="116">
        <v>122.20816690691601</v>
      </c>
      <c r="D2207" s="116">
        <v>112.135020956579</v>
      </c>
      <c r="E2207" s="116">
        <v>118.59703911339901</v>
      </c>
      <c r="F2207" s="116">
        <v>128.6</v>
      </c>
      <c r="G2207">
        <v>1586614</v>
      </c>
      <c r="H2207" s="116"/>
      <c r="I2207" s="116"/>
      <c r="L2207" s="170">
        <v>45253</v>
      </c>
      <c r="M2207" s="116">
        <v>764.4</v>
      </c>
      <c r="N2207" s="116">
        <v>773.15</v>
      </c>
      <c r="O2207" s="116">
        <v>761.45</v>
      </c>
      <c r="P2207" s="116">
        <v>764</v>
      </c>
      <c r="Q2207" s="116">
        <v>764.4</v>
      </c>
      <c r="R2207">
        <v>222502</v>
      </c>
    </row>
    <row r="2208" spans="1:18" x14ac:dyDescent="0.25">
      <c r="A2208" s="170">
        <v>45258</v>
      </c>
      <c r="B2208" s="116">
        <v>129.24036313639601</v>
      </c>
      <c r="C2208" s="116">
        <v>122.63580046141099</v>
      </c>
      <c r="D2208" s="116">
        <v>118.97715782850599</v>
      </c>
      <c r="E2208" s="116">
        <v>128.29006634862799</v>
      </c>
      <c r="F2208" s="116">
        <v>129.05000000000001</v>
      </c>
      <c r="G2208">
        <v>1867054</v>
      </c>
      <c r="H2208" s="116"/>
      <c r="I2208" s="116"/>
      <c r="L2208" s="170">
        <v>45254</v>
      </c>
      <c r="M2208" s="116">
        <v>753.65</v>
      </c>
      <c r="N2208" s="116">
        <v>767</v>
      </c>
      <c r="O2208" s="116">
        <v>751</v>
      </c>
      <c r="P2208" s="116">
        <v>765.15</v>
      </c>
      <c r="Q2208" s="116">
        <v>753.65</v>
      </c>
      <c r="R2208">
        <v>197122</v>
      </c>
    </row>
    <row r="2209" spans="1:18" x14ac:dyDescent="0.25">
      <c r="A2209" s="170">
        <v>45259</v>
      </c>
      <c r="B2209" s="116">
        <v>125.39166114593699</v>
      </c>
      <c r="C2209" s="116">
        <v>121.305384958536</v>
      </c>
      <c r="D2209" s="116">
        <v>120.260058491992</v>
      </c>
      <c r="E2209" s="116">
        <v>123.11094885529501</v>
      </c>
      <c r="F2209" s="116">
        <v>127.65</v>
      </c>
      <c r="G2209">
        <v>752670</v>
      </c>
      <c r="H2209" s="116"/>
      <c r="I2209" s="116"/>
      <c r="L2209" s="170">
        <v>45258</v>
      </c>
      <c r="M2209" s="116">
        <v>755.9</v>
      </c>
      <c r="N2209" s="116">
        <v>761</v>
      </c>
      <c r="O2209" s="116">
        <v>753.05</v>
      </c>
      <c r="P2209" s="116">
        <v>753.65</v>
      </c>
      <c r="Q2209" s="116">
        <v>755.9</v>
      </c>
      <c r="R2209">
        <v>206809</v>
      </c>
    </row>
    <row r="2210" spans="1:18" x14ac:dyDescent="0.25">
      <c r="A2210" s="170">
        <v>45260</v>
      </c>
      <c r="B2210" s="116">
        <v>122.58828562202299</v>
      </c>
      <c r="C2210" s="116">
        <v>117.124079092359</v>
      </c>
      <c r="D2210" s="116">
        <v>114.98591131988201</v>
      </c>
      <c r="E2210" s="116">
        <v>122.58828562202299</v>
      </c>
      <c r="F2210" s="116">
        <v>123.25</v>
      </c>
      <c r="G2210">
        <v>897282</v>
      </c>
      <c r="H2210" s="116"/>
      <c r="I2210" s="116"/>
      <c r="L2210" s="170">
        <v>45259</v>
      </c>
      <c r="M2210" s="116">
        <v>769.35</v>
      </c>
      <c r="N2210" s="116">
        <v>775.4</v>
      </c>
      <c r="O2210" s="116">
        <v>754.75</v>
      </c>
      <c r="P2210" s="116">
        <v>758.8</v>
      </c>
      <c r="Q2210" s="116">
        <v>769.35</v>
      </c>
      <c r="R2210">
        <v>400245</v>
      </c>
    </row>
    <row r="2211" spans="1:18" x14ac:dyDescent="0.25">
      <c r="A2211" s="170">
        <v>45261</v>
      </c>
      <c r="B2211" s="116">
        <v>117.83680168318401</v>
      </c>
      <c r="C2211" s="116">
        <v>116.981534574194</v>
      </c>
      <c r="D2211" s="116">
        <v>116.173782304591</v>
      </c>
      <c r="E2211" s="116">
        <v>117.83680168318401</v>
      </c>
      <c r="F2211" s="116">
        <v>123.1</v>
      </c>
      <c r="G2211">
        <v>427409</v>
      </c>
      <c r="H2211" s="116"/>
      <c r="I2211" s="116"/>
      <c r="L2211" s="170">
        <v>45260</v>
      </c>
      <c r="M2211" s="116">
        <v>781.1</v>
      </c>
      <c r="N2211" s="116">
        <v>790</v>
      </c>
      <c r="O2211" s="116">
        <v>768.05</v>
      </c>
      <c r="P2211" s="116">
        <v>770.95</v>
      </c>
      <c r="Q2211" s="116">
        <v>781.1</v>
      </c>
      <c r="R2211">
        <v>1053538</v>
      </c>
    </row>
    <row r="2212" spans="1:18" x14ac:dyDescent="0.25">
      <c r="A2212" s="170">
        <v>45264</v>
      </c>
      <c r="B2212" s="116">
        <v>123.53858240979</v>
      </c>
      <c r="C2212" s="116">
        <v>120.972781082818</v>
      </c>
      <c r="D2212" s="116">
        <v>119.784910098108</v>
      </c>
      <c r="E2212" s="116">
        <v>120.687692046487</v>
      </c>
      <c r="F2212" s="116">
        <v>127.3</v>
      </c>
      <c r="G2212">
        <v>784009</v>
      </c>
      <c r="H2212" s="116"/>
      <c r="I2212" s="116"/>
      <c r="L2212" s="170">
        <v>45261</v>
      </c>
      <c r="M2212" s="116">
        <v>813.55</v>
      </c>
      <c r="N2212" s="116">
        <v>816.7</v>
      </c>
      <c r="O2212" s="116">
        <v>779</v>
      </c>
      <c r="P2212" s="116">
        <v>786</v>
      </c>
      <c r="Q2212" s="116">
        <v>813.55</v>
      </c>
      <c r="R2212">
        <v>1918869</v>
      </c>
    </row>
    <row r="2213" spans="1:18" x14ac:dyDescent="0.25">
      <c r="A2213" s="170">
        <v>45265</v>
      </c>
      <c r="B2213" s="116">
        <v>124.346334679393</v>
      </c>
      <c r="C2213" s="116">
        <v>121.020295922206</v>
      </c>
      <c r="D2213" s="116">
        <v>119.54733590116599</v>
      </c>
      <c r="E2213" s="116">
        <v>123.491067570402</v>
      </c>
      <c r="F2213" s="116">
        <v>127.35</v>
      </c>
      <c r="G2213">
        <v>493217</v>
      </c>
      <c r="H2213" s="116"/>
      <c r="I2213" s="116"/>
      <c r="L2213" s="170">
        <v>45264</v>
      </c>
      <c r="M2213" s="116">
        <v>825.15</v>
      </c>
      <c r="N2213" s="116">
        <v>843</v>
      </c>
      <c r="O2213" s="116">
        <v>814.3</v>
      </c>
      <c r="P2213" s="116">
        <v>821</v>
      </c>
      <c r="Q2213" s="116">
        <v>825.15</v>
      </c>
      <c r="R2213">
        <v>1739451</v>
      </c>
    </row>
    <row r="2214" spans="1:18" x14ac:dyDescent="0.25">
      <c r="A2214" s="170">
        <v>45266</v>
      </c>
      <c r="B2214" s="116">
        <v>120.972781082818</v>
      </c>
      <c r="C2214" s="116">
        <v>120.497632688934</v>
      </c>
      <c r="D2214" s="116">
        <v>114.035614532114</v>
      </c>
      <c r="E2214" s="116">
        <v>120.972781082818</v>
      </c>
      <c r="F2214" s="116">
        <v>126.8</v>
      </c>
      <c r="G2214">
        <v>330269</v>
      </c>
      <c r="H2214" s="116"/>
      <c r="I2214" s="116"/>
      <c r="L2214" s="170">
        <v>45265</v>
      </c>
      <c r="M2214" s="116">
        <v>836.85</v>
      </c>
      <c r="N2214" s="116">
        <v>842.7</v>
      </c>
      <c r="O2214" s="116">
        <v>821.05</v>
      </c>
      <c r="P2214" s="116">
        <v>831</v>
      </c>
      <c r="Q2214" s="116">
        <v>836.85</v>
      </c>
      <c r="R2214">
        <v>939227</v>
      </c>
    </row>
    <row r="2215" spans="1:18" x14ac:dyDescent="0.25">
      <c r="A2215" s="170">
        <v>45267</v>
      </c>
      <c r="B2215" s="116">
        <v>120.35508817076899</v>
      </c>
      <c r="C2215" s="116">
        <v>117.456682968077</v>
      </c>
      <c r="D2215" s="116">
        <v>112.135020956579</v>
      </c>
      <c r="E2215" s="116">
        <v>114.51076292599799</v>
      </c>
      <c r="F2215" s="116">
        <v>123.6</v>
      </c>
      <c r="G2215">
        <v>1184021</v>
      </c>
      <c r="H2215" s="116"/>
      <c r="I2215" s="116"/>
      <c r="L2215" s="170">
        <v>45266</v>
      </c>
      <c r="M2215" s="116">
        <v>788.75</v>
      </c>
      <c r="N2215" s="116">
        <v>839.7</v>
      </c>
      <c r="O2215" s="116">
        <v>785.2</v>
      </c>
      <c r="P2215" s="116">
        <v>839.7</v>
      </c>
      <c r="Q2215" s="116">
        <v>788.75</v>
      </c>
      <c r="R2215">
        <v>4153345</v>
      </c>
    </row>
    <row r="2216" spans="1:18" x14ac:dyDescent="0.25">
      <c r="A2216" s="170">
        <v>45268</v>
      </c>
      <c r="B2216" s="116">
        <v>118.787098470952</v>
      </c>
      <c r="C2216" s="116">
        <v>115.55608939254201</v>
      </c>
      <c r="D2216" s="116">
        <v>114.98591131988201</v>
      </c>
      <c r="E2216" s="116">
        <v>118.69206879217499</v>
      </c>
      <c r="F2216" s="116">
        <v>121.6</v>
      </c>
      <c r="G2216">
        <v>833778</v>
      </c>
      <c r="H2216" s="116"/>
      <c r="I2216" s="116"/>
      <c r="L2216" s="170">
        <v>45267</v>
      </c>
      <c r="M2216" s="116">
        <v>797</v>
      </c>
      <c r="N2216" s="116">
        <v>810.1</v>
      </c>
      <c r="O2216" s="116">
        <v>788.35</v>
      </c>
      <c r="P2216" s="116">
        <v>795</v>
      </c>
      <c r="Q2216" s="116">
        <v>797</v>
      </c>
      <c r="R2216">
        <v>1213552</v>
      </c>
    </row>
    <row r="2217" spans="1:18" x14ac:dyDescent="0.25">
      <c r="A2217" s="170">
        <v>45271</v>
      </c>
      <c r="B2217" s="116">
        <v>115.55608939254201</v>
      </c>
      <c r="C2217" s="116">
        <v>112.99028806557</v>
      </c>
      <c r="D2217" s="116">
        <v>109.284130593276</v>
      </c>
      <c r="E2217" s="116">
        <v>114.035614532114</v>
      </c>
      <c r="F2217" s="116">
        <v>118.9</v>
      </c>
      <c r="G2217">
        <v>1540729</v>
      </c>
      <c r="H2217" s="116"/>
      <c r="I2217" s="116"/>
      <c r="L2217" s="170">
        <v>45268</v>
      </c>
      <c r="M2217" s="116">
        <v>790.45</v>
      </c>
      <c r="N2217" s="116">
        <v>803.95</v>
      </c>
      <c r="O2217" s="116">
        <v>779.5</v>
      </c>
      <c r="P2217" s="116">
        <v>800.8</v>
      </c>
      <c r="Q2217" s="116">
        <v>790.45</v>
      </c>
      <c r="R2217">
        <v>653127</v>
      </c>
    </row>
    <row r="2218" spans="1:18" x14ac:dyDescent="0.25">
      <c r="A2218" s="170">
        <v>45272</v>
      </c>
      <c r="B2218" s="116">
        <v>113.84555517456</v>
      </c>
      <c r="C2218" s="116">
        <v>110.51951641737401</v>
      </c>
      <c r="D2218" s="116">
        <v>110.234427381044</v>
      </c>
      <c r="E2218" s="116">
        <v>112.99028806557</v>
      </c>
      <c r="F2218" s="116">
        <v>116.3</v>
      </c>
      <c r="G2218">
        <v>681110</v>
      </c>
      <c r="H2218" s="116"/>
      <c r="I2218" s="116"/>
      <c r="L2218" s="170">
        <v>45271</v>
      </c>
      <c r="M2218" s="116">
        <v>755.65</v>
      </c>
      <c r="N2218" s="116">
        <v>804</v>
      </c>
      <c r="O2218" s="116">
        <v>752.2</v>
      </c>
      <c r="P2218" s="116">
        <v>792.1</v>
      </c>
      <c r="Q2218" s="116">
        <v>755.65</v>
      </c>
      <c r="R2218">
        <v>3010666</v>
      </c>
    </row>
    <row r="2219" spans="1:18" x14ac:dyDescent="0.25">
      <c r="A2219" s="170">
        <v>45273</v>
      </c>
      <c r="B2219" s="116">
        <v>111.46981320514099</v>
      </c>
      <c r="C2219" s="116">
        <v>109.094071235722</v>
      </c>
      <c r="D2219" s="116">
        <v>108.33383380550799</v>
      </c>
      <c r="E2219" s="116">
        <v>111.37478352636499</v>
      </c>
      <c r="F2219" s="116">
        <v>114.8</v>
      </c>
      <c r="G2219">
        <v>698450</v>
      </c>
      <c r="H2219" s="116"/>
      <c r="I2219" s="116"/>
      <c r="L2219" s="170">
        <v>45272</v>
      </c>
      <c r="M2219" s="116">
        <v>770.6</v>
      </c>
      <c r="N2219" s="116">
        <v>784.05</v>
      </c>
      <c r="O2219" s="116">
        <v>734.2</v>
      </c>
      <c r="P2219" s="116">
        <v>762.8</v>
      </c>
      <c r="Q2219" s="116">
        <v>770.6</v>
      </c>
      <c r="R2219">
        <v>3297558</v>
      </c>
    </row>
    <row r="2220" spans="1:18" x14ac:dyDescent="0.25">
      <c r="A2220" s="170">
        <v>45274</v>
      </c>
      <c r="B2220" s="116">
        <v>116.886504895417</v>
      </c>
      <c r="C2220" s="116">
        <v>114.74833712294</v>
      </c>
      <c r="D2220" s="116">
        <v>109.18910091449899</v>
      </c>
      <c r="E2220" s="116">
        <v>110.234427381044</v>
      </c>
      <c r="F2220" s="116">
        <v>120.75</v>
      </c>
      <c r="G2220">
        <v>983201</v>
      </c>
      <c r="H2220" s="116"/>
      <c r="I2220" s="116"/>
      <c r="L2220" s="170">
        <v>45273</v>
      </c>
      <c r="M2220" s="116">
        <v>775.5</v>
      </c>
      <c r="N2220" s="116">
        <v>789</v>
      </c>
      <c r="O2220" s="116">
        <v>767.3</v>
      </c>
      <c r="P2220" s="116">
        <v>779</v>
      </c>
      <c r="Q2220" s="116">
        <v>775.5</v>
      </c>
      <c r="R2220">
        <v>995077</v>
      </c>
    </row>
    <row r="2221" spans="1:18" x14ac:dyDescent="0.25">
      <c r="A2221" s="170">
        <v>45275</v>
      </c>
      <c r="B2221" s="116">
        <v>117.31413844991199</v>
      </c>
      <c r="C2221" s="116">
        <v>114.273188729056</v>
      </c>
      <c r="D2221" s="116">
        <v>113.085317744346</v>
      </c>
      <c r="E2221" s="116">
        <v>116.41135650153301</v>
      </c>
      <c r="F2221" s="116">
        <v>120.25</v>
      </c>
      <c r="G2221">
        <v>581528</v>
      </c>
      <c r="H2221" s="116"/>
      <c r="I2221" s="116"/>
      <c r="L2221" s="170">
        <v>45274</v>
      </c>
      <c r="M2221" s="116">
        <v>791</v>
      </c>
      <c r="N2221" s="116">
        <v>797.95</v>
      </c>
      <c r="O2221" s="116">
        <v>779.7</v>
      </c>
      <c r="P2221" s="116">
        <v>782</v>
      </c>
      <c r="Q2221" s="116">
        <v>791</v>
      </c>
      <c r="R2221">
        <v>802841</v>
      </c>
    </row>
    <row r="2222" spans="1:18" x14ac:dyDescent="0.25">
      <c r="A2222" s="170">
        <v>45278</v>
      </c>
      <c r="B2222" s="116">
        <v>116.886504895417</v>
      </c>
      <c r="C2222" s="116">
        <v>114.74833712294</v>
      </c>
      <c r="D2222" s="116">
        <v>113.56046613823</v>
      </c>
      <c r="E2222" s="116">
        <v>115.603604231931</v>
      </c>
      <c r="F2222" s="116">
        <v>120.75</v>
      </c>
      <c r="G2222">
        <v>480491</v>
      </c>
      <c r="H2222" s="116"/>
      <c r="I2222" s="116"/>
      <c r="L2222" s="170">
        <v>45275</v>
      </c>
      <c r="M2222" s="116">
        <v>781.8</v>
      </c>
      <c r="N2222" s="116">
        <v>794</v>
      </c>
      <c r="O2222" s="116">
        <v>778.95</v>
      </c>
      <c r="P2222" s="116">
        <v>791.5</v>
      </c>
      <c r="Q2222" s="116">
        <v>781.8</v>
      </c>
      <c r="R2222">
        <v>519916</v>
      </c>
    </row>
    <row r="2223" spans="1:18" x14ac:dyDescent="0.25">
      <c r="A2223" s="170">
        <v>45279</v>
      </c>
      <c r="B2223" s="116">
        <v>115.93620810764899</v>
      </c>
      <c r="C2223" s="116">
        <v>112.895258386793</v>
      </c>
      <c r="D2223" s="116">
        <v>112.135020956579</v>
      </c>
      <c r="E2223" s="116">
        <v>115.698633910707</v>
      </c>
      <c r="F2223" s="116">
        <v>118.8</v>
      </c>
      <c r="G2223">
        <v>394596</v>
      </c>
      <c r="H2223" s="116"/>
      <c r="I2223" s="116"/>
      <c r="L2223" s="170">
        <v>45278</v>
      </c>
      <c r="M2223" s="116">
        <v>783.55</v>
      </c>
      <c r="N2223" s="116">
        <v>791.1</v>
      </c>
      <c r="O2223" s="116">
        <v>779.2</v>
      </c>
      <c r="P2223" s="116">
        <v>784</v>
      </c>
      <c r="Q2223" s="116">
        <v>783.55</v>
      </c>
      <c r="R2223">
        <v>310641</v>
      </c>
    </row>
    <row r="2224" spans="1:18" x14ac:dyDescent="0.25">
      <c r="A2224" s="170">
        <v>45280</v>
      </c>
      <c r="B2224" s="116">
        <v>114.035614532114</v>
      </c>
      <c r="C2224" s="116">
        <v>106.05312151486601</v>
      </c>
      <c r="D2224" s="116">
        <v>104.532646654438</v>
      </c>
      <c r="E2224" s="116">
        <v>113.798040335172</v>
      </c>
      <c r="F2224" s="116">
        <v>111.6</v>
      </c>
      <c r="G2224">
        <v>958644</v>
      </c>
      <c r="H2224" s="116"/>
      <c r="I2224" s="116"/>
      <c r="L2224" s="170">
        <v>45279</v>
      </c>
      <c r="M2224" s="116">
        <v>783.15</v>
      </c>
      <c r="N2224" s="116">
        <v>794.85</v>
      </c>
      <c r="O2224" s="116">
        <v>780.55</v>
      </c>
      <c r="P2224" s="116">
        <v>789</v>
      </c>
      <c r="Q2224" s="116">
        <v>783.15</v>
      </c>
      <c r="R2224">
        <v>365272</v>
      </c>
    </row>
    <row r="2225" spans="1:18" x14ac:dyDescent="0.25">
      <c r="A2225" s="170">
        <v>45281</v>
      </c>
      <c r="B2225" s="116">
        <v>112.99028806557</v>
      </c>
      <c r="C2225" s="116">
        <v>110.662060935539</v>
      </c>
      <c r="D2225" s="116">
        <v>101.01654853969799</v>
      </c>
      <c r="E2225" s="116">
        <v>101.01654853969799</v>
      </c>
      <c r="F2225" s="116">
        <v>116.45</v>
      </c>
      <c r="G2225">
        <v>773884</v>
      </c>
      <c r="H2225" s="116"/>
      <c r="I2225" s="116"/>
      <c r="L2225" s="170">
        <v>45280</v>
      </c>
      <c r="M2225" s="116">
        <v>753.8</v>
      </c>
      <c r="N2225" s="116">
        <v>790.4</v>
      </c>
      <c r="O2225" s="116">
        <v>750</v>
      </c>
      <c r="P2225" s="116">
        <v>788</v>
      </c>
      <c r="Q2225" s="116">
        <v>753.8</v>
      </c>
      <c r="R2225">
        <v>559996</v>
      </c>
    </row>
    <row r="2226" spans="1:18" x14ac:dyDescent="0.25">
      <c r="A2226" s="170">
        <v>45282</v>
      </c>
      <c r="B2226" s="116">
        <v>112.515139671686</v>
      </c>
      <c r="C2226" s="116">
        <v>108.85649703878001</v>
      </c>
      <c r="D2226" s="116">
        <v>107.145962820799</v>
      </c>
      <c r="E2226" s="116">
        <v>111.137209329423</v>
      </c>
      <c r="F2226" s="116">
        <v>114.55</v>
      </c>
      <c r="G2226">
        <v>565365</v>
      </c>
      <c r="H2226" s="116"/>
      <c r="I2226" s="116"/>
      <c r="L2226" s="170">
        <v>45281</v>
      </c>
      <c r="M2226" s="116">
        <v>759.8</v>
      </c>
      <c r="N2226" s="116">
        <v>762.8</v>
      </c>
      <c r="O2226" s="116">
        <v>742</v>
      </c>
      <c r="P2226" s="116">
        <v>753.45</v>
      </c>
      <c r="Q2226" s="116">
        <v>759.8</v>
      </c>
      <c r="R2226">
        <v>403213</v>
      </c>
    </row>
    <row r="2227" spans="1:18" x14ac:dyDescent="0.25">
      <c r="A2227" s="170">
        <v>45286</v>
      </c>
      <c r="B2227" s="116">
        <v>110.281942220432</v>
      </c>
      <c r="C2227" s="116">
        <v>108.904011878169</v>
      </c>
      <c r="D2227" s="116">
        <v>108.33383380550799</v>
      </c>
      <c r="E2227" s="116">
        <v>109.284130593276</v>
      </c>
      <c r="F2227" s="116">
        <v>114.6</v>
      </c>
      <c r="G2227">
        <v>429985</v>
      </c>
      <c r="H2227" s="116"/>
      <c r="I2227" s="116"/>
      <c r="L2227" s="170">
        <v>45282</v>
      </c>
      <c r="M2227" s="116">
        <v>764.55</v>
      </c>
      <c r="N2227" s="116">
        <v>768.1</v>
      </c>
      <c r="O2227" s="116">
        <v>749.1</v>
      </c>
      <c r="P2227" s="116">
        <v>763.8</v>
      </c>
      <c r="Q2227" s="116">
        <v>764.55</v>
      </c>
      <c r="R2227">
        <v>832625</v>
      </c>
    </row>
    <row r="2228" spans="1:18" x14ac:dyDescent="0.25">
      <c r="A2228" s="170">
        <v>45287</v>
      </c>
      <c r="B2228" s="116">
        <v>110.234427381044</v>
      </c>
      <c r="C2228" s="116">
        <v>108.523893163062</v>
      </c>
      <c r="D2228" s="116">
        <v>108.048744769178</v>
      </c>
      <c r="E2228" s="116">
        <v>108.80898219939201</v>
      </c>
      <c r="F2228" s="116">
        <v>114.2</v>
      </c>
      <c r="G2228">
        <v>402288</v>
      </c>
      <c r="H2228" s="116"/>
      <c r="I2228" s="116"/>
      <c r="L2228" s="170">
        <v>45286</v>
      </c>
      <c r="M2228" s="116">
        <v>775</v>
      </c>
      <c r="N2228" s="116">
        <v>783.95</v>
      </c>
      <c r="O2228" s="116">
        <v>769.1</v>
      </c>
      <c r="P2228" s="116">
        <v>774</v>
      </c>
      <c r="Q2228" s="116">
        <v>775</v>
      </c>
      <c r="R2228">
        <v>630697</v>
      </c>
    </row>
    <row r="2229" spans="1:18" x14ac:dyDescent="0.25">
      <c r="A2229" s="170">
        <v>45288</v>
      </c>
      <c r="B2229" s="116">
        <v>109.854308665936</v>
      </c>
      <c r="C2229" s="116">
        <v>106.338210551196</v>
      </c>
      <c r="D2229" s="116">
        <v>104.67519117260299</v>
      </c>
      <c r="E2229" s="116">
        <v>109.75927898716</v>
      </c>
      <c r="F2229" s="116">
        <v>111.9</v>
      </c>
      <c r="G2229">
        <v>697245</v>
      </c>
      <c r="H2229" s="116"/>
      <c r="I2229" s="116"/>
      <c r="L2229" s="170">
        <v>45287</v>
      </c>
      <c r="M2229" s="116">
        <v>778</v>
      </c>
      <c r="N2229" s="116">
        <v>786</v>
      </c>
      <c r="O2229" s="116">
        <v>767.45</v>
      </c>
      <c r="P2229" s="116">
        <v>777.45</v>
      </c>
      <c r="Q2229" s="116">
        <v>778</v>
      </c>
      <c r="R2229">
        <v>448984</v>
      </c>
    </row>
    <row r="2230" spans="1:18" x14ac:dyDescent="0.25">
      <c r="A2230" s="170">
        <v>45289</v>
      </c>
      <c r="B2230" s="116">
        <v>109.284130593276</v>
      </c>
      <c r="C2230" s="116">
        <v>107.09844798141</v>
      </c>
      <c r="D2230" s="116">
        <v>104.105013099942</v>
      </c>
      <c r="E2230" s="116">
        <v>106.290695711808</v>
      </c>
      <c r="F2230" s="116">
        <v>112.7</v>
      </c>
      <c r="G2230">
        <v>536950</v>
      </c>
      <c r="H2230" s="116"/>
      <c r="I2230" s="116"/>
      <c r="L2230" s="170">
        <v>45288</v>
      </c>
      <c r="M2230" s="116">
        <v>776.95</v>
      </c>
      <c r="N2230" s="116">
        <v>790.45</v>
      </c>
      <c r="O2230" s="116">
        <v>774.15</v>
      </c>
      <c r="P2230" s="116">
        <v>780</v>
      </c>
      <c r="Q2230" s="116">
        <v>776.95</v>
      </c>
      <c r="R2230">
        <v>889076</v>
      </c>
    </row>
    <row r="2231" spans="1:18" x14ac:dyDescent="0.25">
      <c r="A2231" s="170">
        <v>45292</v>
      </c>
      <c r="B2231" s="116">
        <v>112.610169350463</v>
      </c>
      <c r="C2231" s="116">
        <v>111.42229836575299</v>
      </c>
      <c r="D2231" s="116">
        <v>107.716140893459</v>
      </c>
      <c r="E2231" s="116">
        <v>109.284130593276</v>
      </c>
      <c r="F2231" s="116">
        <v>117.25</v>
      </c>
      <c r="G2231">
        <v>655177</v>
      </c>
      <c r="H2231" s="116"/>
      <c r="I2231" s="116"/>
      <c r="L2231" s="170">
        <v>45289</v>
      </c>
      <c r="M2231" s="116">
        <v>777.65</v>
      </c>
      <c r="N2231" s="116">
        <v>780.8</v>
      </c>
      <c r="O2231" s="116">
        <v>774.6</v>
      </c>
      <c r="P2231" s="116">
        <v>775.95</v>
      </c>
      <c r="Q2231" s="116">
        <v>777.65</v>
      </c>
      <c r="R2231">
        <v>403254</v>
      </c>
    </row>
    <row r="2232" spans="1:18" x14ac:dyDescent="0.25">
      <c r="A2232" s="170">
        <v>45293</v>
      </c>
      <c r="B2232" s="116">
        <v>113.893070013949</v>
      </c>
      <c r="C2232" s="116">
        <v>110.709575774927</v>
      </c>
      <c r="D2232" s="116">
        <v>109.284130593276</v>
      </c>
      <c r="E2232" s="116">
        <v>113.512951298842</v>
      </c>
      <c r="F2232" s="116">
        <v>116.5</v>
      </c>
      <c r="G2232">
        <v>507949</v>
      </c>
      <c r="H2232" s="116"/>
      <c r="I2232" s="116"/>
      <c r="L2232" s="170">
        <v>45292</v>
      </c>
      <c r="M2232" s="116">
        <v>776.9</v>
      </c>
      <c r="N2232" s="116">
        <v>785.6</v>
      </c>
      <c r="O2232" s="116">
        <v>774.75</v>
      </c>
      <c r="P2232" s="116">
        <v>777.65</v>
      </c>
      <c r="Q2232" s="116">
        <v>776.9</v>
      </c>
      <c r="R2232">
        <v>474059</v>
      </c>
    </row>
    <row r="2233" spans="1:18" x14ac:dyDescent="0.25">
      <c r="A2233" s="170">
        <v>45294</v>
      </c>
      <c r="B2233" s="116">
        <v>111.04217965064601</v>
      </c>
      <c r="C2233" s="116">
        <v>109.474189950829</v>
      </c>
      <c r="D2233" s="116">
        <v>108.33383380550799</v>
      </c>
      <c r="E2233" s="116">
        <v>111.04217965064601</v>
      </c>
      <c r="F2233" s="116">
        <v>115.2</v>
      </c>
      <c r="G2233">
        <v>304628</v>
      </c>
      <c r="H2233" s="116"/>
      <c r="I2233" s="116"/>
      <c r="L2233" s="170">
        <v>45293</v>
      </c>
      <c r="M2233" s="116">
        <v>766.1</v>
      </c>
      <c r="N2233" s="116">
        <v>780.75</v>
      </c>
      <c r="O2233" s="116">
        <v>763.35</v>
      </c>
      <c r="P2233" s="116">
        <v>780.45</v>
      </c>
      <c r="Q2233" s="116">
        <v>766.1</v>
      </c>
      <c r="R2233">
        <v>404115</v>
      </c>
    </row>
    <row r="2234" spans="1:18" x14ac:dyDescent="0.25">
      <c r="A2234" s="170">
        <v>45295</v>
      </c>
      <c r="B2234" s="116">
        <v>110.662060935539</v>
      </c>
      <c r="C2234" s="116">
        <v>109.61673446899501</v>
      </c>
      <c r="D2234" s="116">
        <v>108.381348644897</v>
      </c>
      <c r="E2234" s="116">
        <v>110.234427381044</v>
      </c>
      <c r="F2234" s="116">
        <v>115.35</v>
      </c>
      <c r="G2234">
        <v>386295</v>
      </c>
      <c r="H2234" s="116"/>
      <c r="I2234" s="116"/>
      <c r="L2234" s="170">
        <v>45294</v>
      </c>
      <c r="M2234" s="116">
        <v>765.95</v>
      </c>
      <c r="N2234" s="116">
        <v>773.45</v>
      </c>
      <c r="O2234" s="116">
        <v>760.6</v>
      </c>
      <c r="P2234" s="116">
        <v>765</v>
      </c>
      <c r="Q2234" s="116">
        <v>765.95</v>
      </c>
      <c r="R2234">
        <v>612518</v>
      </c>
    </row>
    <row r="2235" spans="1:18" x14ac:dyDescent="0.25">
      <c r="A2235" s="170">
        <v>45296</v>
      </c>
      <c r="B2235" s="116">
        <v>111.707387402083</v>
      </c>
      <c r="C2235" s="116">
        <v>111.04217965064601</v>
      </c>
      <c r="D2235" s="116">
        <v>110.234427381044</v>
      </c>
      <c r="E2235" s="116">
        <v>110.234427381044</v>
      </c>
      <c r="F2235" s="116">
        <v>116.85</v>
      </c>
      <c r="G2235">
        <v>467359</v>
      </c>
      <c r="H2235" s="116"/>
      <c r="I2235" s="116"/>
      <c r="L2235" s="170">
        <v>45295</v>
      </c>
      <c r="M2235" s="116">
        <v>785.75</v>
      </c>
      <c r="N2235" s="116">
        <v>789.9</v>
      </c>
      <c r="O2235" s="116">
        <v>768</v>
      </c>
      <c r="P2235" s="116">
        <v>768</v>
      </c>
      <c r="Q2235" s="116">
        <v>785.75</v>
      </c>
      <c r="R2235">
        <v>685873</v>
      </c>
    </row>
    <row r="2236" spans="1:18" x14ac:dyDescent="0.25">
      <c r="A2236" s="170">
        <v>45299</v>
      </c>
      <c r="B2236" s="116">
        <v>111.992476438414</v>
      </c>
      <c r="C2236" s="116">
        <v>108.476378323673</v>
      </c>
      <c r="D2236" s="116">
        <v>108.33383380550799</v>
      </c>
      <c r="E2236" s="116">
        <v>111.184724168811</v>
      </c>
      <c r="F2236" s="116">
        <v>114.15</v>
      </c>
      <c r="G2236">
        <v>468910</v>
      </c>
      <c r="H2236" s="116"/>
      <c r="I2236" s="116"/>
      <c r="L2236" s="170">
        <v>45296</v>
      </c>
      <c r="M2236" s="116">
        <v>781.4</v>
      </c>
      <c r="N2236" s="116">
        <v>795.25</v>
      </c>
      <c r="O2236" s="116">
        <v>770.1</v>
      </c>
      <c r="P2236" s="116">
        <v>789.9</v>
      </c>
      <c r="Q2236" s="116">
        <v>781.4</v>
      </c>
      <c r="R2236">
        <v>830394</v>
      </c>
    </row>
    <row r="2237" spans="1:18" x14ac:dyDescent="0.25">
      <c r="A2237" s="170">
        <v>45300</v>
      </c>
      <c r="B2237" s="116">
        <v>110.234427381044</v>
      </c>
      <c r="C2237" s="116">
        <v>107.573596375294</v>
      </c>
      <c r="D2237" s="116">
        <v>106.718329266303</v>
      </c>
      <c r="E2237" s="116">
        <v>109.284130593276</v>
      </c>
      <c r="F2237" s="116">
        <v>113.2</v>
      </c>
      <c r="G2237">
        <v>348285</v>
      </c>
      <c r="H2237" s="116"/>
      <c r="I2237" s="116"/>
      <c r="L2237" s="170">
        <v>45299</v>
      </c>
      <c r="M2237" s="116">
        <v>771.05</v>
      </c>
      <c r="N2237" s="116">
        <v>793.9</v>
      </c>
      <c r="O2237" s="116">
        <v>767.95</v>
      </c>
      <c r="P2237" s="116">
        <v>787.8</v>
      </c>
      <c r="Q2237" s="116">
        <v>771.05</v>
      </c>
      <c r="R2237">
        <v>723933</v>
      </c>
    </row>
    <row r="2238" spans="1:18" x14ac:dyDescent="0.25">
      <c r="A2238" s="170">
        <v>45301</v>
      </c>
      <c r="B2238" s="116">
        <v>109.569219629606</v>
      </c>
      <c r="C2238" s="116">
        <v>108.80898219939201</v>
      </c>
      <c r="D2238" s="116">
        <v>107.003418302634</v>
      </c>
      <c r="E2238" s="116">
        <v>108.23880412673201</v>
      </c>
      <c r="F2238" s="116">
        <v>114.5</v>
      </c>
      <c r="G2238">
        <v>344921</v>
      </c>
      <c r="H2238" s="116"/>
      <c r="I2238" s="116"/>
      <c r="L2238" s="170">
        <v>45300</v>
      </c>
      <c r="M2238" s="116">
        <v>775.05</v>
      </c>
      <c r="N2238" s="116">
        <v>782.55</v>
      </c>
      <c r="O2238" s="116">
        <v>769</v>
      </c>
      <c r="P2238" s="116">
        <v>775.7</v>
      </c>
      <c r="Q2238" s="116">
        <v>775.05</v>
      </c>
      <c r="R2238">
        <v>594552</v>
      </c>
    </row>
    <row r="2239" spans="1:18" x14ac:dyDescent="0.25">
      <c r="A2239" s="170">
        <v>45302</v>
      </c>
      <c r="B2239" s="116">
        <v>109.71176414777101</v>
      </c>
      <c r="C2239" s="116">
        <v>108.28631896612001</v>
      </c>
      <c r="D2239" s="116">
        <v>108.096259608566</v>
      </c>
      <c r="E2239" s="116">
        <v>109.71176414777101</v>
      </c>
      <c r="F2239" s="116">
        <v>113.95</v>
      </c>
      <c r="G2239">
        <v>432753</v>
      </c>
      <c r="H2239" s="116"/>
      <c r="I2239" s="116"/>
      <c r="L2239" s="170">
        <v>45301</v>
      </c>
      <c r="M2239" s="116">
        <v>759.7</v>
      </c>
      <c r="N2239" s="116">
        <v>773.5</v>
      </c>
      <c r="O2239" s="116">
        <v>751.3</v>
      </c>
      <c r="P2239" s="116">
        <v>773.5</v>
      </c>
      <c r="Q2239" s="116">
        <v>759.7</v>
      </c>
      <c r="R2239">
        <v>610061</v>
      </c>
    </row>
    <row r="2240" spans="1:18" x14ac:dyDescent="0.25">
      <c r="A2240" s="170">
        <v>45303</v>
      </c>
      <c r="B2240" s="116">
        <v>113.56046613823</v>
      </c>
      <c r="C2240" s="116">
        <v>113.27537710190001</v>
      </c>
      <c r="D2240" s="116">
        <v>108.33383380550799</v>
      </c>
      <c r="E2240" s="116">
        <v>108.428863484285</v>
      </c>
      <c r="F2240" s="116">
        <v>119.2</v>
      </c>
      <c r="G2240">
        <v>988497</v>
      </c>
      <c r="H2240" s="116"/>
      <c r="I2240" s="116"/>
      <c r="L2240" s="170">
        <v>45302</v>
      </c>
      <c r="M2240" s="116">
        <v>769.75</v>
      </c>
      <c r="N2240" s="116">
        <v>777</v>
      </c>
      <c r="O2240" s="116">
        <v>765</v>
      </c>
      <c r="P2240" s="116">
        <v>765</v>
      </c>
      <c r="Q2240" s="116">
        <v>769.75</v>
      </c>
      <c r="R2240">
        <v>574476</v>
      </c>
    </row>
    <row r="2241" spans="1:18" x14ac:dyDescent="0.25">
      <c r="A2241" s="170">
        <v>45306</v>
      </c>
      <c r="B2241" s="116">
        <v>118.311950077068</v>
      </c>
      <c r="C2241" s="116">
        <v>115.651119071319</v>
      </c>
      <c r="D2241" s="116">
        <v>114.98591131988201</v>
      </c>
      <c r="E2241" s="116">
        <v>116.838990056028</v>
      </c>
      <c r="F2241" s="116">
        <v>121.7</v>
      </c>
      <c r="G2241">
        <v>929608</v>
      </c>
      <c r="H2241" s="116"/>
      <c r="I2241" s="116"/>
      <c r="L2241" s="170">
        <v>45303</v>
      </c>
      <c r="M2241" s="116">
        <v>767.3</v>
      </c>
      <c r="N2241" s="116">
        <v>774</v>
      </c>
      <c r="O2241" s="116">
        <v>761.05</v>
      </c>
      <c r="P2241" s="116">
        <v>772</v>
      </c>
      <c r="Q2241" s="116">
        <v>767.3</v>
      </c>
      <c r="R2241">
        <v>431866</v>
      </c>
    </row>
    <row r="2242" spans="1:18" x14ac:dyDescent="0.25">
      <c r="A2242" s="170">
        <v>45307</v>
      </c>
      <c r="B2242" s="116">
        <v>117.551712646854</v>
      </c>
      <c r="C2242" s="116">
        <v>113.370406780677</v>
      </c>
      <c r="D2242" s="116">
        <v>111.37478352636499</v>
      </c>
      <c r="E2242" s="116">
        <v>116.648930698475</v>
      </c>
      <c r="F2242" s="116">
        <v>119.3</v>
      </c>
      <c r="G2242">
        <v>665928</v>
      </c>
      <c r="H2242" s="116"/>
      <c r="I2242" s="116"/>
      <c r="L2242" s="170">
        <v>45306</v>
      </c>
      <c r="M2242" s="116">
        <v>763.9</v>
      </c>
      <c r="N2242" s="116">
        <v>773</v>
      </c>
      <c r="O2242" s="116">
        <v>753</v>
      </c>
      <c r="P2242" s="116">
        <v>770</v>
      </c>
      <c r="Q2242" s="116">
        <v>763.9</v>
      </c>
      <c r="R2242">
        <v>678182</v>
      </c>
    </row>
    <row r="2243" spans="1:18" x14ac:dyDescent="0.25">
      <c r="A2243" s="170">
        <v>45308</v>
      </c>
      <c r="B2243" s="116">
        <v>113.798040335172</v>
      </c>
      <c r="C2243" s="116">
        <v>111.659872562695</v>
      </c>
      <c r="D2243" s="116">
        <v>107.38353701774101</v>
      </c>
      <c r="E2243" s="116">
        <v>111.659872562695</v>
      </c>
      <c r="F2243" s="116">
        <v>117.5</v>
      </c>
      <c r="G2243">
        <v>469783</v>
      </c>
      <c r="H2243" s="116"/>
      <c r="I2243" s="116"/>
      <c r="L2243" s="170">
        <v>45307</v>
      </c>
      <c r="M2243" s="116">
        <v>756.6</v>
      </c>
      <c r="N2243" s="116">
        <v>769</v>
      </c>
      <c r="O2243" s="116">
        <v>751.2</v>
      </c>
      <c r="P2243" s="116">
        <v>763.9</v>
      </c>
      <c r="Q2243" s="116">
        <v>756.6</v>
      </c>
      <c r="R2243">
        <v>345653</v>
      </c>
    </row>
    <row r="2244" spans="1:18" x14ac:dyDescent="0.25">
      <c r="A2244" s="170">
        <v>45309</v>
      </c>
      <c r="B2244" s="116">
        <v>116.22129714398</v>
      </c>
      <c r="C2244" s="116">
        <v>115.366030034989</v>
      </c>
      <c r="D2244" s="116">
        <v>107.38353701774101</v>
      </c>
      <c r="E2244" s="116">
        <v>113.085317744346</v>
      </c>
      <c r="F2244" s="116">
        <v>121.4</v>
      </c>
      <c r="G2244">
        <v>685908</v>
      </c>
      <c r="H2244" s="116"/>
      <c r="I2244" s="116"/>
      <c r="L2244" s="170">
        <v>45308</v>
      </c>
      <c r="M2244" s="116">
        <v>764.1</v>
      </c>
      <c r="N2244" s="116">
        <v>766.1</v>
      </c>
      <c r="O2244" s="116">
        <v>749</v>
      </c>
      <c r="P2244" s="116">
        <v>752.6</v>
      </c>
      <c r="Q2244" s="116">
        <v>764.1</v>
      </c>
      <c r="R2244">
        <v>634008</v>
      </c>
    </row>
    <row r="2245" spans="1:18" x14ac:dyDescent="0.25">
      <c r="A2245" s="170">
        <v>45310</v>
      </c>
      <c r="B2245" s="116">
        <v>122.493255943246</v>
      </c>
      <c r="C2245" s="116">
        <v>118.216920398292</v>
      </c>
      <c r="D2245" s="116">
        <v>112.135020956579</v>
      </c>
      <c r="E2245" s="116">
        <v>116.886504895417</v>
      </c>
      <c r="F2245" s="116">
        <v>124.4</v>
      </c>
      <c r="G2245">
        <v>2453830</v>
      </c>
      <c r="H2245" s="116"/>
      <c r="I2245" s="116"/>
      <c r="L2245" s="170">
        <v>45309</v>
      </c>
      <c r="M2245" s="116">
        <v>777.9</v>
      </c>
      <c r="N2245" s="116">
        <v>784.4</v>
      </c>
      <c r="O2245" s="116">
        <v>759.65</v>
      </c>
      <c r="P2245" s="116">
        <v>760</v>
      </c>
      <c r="Q2245" s="116">
        <v>777.9</v>
      </c>
      <c r="R2245">
        <v>965088</v>
      </c>
    </row>
    <row r="2246" spans="1:18" x14ac:dyDescent="0.25">
      <c r="A2246" s="170">
        <v>45311</v>
      </c>
      <c r="B2246" s="116">
        <v>122.018107549362</v>
      </c>
      <c r="C2246" s="116">
        <v>116.031237786426</v>
      </c>
      <c r="D2246" s="116">
        <v>114.70082228355101</v>
      </c>
      <c r="E2246" s="116">
        <v>121.067810761594</v>
      </c>
      <c r="F2246" s="116">
        <v>122.1</v>
      </c>
      <c r="G2246">
        <v>1363295</v>
      </c>
      <c r="H2246" s="116"/>
      <c r="I2246" s="116"/>
      <c r="L2246" s="170">
        <v>45310</v>
      </c>
      <c r="M2246" s="116">
        <v>794.15</v>
      </c>
      <c r="N2246" s="116">
        <v>799</v>
      </c>
      <c r="O2246" s="116">
        <v>778.45</v>
      </c>
      <c r="P2246" s="116">
        <v>784.8</v>
      </c>
      <c r="Q2246" s="116">
        <v>794.15</v>
      </c>
      <c r="R2246">
        <v>1015337</v>
      </c>
    </row>
    <row r="2247" spans="1:18" x14ac:dyDescent="0.25">
      <c r="A2247" s="170">
        <v>45314</v>
      </c>
      <c r="B2247" s="116">
        <v>133.04155028746601</v>
      </c>
      <c r="C2247" s="116">
        <v>123.11094885529501</v>
      </c>
      <c r="D2247" s="116">
        <v>120.212543652604</v>
      </c>
      <c r="E2247" s="116">
        <v>121.82804819180799</v>
      </c>
      <c r="F2247" s="116">
        <v>129.55000000000001</v>
      </c>
      <c r="G2247">
        <v>2950715</v>
      </c>
      <c r="H2247" s="116"/>
      <c r="I2247" s="116"/>
      <c r="L2247" s="170">
        <v>45311</v>
      </c>
      <c r="M2247" s="116">
        <v>768.35</v>
      </c>
      <c r="N2247" s="116">
        <v>809.95</v>
      </c>
      <c r="O2247" s="116">
        <v>765</v>
      </c>
      <c r="P2247" s="116">
        <v>797.05</v>
      </c>
      <c r="Q2247" s="116">
        <v>768.35</v>
      </c>
      <c r="R2247">
        <v>2216237</v>
      </c>
    </row>
    <row r="2248" spans="1:18" x14ac:dyDescent="0.25">
      <c r="A2248" s="170">
        <v>45315</v>
      </c>
      <c r="B2248" s="116">
        <v>128.670185063735</v>
      </c>
      <c r="C2248" s="116">
        <v>122.30319658569201</v>
      </c>
      <c r="D2248" s="116">
        <v>118.97715782850599</v>
      </c>
      <c r="E2248" s="116">
        <v>126.389472773093</v>
      </c>
      <c r="F2248" s="116">
        <v>128.69999999999999</v>
      </c>
      <c r="G2248">
        <v>1039997</v>
      </c>
      <c r="H2248" s="116"/>
      <c r="I2248" s="116"/>
      <c r="L2248" s="170">
        <v>45314</v>
      </c>
      <c r="M2248" s="116">
        <v>725.4</v>
      </c>
      <c r="N2248" s="116">
        <v>779.2</v>
      </c>
      <c r="O2248" s="116">
        <v>721.5</v>
      </c>
      <c r="P2248" s="116">
        <v>775</v>
      </c>
      <c r="Q2248" s="116">
        <v>725.4</v>
      </c>
      <c r="R2248">
        <v>2758262</v>
      </c>
    </row>
    <row r="2249" spans="1:18" x14ac:dyDescent="0.25">
      <c r="A2249" s="170">
        <v>45316</v>
      </c>
      <c r="B2249" s="116">
        <v>123.53858240979</v>
      </c>
      <c r="C2249" s="116">
        <v>118.454494595233</v>
      </c>
      <c r="D2249" s="116">
        <v>117.26662361052399</v>
      </c>
      <c r="E2249" s="116">
        <v>123.53858240979</v>
      </c>
      <c r="F2249" s="116">
        <v>124.65</v>
      </c>
      <c r="G2249">
        <v>821588</v>
      </c>
      <c r="H2249" s="116"/>
      <c r="I2249" s="116"/>
      <c r="L2249" s="170">
        <v>45315</v>
      </c>
      <c r="M2249" s="116">
        <v>745.65</v>
      </c>
      <c r="N2249" s="116">
        <v>749.7</v>
      </c>
      <c r="O2249" s="116">
        <v>721.05</v>
      </c>
      <c r="P2249" s="116">
        <v>731.4</v>
      </c>
      <c r="Q2249" s="116">
        <v>745.65</v>
      </c>
      <c r="R2249">
        <v>1339277</v>
      </c>
    </row>
    <row r="2250" spans="1:18" x14ac:dyDescent="0.25">
      <c r="A2250" s="170">
        <v>45320</v>
      </c>
      <c r="B2250" s="116">
        <v>120.592662367711</v>
      </c>
      <c r="C2250" s="116">
        <v>115.413544874377</v>
      </c>
      <c r="D2250" s="116">
        <v>112.135020956579</v>
      </c>
      <c r="E2250" s="116">
        <v>120.592662367711</v>
      </c>
      <c r="F2250" s="116">
        <v>121.45</v>
      </c>
      <c r="G2250">
        <v>819186</v>
      </c>
      <c r="H2250" s="116"/>
      <c r="I2250" s="116"/>
      <c r="L2250" s="170">
        <v>45316</v>
      </c>
      <c r="M2250" s="116">
        <v>770.5</v>
      </c>
      <c r="N2250" s="116">
        <v>773.05</v>
      </c>
      <c r="O2250" s="116">
        <v>747</v>
      </c>
      <c r="P2250" s="116">
        <v>749.7</v>
      </c>
      <c r="Q2250" s="116">
        <v>770.5</v>
      </c>
      <c r="R2250">
        <v>1041879</v>
      </c>
    </row>
    <row r="2251" spans="1:18" x14ac:dyDescent="0.25">
      <c r="A2251" s="170">
        <v>45321</v>
      </c>
      <c r="B2251" s="116">
        <v>116.886504895417</v>
      </c>
      <c r="C2251" s="116">
        <v>115.08094099865799</v>
      </c>
      <c r="D2251" s="116">
        <v>114.13064421089101</v>
      </c>
      <c r="E2251" s="116">
        <v>115.93620810764899</v>
      </c>
      <c r="F2251" s="116">
        <v>121.1</v>
      </c>
      <c r="G2251">
        <v>517057</v>
      </c>
      <c r="H2251" s="116"/>
      <c r="I2251" s="116"/>
      <c r="L2251" s="170">
        <v>45320</v>
      </c>
      <c r="M2251" s="116">
        <v>766</v>
      </c>
      <c r="N2251" s="116">
        <v>778.3</v>
      </c>
      <c r="O2251" s="116">
        <v>762.6</v>
      </c>
      <c r="P2251" s="116">
        <v>778.3</v>
      </c>
      <c r="Q2251" s="116">
        <v>766</v>
      </c>
      <c r="R2251">
        <v>557047</v>
      </c>
    </row>
    <row r="2252" spans="1:18" x14ac:dyDescent="0.25">
      <c r="A2252" s="170">
        <v>45322</v>
      </c>
      <c r="B2252" s="116">
        <v>115.93620810764899</v>
      </c>
      <c r="C2252" s="116">
        <v>115.08094099865799</v>
      </c>
      <c r="D2252" s="116">
        <v>113.085317744346</v>
      </c>
      <c r="E2252" s="116">
        <v>115.88869326826099</v>
      </c>
      <c r="F2252" s="116">
        <v>121.1</v>
      </c>
      <c r="G2252">
        <v>590330</v>
      </c>
      <c r="H2252" s="116"/>
      <c r="I2252" s="116"/>
      <c r="L2252" s="170">
        <v>45321</v>
      </c>
      <c r="M2252" s="116">
        <v>764.35</v>
      </c>
      <c r="N2252" s="116">
        <v>780</v>
      </c>
      <c r="O2252" s="116">
        <v>763</v>
      </c>
      <c r="P2252" s="116">
        <v>767.9</v>
      </c>
      <c r="Q2252" s="116">
        <v>764.35</v>
      </c>
      <c r="R2252">
        <v>536250</v>
      </c>
    </row>
    <row r="2253" spans="1:18" x14ac:dyDescent="0.25">
      <c r="A2253" s="170">
        <v>45323</v>
      </c>
      <c r="B2253" s="116">
        <v>116.696445537863</v>
      </c>
      <c r="C2253" s="116">
        <v>110.376971899209</v>
      </c>
      <c r="D2253" s="116">
        <v>109.284130593276</v>
      </c>
      <c r="E2253" s="116">
        <v>115.175970677435</v>
      </c>
      <c r="F2253" s="116">
        <v>116.15</v>
      </c>
      <c r="G2253">
        <v>1654625</v>
      </c>
      <c r="H2253" s="116"/>
      <c r="I2253" s="116"/>
      <c r="L2253" s="170">
        <v>45322</v>
      </c>
      <c r="M2253" s="116">
        <v>776.4</v>
      </c>
      <c r="N2253" s="116">
        <v>779.45</v>
      </c>
      <c r="O2253" s="116">
        <v>764.35</v>
      </c>
      <c r="P2253" s="116">
        <v>767.05</v>
      </c>
      <c r="Q2253" s="116">
        <v>776.4</v>
      </c>
      <c r="R2253">
        <v>461465</v>
      </c>
    </row>
    <row r="2254" spans="1:18" x14ac:dyDescent="0.25">
      <c r="A2254" s="170">
        <v>45324</v>
      </c>
      <c r="B2254" s="116">
        <v>112.135020956579</v>
      </c>
      <c r="C2254" s="116">
        <v>110.472001577985</v>
      </c>
      <c r="D2254" s="116">
        <v>110.186912541655</v>
      </c>
      <c r="E2254" s="116">
        <v>110.376971899209</v>
      </c>
      <c r="F2254" s="116">
        <v>116.25</v>
      </c>
      <c r="G2254">
        <v>603525</v>
      </c>
      <c r="H2254" s="116"/>
      <c r="I2254" s="116"/>
      <c r="L2254" s="170">
        <v>45323</v>
      </c>
      <c r="M2254" s="116">
        <v>794.95</v>
      </c>
      <c r="N2254" s="116">
        <v>800</v>
      </c>
      <c r="O2254" s="116">
        <v>774</v>
      </c>
      <c r="P2254" s="116">
        <v>781</v>
      </c>
      <c r="Q2254" s="116">
        <v>794.95</v>
      </c>
      <c r="R2254">
        <v>733221</v>
      </c>
    </row>
    <row r="2255" spans="1:18" x14ac:dyDescent="0.25">
      <c r="A2255" s="170">
        <v>45327</v>
      </c>
      <c r="B2255" s="116">
        <v>111.992476438414</v>
      </c>
      <c r="C2255" s="116">
        <v>108.523893163062</v>
      </c>
      <c r="D2255" s="116">
        <v>107.38353701774101</v>
      </c>
      <c r="E2255" s="116">
        <v>110.234427381044</v>
      </c>
      <c r="F2255" s="116">
        <v>114.2</v>
      </c>
      <c r="G2255">
        <v>758474</v>
      </c>
      <c r="H2255" s="116"/>
      <c r="I2255" s="116"/>
      <c r="L2255" s="170">
        <v>45324</v>
      </c>
      <c r="M2255" s="116">
        <v>828.85</v>
      </c>
      <c r="N2255" s="116">
        <v>838</v>
      </c>
      <c r="O2255" s="116">
        <v>799.9</v>
      </c>
      <c r="P2255" s="116">
        <v>806.7</v>
      </c>
      <c r="Q2255" s="116">
        <v>828.85</v>
      </c>
      <c r="R2255">
        <v>3651061</v>
      </c>
    </row>
    <row r="2256" spans="1:18" x14ac:dyDescent="0.25">
      <c r="A2256" s="170">
        <v>45328</v>
      </c>
      <c r="B2256" s="116">
        <v>112.80022870801599</v>
      </c>
      <c r="C2256" s="116">
        <v>111.46981320514099</v>
      </c>
      <c r="D2256" s="116">
        <v>106.43324022997299</v>
      </c>
      <c r="E2256" s="116">
        <v>106.43324022997299</v>
      </c>
      <c r="F2256" s="116">
        <v>117.3</v>
      </c>
      <c r="G2256">
        <v>681777</v>
      </c>
      <c r="H2256" s="116"/>
      <c r="I2256" s="116"/>
      <c r="L2256" s="170">
        <v>45327</v>
      </c>
      <c r="M2256" s="116">
        <v>801.75</v>
      </c>
      <c r="N2256" s="116">
        <v>836.85</v>
      </c>
      <c r="O2256" s="116">
        <v>797</v>
      </c>
      <c r="P2256" s="116">
        <v>836.85</v>
      </c>
      <c r="Q2256" s="116">
        <v>801.75</v>
      </c>
      <c r="R2256">
        <v>1318696</v>
      </c>
    </row>
    <row r="2257" spans="1:18" x14ac:dyDescent="0.25">
      <c r="A2257" s="170">
        <v>45329</v>
      </c>
      <c r="B2257" s="116">
        <v>113.893070013949</v>
      </c>
      <c r="C2257" s="116">
        <v>109.331645432664</v>
      </c>
      <c r="D2257" s="116">
        <v>108.85649703878001</v>
      </c>
      <c r="E2257" s="116">
        <v>112.562654511074</v>
      </c>
      <c r="F2257" s="116">
        <v>115.05</v>
      </c>
      <c r="G2257">
        <v>492795</v>
      </c>
      <c r="H2257" s="116"/>
      <c r="I2257" s="116"/>
      <c r="L2257" s="170">
        <v>45328</v>
      </c>
      <c r="M2257" s="116">
        <v>818.1</v>
      </c>
      <c r="N2257" s="116">
        <v>819.8</v>
      </c>
      <c r="O2257" s="116">
        <v>802</v>
      </c>
      <c r="P2257" s="116">
        <v>808.7</v>
      </c>
      <c r="Q2257" s="116">
        <v>818.1</v>
      </c>
      <c r="R2257">
        <v>757804</v>
      </c>
    </row>
    <row r="2258" spans="1:18" x14ac:dyDescent="0.25">
      <c r="A2258" s="170">
        <v>45330</v>
      </c>
      <c r="B2258" s="116">
        <v>110.186912541655</v>
      </c>
      <c r="C2258" s="116">
        <v>109.236615753888</v>
      </c>
      <c r="D2258" s="116">
        <v>107.38353701774101</v>
      </c>
      <c r="E2258" s="116">
        <v>110.186912541655</v>
      </c>
      <c r="F2258" s="116">
        <v>114.95</v>
      </c>
      <c r="G2258">
        <v>534193</v>
      </c>
      <c r="H2258" s="116"/>
      <c r="I2258" s="116"/>
      <c r="L2258" s="170">
        <v>45329</v>
      </c>
      <c r="M2258" s="116">
        <v>850.95</v>
      </c>
      <c r="N2258" s="116">
        <v>859.9</v>
      </c>
      <c r="O2258" s="116">
        <v>819.05</v>
      </c>
      <c r="P2258" s="116">
        <v>821</v>
      </c>
      <c r="Q2258" s="116">
        <v>850.95</v>
      </c>
      <c r="R2258">
        <v>3220370</v>
      </c>
    </row>
    <row r="2259" spans="1:18" x14ac:dyDescent="0.25">
      <c r="A2259" s="170">
        <v>45331</v>
      </c>
      <c r="B2259" s="116">
        <v>109.284130593276</v>
      </c>
      <c r="C2259" s="116">
        <v>107.716140893459</v>
      </c>
      <c r="D2259" s="116">
        <v>105.15033956648701</v>
      </c>
      <c r="E2259" s="116">
        <v>109.284130593276</v>
      </c>
      <c r="F2259" s="116">
        <v>113.35</v>
      </c>
      <c r="G2259">
        <v>582159</v>
      </c>
      <c r="H2259" s="116"/>
      <c r="I2259" s="116"/>
      <c r="L2259" s="170">
        <v>45330</v>
      </c>
      <c r="M2259" s="116">
        <v>813.3</v>
      </c>
      <c r="N2259" s="116">
        <v>857.8</v>
      </c>
      <c r="O2259" s="116">
        <v>809.7</v>
      </c>
      <c r="P2259" s="116">
        <v>857.8</v>
      </c>
      <c r="Q2259" s="116">
        <v>813.3</v>
      </c>
      <c r="R2259">
        <v>1158979</v>
      </c>
    </row>
    <row r="2260" spans="1:18" x14ac:dyDescent="0.25">
      <c r="A2260" s="170">
        <v>45334</v>
      </c>
      <c r="B2260" s="116">
        <v>110.234427381044</v>
      </c>
      <c r="C2260" s="116">
        <v>104.009983421166</v>
      </c>
      <c r="D2260" s="116">
        <v>103.392290509117</v>
      </c>
      <c r="E2260" s="116">
        <v>108.28631896612001</v>
      </c>
      <c r="F2260" s="116">
        <v>109.45</v>
      </c>
      <c r="G2260">
        <v>639936</v>
      </c>
      <c r="H2260" s="116"/>
      <c r="I2260" s="116"/>
      <c r="L2260" s="170">
        <v>45331</v>
      </c>
      <c r="M2260" s="116">
        <v>809.15</v>
      </c>
      <c r="N2260" s="116">
        <v>819.9</v>
      </c>
      <c r="O2260" s="116">
        <v>787.35</v>
      </c>
      <c r="P2260" s="116">
        <v>819.9</v>
      </c>
      <c r="Q2260" s="116">
        <v>809.15</v>
      </c>
      <c r="R2260">
        <v>682750</v>
      </c>
    </row>
    <row r="2261" spans="1:18" x14ac:dyDescent="0.25">
      <c r="A2261" s="170">
        <v>45335</v>
      </c>
      <c r="B2261" s="116">
        <v>103.58234986667</v>
      </c>
      <c r="C2261" s="116">
        <v>102.584538239514</v>
      </c>
      <c r="D2261" s="116">
        <v>95.504827170645498</v>
      </c>
      <c r="E2261" s="116">
        <v>103.58234986667</v>
      </c>
      <c r="F2261" s="116">
        <v>107.95</v>
      </c>
      <c r="G2261">
        <v>722638</v>
      </c>
      <c r="H2261" s="116"/>
      <c r="I2261" s="116"/>
      <c r="L2261" s="170">
        <v>45334</v>
      </c>
      <c r="M2261" s="116">
        <v>784.15</v>
      </c>
      <c r="N2261" s="116">
        <v>816.75</v>
      </c>
      <c r="O2261" s="116">
        <v>777.6</v>
      </c>
      <c r="P2261" s="116">
        <v>809.15</v>
      </c>
      <c r="Q2261" s="116">
        <v>784.15</v>
      </c>
      <c r="R2261">
        <v>495821</v>
      </c>
    </row>
    <row r="2262" spans="1:18" x14ac:dyDescent="0.25">
      <c r="A2262" s="170">
        <v>45336</v>
      </c>
      <c r="B2262" s="116">
        <v>109.284130593276</v>
      </c>
      <c r="C2262" s="116">
        <v>108.999041556946</v>
      </c>
      <c r="D2262" s="116">
        <v>98.878380767220506</v>
      </c>
      <c r="E2262" s="116">
        <v>101.206607897251</v>
      </c>
      <c r="F2262" s="116">
        <v>114.7</v>
      </c>
      <c r="G2262">
        <v>657428</v>
      </c>
      <c r="H2262" s="116"/>
      <c r="I2262" s="116"/>
      <c r="L2262" s="170">
        <v>45335</v>
      </c>
      <c r="M2262" s="116">
        <v>797.55</v>
      </c>
      <c r="N2262" s="116">
        <v>799.9</v>
      </c>
      <c r="O2262" s="116">
        <v>774.4</v>
      </c>
      <c r="P2262" s="116">
        <v>781.5</v>
      </c>
      <c r="Q2262" s="116">
        <v>797.55</v>
      </c>
      <c r="R2262">
        <v>349282</v>
      </c>
    </row>
    <row r="2263" spans="1:18" x14ac:dyDescent="0.25">
      <c r="A2263" s="170">
        <v>45337</v>
      </c>
      <c r="B2263" s="116">
        <v>110.32945705982</v>
      </c>
      <c r="C2263" s="116">
        <v>107.240992499576</v>
      </c>
      <c r="D2263" s="116">
        <v>106.05312151486601</v>
      </c>
      <c r="E2263" s="116">
        <v>110.32945705982</v>
      </c>
      <c r="F2263" s="116">
        <v>112.85</v>
      </c>
      <c r="G2263">
        <v>406921</v>
      </c>
      <c r="H2263" s="116"/>
      <c r="I2263" s="116"/>
      <c r="L2263" s="170">
        <v>45336</v>
      </c>
      <c r="M2263" s="116">
        <v>804.1</v>
      </c>
      <c r="N2263" s="116">
        <v>806.85</v>
      </c>
      <c r="O2263" s="116">
        <v>776.45</v>
      </c>
      <c r="P2263" s="116">
        <v>781</v>
      </c>
      <c r="Q2263" s="116">
        <v>804.1</v>
      </c>
      <c r="R2263">
        <v>300045</v>
      </c>
    </row>
    <row r="2264" spans="1:18" x14ac:dyDescent="0.25">
      <c r="A2264" s="170">
        <v>45338</v>
      </c>
      <c r="B2264" s="116">
        <v>109.569219629606</v>
      </c>
      <c r="C2264" s="116">
        <v>106.43324022997299</v>
      </c>
      <c r="D2264" s="116">
        <v>106.00560667547801</v>
      </c>
      <c r="E2264" s="116">
        <v>108.33383380550799</v>
      </c>
      <c r="F2264" s="116">
        <v>112</v>
      </c>
      <c r="G2264">
        <v>311693</v>
      </c>
      <c r="H2264" s="116"/>
      <c r="I2264" s="116"/>
      <c r="L2264" s="170">
        <v>45337</v>
      </c>
      <c r="M2264" s="116">
        <v>816.85</v>
      </c>
      <c r="N2264" s="116">
        <v>821.4</v>
      </c>
      <c r="O2264" s="116">
        <v>806</v>
      </c>
      <c r="P2264" s="116">
        <v>817.2</v>
      </c>
      <c r="Q2264" s="116">
        <v>816.85</v>
      </c>
      <c r="R2264">
        <v>465670</v>
      </c>
    </row>
    <row r="2265" spans="1:18" x14ac:dyDescent="0.25">
      <c r="A2265" s="170">
        <v>45341</v>
      </c>
      <c r="B2265" s="116">
        <v>108.713952520615</v>
      </c>
      <c r="C2265" s="116">
        <v>107.858685411625</v>
      </c>
      <c r="D2265" s="116">
        <v>106.148151193643</v>
      </c>
      <c r="E2265" s="116">
        <v>108.143774447955</v>
      </c>
      <c r="F2265" s="116">
        <v>113.5</v>
      </c>
      <c r="G2265">
        <v>358298</v>
      </c>
      <c r="H2265" s="116"/>
      <c r="I2265" s="116"/>
      <c r="L2265" s="170">
        <v>45338</v>
      </c>
      <c r="M2265" s="116">
        <v>807.25</v>
      </c>
      <c r="N2265" s="116">
        <v>825</v>
      </c>
      <c r="O2265" s="116">
        <v>804</v>
      </c>
      <c r="P2265" s="116">
        <v>820.25</v>
      </c>
      <c r="Q2265" s="116">
        <v>807.25</v>
      </c>
      <c r="R2265">
        <v>580292</v>
      </c>
    </row>
    <row r="2266" spans="1:18" x14ac:dyDescent="0.25">
      <c r="A2266" s="170">
        <v>45342</v>
      </c>
      <c r="B2266" s="116">
        <v>108.33383380550799</v>
      </c>
      <c r="C2266" s="116">
        <v>107.145962820799</v>
      </c>
      <c r="D2266" s="116">
        <v>106.43324022997299</v>
      </c>
      <c r="E2266" s="116">
        <v>108.33383380550799</v>
      </c>
      <c r="F2266" s="116">
        <v>112.75</v>
      </c>
      <c r="G2266">
        <v>269017</v>
      </c>
      <c r="H2266" s="116"/>
      <c r="I2266" s="116"/>
      <c r="L2266" s="170">
        <v>45341</v>
      </c>
      <c r="M2266" s="116">
        <v>801.45</v>
      </c>
      <c r="N2266" s="116">
        <v>814.6</v>
      </c>
      <c r="O2266" s="116">
        <v>799.8</v>
      </c>
      <c r="P2266" s="116">
        <v>807.9</v>
      </c>
      <c r="Q2266" s="116">
        <v>801.45</v>
      </c>
      <c r="R2266">
        <v>208480</v>
      </c>
    </row>
    <row r="2267" spans="1:18" x14ac:dyDescent="0.25">
      <c r="A2267" s="170">
        <v>45343</v>
      </c>
      <c r="B2267" s="116">
        <v>107.858685411625</v>
      </c>
      <c r="C2267" s="116">
        <v>104.295072457496</v>
      </c>
      <c r="D2267" s="116">
        <v>102.632053078903</v>
      </c>
      <c r="E2267" s="116">
        <v>107.145962820799</v>
      </c>
      <c r="F2267" s="116">
        <v>109.75</v>
      </c>
      <c r="G2267">
        <v>474293</v>
      </c>
      <c r="H2267" s="116"/>
      <c r="I2267" s="116"/>
      <c r="L2267" s="170">
        <v>45342</v>
      </c>
      <c r="M2267" s="116">
        <v>797.95</v>
      </c>
      <c r="N2267" s="116">
        <v>806.2</v>
      </c>
      <c r="O2267" s="116">
        <v>790.65</v>
      </c>
      <c r="P2267" s="116">
        <v>804</v>
      </c>
      <c r="Q2267" s="116">
        <v>797.95</v>
      </c>
      <c r="R2267">
        <v>333698</v>
      </c>
    </row>
    <row r="2268" spans="1:18" x14ac:dyDescent="0.25">
      <c r="A2268" s="170">
        <v>45344</v>
      </c>
      <c r="B2268" s="116">
        <v>109.18910091449899</v>
      </c>
      <c r="C2268" s="116">
        <v>107.81117057223599</v>
      </c>
      <c r="D2268" s="116">
        <v>104.67519117260299</v>
      </c>
      <c r="E2268" s="116">
        <v>106.90838862385699</v>
      </c>
      <c r="F2268" s="116">
        <v>113.45</v>
      </c>
      <c r="G2268">
        <v>430057</v>
      </c>
      <c r="H2268" s="116"/>
      <c r="I2268" s="116"/>
      <c r="L2268" s="170">
        <v>45343</v>
      </c>
      <c r="M2268" s="116">
        <v>786.1</v>
      </c>
      <c r="N2268" s="116">
        <v>811.4</v>
      </c>
      <c r="O2268" s="116">
        <v>782.4</v>
      </c>
      <c r="P2268" s="116">
        <v>797.95</v>
      </c>
      <c r="Q2268" s="116">
        <v>786.1</v>
      </c>
      <c r="R2268">
        <v>445219</v>
      </c>
    </row>
    <row r="2269" spans="1:18" x14ac:dyDescent="0.25">
      <c r="A2269" s="170">
        <v>45345</v>
      </c>
      <c r="B2269" s="116">
        <v>109.18910091449899</v>
      </c>
      <c r="C2269" s="116">
        <v>107.621111214683</v>
      </c>
      <c r="D2269" s="116">
        <v>106.480755069361</v>
      </c>
      <c r="E2269" s="116">
        <v>109.046556396334</v>
      </c>
      <c r="F2269" s="116">
        <v>113.25</v>
      </c>
      <c r="G2269">
        <v>329058</v>
      </c>
      <c r="H2269" s="116"/>
      <c r="I2269" s="116"/>
      <c r="L2269" s="170">
        <v>45344</v>
      </c>
      <c r="M2269" s="116">
        <v>794.85</v>
      </c>
      <c r="N2269" s="116">
        <v>797</v>
      </c>
      <c r="O2269" s="116">
        <v>781.5</v>
      </c>
      <c r="P2269" s="116">
        <v>790</v>
      </c>
      <c r="Q2269" s="116">
        <v>794.85</v>
      </c>
      <c r="R2269">
        <v>258141</v>
      </c>
    </row>
    <row r="2270" spans="1:18" x14ac:dyDescent="0.25">
      <c r="A2270" s="170">
        <v>45348</v>
      </c>
      <c r="B2270" s="116">
        <v>113.465436459453</v>
      </c>
      <c r="C2270" s="116">
        <v>108.904011878169</v>
      </c>
      <c r="D2270" s="116">
        <v>106.43324022997299</v>
      </c>
      <c r="E2270" s="116">
        <v>108.523893163062</v>
      </c>
      <c r="F2270" s="116">
        <v>114.6</v>
      </c>
      <c r="G2270">
        <v>788400</v>
      </c>
      <c r="H2270" s="116"/>
      <c r="I2270" s="116"/>
      <c r="L2270" s="170">
        <v>45345</v>
      </c>
      <c r="M2270" s="116">
        <v>799.65</v>
      </c>
      <c r="N2270" s="116">
        <v>811.85</v>
      </c>
      <c r="O2270" s="116">
        <v>797</v>
      </c>
      <c r="P2270" s="116">
        <v>800</v>
      </c>
      <c r="Q2270" s="116">
        <v>799.65</v>
      </c>
      <c r="R2270">
        <v>445438</v>
      </c>
    </row>
    <row r="2271" spans="1:18" x14ac:dyDescent="0.25">
      <c r="A2271" s="170">
        <v>45349</v>
      </c>
      <c r="B2271" s="116">
        <v>113.940584853337</v>
      </c>
      <c r="C2271" s="116">
        <v>109.75927898716</v>
      </c>
      <c r="D2271" s="116">
        <v>105.482943442205</v>
      </c>
      <c r="E2271" s="116">
        <v>108.33383380550799</v>
      </c>
      <c r="F2271" s="116">
        <v>115.5</v>
      </c>
      <c r="G2271">
        <v>425812</v>
      </c>
      <c r="H2271" s="116"/>
      <c r="I2271" s="116"/>
      <c r="L2271" s="170">
        <v>45348</v>
      </c>
      <c r="M2271" s="116">
        <v>799.3</v>
      </c>
      <c r="N2271" s="116">
        <v>809</v>
      </c>
      <c r="O2271" s="116">
        <v>795.5</v>
      </c>
      <c r="P2271" s="116">
        <v>804</v>
      </c>
      <c r="Q2271" s="116">
        <v>799.3</v>
      </c>
      <c r="R2271">
        <v>310941</v>
      </c>
    </row>
    <row r="2272" spans="1:18" x14ac:dyDescent="0.25">
      <c r="A2272" s="170">
        <v>45350</v>
      </c>
      <c r="B2272" s="116">
        <v>111.184724168811</v>
      </c>
      <c r="C2272" s="116">
        <v>106.57578474813801</v>
      </c>
      <c r="D2272" s="116">
        <v>106.00560667547801</v>
      </c>
      <c r="E2272" s="116">
        <v>110.424486738597</v>
      </c>
      <c r="F2272" s="116">
        <v>112.15</v>
      </c>
      <c r="G2272">
        <v>350889</v>
      </c>
      <c r="H2272" s="116"/>
      <c r="I2272" s="116"/>
      <c r="L2272" s="170">
        <v>45349</v>
      </c>
      <c r="M2272" s="116">
        <v>791.55</v>
      </c>
      <c r="N2272" s="116">
        <v>803.4</v>
      </c>
      <c r="O2272" s="116">
        <v>785.25</v>
      </c>
      <c r="P2272" s="116">
        <v>799.3</v>
      </c>
      <c r="Q2272" s="116">
        <v>791.55</v>
      </c>
      <c r="R2272">
        <v>297797</v>
      </c>
    </row>
    <row r="2273" spans="1:18" x14ac:dyDescent="0.25">
      <c r="A2273" s="170">
        <v>45351</v>
      </c>
      <c r="B2273" s="116">
        <v>108.048744769178</v>
      </c>
      <c r="C2273" s="116">
        <v>106.765844105692</v>
      </c>
      <c r="D2273" s="116">
        <v>105.625487960371</v>
      </c>
      <c r="E2273" s="116">
        <v>106.623299587527</v>
      </c>
      <c r="F2273" s="116">
        <v>112.35</v>
      </c>
      <c r="G2273">
        <v>203678</v>
      </c>
      <c r="H2273" s="116"/>
      <c r="I2273" s="116"/>
      <c r="L2273" s="170">
        <v>45350</v>
      </c>
      <c r="M2273" s="116">
        <v>767.7</v>
      </c>
      <c r="N2273" s="116">
        <v>795.35</v>
      </c>
      <c r="O2273" s="116">
        <v>761.9</v>
      </c>
      <c r="P2273" s="116">
        <v>791.6</v>
      </c>
      <c r="Q2273" s="116">
        <v>767.7</v>
      </c>
      <c r="R2273">
        <v>309315</v>
      </c>
    </row>
    <row r="2274" spans="1:18" x14ac:dyDescent="0.25">
      <c r="A2274" s="170">
        <v>45352</v>
      </c>
      <c r="B2274" s="116">
        <v>111.612357723307</v>
      </c>
      <c r="C2274" s="116">
        <v>107.336022178352</v>
      </c>
      <c r="D2274" s="116">
        <v>107.003418302634</v>
      </c>
      <c r="E2274" s="116">
        <v>107.38353701774101</v>
      </c>
      <c r="F2274" s="116">
        <v>112.95</v>
      </c>
      <c r="G2274">
        <v>223250</v>
      </c>
      <c r="H2274" s="116"/>
      <c r="I2274" s="116"/>
      <c r="L2274" s="170">
        <v>45351</v>
      </c>
      <c r="M2274" s="116">
        <v>774.45</v>
      </c>
      <c r="N2274" s="116">
        <v>777.8</v>
      </c>
      <c r="O2274" s="116">
        <v>762.65</v>
      </c>
      <c r="P2274" s="116">
        <v>768.55</v>
      </c>
      <c r="Q2274" s="116">
        <v>774.45</v>
      </c>
      <c r="R2274">
        <v>397438</v>
      </c>
    </row>
    <row r="2275" spans="1:18" x14ac:dyDescent="0.25">
      <c r="A2275" s="170">
        <v>45353</v>
      </c>
      <c r="B2275" s="116">
        <v>109.75927898716</v>
      </c>
      <c r="C2275" s="116">
        <v>107.43105185712901</v>
      </c>
      <c r="D2275" s="116">
        <v>104.62767633321501</v>
      </c>
      <c r="E2275" s="116">
        <v>108.761467360004</v>
      </c>
      <c r="F2275" s="116">
        <v>113.05</v>
      </c>
      <c r="G2275">
        <v>74716</v>
      </c>
      <c r="H2275" s="116"/>
      <c r="I2275" s="116"/>
      <c r="L2275" s="170">
        <v>45352</v>
      </c>
      <c r="M2275" s="116">
        <v>792.55</v>
      </c>
      <c r="N2275" s="116">
        <v>797.75</v>
      </c>
      <c r="O2275" s="116">
        <v>774.45</v>
      </c>
      <c r="P2275" s="116">
        <v>785.35</v>
      </c>
      <c r="Q2275" s="116">
        <v>792.55</v>
      </c>
      <c r="R2275">
        <v>346647</v>
      </c>
    </row>
    <row r="2276" spans="1:18" x14ac:dyDescent="0.25">
      <c r="A2276" s="170">
        <v>45355</v>
      </c>
      <c r="B2276" s="116">
        <v>111.184724168811</v>
      </c>
      <c r="C2276" s="116">
        <v>108.523893163062</v>
      </c>
      <c r="D2276" s="116">
        <v>107.38353701774101</v>
      </c>
      <c r="E2276" s="116">
        <v>111.184724168811</v>
      </c>
      <c r="F2276" s="116">
        <v>114.2</v>
      </c>
      <c r="G2276">
        <v>451283</v>
      </c>
      <c r="H2276" s="116"/>
      <c r="I2276" s="116"/>
      <c r="L2276" s="170">
        <v>45353</v>
      </c>
      <c r="M2276" s="116">
        <v>790.45</v>
      </c>
      <c r="N2276" s="116">
        <v>800</v>
      </c>
      <c r="O2276" s="116">
        <v>783</v>
      </c>
      <c r="P2276" s="116">
        <v>792</v>
      </c>
      <c r="Q2276" s="116">
        <v>790.45</v>
      </c>
      <c r="R2276">
        <v>20674</v>
      </c>
    </row>
    <row r="2277" spans="1:18" x14ac:dyDescent="0.25">
      <c r="A2277" s="170">
        <v>45356</v>
      </c>
      <c r="B2277" s="116">
        <v>109.14158607511099</v>
      </c>
      <c r="C2277" s="116">
        <v>107.193477660187</v>
      </c>
      <c r="D2277" s="116">
        <v>106.52826990875</v>
      </c>
      <c r="E2277" s="116">
        <v>108.523893163062</v>
      </c>
      <c r="F2277" s="116">
        <v>112.8</v>
      </c>
      <c r="G2277">
        <v>209498</v>
      </c>
      <c r="H2277" s="116"/>
      <c r="I2277" s="116"/>
      <c r="L2277" s="170">
        <v>45355</v>
      </c>
      <c r="M2277" s="116">
        <v>790.8</v>
      </c>
      <c r="N2277" s="116">
        <v>797</v>
      </c>
      <c r="O2277" s="116">
        <v>787.05</v>
      </c>
      <c r="P2277" s="116">
        <v>790.45</v>
      </c>
      <c r="Q2277" s="116">
        <v>790.8</v>
      </c>
      <c r="R2277">
        <v>278586</v>
      </c>
    </row>
    <row r="2278" spans="1:18" x14ac:dyDescent="0.25">
      <c r="A2278" s="170">
        <v>45357</v>
      </c>
      <c r="B2278" s="116">
        <v>107.38353701774101</v>
      </c>
      <c r="C2278" s="116">
        <v>105.102824727098</v>
      </c>
      <c r="D2278" s="116">
        <v>103.487320187893</v>
      </c>
      <c r="E2278" s="116">
        <v>107.38353701774101</v>
      </c>
      <c r="F2278" s="116">
        <v>110.6</v>
      </c>
      <c r="G2278">
        <v>453411</v>
      </c>
      <c r="H2278" s="116"/>
      <c r="I2278" s="116"/>
      <c r="L2278" s="170">
        <v>45356</v>
      </c>
      <c r="M2278" s="116">
        <v>791.95</v>
      </c>
      <c r="N2278" s="116">
        <v>801</v>
      </c>
      <c r="O2278" s="116">
        <v>785.35</v>
      </c>
      <c r="P2278" s="116">
        <v>789.95</v>
      </c>
      <c r="Q2278" s="116">
        <v>791.95</v>
      </c>
      <c r="R2278">
        <v>448025</v>
      </c>
    </row>
    <row r="2279" spans="1:18" x14ac:dyDescent="0.25">
      <c r="A2279" s="170">
        <v>45358</v>
      </c>
      <c r="B2279" s="116">
        <v>107.38353701774101</v>
      </c>
      <c r="C2279" s="116">
        <v>106.05312151486601</v>
      </c>
      <c r="D2279" s="116">
        <v>104.77022085138</v>
      </c>
      <c r="E2279" s="116">
        <v>105.53045828159399</v>
      </c>
      <c r="F2279" s="116">
        <v>111.6</v>
      </c>
      <c r="G2279">
        <v>269800</v>
      </c>
      <c r="H2279" s="116"/>
      <c r="I2279" s="116"/>
      <c r="L2279" s="170">
        <v>45357</v>
      </c>
      <c r="M2279" s="116">
        <v>784.8</v>
      </c>
      <c r="N2279" s="116">
        <v>795.6</v>
      </c>
      <c r="O2279" s="116">
        <v>761</v>
      </c>
      <c r="P2279" s="116">
        <v>791.9</v>
      </c>
      <c r="Q2279" s="116">
        <v>784.8</v>
      </c>
      <c r="R2279">
        <v>636798</v>
      </c>
    </row>
    <row r="2280" spans="1:18" x14ac:dyDescent="0.25">
      <c r="A2280" s="170">
        <v>45362</v>
      </c>
      <c r="B2280" s="116">
        <v>106.81335894508</v>
      </c>
      <c r="C2280" s="116">
        <v>102.822112436456</v>
      </c>
      <c r="D2280" s="116">
        <v>102.632053078903</v>
      </c>
      <c r="E2280" s="116">
        <v>106.10063635425399</v>
      </c>
      <c r="F2280" s="116">
        <v>108.2</v>
      </c>
      <c r="G2280">
        <v>383255</v>
      </c>
      <c r="H2280" s="116"/>
      <c r="I2280" s="116"/>
      <c r="L2280" s="170">
        <v>45358</v>
      </c>
      <c r="M2280" s="116">
        <v>786.6</v>
      </c>
      <c r="N2280" s="116">
        <v>791.95</v>
      </c>
      <c r="O2280" s="116">
        <v>782.8</v>
      </c>
      <c r="P2280" s="116">
        <v>784.8</v>
      </c>
      <c r="Q2280" s="116">
        <v>786.6</v>
      </c>
      <c r="R2280">
        <v>306652</v>
      </c>
    </row>
    <row r="2281" spans="1:18" x14ac:dyDescent="0.25">
      <c r="A2281" s="170">
        <v>45363</v>
      </c>
      <c r="B2281" s="116">
        <v>102.822112436456</v>
      </c>
      <c r="C2281" s="116">
        <v>98.1656581763948</v>
      </c>
      <c r="D2281" s="116">
        <v>95.504827170645498</v>
      </c>
      <c r="E2281" s="116">
        <v>101.96684532746499</v>
      </c>
      <c r="F2281" s="116">
        <v>103.3</v>
      </c>
      <c r="G2281">
        <v>781534</v>
      </c>
      <c r="H2281" s="116"/>
      <c r="I2281" s="116"/>
      <c r="L2281" s="170">
        <v>45362</v>
      </c>
      <c r="M2281" s="116">
        <v>771</v>
      </c>
      <c r="N2281" s="116">
        <v>787.7</v>
      </c>
      <c r="O2281" s="116">
        <v>766</v>
      </c>
      <c r="P2281" s="116">
        <v>783.1</v>
      </c>
      <c r="Q2281" s="116">
        <v>771</v>
      </c>
      <c r="R2281">
        <v>553779</v>
      </c>
    </row>
    <row r="2282" spans="1:18" x14ac:dyDescent="0.25">
      <c r="A2282" s="170">
        <v>45364</v>
      </c>
      <c r="B2282" s="116">
        <v>99.638618197434596</v>
      </c>
      <c r="C2282" s="116">
        <v>88.520145780553506</v>
      </c>
      <c r="D2282" s="116">
        <v>87.427304474620698</v>
      </c>
      <c r="E2282" s="116">
        <v>97.452935585569094</v>
      </c>
      <c r="F2282" s="116">
        <v>93.15</v>
      </c>
      <c r="G2282">
        <v>1612013</v>
      </c>
      <c r="H2282" s="116"/>
      <c r="I2282" s="116"/>
      <c r="L2282" s="170">
        <v>45363</v>
      </c>
      <c r="M2282" s="116">
        <v>760.3</v>
      </c>
      <c r="N2282" s="116">
        <v>771.6</v>
      </c>
      <c r="O2282" s="116">
        <v>754</v>
      </c>
      <c r="P2282" s="116">
        <v>770.95</v>
      </c>
      <c r="Q2282" s="116">
        <v>760.3</v>
      </c>
      <c r="R2282">
        <v>311361</v>
      </c>
    </row>
    <row r="2283" spans="1:18" x14ac:dyDescent="0.25">
      <c r="A2283" s="170">
        <v>45365</v>
      </c>
      <c r="B2283" s="116">
        <v>100.73145950336701</v>
      </c>
      <c r="C2283" s="116">
        <v>100.16128143070701</v>
      </c>
      <c r="D2283" s="116">
        <v>81.773038587403406</v>
      </c>
      <c r="E2283" s="116">
        <v>85.526710899085501</v>
      </c>
      <c r="F2283" s="116">
        <v>105.4</v>
      </c>
      <c r="G2283">
        <v>1059746</v>
      </c>
      <c r="H2283" s="116"/>
      <c r="I2283" s="116"/>
      <c r="L2283" s="170">
        <v>45364</v>
      </c>
      <c r="M2283" s="116">
        <v>721.45</v>
      </c>
      <c r="N2283" s="116">
        <v>761.2</v>
      </c>
      <c r="O2283" s="116">
        <v>717.95</v>
      </c>
      <c r="P2283" s="116">
        <v>757.2</v>
      </c>
      <c r="Q2283" s="116">
        <v>721.45</v>
      </c>
      <c r="R2283">
        <v>467762</v>
      </c>
    </row>
    <row r="2284" spans="1:18" x14ac:dyDescent="0.25">
      <c r="A2284" s="170">
        <v>45366</v>
      </c>
      <c r="B2284" s="116">
        <v>103.01217179401</v>
      </c>
      <c r="C2284" s="116">
        <v>102.014360166854</v>
      </c>
      <c r="D2284" s="116">
        <v>91.323521304468002</v>
      </c>
      <c r="E2284" s="116">
        <v>100.398855627649</v>
      </c>
      <c r="F2284" s="116">
        <v>107.35</v>
      </c>
      <c r="G2284">
        <v>565879</v>
      </c>
      <c r="H2284" s="116"/>
      <c r="I2284" s="116"/>
      <c r="L2284" s="170">
        <v>45365</v>
      </c>
      <c r="M2284" s="116">
        <v>729.45</v>
      </c>
      <c r="N2284" s="116">
        <v>736.05</v>
      </c>
      <c r="O2284" s="116">
        <v>711.65</v>
      </c>
      <c r="P2284" s="116">
        <v>716.85</v>
      </c>
      <c r="Q2284" s="116">
        <v>729.45</v>
      </c>
      <c r="R2284">
        <v>394070</v>
      </c>
    </row>
    <row r="2285" spans="1:18" x14ac:dyDescent="0.25">
      <c r="A2285" s="170">
        <v>45369</v>
      </c>
      <c r="B2285" s="116">
        <v>103.487320187893</v>
      </c>
      <c r="C2285" s="116">
        <v>98.1656581763948</v>
      </c>
      <c r="D2285" s="116">
        <v>97.405420746180695</v>
      </c>
      <c r="E2285" s="116">
        <v>103.487320187893</v>
      </c>
      <c r="F2285" s="116">
        <v>103.3</v>
      </c>
      <c r="G2285">
        <v>296270</v>
      </c>
      <c r="H2285" s="116"/>
      <c r="I2285" s="116"/>
      <c r="L2285" s="170">
        <v>45366</v>
      </c>
      <c r="M2285" s="116">
        <v>724.45</v>
      </c>
      <c r="N2285" s="116">
        <v>734.35</v>
      </c>
      <c r="O2285" s="116">
        <v>709.15</v>
      </c>
      <c r="P2285" s="116">
        <v>734.35</v>
      </c>
      <c r="Q2285" s="116">
        <v>724.45</v>
      </c>
      <c r="R2285">
        <v>734692</v>
      </c>
    </row>
    <row r="2286" spans="1:18" x14ac:dyDescent="0.25">
      <c r="A2286" s="170">
        <v>45370</v>
      </c>
      <c r="B2286" s="116">
        <v>97.405420746180695</v>
      </c>
      <c r="C2286" s="116">
        <v>96.550153637189894</v>
      </c>
      <c r="D2286" s="116">
        <v>95.979975564529298</v>
      </c>
      <c r="E2286" s="116">
        <v>97.405420746180695</v>
      </c>
      <c r="F2286" s="116">
        <v>101.6</v>
      </c>
      <c r="G2286">
        <v>313025</v>
      </c>
      <c r="H2286" s="116"/>
      <c r="I2286" s="116"/>
      <c r="L2286" s="170">
        <v>45369</v>
      </c>
      <c r="M2286" s="116">
        <v>719.55</v>
      </c>
      <c r="N2286" s="116">
        <v>727.55</v>
      </c>
      <c r="O2286" s="116">
        <v>712.1</v>
      </c>
      <c r="P2286" s="116">
        <v>724.45</v>
      </c>
      <c r="Q2286" s="116">
        <v>719.55</v>
      </c>
      <c r="R2286">
        <v>523546</v>
      </c>
    </row>
    <row r="2287" spans="1:18" x14ac:dyDescent="0.25">
      <c r="A2287" s="170">
        <v>45371</v>
      </c>
      <c r="B2287" s="116">
        <v>98.830865927832093</v>
      </c>
      <c r="C2287" s="116">
        <v>95.172223294926795</v>
      </c>
      <c r="D2287" s="116">
        <v>94.174411667770798</v>
      </c>
      <c r="E2287" s="116">
        <v>96.835242673520199</v>
      </c>
      <c r="F2287" s="116">
        <v>100.15</v>
      </c>
      <c r="G2287">
        <v>239123</v>
      </c>
      <c r="H2287" s="116"/>
      <c r="I2287" s="116"/>
      <c r="L2287" s="170">
        <v>45370</v>
      </c>
      <c r="M2287" s="116">
        <v>709</v>
      </c>
      <c r="N2287" s="116">
        <v>722</v>
      </c>
      <c r="O2287" s="116">
        <v>701.95</v>
      </c>
      <c r="P2287" s="116">
        <v>722</v>
      </c>
      <c r="Q2287" s="116">
        <v>709</v>
      </c>
      <c r="R2287">
        <v>595062</v>
      </c>
    </row>
    <row r="2288" spans="1:18" x14ac:dyDescent="0.25">
      <c r="A2288" s="170">
        <v>45372</v>
      </c>
      <c r="B2288" s="116">
        <v>97.880569140064495</v>
      </c>
      <c r="C2288" s="116">
        <v>96.882757512908498</v>
      </c>
      <c r="D2288" s="116">
        <v>96.075005243306094</v>
      </c>
      <c r="E2288" s="116">
        <v>97.595480103734204</v>
      </c>
      <c r="F2288" s="116">
        <v>101.95</v>
      </c>
      <c r="G2288">
        <v>240771</v>
      </c>
      <c r="H2288" s="116"/>
      <c r="I2288" s="116"/>
      <c r="L2288" s="170">
        <v>45371</v>
      </c>
      <c r="M2288" s="116">
        <v>718.05</v>
      </c>
      <c r="N2288" s="116">
        <v>720.65</v>
      </c>
      <c r="O2288" s="116">
        <v>702.1</v>
      </c>
      <c r="P2288" s="116">
        <v>709.4</v>
      </c>
      <c r="Q2288" s="116">
        <v>718.05</v>
      </c>
      <c r="R2288">
        <v>306618</v>
      </c>
    </row>
    <row r="2289" spans="1:18" x14ac:dyDescent="0.25">
      <c r="A2289" s="170">
        <v>45373</v>
      </c>
      <c r="B2289" s="116">
        <v>98.830865927832093</v>
      </c>
      <c r="C2289" s="116">
        <v>97.310391067403998</v>
      </c>
      <c r="D2289" s="116">
        <v>95.219738134315193</v>
      </c>
      <c r="E2289" s="116">
        <v>96.407609119024698</v>
      </c>
      <c r="F2289" s="116">
        <v>102.4</v>
      </c>
      <c r="G2289">
        <v>348346</v>
      </c>
      <c r="H2289" s="116"/>
      <c r="I2289" s="116"/>
      <c r="L2289" s="170">
        <v>45372</v>
      </c>
      <c r="M2289" s="116">
        <v>738.2</v>
      </c>
      <c r="N2289" s="116">
        <v>741.95</v>
      </c>
      <c r="O2289" s="116">
        <v>723.35</v>
      </c>
      <c r="P2289" s="116">
        <v>724</v>
      </c>
      <c r="Q2289" s="116">
        <v>738.2</v>
      </c>
      <c r="R2289">
        <v>620355</v>
      </c>
    </row>
    <row r="2290" spans="1:18" x14ac:dyDescent="0.25">
      <c r="A2290" s="170">
        <v>45377</v>
      </c>
      <c r="B2290" s="116">
        <v>98.023113658229704</v>
      </c>
      <c r="C2290" s="116">
        <v>94.792104579819807</v>
      </c>
      <c r="D2290" s="116">
        <v>94.459500704101103</v>
      </c>
      <c r="E2290" s="116">
        <v>96.882757512908498</v>
      </c>
      <c r="F2290" s="116">
        <v>99.75</v>
      </c>
      <c r="G2290">
        <v>463560</v>
      </c>
      <c r="H2290" s="116"/>
      <c r="I2290" s="116"/>
      <c r="L2290" s="170">
        <v>45373</v>
      </c>
      <c r="M2290" s="116">
        <v>747.1</v>
      </c>
      <c r="N2290" s="116">
        <v>751.95</v>
      </c>
      <c r="O2290" s="116">
        <v>736.25</v>
      </c>
      <c r="P2290" s="116">
        <v>739.95</v>
      </c>
      <c r="Q2290" s="116">
        <v>747.1</v>
      </c>
      <c r="R2290">
        <v>496110</v>
      </c>
    </row>
    <row r="2291" spans="1:18" x14ac:dyDescent="0.25">
      <c r="A2291" s="170">
        <v>45378</v>
      </c>
      <c r="B2291" s="116">
        <v>96.930272352296896</v>
      </c>
      <c r="C2291" s="116">
        <v>94.079381988994101</v>
      </c>
      <c r="D2291" s="116">
        <v>93.129085201226403</v>
      </c>
      <c r="E2291" s="116">
        <v>94.887134258596504</v>
      </c>
      <c r="F2291" s="116">
        <v>99</v>
      </c>
      <c r="G2291">
        <v>640185</v>
      </c>
      <c r="H2291" s="116"/>
      <c r="I2291" s="116"/>
      <c r="L2291" s="170">
        <v>45377</v>
      </c>
      <c r="M2291" s="116">
        <v>754.45</v>
      </c>
      <c r="N2291" s="116">
        <v>758.1</v>
      </c>
      <c r="O2291" s="116">
        <v>740.9</v>
      </c>
      <c r="P2291" s="116">
        <v>747</v>
      </c>
      <c r="Q2291" s="116">
        <v>754.45</v>
      </c>
      <c r="R2291">
        <v>293576</v>
      </c>
    </row>
    <row r="2292" spans="1:18" x14ac:dyDescent="0.25">
      <c r="A2292" s="170">
        <v>45379</v>
      </c>
      <c r="B2292" s="116">
        <v>95.789916206975803</v>
      </c>
      <c r="C2292" s="116">
        <v>94.079381988994101</v>
      </c>
      <c r="D2292" s="116">
        <v>93.6517484344986</v>
      </c>
      <c r="E2292" s="116">
        <v>95.789916206975803</v>
      </c>
      <c r="F2292" s="116">
        <v>99</v>
      </c>
      <c r="G2292">
        <v>508401</v>
      </c>
      <c r="H2292" s="116"/>
      <c r="I2292" s="116"/>
      <c r="L2292" s="170">
        <v>45378</v>
      </c>
      <c r="M2292" s="116">
        <v>757.15</v>
      </c>
      <c r="N2292" s="116">
        <v>761.5</v>
      </c>
      <c r="O2292" s="116">
        <v>750.7</v>
      </c>
      <c r="P2292" s="116">
        <v>758.6</v>
      </c>
      <c r="Q2292" s="116">
        <v>757.15</v>
      </c>
      <c r="R2292">
        <v>314645</v>
      </c>
    </row>
    <row r="2293" spans="1:18" x14ac:dyDescent="0.25">
      <c r="A2293" s="170">
        <v>45383</v>
      </c>
      <c r="B2293" s="116">
        <v>98.450747212725105</v>
      </c>
      <c r="C2293" s="116">
        <v>97.966095850963598</v>
      </c>
      <c r="D2293" s="116">
        <v>95.029678776761699</v>
      </c>
      <c r="E2293" s="116">
        <v>95.837431046364102</v>
      </c>
      <c r="F2293" s="116">
        <v>103.09</v>
      </c>
      <c r="G2293">
        <v>619568</v>
      </c>
      <c r="H2293" s="116"/>
      <c r="I2293" s="116"/>
      <c r="L2293" s="170">
        <v>45379</v>
      </c>
      <c r="M2293" s="116">
        <v>752.95</v>
      </c>
      <c r="N2293" s="116">
        <v>761.3</v>
      </c>
      <c r="O2293" s="116">
        <v>748.1</v>
      </c>
      <c r="P2293" s="116">
        <v>757.95</v>
      </c>
      <c r="Q2293" s="116">
        <v>752.95</v>
      </c>
      <c r="R2293">
        <v>400597</v>
      </c>
    </row>
    <row r="2294" spans="1:18" x14ac:dyDescent="0.25">
      <c r="A2294" s="170">
        <v>45384</v>
      </c>
      <c r="B2294" s="116">
        <v>102.32795810681699</v>
      </c>
      <c r="C2294" s="116">
        <v>101.624738483869</v>
      </c>
      <c r="D2294" s="116">
        <v>98.925895606608904</v>
      </c>
      <c r="E2294" s="116">
        <v>99.733647876211407</v>
      </c>
      <c r="F2294" s="116">
        <v>106.94</v>
      </c>
      <c r="G2294">
        <v>607661</v>
      </c>
      <c r="H2294" s="116"/>
      <c r="I2294" s="116"/>
      <c r="L2294" s="170">
        <v>45383</v>
      </c>
      <c r="M2294" s="116">
        <v>792.25</v>
      </c>
      <c r="N2294" s="116">
        <v>802</v>
      </c>
      <c r="O2294" s="116">
        <v>754</v>
      </c>
      <c r="P2294" s="116">
        <v>754</v>
      </c>
      <c r="Q2294" s="116">
        <v>792.25</v>
      </c>
      <c r="R2294">
        <v>701556</v>
      </c>
    </row>
    <row r="2295" spans="1:18" x14ac:dyDescent="0.25">
      <c r="A2295" s="170">
        <v>45385</v>
      </c>
      <c r="B2295" s="116">
        <v>106.43324022997299</v>
      </c>
      <c r="C2295" s="116">
        <v>105.606482024615</v>
      </c>
      <c r="D2295" s="116">
        <v>101.624738483869</v>
      </c>
      <c r="E2295" s="116">
        <v>102.156904685019</v>
      </c>
      <c r="F2295" s="116">
        <v>111.13</v>
      </c>
      <c r="G2295">
        <v>774186</v>
      </c>
      <c r="H2295" s="116"/>
      <c r="I2295" s="116"/>
      <c r="L2295" s="170">
        <v>45384</v>
      </c>
      <c r="M2295" s="116">
        <v>793.05</v>
      </c>
      <c r="N2295" s="116">
        <v>796.9</v>
      </c>
      <c r="O2295" s="116">
        <v>781.05</v>
      </c>
      <c r="P2295" s="116">
        <v>790.75</v>
      </c>
      <c r="Q2295" s="116">
        <v>793.05</v>
      </c>
      <c r="R2295">
        <v>222656</v>
      </c>
    </row>
    <row r="2296" spans="1:18" x14ac:dyDescent="0.25">
      <c r="A2296" s="170">
        <v>45386</v>
      </c>
      <c r="B2296" s="116">
        <v>108.33383380550799</v>
      </c>
      <c r="C2296" s="116">
        <v>105.89157106094601</v>
      </c>
      <c r="D2296" s="116">
        <v>104.542149622316</v>
      </c>
      <c r="E2296" s="116">
        <v>107.687631989826</v>
      </c>
      <c r="F2296" s="116">
        <v>111.43</v>
      </c>
      <c r="G2296">
        <v>385585</v>
      </c>
      <c r="H2296" s="116"/>
      <c r="I2296" s="116"/>
      <c r="L2296" s="170">
        <v>45385</v>
      </c>
      <c r="M2296" s="116">
        <v>805.2</v>
      </c>
      <c r="N2296" s="116">
        <v>807.7</v>
      </c>
      <c r="O2296" s="116">
        <v>789</v>
      </c>
      <c r="P2296" s="116">
        <v>789.95</v>
      </c>
      <c r="Q2296" s="116">
        <v>805.2</v>
      </c>
      <c r="R2296">
        <v>320322</v>
      </c>
    </row>
    <row r="2297" spans="1:18" x14ac:dyDescent="0.25">
      <c r="A2297" s="170">
        <v>45387</v>
      </c>
      <c r="B2297" s="116">
        <v>107.76365573284799</v>
      </c>
      <c r="C2297" s="116">
        <v>105.30238705252999</v>
      </c>
      <c r="D2297" s="116">
        <v>103.040680697643</v>
      </c>
      <c r="E2297" s="116">
        <v>105.89157106094601</v>
      </c>
      <c r="F2297" s="116">
        <v>110.81</v>
      </c>
      <c r="G2297">
        <v>338788</v>
      </c>
      <c r="H2297" s="116"/>
      <c r="I2297" s="116"/>
      <c r="L2297" s="170">
        <v>45386</v>
      </c>
      <c r="M2297" s="116">
        <v>808.7</v>
      </c>
      <c r="N2297" s="116">
        <v>817.95</v>
      </c>
      <c r="O2297" s="116">
        <v>796.75</v>
      </c>
      <c r="P2297" s="116">
        <v>813</v>
      </c>
      <c r="Q2297" s="116">
        <v>808.7</v>
      </c>
      <c r="R2297">
        <v>467410</v>
      </c>
    </row>
    <row r="2298" spans="1:18" x14ac:dyDescent="0.25">
      <c r="A2298" s="170">
        <v>45390</v>
      </c>
      <c r="B2298" s="116">
        <v>104.105013099942</v>
      </c>
      <c r="C2298" s="116">
        <v>102.270940299551</v>
      </c>
      <c r="D2298" s="116">
        <v>101.681756291135</v>
      </c>
      <c r="E2298" s="116">
        <v>102.831615404334</v>
      </c>
      <c r="F2298" s="116">
        <v>107.62</v>
      </c>
      <c r="G2298">
        <v>465003</v>
      </c>
      <c r="H2298" s="116"/>
      <c r="I2298" s="116"/>
      <c r="L2298" s="170">
        <v>45387</v>
      </c>
      <c r="M2298" s="116">
        <v>798.85</v>
      </c>
      <c r="N2298" s="116">
        <v>808.75</v>
      </c>
      <c r="O2298" s="116">
        <v>797.5</v>
      </c>
      <c r="P2298" s="116">
        <v>799.05</v>
      </c>
      <c r="Q2298" s="116">
        <v>798.85</v>
      </c>
      <c r="R2298">
        <v>226057</v>
      </c>
    </row>
    <row r="2299" spans="1:18" x14ac:dyDescent="0.25">
      <c r="A2299" s="170">
        <v>45391</v>
      </c>
      <c r="B2299" s="116">
        <v>106.56628178026099</v>
      </c>
      <c r="C2299" s="116">
        <v>103.838929999367</v>
      </c>
      <c r="D2299" s="116">
        <v>99.7906656834774</v>
      </c>
      <c r="E2299" s="116">
        <v>99.7906656834774</v>
      </c>
      <c r="F2299" s="116">
        <v>109.27</v>
      </c>
      <c r="G2299">
        <v>432979</v>
      </c>
      <c r="H2299" s="116"/>
      <c r="I2299" s="116"/>
      <c r="L2299" s="170">
        <v>45390</v>
      </c>
      <c r="M2299" s="116">
        <v>798.95</v>
      </c>
      <c r="N2299" s="116">
        <v>808</v>
      </c>
      <c r="O2299" s="116">
        <v>796</v>
      </c>
      <c r="P2299" s="116">
        <v>798.85</v>
      </c>
      <c r="Q2299" s="116">
        <v>798.95</v>
      </c>
      <c r="R2299">
        <v>292135</v>
      </c>
    </row>
    <row r="2300" spans="1:18" x14ac:dyDescent="0.25">
      <c r="A2300" s="170">
        <v>45392</v>
      </c>
      <c r="B2300" s="116">
        <v>106.41423429421801</v>
      </c>
      <c r="C2300" s="116">
        <v>104.21904871447499</v>
      </c>
      <c r="D2300" s="116">
        <v>103.58234986667</v>
      </c>
      <c r="E2300" s="116">
        <v>104.52314368656</v>
      </c>
      <c r="F2300" s="116">
        <v>109.67</v>
      </c>
      <c r="G2300">
        <v>300647</v>
      </c>
      <c r="H2300" s="116"/>
      <c r="I2300" s="116"/>
      <c r="L2300" s="170">
        <v>45391</v>
      </c>
      <c r="M2300" s="116">
        <v>810.55</v>
      </c>
      <c r="N2300" s="116">
        <v>836</v>
      </c>
      <c r="O2300" s="116">
        <v>805</v>
      </c>
      <c r="P2300" s="116">
        <v>815</v>
      </c>
      <c r="Q2300" s="116">
        <v>810.55</v>
      </c>
      <c r="R2300">
        <v>3011848</v>
      </c>
    </row>
    <row r="2301" spans="1:18" x14ac:dyDescent="0.25">
      <c r="A2301" s="170">
        <v>45394</v>
      </c>
      <c r="B2301" s="116">
        <v>105.482943442205</v>
      </c>
      <c r="C2301" s="116">
        <v>103.52533205940399</v>
      </c>
      <c r="D2301" s="116">
        <v>102.73658572555701</v>
      </c>
      <c r="E2301" s="116">
        <v>104.057498260554</v>
      </c>
      <c r="F2301" s="116">
        <v>108.94</v>
      </c>
      <c r="G2301">
        <v>272372</v>
      </c>
      <c r="H2301" s="116"/>
      <c r="I2301" s="116"/>
      <c r="L2301" s="170">
        <v>45392</v>
      </c>
      <c r="M2301" s="116">
        <v>808.05</v>
      </c>
      <c r="N2301" s="116">
        <v>828.9</v>
      </c>
      <c r="O2301" s="116">
        <v>805.85</v>
      </c>
      <c r="P2301" s="116">
        <v>812</v>
      </c>
      <c r="Q2301" s="116">
        <v>808.05</v>
      </c>
      <c r="R2301">
        <v>636792</v>
      </c>
    </row>
    <row r="2302" spans="1:18" x14ac:dyDescent="0.25">
      <c r="A2302" s="170">
        <v>45397</v>
      </c>
      <c r="B2302" s="116">
        <v>100.73145950336701</v>
      </c>
      <c r="C2302" s="116">
        <v>99.277505418082896</v>
      </c>
      <c r="D2302" s="116">
        <v>94.126896828382399</v>
      </c>
      <c r="E2302" s="116">
        <v>97.557468232223499</v>
      </c>
      <c r="F2302" s="116">
        <v>104.47</v>
      </c>
      <c r="G2302">
        <v>960575</v>
      </c>
      <c r="H2302" s="116"/>
      <c r="I2302" s="116"/>
      <c r="L2302" s="170">
        <v>45394</v>
      </c>
      <c r="M2302" s="116">
        <v>785.75</v>
      </c>
      <c r="N2302" s="116">
        <v>813.7</v>
      </c>
      <c r="O2302" s="116">
        <v>784.15</v>
      </c>
      <c r="P2302" s="116">
        <v>808.8</v>
      </c>
      <c r="Q2302" s="116">
        <v>785.75</v>
      </c>
      <c r="R2302">
        <v>396428</v>
      </c>
    </row>
    <row r="2303" spans="1:18" x14ac:dyDescent="0.25">
      <c r="A2303" s="170">
        <v>45398</v>
      </c>
      <c r="B2303" s="116">
        <v>101.91933048807699</v>
      </c>
      <c r="C2303" s="116">
        <v>101.149590089985</v>
      </c>
      <c r="D2303" s="116">
        <v>97.405420746180695</v>
      </c>
      <c r="E2303" s="116">
        <v>98.127646304884095</v>
      </c>
      <c r="F2303" s="116">
        <v>106.44</v>
      </c>
      <c r="G2303">
        <v>300803</v>
      </c>
      <c r="H2303" s="116"/>
      <c r="I2303" s="116"/>
      <c r="L2303" s="170">
        <v>45397</v>
      </c>
      <c r="M2303" s="116">
        <v>775.8</v>
      </c>
      <c r="N2303" s="116">
        <v>787.9</v>
      </c>
      <c r="O2303" s="116">
        <v>762.7</v>
      </c>
      <c r="P2303" s="116">
        <v>781.5</v>
      </c>
      <c r="Q2303" s="116">
        <v>775.8</v>
      </c>
      <c r="R2303">
        <v>355718</v>
      </c>
    </row>
    <row r="2304" spans="1:18" x14ac:dyDescent="0.25">
      <c r="A2304" s="170">
        <v>45400</v>
      </c>
      <c r="B2304" s="116">
        <v>103.572846898793</v>
      </c>
      <c r="C2304" s="116">
        <v>100.56990904944701</v>
      </c>
      <c r="D2304" s="116">
        <v>99.828677554988104</v>
      </c>
      <c r="E2304" s="116">
        <v>103.17372224793</v>
      </c>
      <c r="F2304" s="116">
        <v>105.83</v>
      </c>
      <c r="G2304">
        <v>288156</v>
      </c>
      <c r="H2304" s="116"/>
      <c r="I2304" s="116"/>
      <c r="L2304" s="170">
        <v>45398</v>
      </c>
      <c r="M2304" s="116">
        <v>765.2</v>
      </c>
      <c r="N2304" s="116">
        <v>776.05</v>
      </c>
      <c r="O2304" s="116">
        <v>762.1</v>
      </c>
      <c r="P2304" s="116">
        <v>776.05</v>
      </c>
      <c r="Q2304" s="116">
        <v>765.2</v>
      </c>
      <c r="R2304">
        <v>380265</v>
      </c>
    </row>
    <row r="2305" spans="1:18" x14ac:dyDescent="0.25">
      <c r="A2305" s="170">
        <v>45401</v>
      </c>
      <c r="B2305" s="116">
        <v>107.050933142022</v>
      </c>
      <c r="C2305" s="116">
        <v>105.71101467126999</v>
      </c>
      <c r="D2305" s="116">
        <v>96.027490403917696</v>
      </c>
      <c r="E2305" s="116">
        <v>96.027490403917696</v>
      </c>
      <c r="F2305" s="116">
        <v>111.24</v>
      </c>
      <c r="G2305">
        <v>763754</v>
      </c>
      <c r="H2305" s="116"/>
      <c r="I2305" s="116"/>
      <c r="L2305" s="170">
        <v>45400</v>
      </c>
      <c r="M2305" s="116">
        <v>762.1</v>
      </c>
      <c r="N2305" s="116">
        <v>778.05</v>
      </c>
      <c r="O2305" s="116">
        <v>758.7</v>
      </c>
      <c r="P2305" s="116">
        <v>770.55</v>
      </c>
      <c r="Q2305" s="116">
        <v>762.1</v>
      </c>
      <c r="R2305">
        <v>616472</v>
      </c>
    </row>
    <row r="2306" spans="1:18" x14ac:dyDescent="0.25">
      <c r="A2306" s="170">
        <v>45404</v>
      </c>
      <c r="B2306" s="116">
        <v>108.33383380550799</v>
      </c>
      <c r="C2306" s="116">
        <v>106.24318087242</v>
      </c>
      <c r="D2306" s="116">
        <v>105.57797312098199</v>
      </c>
      <c r="E2306" s="116">
        <v>108.33383380550799</v>
      </c>
      <c r="F2306" s="116">
        <v>111.8</v>
      </c>
      <c r="G2306">
        <v>510419</v>
      </c>
      <c r="H2306" s="116"/>
      <c r="I2306" s="116"/>
      <c r="L2306" s="170">
        <v>45401</v>
      </c>
      <c r="M2306" s="116">
        <v>754.8</v>
      </c>
      <c r="N2306" s="116">
        <v>760.75</v>
      </c>
      <c r="O2306" s="116">
        <v>742.15</v>
      </c>
      <c r="P2306" s="116">
        <v>754.6</v>
      </c>
      <c r="Q2306" s="116">
        <v>754.8</v>
      </c>
      <c r="R2306">
        <v>360337</v>
      </c>
    </row>
    <row r="2307" spans="1:18" x14ac:dyDescent="0.25">
      <c r="A2307" s="170">
        <v>45405</v>
      </c>
      <c r="B2307" s="116">
        <v>116.981534574194</v>
      </c>
      <c r="C2307" s="116">
        <v>116.468374308799</v>
      </c>
      <c r="D2307" s="116">
        <v>106.452246165728</v>
      </c>
      <c r="E2307" s="116">
        <v>108.229301158854</v>
      </c>
      <c r="F2307" s="116">
        <v>122.56</v>
      </c>
      <c r="G2307">
        <v>3276622</v>
      </c>
      <c r="H2307" s="116"/>
      <c r="I2307" s="116"/>
      <c r="L2307" s="170">
        <v>45404</v>
      </c>
      <c r="M2307" s="116">
        <v>752.85</v>
      </c>
      <c r="N2307" s="116">
        <v>767.25</v>
      </c>
      <c r="O2307" s="116">
        <v>750.55</v>
      </c>
      <c r="P2307" s="116">
        <v>762</v>
      </c>
      <c r="Q2307" s="116">
        <v>752.85</v>
      </c>
      <c r="R2307">
        <v>305781</v>
      </c>
    </row>
    <row r="2308" spans="1:18" x14ac:dyDescent="0.25">
      <c r="A2308" s="170">
        <v>45406</v>
      </c>
      <c r="B2308" s="116">
        <v>123.53858240979</v>
      </c>
      <c r="C2308" s="116">
        <v>121.35289979792501</v>
      </c>
      <c r="D2308" s="116">
        <v>119.072187507282</v>
      </c>
      <c r="E2308" s="116">
        <v>121.637988834255</v>
      </c>
      <c r="F2308" s="116">
        <v>127.7</v>
      </c>
      <c r="G2308">
        <v>2332972</v>
      </c>
      <c r="H2308" s="116"/>
      <c r="I2308" s="116"/>
      <c r="L2308" s="170">
        <v>45405</v>
      </c>
      <c r="M2308" s="116">
        <v>744.2</v>
      </c>
      <c r="N2308" s="116">
        <v>759.45</v>
      </c>
      <c r="O2308" s="116">
        <v>739</v>
      </c>
      <c r="P2308" s="116">
        <v>752.95</v>
      </c>
      <c r="Q2308" s="116">
        <v>744.2</v>
      </c>
      <c r="R2308">
        <v>894176</v>
      </c>
    </row>
    <row r="2309" spans="1:18" x14ac:dyDescent="0.25">
      <c r="A2309" s="170">
        <v>45407</v>
      </c>
      <c r="B2309" s="116">
        <v>123.53858240979</v>
      </c>
      <c r="C2309" s="116">
        <v>106.043618546988</v>
      </c>
      <c r="D2309" s="116">
        <v>99.781162715599805</v>
      </c>
      <c r="E2309" s="116">
        <v>121.35289979792501</v>
      </c>
      <c r="F2309" s="116">
        <v>111.59</v>
      </c>
      <c r="G2309">
        <v>5465867</v>
      </c>
      <c r="H2309" s="116"/>
      <c r="I2309" s="116"/>
      <c r="L2309" s="170">
        <v>45406</v>
      </c>
      <c r="M2309" s="116">
        <v>743.85</v>
      </c>
      <c r="N2309" s="116">
        <v>770</v>
      </c>
      <c r="O2309" s="116">
        <v>738.55</v>
      </c>
      <c r="P2309" s="116">
        <v>747.65</v>
      </c>
      <c r="Q2309" s="116">
        <v>743.85</v>
      </c>
      <c r="R2309">
        <v>1765054</v>
      </c>
    </row>
    <row r="2310" spans="1:18" x14ac:dyDescent="0.25">
      <c r="A2310" s="170">
        <v>45408</v>
      </c>
      <c r="B2310" s="116">
        <v>116.202291208224</v>
      </c>
      <c r="C2310" s="116">
        <v>112.07800314931301</v>
      </c>
      <c r="D2310" s="116">
        <v>106.43324022997299</v>
      </c>
      <c r="E2310" s="116">
        <v>107.240992499576</v>
      </c>
      <c r="F2310" s="116">
        <v>117.94</v>
      </c>
      <c r="G2310">
        <v>3089102</v>
      </c>
      <c r="H2310" s="116"/>
      <c r="I2310" s="116"/>
      <c r="L2310" s="170">
        <v>45407</v>
      </c>
      <c r="M2310" s="116">
        <v>745.4</v>
      </c>
      <c r="N2310" s="116">
        <v>749</v>
      </c>
      <c r="O2310" s="116">
        <v>735.7</v>
      </c>
      <c r="P2310" s="116">
        <v>749</v>
      </c>
      <c r="Q2310" s="116">
        <v>745.4</v>
      </c>
      <c r="R2310">
        <v>740636</v>
      </c>
    </row>
    <row r="2311" spans="1:18" x14ac:dyDescent="0.25">
      <c r="A2311" s="170">
        <v>45411</v>
      </c>
      <c r="B2311" s="116">
        <v>114.938396480493</v>
      </c>
      <c r="C2311" s="116">
        <v>109.426675111441</v>
      </c>
      <c r="D2311" s="116">
        <v>108.85649703878001</v>
      </c>
      <c r="E2311" s="116">
        <v>114.035614532114</v>
      </c>
      <c r="F2311" s="116">
        <v>115.15</v>
      </c>
      <c r="G2311">
        <v>966399</v>
      </c>
      <c r="H2311" s="116"/>
      <c r="I2311" s="116"/>
      <c r="L2311" s="170">
        <v>45408</v>
      </c>
      <c r="M2311" s="116">
        <v>746.95</v>
      </c>
      <c r="N2311" s="116">
        <v>752</v>
      </c>
      <c r="O2311" s="116">
        <v>741.5</v>
      </c>
      <c r="P2311" s="116">
        <v>752</v>
      </c>
      <c r="Q2311" s="116">
        <v>746.95</v>
      </c>
      <c r="R2311">
        <v>474706</v>
      </c>
    </row>
    <row r="2312" spans="1:18" x14ac:dyDescent="0.25">
      <c r="A2312" s="170">
        <v>45412</v>
      </c>
      <c r="B2312" s="116">
        <v>111.165718233056</v>
      </c>
      <c r="C2312" s="116">
        <v>108.80898219939201</v>
      </c>
      <c r="D2312" s="116">
        <v>108.523893163062</v>
      </c>
      <c r="E2312" s="116">
        <v>111.165718233056</v>
      </c>
      <c r="F2312" s="116">
        <v>114.5</v>
      </c>
      <c r="G2312">
        <v>562491</v>
      </c>
      <c r="H2312" s="116"/>
      <c r="I2312" s="116"/>
      <c r="L2312" s="170">
        <v>45411</v>
      </c>
      <c r="M2312" s="116">
        <v>746.3</v>
      </c>
      <c r="N2312" s="116">
        <v>753.75</v>
      </c>
      <c r="O2312" s="116">
        <v>728.2</v>
      </c>
      <c r="P2312" s="116">
        <v>751.9</v>
      </c>
      <c r="Q2312" s="116">
        <v>746.3</v>
      </c>
      <c r="R2312">
        <v>1464619</v>
      </c>
    </row>
    <row r="2313" spans="1:18" x14ac:dyDescent="0.25">
      <c r="A2313" s="170">
        <v>45414</v>
      </c>
      <c r="B2313" s="116">
        <v>110.709575774927</v>
      </c>
      <c r="C2313" s="116">
        <v>108.85649703878001</v>
      </c>
      <c r="D2313" s="116">
        <v>108.33383380550799</v>
      </c>
      <c r="E2313" s="116">
        <v>109.71176414777101</v>
      </c>
      <c r="F2313" s="116">
        <v>114.55</v>
      </c>
      <c r="G2313">
        <v>507377</v>
      </c>
      <c r="H2313" s="116"/>
      <c r="I2313" s="116"/>
      <c r="L2313" s="170">
        <v>45412</v>
      </c>
      <c r="M2313" s="116">
        <v>762.65</v>
      </c>
      <c r="N2313" s="116">
        <v>782</v>
      </c>
      <c r="O2313" s="116">
        <v>752.75</v>
      </c>
      <c r="P2313" s="116">
        <v>770.2</v>
      </c>
      <c r="Q2313" s="116">
        <v>762.65</v>
      </c>
      <c r="R2313">
        <v>4060950</v>
      </c>
    </row>
    <row r="2314" spans="1:18" x14ac:dyDescent="0.25">
      <c r="A2314" s="170">
        <v>45415</v>
      </c>
      <c r="B2314" s="116">
        <v>111.184724168811</v>
      </c>
      <c r="C2314" s="116">
        <v>108.33383380550799</v>
      </c>
      <c r="D2314" s="116">
        <v>106.52826990875</v>
      </c>
      <c r="E2314" s="116">
        <v>110.09188286287799</v>
      </c>
      <c r="F2314" s="116">
        <v>114</v>
      </c>
      <c r="G2314">
        <v>639972</v>
      </c>
      <c r="H2314" s="116"/>
      <c r="I2314" s="116"/>
      <c r="L2314" s="170">
        <v>45414</v>
      </c>
      <c r="M2314" s="116">
        <v>775.95</v>
      </c>
      <c r="N2314" s="116">
        <v>792</v>
      </c>
      <c r="O2314" s="116">
        <v>763.9</v>
      </c>
      <c r="P2314" s="116">
        <v>767</v>
      </c>
      <c r="Q2314" s="116">
        <v>775.95</v>
      </c>
      <c r="R2314">
        <v>1520140</v>
      </c>
    </row>
    <row r="2315" spans="1:18" x14ac:dyDescent="0.25">
      <c r="A2315" s="170">
        <v>45418</v>
      </c>
      <c r="B2315" s="116">
        <v>110.186912541655</v>
      </c>
      <c r="C2315" s="116">
        <v>105.245369245264</v>
      </c>
      <c r="D2315" s="116">
        <v>104.532646654438</v>
      </c>
      <c r="E2315" s="116">
        <v>108.713952520615</v>
      </c>
      <c r="F2315" s="116">
        <v>110.75</v>
      </c>
      <c r="G2315">
        <v>716886</v>
      </c>
      <c r="H2315" s="116"/>
      <c r="I2315" s="116"/>
      <c r="L2315" s="170">
        <v>45415</v>
      </c>
      <c r="M2315" s="116">
        <v>768.85</v>
      </c>
      <c r="N2315" s="116">
        <v>786.75</v>
      </c>
      <c r="O2315" s="116">
        <v>761.25</v>
      </c>
      <c r="P2315" s="116">
        <v>779.95</v>
      </c>
      <c r="Q2315" s="116">
        <v>768.85</v>
      </c>
      <c r="R2315">
        <v>659380</v>
      </c>
    </row>
    <row r="2316" spans="1:18" x14ac:dyDescent="0.25">
      <c r="A2316" s="170">
        <v>45419</v>
      </c>
      <c r="B2316" s="116">
        <v>107.38353701774101</v>
      </c>
      <c r="C2316" s="116">
        <v>104.34258729688401</v>
      </c>
      <c r="D2316" s="116">
        <v>103.77240922422401</v>
      </c>
      <c r="E2316" s="116">
        <v>106.81335894508</v>
      </c>
      <c r="F2316" s="116">
        <v>109.8</v>
      </c>
      <c r="G2316">
        <v>499438</v>
      </c>
      <c r="H2316" s="116"/>
      <c r="I2316" s="116"/>
      <c r="L2316" s="170">
        <v>45418</v>
      </c>
      <c r="M2316" s="116">
        <v>759.55</v>
      </c>
      <c r="N2316" s="116">
        <v>776.5</v>
      </c>
      <c r="O2316" s="116">
        <v>756.55</v>
      </c>
      <c r="P2316" s="116">
        <v>776.5</v>
      </c>
      <c r="Q2316" s="116">
        <v>759.55</v>
      </c>
      <c r="R2316">
        <v>353854</v>
      </c>
    </row>
    <row r="2317" spans="1:18" x14ac:dyDescent="0.25">
      <c r="A2317" s="170">
        <v>45420</v>
      </c>
      <c r="B2317" s="116">
        <v>106.290695711808</v>
      </c>
      <c r="C2317" s="116">
        <v>103.439805348505</v>
      </c>
      <c r="D2317" s="116">
        <v>102.632053078903</v>
      </c>
      <c r="E2317" s="116">
        <v>105.482943442205</v>
      </c>
      <c r="F2317" s="116">
        <v>108.85</v>
      </c>
      <c r="G2317">
        <v>469614</v>
      </c>
      <c r="H2317" s="116"/>
      <c r="I2317" s="116"/>
      <c r="L2317" s="170">
        <v>45419</v>
      </c>
      <c r="M2317" s="116">
        <v>739.4</v>
      </c>
      <c r="N2317" s="116">
        <v>759.9</v>
      </c>
      <c r="O2317" s="116">
        <v>732</v>
      </c>
      <c r="P2317" s="116">
        <v>759.9</v>
      </c>
      <c r="Q2317" s="116">
        <v>739.4</v>
      </c>
      <c r="R2317">
        <v>493507</v>
      </c>
    </row>
    <row r="2318" spans="1:18" x14ac:dyDescent="0.25">
      <c r="A2318" s="170">
        <v>45421</v>
      </c>
      <c r="B2318" s="116">
        <v>104.960280208933</v>
      </c>
      <c r="C2318" s="116">
        <v>101.776785969912</v>
      </c>
      <c r="D2318" s="116">
        <v>100.874004021533</v>
      </c>
      <c r="E2318" s="116">
        <v>104.485131815049</v>
      </c>
      <c r="F2318" s="116">
        <v>107.1</v>
      </c>
      <c r="G2318">
        <v>442499</v>
      </c>
      <c r="H2318" s="116"/>
      <c r="I2318" s="116"/>
      <c r="L2318" s="170">
        <v>45420</v>
      </c>
      <c r="M2318" s="116">
        <v>742.25</v>
      </c>
      <c r="N2318" s="116">
        <v>752</v>
      </c>
      <c r="O2318" s="116">
        <v>732.4</v>
      </c>
      <c r="P2318" s="116">
        <v>739.8</v>
      </c>
      <c r="Q2318" s="116">
        <v>742.25</v>
      </c>
      <c r="R2318">
        <v>503561</v>
      </c>
    </row>
    <row r="2319" spans="1:18" x14ac:dyDescent="0.25">
      <c r="A2319" s="170">
        <v>45422</v>
      </c>
      <c r="B2319" s="116">
        <v>103.58234986667</v>
      </c>
      <c r="C2319" s="116">
        <v>102.346964042572</v>
      </c>
      <c r="D2319" s="116">
        <v>99.353529161104305</v>
      </c>
      <c r="E2319" s="116">
        <v>102.727082757679</v>
      </c>
      <c r="F2319" s="116">
        <v>107.7</v>
      </c>
      <c r="G2319">
        <v>466936</v>
      </c>
      <c r="H2319" s="116"/>
      <c r="I2319" s="116"/>
      <c r="L2319" s="170">
        <v>45421</v>
      </c>
      <c r="M2319" s="116">
        <v>719.6</v>
      </c>
      <c r="N2319" s="116">
        <v>745.8</v>
      </c>
      <c r="O2319" s="116">
        <v>716.15</v>
      </c>
      <c r="P2319" s="116">
        <v>745.8</v>
      </c>
      <c r="Q2319" s="116">
        <v>719.6</v>
      </c>
      <c r="R2319">
        <v>380606</v>
      </c>
    </row>
    <row r="2320" spans="1:18" x14ac:dyDescent="0.25">
      <c r="A2320" s="170">
        <v>45425</v>
      </c>
      <c r="B2320" s="116">
        <v>102.679567918291</v>
      </c>
      <c r="C2320" s="116">
        <v>99.448558839881102</v>
      </c>
      <c r="D2320" s="116">
        <v>96.930272352296896</v>
      </c>
      <c r="E2320" s="116">
        <v>102.632053078903</v>
      </c>
      <c r="F2320" s="116">
        <v>104.65</v>
      </c>
      <c r="G2320">
        <v>655925</v>
      </c>
      <c r="H2320" s="116"/>
      <c r="I2320" s="116"/>
      <c r="L2320" s="170">
        <v>45422</v>
      </c>
      <c r="M2320" s="116">
        <v>734.95</v>
      </c>
      <c r="N2320" s="116">
        <v>740</v>
      </c>
      <c r="O2320" s="116">
        <v>718.2</v>
      </c>
      <c r="P2320" s="116">
        <v>725</v>
      </c>
      <c r="Q2320" s="116">
        <v>734.95</v>
      </c>
      <c r="R2320">
        <v>481490</v>
      </c>
    </row>
    <row r="2321" spans="1:18" x14ac:dyDescent="0.25">
      <c r="A2321" s="170">
        <v>45426</v>
      </c>
      <c r="B2321" s="116">
        <v>105.815547317924</v>
      </c>
      <c r="C2321" s="116">
        <v>104.72270601199099</v>
      </c>
      <c r="D2321" s="116">
        <v>101.491696933581</v>
      </c>
      <c r="E2321" s="116">
        <v>101.58672661235801</v>
      </c>
      <c r="F2321" s="116">
        <v>110.2</v>
      </c>
      <c r="G2321">
        <v>733735</v>
      </c>
      <c r="H2321" s="116"/>
      <c r="I2321" s="116"/>
      <c r="L2321" s="170">
        <v>45425</v>
      </c>
      <c r="M2321" s="116">
        <v>738.75</v>
      </c>
      <c r="N2321" s="116">
        <v>742.5</v>
      </c>
      <c r="O2321" s="116">
        <v>721.15</v>
      </c>
      <c r="P2321" s="116">
        <v>735.5</v>
      </c>
      <c r="Q2321" s="116">
        <v>738.75</v>
      </c>
      <c r="R2321">
        <v>275017</v>
      </c>
    </row>
    <row r="2322" spans="1:18" x14ac:dyDescent="0.25">
      <c r="A2322" s="170">
        <v>45427</v>
      </c>
      <c r="B2322" s="116">
        <v>109.71176414777101</v>
      </c>
      <c r="C2322" s="116">
        <v>109.284130593276</v>
      </c>
      <c r="D2322" s="116">
        <v>106.81335894508</v>
      </c>
      <c r="E2322" s="116">
        <v>107.193477660187</v>
      </c>
      <c r="F2322" s="116">
        <v>115</v>
      </c>
      <c r="G2322">
        <v>794373</v>
      </c>
      <c r="H2322" s="116"/>
      <c r="I2322" s="116"/>
      <c r="L2322" s="170">
        <v>45426</v>
      </c>
      <c r="M2322" s="116">
        <v>750</v>
      </c>
      <c r="N2322" s="116">
        <v>753</v>
      </c>
      <c r="O2322" s="116">
        <v>737.85</v>
      </c>
      <c r="P2322" s="116">
        <v>742.8</v>
      </c>
      <c r="Q2322" s="116">
        <v>750</v>
      </c>
      <c r="R2322">
        <v>270229</v>
      </c>
    </row>
    <row r="2323" spans="1:18" x14ac:dyDescent="0.25">
      <c r="A2323" s="170">
        <v>45428</v>
      </c>
      <c r="B2323" s="116">
        <v>112.135020956579</v>
      </c>
      <c r="C2323" s="116">
        <v>110.757090614316</v>
      </c>
      <c r="D2323" s="116">
        <v>107.38353701774101</v>
      </c>
      <c r="E2323" s="116">
        <v>110.614546096151</v>
      </c>
      <c r="F2323" s="116">
        <v>116.55</v>
      </c>
      <c r="G2323">
        <v>654218</v>
      </c>
      <c r="H2323" s="116"/>
      <c r="I2323" s="116"/>
      <c r="L2323" s="170">
        <v>45427</v>
      </c>
      <c r="M2323" s="116">
        <v>753</v>
      </c>
      <c r="N2323" s="116">
        <v>757.2</v>
      </c>
      <c r="O2323" s="116">
        <v>746.45</v>
      </c>
      <c r="P2323" s="116">
        <v>751</v>
      </c>
      <c r="Q2323" s="116">
        <v>753</v>
      </c>
      <c r="R2323">
        <v>270791</v>
      </c>
    </row>
    <row r="2324" spans="1:18" x14ac:dyDescent="0.25">
      <c r="A2324" s="170">
        <v>45429</v>
      </c>
      <c r="B2324" s="116">
        <v>112.562654511074</v>
      </c>
      <c r="C2324" s="116">
        <v>111.37478352636499</v>
      </c>
      <c r="D2324" s="116">
        <v>110.281942220432</v>
      </c>
      <c r="E2324" s="116">
        <v>111.08969449003401</v>
      </c>
      <c r="F2324" s="116">
        <v>117.2</v>
      </c>
      <c r="G2324">
        <v>544873</v>
      </c>
      <c r="H2324" s="116"/>
      <c r="I2324" s="116"/>
      <c r="L2324" s="170">
        <v>45428</v>
      </c>
      <c r="M2324" s="116">
        <v>760.25</v>
      </c>
      <c r="N2324" s="116">
        <v>762.7</v>
      </c>
      <c r="O2324" s="116">
        <v>752.1</v>
      </c>
      <c r="P2324" s="116">
        <v>760</v>
      </c>
      <c r="Q2324" s="116">
        <v>760.25</v>
      </c>
      <c r="R2324">
        <v>226162</v>
      </c>
    </row>
    <row r="2325" spans="1:18" x14ac:dyDescent="0.25">
      <c r="A2325" s="170">
        <v>45430</v>
      </c>
      <c r="B2325" s="116">
        <v>113.940584853337</v>
      </c>
      <c r="C2325" s="116">
        <v>113.085317744346</v>
      </c>
      <c r="D2325" s="116">
        <v>106.95590346324499</v>
      </c>
      <c r="E2325" s="116">
        <v>111.37478352636499</v>
      </c>
      <c r="F2325" s="116">
        <v>119</v>
      </c>
      <c r="G2325">
        <v>365279</v>
      </c>
      <c r="H2325" s="116"/>
      <c r="I2325" s="116"/>
      <c r="L2325" s="170">
        <v>45429</v>
      </c>
      <c r="M2325" s="116">
        <v>757.75</v>
      </c>
      <c r="N2325" s="116">
        <v>765.95</v>
      </c>
      <c r="O2325" s="116">
        <v>753.1</v>
      </c>
      <c r="P2325" s="116">
        <v>760.25</v>
      </c>
      <c r="Q2325" s="116">
        <v>757.75</v>
      </c>
      <c r="R2325">
        <v>189482</v>
      </c>
    </row>
    <row r="2326" spans="1:18" x14ac:dyDescent="0.25">
      <c r="A2326" s="170">
        <v>45433</v>
      </c>
      <c r="B2326" s="116">
        <v>114.98591131988201</v>
      </c>
      <c r="C2326" s="116">
        <v>111.04217965064601</v>
      </c>
      <c r="D2326" s="116">
        <v>110.04436802348999</v>
      </c>
      <c r="E2326" s="116">
        <v>114.17815905027901</v>
      </c>
      <c r="F2326" s="116">
        <v>116.85</v>
      </c>
      <c r="G2326">
        <v>922816</v>
      </c>
      <c r="H2326" s="116"/>
      <c r="I2326" s="116"/>
      <c r="L2326" s="170">
        <v>45430</v>
      </c>
      <c r="M2326" s="116">
        <v>758.35</v>
      </c>
      <c r="N2326" s="116">
        <v>764</v>
      </c>
      <c r="O2326" s="116">
        <v>755.15</v>
      </c>
      <c r="P2326" s="116">
        <v>763.45</v>
      </c>
      <c r="Q2326" s="116">
        <v>758.35</v>
      </c>
      <c r="R2326">
        <v>23441</v>
      </c>
    </row>
    <row r="2327" spans="1:18" x14ac:dyDescent="0.25">
      <c r="A2327" s="170">
        <v>45434</v>
      </c>
      <c r="B2327" s="116">
        <v>112.99028806557</v>
      </c>
      <c r="C2327" s="116">
        <v>109.949338344713</v>
      </c>
      <c r="D2327" s="116">
        <v>109.854308665936</v>
      </c>
      <c r="E2327" s="116">
        <v>111.992476438414</v>
      </c>
      <c r="F2327" s="116">
        <v>115.7</v>
      </c>
      <c r="G2327">
        <v>570657</v>
      </c>
      <c r="H2327" s="116"/>
      <c r="I2327" s="116"/>
      <c r="L2327" s="170">
        <v>45433</v>
      </c>
      <c r="M2327" s="116">
        <v>744.9</v>
      </c>
      <c r="N2327" s="116">
        <v>759.95</v>
      </c>
      <c r="O2327" s="116">
        <v>743</v>
      </c>
      <c r="P2327" s="116">
        <v>756.5</v>
      </c>
      <c r="Q2327" s="116">
        <v>744.9</v>
      </c>
      <c r="R2327">
        <v>333716</v>
      </c>
    </row>
    <row r="2328" spans="1:18" x14ac:dyDescent="0.25">
      <c r="A2328" s="170">
        <v>45435</v>
      </c>
      <c r="B2328" s="116">
        <v>110.662060935539</v>
      </c>
      <c r="C2328" s="116">
        <v>107.858685411625</v>
      </c>
      <c r="D2328" s="116">
        <v>106.05312151486601</v>
      </c>
      <c r="E2328" s="116">
        <v>110.662060935539</v>
      </c>
      <c r="F2328" s="116">
        <v>113.5</v>
      </c>
      <c r="G2328">
        <v>680127</v>
      </c>
      <c r="H2328" s="116"/>
      <c r="I2328" s="116"/>
      <c r="L2328" s="170">
        <v>45434</v>
      </c>
      <c r="M2328" s="116">
        <v>739.5</v>
      </c>
      <c r="N2328" s="116">
        <v>752.6</v>
      </c>
      <c r="O2328" s="116">
        <v>735.65</v>
      </c>
      <c r="P2328" s="116">
        <v>744.9</v>
      </c>
      <c r="Q2328" s="116">
        <v>739.5</v>
      </c>
      <c r="R2328">
        <v>301251</v>
      </c>
    </row>
    <row r="2329" spans="1:18" x14ac:dyDescent="0.25">
      <c r="A2329" s="170">
        <v>45436</v>
      </c>
      <c r="B2329" s="116">
        <v>110.424486738597</v>
      </c>
      <c r="C2329" s="116">
        <v>109.426675111441</v>
      </c>
      <c r="D2329" s="116">
        <v>108.048744769178</v>
      </c>
      <c r="E2329" s="116">
        <v>108.33383380550799</v>
      </c>
      <c r="F2329" s="116">
        <v>115.15</v>
      </c>
      <c r="G2329">
        <v>515737</v>
      </c>
      <c r="H2329" s="116"/>
      <c r="I2329" s="116"/>
      <c r="L2329" s="170">
        <v>45435</v>
      </c>
      <c r="M2329" s="116">
        <v>744.6</v>
      </c>
      <c r="N2329" s="116">
        <v>746.7</v>
      </c>
      <c r="O2329" s="116">
        <v>734.5</v>
      </c>
      <c r="P2329" s="116">
        <v>739.5</v>
      </c>
      <c r="Q2329" s="116">
        <v>744.6</v>
      </c>
      <c r="R2329">
        <v>405125</v>
      </c>
    </row>
    <row r="2330" spans="1:18" x14ac:dyDescent="0.25">
      <c r="A2330" s="170">
        <v>45439</v>
      </c>
      <c r="B2330" s="116">
        <v>112.46762483229701</v>
      </c>
      <c r="C2330" s="116">
        <v>110.472001577985</v>
      </c>
      <c r="D2330" s="116">
        <v>110.04436802348999</v>
      </c>
      <c r="E2330" s="116">
        <v>111.564842883918</v>
      </c>
      <c r="F2330" s="116">
        <v>116.25</v>
      </c>
      <c r="G2330">
        <v>602226</v>
      </c>
      <c r="H2330" s="116"/>
      <c r="I2330" s="116"/>
      <c r="L2330" s="170">
        <v>45436</v>
      </c>
      <c r="M2330" s="116">
        <v>738.55</v>
      </c>
      <c r="N2330" s="116">
        <v>747.2</v>
      </c>
      <c r="O2330" s="116">
        <v>735.9</v>
      </c>
      <c r="P2330" s="116">
        <v>744.6</v>
      </c>
      <c r="Q2330" s="116">
        <v>738.55</v>
      </c>
      <c r="R2330">
        <v>377050</v>
      </c>
    </row>
    <row r="2331" spans="1:18" x14ac:dyDescent="0.25">
      <c r="A2331" s="170">
        <v>45440</v>
      </c>
      <c r="B2331" s="116">
        <v>113.84555517456</v>
      </c>
      <c r="C2331" s="116">
        <v>109.949338344713</v>
      </c>
      <c r="D2331" s="116">
        <v>109.284130593276</v>
      </c>
      <c r="E2331" s="116">
        <v>111.04217965064601</v>
      </c>
      <c r="F2331" s="116">
        <v>115.7</v>
      </c>
      <c r="G2331">
        <v>749111</v>
      </c>
      <c r="H2331" s="116"/>
      <c r="I2331" s="116"/>
      <c r="L2331" s="170">
        <v>45439</v>
      </c>
      <c r="M2331" s="116">
        <v>742</v>
      </c>
      <c r="N2331" s="116">
        <v>749</v>
      </c>
      <c r="O2331" s="116">
        <v>733.55</v>
      </c>
      <c r="P2331" s="116">
        <v>742.85</v>
      </c>
      <c r="Q2331" s="116">
        <v>742</v>
      </c>
      <c r="R2331">
        <v>423585</v>
      </c>
    </row>
    <row r="2332" spans="1:18" x14ac:dyDescent="0.25">
      <c r="A2332" s="170">
        <v>45441</v>
      </c>
      <c r="B2332" s="116">
        <v>110.139397702267</v>
      </c>
      <c r="C2332" s="116">
        <v>108.904011878169</v>
      </c>
      <c r="D2332" s="116">
        <v>106.52826990875</v>
      </c>
      <c r="E2332" s="116">
        <v>109.284130593276</v>
      </c>
      <c r="F2332" s="116">
        <v>114.6</v>
      </c>
      <c r="G2332">
        <v>440859</v>
      </c>
      <c r="H2332" s="116"/>
      <c r="I2332" s="116"/>
      <c r="L2332" s="170">
        <v>45440</v>
      </c>
      <c r="M2332" s="116">
        <v>744.95</v>
      </c>
      <c r="N2332" s="116">
        <v>755.95</v>
      </c>
      <c r="O2332" s="116">
        <v>740.2</v>
      </c>
      <c r="P2332" s="116">
        <v>742</v>
      </c>
      <c r="Q2332" s="116">
        <v>744.95</v>
      </c>
      <c r="R2332">
        <v>506474</v>
      </c>
    </row>
    <row r="2333" spans="1:18" x14ac:dyDescent="0.25">
      <c r="A2333" s="170">
        <v>45442</v>
      </c>
      <c r="B2333" s="116">
        <v>120.212543652604</v>
      </c>
      <c r="C2333" s="116">
        <v>115.461059713765</v>
      </c>
      <c r="D2333" s="116">
        <v>114.98591131988201</v>
      </c>
      <c r="E2333" s="116">
        <v>118.787098470952</v>
      </c>
      <c r="F2333" s="116">
        <v>121.5</v>
      </c>
      <c r="G2333">
        <v>2840931</v>
      </c>
      <c r="H2333" s="116"/>
      <c r="I2333" s="116"/>
      <c r="L2333" s="170">
        <v>45441</v>
      </c>
      <c r="M2333" s="116">
        <v>722.2</v>
      </c>
      <c r="N2333" s="116">
        <v>743.9</v>
      </c>
      <c r="O2333" s="116">
        <v>720.3</v>
      </c>
      <c r="P2333" s="116">
        <v>743.9</v>
      </c>
      <c r="Q2333" s="116">
        <v>722.2</v>
      </c>
      <c r="R2333">
        <v>1026105</v>
      </c>
    </row>
    <row r="2334" spans="1:18" x14ac:dyDescent="0.25">
      <c r="A2334" s="170">
        <v>45443</v>
      </c>
      <c r="B2334" s="116">
        <v>118.739583631564</v>
      </c>
      <c r="C2334" s="116">
        <v>115.698633910707</v>
      </c>
      <c r="D2334" s="116">
        <v>115.413544874377</v>
      </c>
      <c r="E2334" s="116">
        <v>117.78928684379601</v>
      </c>
      <c r="F2334" s="116">
        <v>121.75</v>
      </c>
      <c r="G2334">
        <v>873713</v>
      </c>
      <c r="H2334" s="116"/>
      <c r="I2334" s="116"/>
      <c r="L2334" s="170">
        <v>45442</v>
      </c>
      <c r="M2334" s="116">
        <v>720.65</v>
      </c>
      <c r="N2334" s="116">
        <v>730.85</v>
      </c>
      <c r="O2334" s="116">
        <v>715.2</v>
      </c>
      <c r="P2334" s="116">
        <v>722</v>
      </c>
      <c r="Q2334" s="116">
        <v>720.65</v>
      </c>
      <c r="R2334">
        <v>563019</v>
      </c>
    </row>
    <row r="2335" spans="1:18" x14ac:dyDescent="0.25">
      <c r="A2335" s="170">
        <v>45446</v>
      </c>
      <c r="B2335" s="116">
        <v>122.493255943246</v>
      </c>
      <c r="C2335" s="116">
        <v>119.357276543613</v>
      </c>
      <c r="D2335" s="116">
        <v>116.45887134092099</v>
      </c>
      <c r="E2335" s="116">
        <v>122.493255943246</v>
      </c>
      <c r="F2335" s="116">
        <v>125.6</v>
      </c>
      <c r="G2335">
        <v>1780286</v>
      </c>
      <c r="H2335" s="116"/>
      <c r="I2335" s="116"/>
      <c r="L2335" s="170">
        <v>45443</v>
      </c>
      <c r="M2335" s="116">
        <v>727.2</v>
      </c>
      <c r="N2335" s="116">
        <v>734.9</v>
      </c>
      <c r="O2335" s="116">
        <v>722.55</v>
      </c>
      <c r="P2335" s="116">
        <v>723</v>
      </c>
      <c r="Q2335" s="116">
        <v>727.2</v>
      </c>
      <c r="R2335">
        <v>384226</v>
      </c>
    </row>
    <row r="2336" spans="1:18" x14ac:dyDescent="0.25">
      <c r="A2336" s="170">
        <v>45447</v>
      </c>
      <c r="B2336" s="116">
        <v>119.73739525872</v>
      </c>
      <c r="C2336" s="116">
        <v>109.901823505325</v>
      </c>
      <c r="D2336" s="116">
        <v>100.778974342756</v>
      </c>
      <c r="E2336" s="116">
        <v>119.73739525872</v>
      </c>
      <c r="F2336" s="116">
        <v>115.65</v>
      </c>
      <c r="G2336">
        <v>2218086</v>
      </c>
      <c r="H2336" s="116"/>
      <c r="I2336" s="116"/>
      <c r="L2336" s="170">
        <v>45446</v>
      </c>
      <c r="M2336" s="116">
        <v>752.15</v>
      </c>
      <c r="N2336" s="116">
        <v>759</v>
      </c>
      <c r="O2336" s="116">
        <v>736</v>
      </c>
      <c r="P2336" s="116">
        <v>750</v>
      </c>
      <c r="Q2336" s="116">
        <v>752.15</v>
      </c>
      <c r="R2336">
        <v>753365</v>
      </c>
    </row>
    <row r="2337" spans="1:18" x14ac:dyDescent="0.25">
      <c r="A2337" s="170">
        <v>45448</v>
      </c>
      <c r="B2337" s="116">
        <v>114.035614532114</v>
      </c>
      <c r="C2337" s="116">
        <v>113.84555517456</v>
      </c>
      <c r="D2337" s="116">
        <v>104.532646654438</v>
      </c>
      <c r="E2337" s="116">
        <v>110.234427381044</v>
      </c>
      <c r="F2337" s="116">
        <v>119.8</v>
      </c>
      <c r="G2337">
        <v>914611</v>
      </c>
      <c r="H2337" s="116"/>
      <c r="I2337" s="116"/>
      <c r="L2337" s="170">
        <v>45447</v>
      </c>
      <c r="M2337" s="116">
        <v>698.95</v>
      </c>
      <c r="N2337" s="116">
        <v>752.15</v>
      </c>
      <c r="O2337" s="116">
        <v>680</v>
      </c>
      <c r="P2337" s="116">
        <v>752.15</v>
      </c>
      <c r="Q2337" s="116">
        <v>698.95</v>
      </c>
      <c r="R2337">
        <v>1127713</v>
      </c>
    </row>
    <row r="2338" spans="1:18" x14ac:dyDescent="0.25">
      <c r="A2338" s="170">
        <v>45449</v>
      </c>
      <c r="B2338" s="116">
        <v>118.54952427401</v>
      </c>
      <c r="C2338" s="116">
        <v>117.694257165019</v>
      </c>
      <c r="D2338" s="116">
        <v>114.938396480493</v>
      </c>
      <c r="E2338" s="116">
        <v>115.88869326826099</v>
      </c>
      <c r="F2338" s="116">
        <v>123.85</v>
      </c>
      <c r="G2338">
        <v>1006832</v>
      </c>
      <c r="H2338" s="116"/>
      <c r="I2338" s="116"/>
      <c r="L2338" s="170">
        <v>45448</v>
      </c>
      <c r="M2338" s="116">
        <v>745.25</v>
      </c>
      <c r="N2338" s="116">
        <v>750.9</v>
      </c>
      <c r="O2338" s="116">
        <v>701.75</v>
      </c>
      <c r="P2338" s="116">
        <v>705</v>
      </c>
      <c r="Q2338" s="116">
        <v>745.25</v>
      </c>
      <c r="R2338">
        <v>992953</v>
      </c>
    </row>
    <row r="2339" spans="1:18" x14ac:dyDescent="0.25">
      <c r="A2339" s="170">
        <v>45450</v>
      </c>
      <c r="B2339" s="116">
        <v>119.642365579943</v>
      </c>
      <c r="C2339" s="116">
        <v>116.696445537863</v>
      </c>
      <c r="D2339" s="116">
        <v>116.41135650153301</v>
      </c>
      <c r="E2339" s="116">
        <v>117.83680168318401</v>
      </c>
      <c r="F2339" s="116">
        <v>122.8</v>
      </c>
      <c r="G2339">
        <v>665980</v>
      </c>
      <c r="H2339" s="116"/>
      <c r="I2339" s="116"/>
      <c r="L2339" s="170">
        <v>45449</v>
      </c>
      <c r="M2339" s="116">
        <v>763.95</v>
      </c>
      <c r="N2339" s="116">
        <v>770</v>
      </c>
      <c r="O2339" s="116">
        <v>747.6</v>
      </c>
      <c r="P2339" s="116">
        <v>754</v>
      </c>
      <c r="Q2339" s="116">
        <v>763.95</v>
      </c>
      <c r="R2339">
        <v>812090</v>
      </c>
    </row>
    <row r="2340" spans="1:18" x14ac:dyDescent="0.25">
      <c r="A2340" s="170">
        <v>45453</v>
      </c>
      <c r="B2340" s="116">
        <v>119.54733590116599</v>
      </c>
      <c r="C2340" s="116">
        <v>117.31413844991199</v>
      </c>
      <c r="D2340" s="116">
        <v>116.886504895417</v>
      </c>
      <c r="E2340" s="116">
        <v>117.599227486243</v>
      </c>
      <c r="F2340" s="116">
        <v>123.45</v>
      </c>
      <c r="G2340">
        <v>502432</v>
      </c>
      <c r="H2340" s="116"/>
      <c r="I2340" s="116"/>
      <c r="L2340" s="170">
        <v>45450</v>
      </c>
      <c r="M2340" s="116">
        <v>774.3</v>
      </c>
      <c r="N2340" s="116">
        <v>777.9</v>
      </c>
      <c r="O2340" s="116">
        <v>761.05</v>
      </c>
      <c r="P2340" s="116">
        <v>774.8</v>
      </c>
      <c r="Q2340" s="116">
        <v>774.3</v>
      </c>
      <c r="R2340">
        <v>888474</v>
      </c>
    </row>
    <row r="2341" spans="1:18" x14ac:dyDescent="0.25">
      <c r="A2341" s="170">
        <v>45454</v>
      </c>
      <c r="B2341" s="116">
        <v>119.16721718605901</v>
      </c>
      <c r="C2341" s="116">
        <v>117.21910877113601</v>
      </c>
      <c r="D2341" s="116">
        <v>116.316326822756</v>
      </c>
      <c r="E2341" s="116">
        <v>117.83680168318401</v>
      </c>
      <c r="F2341" s="116">
        <v>123.35</v>
      </c>
      <c r="G2341">
        <v>700478</v>
      </c>
      <c r="H2341" s="116"/>
      <c r="I2341" s="116"/>
      <c r="L2341" s="170">
        <v>45453</v>
      </c>
      <c r="M2341" s="116">
        <v>773.35</v>
      </c>
      <c r="N2341" s="116">
        <v>786.15</v>
      </c>
      <c r="O2341" s="116">
        <v>767.15</v>
      </c>
      <c r="P2341" s="116">
        <v>774.95</v>
      </c>
      <c r="Q2341" s="116">
        <v>773.35</v>
      </c>
      <c r="R2341">
        <v>434782</v>
      </c>
    </row>
    <row r="2342" spans="1:18" x14ac:dyDescent="0.25">
      <c r="A2342" s="170">
        <v>45455</v>
      </c>
      <c r="B2342" s="116">
        <v>129.76302636966801</v>
      </c>
      <c r="C2342" s="116">
        <v>127.57734375780301</v>
      </c>
      <c r="D2342" s="116">
        <v>117.361653289301</v>
      </c>
      <c r="E2342" s="116">
        <v>117.646742325631</v>
      </c>
      <c r="F2342" s="116">
        <v>134.25</v>
      </c>
      <c r="G2342">
        <v>3762188</v>
      </c>
      <c r="H2342" s="116"/>
      <c r="I2342" s="116"/>
      <c r="L2342" s="170">
        <v>45454</v>
      </c>
      <c r="M2342" s="116">
        <v>790.7</v>
      </c>
      <c r="N2342" s="116">
        <v>797</v>
      </c>
      <c r="O2342" s="116">
        <v>775</v>
      </c>
      <c r="P2342" s="116">
        <v>782</v>
      </c>
      <c r="Q2342" s="116">
        <v>790.7</v>
      </c>
      <c r="R2342">
        <v>1269109</v>
      </c>
    </row>
    <row r="2343" spans="1:18" x14ac:dyDescent="0.25">
      <c r="A2343" s="170">
        <v>45456</v>
      </c>
      <c r="B2343" s="116">
        <v>136.842737438537</v>
      </c>
      <c r="C2343" s="116">
        <v>134.13439159339899</v>
      </c>
      <c r="D2343" s="116">
        <v>131.14095671193101</v>
      </c>
      <c r="E2343" s="116">
        <v>131.521075427038</v>
      </c>
      <c r="F2343" s="116">
        <v>141.15</v>
      </c>
      <c r="G2343">
        <v>3049682</v>
      </c>
      <c r="H2343" s="116"/>
      <c r="I2343" s="116"/>
      <c r="L2343" s="170">
        <v>45455</v>
      </c>
      <c r="M2343" s="116">
        <v>804.5</v>
      </c>
      <c r="N2343" s="116">
        <v>811</v>
      </c>
      <c r="O2343" s="116">
        <v>787.05</v>
      </c>
      <c r="P2343" s="116">
        <v>795.8</v>
      </c>
      <c r="Q2343" s="116">
        <v>804.5</v>
      </c>
      <c r="R2343">
        <v>1357409</v>
      </c>
    </row>
    <row r="2344" spans="1:18" x14ac:dyDescent="0.25">
      <c r="A2344" s="170">
        <v>45457</v>
      </c>
      <c r="B2344" s="116">
        <v>159.64986034495999</v>
      </c>
      <c r="C2344" s="116">
        <v>155.753643515112</v>
      </c>
      <c r="D2344" s="116">
        <v>135.892440650769</v>
      </c>
      <c r="E2344" s="116">
        <v>136.36758904465299</v>
      </c>
      <c r="F2344" s="116">
        <v>163.9</v>
      </c>
      <c r="G2344">
        <v>7061726</v>
      </c>
      <c r="H2344" s="116"/>
      <c r="I2344" s="116"/>
      <c r="L2344" s="170">
        <v>45456</v>
      </c>
      <c r="M2344" s="116">
        <v>817.35</v>
      </c>
      <c r="N2344" s="116">
        <v>819.85</v>
      </c>
      <c r="O2344" s="116">
        <v>800.05</v>
      </c>
      <c r="P2344" s="116">
        <v>815</v>
      </c>
      <c r="Q2344" s="116">
        <v>817.35</v>
      </c>
      <c r="R2344">
        <v>780406</v>
      </c>
    </row>
    <row r="2345" spans="1:18" x14ac:dyDescent="0.25">
      <c r="A2345" s="170">
        <v>45461</v>
      </c>
      <c r="B2345" s="116">
        <v>175.80490573700899</v>
      </c>
      <c r="C2345" s="116">
        <v>174.331945715969</v>
      </c>
      <c r="D2345" s="116">
        <v>159.459800987406</v>
      </c>
      <c r="E2345" s="116">
        <v>159.64986034495999</v>
      </c>
      <c r="F2345" s="116">
        <v>183.45</v>
      </c>
      <c r="G2345">
        <v>5923494</v>
      </c>
      <c r="H2345" s="116"/>
      <c r="I2345" s="116"/>
      <c r="L2345" s="170">
        <v>45457</v>
      </c>
      <c r="M2345" s="116">
        <v>834.9</v>
      </c>
      <c r="N2345" s="116">
        <v>837.45</v>
      </c>
      <c r="O2345" s="116">
        <v>816.5</v>
      </c>
      <c r="P2345" s="116">
        <v>824.15</v>
      </c>
      <c r="Q2345" s="116">
        <v>834.9</v>
      </c>
      <c r="R2345">
        <v>1045330</v>
      </c>
    </row>
    <row r="2346" spans="1:18" x14ac:dyDescent="0.25">
      <c r="A2346" s="170">
        <v>45462</v>
      </c>
      <c r="B2346" s="116">
        <v>184.35757682691801</v>
      </c>
      <c r="C2346" s="116">
        <v>171.43354051327799</v>
      </c>
      <c r="D2346" s="116">
        <v>156.98902933920999</v>
      </c>
      <c r="E2346" s="116">
        <v>183.787398754257</v>
      </c>
      <c r="F2346" s="116">
        <v>180.4</v>
      </c>
      <c r="G2346">
        <v>5403503</v>
      </c>
      <c r="H2346" s="116"/>
      <c r="I2346" s="116"/>
      <c r="L2346" s="170">
        <v>45461</v>
      </c>
      <c r="M2346" s="116">
        <v>889.25</v>
      </c>
      <c r="N2346" s="116">
        <v>902.3</v>
      </c>
      <c r="O2346" s="116">
        <v>834.3</v>
      </c>
      <c r="P2346" s="116">
        <v>841.95</v>
      </c>
      <c r="Q2346" s="116">
        <v>889.25</v>
      </c>
      <c r="R2346">
        <v>4784271</v>
      </c>
    </row>
    <row r="2347" spans="1:18" x14ac:dyDescent="0.25">
      <c r="A2347" s="170">
        <v>45463</v>
      </c>
      <c r="B2347" s="116">
        <v>172.954015373706</v>
      </c>
      <c r="C2347" s="116">
        <v>165.87430430483801</v>
      </c>
      <c r="D2347" s="116">
        <v>161.55045392049499</v>
      </c>
      <c r="E2347" s="116">
        <v>171.053421798171</v>
      </c>
      <c r="F2347" s="116">
        <v>174.55</v>
      </c>
      <c r="G2347">
        <v>1876685</v>
      </c>
      <c r="H2347" s="116"/>
      <c r="I2347" s="116"/>
      <c r="L2347" s="170">
        <v>45462</v>
      </c>
      <c r="M2347" s="116">
        <v>866.25</v>
      </c>
      <c r="N2347" s="116">
        <v>894.85</v>
      </c>
      <c r="O2347" s="116">
        <v>863.6</v>
      </c>
      <c r="P2347" s="116">
        <v>889.9</v>
      </c>
      <c r="Q2347" s="116">
        <v>866.25</v>
      </c>
      <c r="R2347">
        <v>844031</v>
      </c>
    </row>
    <row r="2348" spans="1:18" x14ac:dyDescent="0.25">
      <c r="A2348" s="170">
        <v>45464</v>
      </c>
      <c r="B2348" s="116">
        <v>172.954015373706</v>
      </c>
      <c r="C2348" s="116">
        <v>170.34069920734501</v>
      </c>
      <c r="D2348" s="116">
        <v>164.40134428379801</v>
      </c>
      <c r="E2348" s="116">
        <v>166.349452698721</v>
      </c>
      <c r="F2348" s="116">
        <v>179.25</v>
      </c>
      <c r="G2348">
        <v>1872265</v>
      </c>
      <c r="H2348" s="116"/>
      <c r="I2348" s="116"/>
      <c r="L2348" s="170">
        <v>45463</v>
      </c>
      <c r="M2348" s="116">
        <v>862.5</v>
      </c>
      <c r="N2348" s="116">
        <v>879</v>
      </c>
      <c r="O2348" s="116">
        <v>858.75</v>
      </c>
      <c r="P2348" s="116">
        <v>860.25</v>
      </c>
      <c r="Q2348" s="116">
        <v>862.5</v>
      </c>
      <c r="R2348">
        <v>542596</v>
      </c>
    </row>
    <row r="2349" spans="1:18" x14ac:dyDescent="0.25">
      <c r="A2349" s="170">
        <v>45467</v>
      </c>
      <c r="B2349" s="116">
        <v>172.954015373706</v>
      </c>
      <c r="C2349" s="116">
        <v>171.67111471022</v>
      </c>
      <c r="D2349" s="116">
        <v>167.72738304098399</v>
      </c>
      <c r="E2349" s="116">
        <v>170.86336244061701</v>
      </c>
      <c r="F2349" s="116">
        <v>180.65</v>
      </c>
      <c r="G2349">
        <v>1297756</v>
      </c>
      <c r="H2349" s="116"/>
      <c r="I2349" s="116"/>
      <c r="L2349" s="170">
        <v>45464</v>
      </c>
      <c r="M2349" s="116">
        <v>860.85</v>
      </c>
      <c r="N2349" s="116">
        <v>874.1</v>
      </c>
      <c r="O2349" s="116">
        <v>850.05</v>
      </c>
      <c r="P2349" s="116">
        <v>860</v>
      </c>
      <c r="Q2349" s="116">
        <v>860.85</v>
      </c>
      <c r="R2349">
        <v>739407</v>
      </c>
    </row>
    <row r="2350" spans="1:18" x14ac:dyDescent="0.25">
      <c r="A2350" s="170">
        <v>45468</v>
      </c>
      <c r="B2350" s="116">
        <v>172.954015373706</v>
      </c>
      <c r="C2350" s="116">
        <v>168.20253143486801</v>
      </c>
      <c r="D2350" s="116">
        <v>167.25223464710101</v>
      </c>
      <c r="E2350" s="116">
        <v>171.053421798171</v>
      </c>
      <c r="F2350" s="116">
        <v>177</v>
      </c>
      <c r="G2350">
        <v>877819</v>
      </c>
      <c r="H2350" s="116"/>
      <c r="I2350" s="116"/>
      <c r="L2350" s="170">
        <v>45467</v>
      </c>
      <c r="M2350" s="116">
        <v>882.65</v>
      </c>
      <c r="N2350" s="116">
        <v>900</v>
      </c>
      <c r="O2350" s="116">
        <v>854.95</v>
      </c>
      <c r="P2350" s="116">
        <v>859.7</v>
      </c>
      <c r="Q2350" s="116">
        <v>882.65</v>
      </c>
      <c r="R2350">
        <v>2210250</v>
      </c>
    </row>
    <row r="2351" spans="1:18" x14ac:dyDescent="0.25">
      <c r="A2351" s="170">
        <v>45469</v>
      </c>
      <c r="B2351" s="116">
        <v>169.62797661651999</v>
      </c>
      <c r="C2351" s="116">
        <v>163.64110685358401</v>
      </c>
      <c r="D2351" s="116">
        <v>161.64548359927201</v>
      </c>
      <c r="E2351" s="116">
        <v>168.67767982875199</v>
      </c>
      <c r="F2351" s="116">
        <v>172.2</v>
      </c>
      <c r="G2351">
        <v>997384</v>
      </c>
      <c r="H2351" s="116"/>
      <c r="I2351" s="116"/>
      <c r="L2351" s="170">
        <v>45468</v>
      </c>
      <c r="M2351" s="116">
        <v>899.6</v>
      </c>
      <c r="N2351" s="116">
        <v>909.9</v>
      </c>
      <c r="O2351" s="116">
        <v>865.2</v>
      </c>
      <c r="P2351" s="116">
        <v>883.65</v>
      </c>
      <c r="Q2351" s="116">
        <v>899.6</v>
      </c>
      <c r="R2351">
        <v>1583825</v>
      </c>
    </row>
    <row r="2352" spans="1:18" x14ac:dyDescent="0.25">
      <c r="A2352" s="170">
        <v>45470</v>
      </c>
      <c r="B2352" s="116">
        <v>168.915254025694</v>
      </c>
      <c r="C2352" s="116">
        <v>158.74707839658001</v>
      </c>
      <c r="D2352" s="116">
        <v>156.798969981657</v>
      </c>
      <c r="E2352" s="116">
        <v>163.45104749602999</v>
      </c>
      <c r="F2352" s="116">
        <v>167.05</v>
      </c>
      <c r="G2352">
        <v>1251524</v>
      </c>
      <c r="H2352" s="116"/>
      <c r="I2352" s="116"/>
      <c r="L2352" s="170">
        <v>45469</v>
      </c>
      <c r="M2352" s="116">
        <v>901.25</v>
      </c>
      <c r="N2352" s="116">
        <v>912.65</v>
      </c>
      <c r="O2352" s="116">
        <v>885.5</v>
      </c>
      <c r="P2352" s="116">
        <v>897</v>
      </c>
      <c r="Q2352" s="116">
        <v>901.25</v>
      </c>
      <c r="R2352">
        <v>949576</v>
      </c>
    </row>
    <row r="2353" spans="1:18" x14ac:dyDescent="0.25">
      <c r="A2353" s="170">
        <v>45471</v>
      </c>
      <c r="B2353" s="116">
        <v>166.30193785933301</v>
      </c>
      <c r="C2353" s="116">
        <v>163.97371072930201</v>
      </c>
      <c r="D2353" s="116">
        <v>159.64986034495999</v>
      </c>
      <c r="E2353" s="116">
        <v>159.64986034495999</v>
      </c>
      <c r="F2353" s="116">
        <v>172.55</v>
      </c>
      <c r="G2353">
        <v>919240</v>
      </c>
      <c r="H2353" s="116"/>
      <c r="I2353" s="116"/>
      <c r="L2353" s="170">
        <v>45470</v>
      </c>
      <c r="M2353" s="116">
        <v>910.85</v>
      </c>
      <c r="N2353" s="116">
        <v>922</v>
      </c>
      <c r="O2353" s="116">
        <v>896.45</v>
      </c>
      <c r="P2353" s="116">
        <v>907.85</v>
      </c>
      <c r="Q2353" s="116">
        <v>910.85</v>
      </c>
      <c r="R2353">
        <v>1431374</v>
      </c>
    </row>
    <row r="2354" spans="1:18" x14ac:dyDescent="0.25">
      <c r="A2354" s="170">
        <v>45474</v>
      </c>
      <c r="B2354" s="116">
        <v>176.28005413089301</v>
      </c>
      <c r="C2354" s="116">
        <v>175.614846379456</v>
      </c>
      <c r="D2354" s="116">
        <v>166.349452698721</v>
      </c>
      <c r="E2354" s="116">
        <v>166.349452698721</v>
      </c>
      <c r="F2354" s="116">
        <v>184.8</v>
      </c>
      <c r="G2354">
        <v>2880130</v>
      </c>
      <c r="H2354" s="116"/>
      <c r="I2354" s="116"/>
      <c r="L2354" s="170">
        <v>45471</v>
      </c>
      <c r="M2354" s="116">
        <v>915.2</v>
      </c>
      <c r="N2354" s="116">
        <v>927.45</v>
      </c>
      <c r="O2354" s="116">
        <v>909.45</v>
      </c>
      <c r="P2354" s="116">
        <v>911</v>
      </c>
      <c r="Q2354" s="116">
        <v>915.2</v>
      </c>
      <c r="R2354">
        <v>796344</v>
      </c>
    </row>
    <row r="2355" spans="1:18" x14ac:dyDescent="0.25">
      <c r="A2355" s="170">
        <v>45475</v>
      </c>
      <c r="B2355" s="116">
        <v>180.081241281963</v>
      </c>
      <c r="C2355" s="116">
        <v>175.32975734312501</v>
      </c>
      <c r="D2355" s="116">
        <v>172.003718585939</v>
      </c>
      <c r="E2355" s="116">
        <v>179.986211603187</v>
      </c>
      <c r="F2355" s="116">
        <v>184.5</v>
      </c>
      <c r="G2355">
        <v>1886480</v>
      </c>
      <c r="H2355" s="116"/>
      <c r="I2355" s="116"/>
      <c r="L2355" s="170">
        <v>45474</v>
      </c>
      <c r="M2355" s="116">
        <v>923.45</v>
      </c>
      <c r="N2355" s="116">
        <v>938</v>
      </c>
      <c r="O2355" s="116">
        <v>916.25</v>
      </c>
      <c r="P2355" s="116">
        <v>928.8</v>
      </c>
      <c r="Q2355" s="116">
        <v>923.45</v>
      </c>
      <c r="R2355">
        <v>1260759</v>
      </c>
    </row>
    <row r="2356" spans="1:18" x14ac:dyDescent="0.25">
      <c r="A2356" s="170">
        <v>45476</v>
      </c>
      <c r="B2356" s="116">
        <v>179.60609288808001</v>
      </c>
      <c r="C2356" s="116">
        <v>176.66017284599999</v>
      </c>
      <c r="D2356" s="116">
        <v>174.854608949241</v>
      </c>
      <c r="E2356" s="116">
        <v>177.04029156110701</v>
      </c>
      <c r="F2356" s="116">
        <v>185.9</v>
      </c>
      <c r="G2356">
        <v>1257390</v>
      </c>
      <c r="H2356" s="116"/>
      <c r="I2356" s="116"/>
      <c r="L2356" s="170">
        <v>45475</v>
      </c>
      <c r="M2356" s="116">
        <v>889.8</v>
      </c>
      <c r="N2356" s="116">
        <v>930.95</v>
      </c>
      <c r="O2356" s="116">
        <v>870.35</v>
      </c>
      <c r="P2356" s="116">
        <v>924.8</v>
      </c>
      <c r="Q2356" s="116">
        <v>889.8</v>
      </c>
      <c r="R2356">
        <v>2178450</v>
      </c>
    </row>
    <row r="2357" spans="1:18" x14ac:dyDescent="0.25">
      <c r="A2357" s="170">
        <v>45477</v>
      </c>
      <c r="B2357" s="116">
        <v>179.60609288808001</v>
      </c>
      <c r="C2357" s="116">
        <v>175.66236121884401</v>
      </c>
      <c r="D2357" s="116">
        <v>173.33413408881299</v>
      </c>
      <c r="E2357" s="116">
        <v>178.608281260924</v>
      </c>
      <c r="F2357" s="116">
        <v>184.85</v>
      </c>
      <c r="G2357">
        <v>1004052</v>
      </c>
      <c r="H2357" s="116"/>
      <c r="I2357" s="116"/>
      <c r="L2357" s="170">
        <v>45476</v>
      </c>
      <c r="M2357" s="116">
        <v>902.85</v>
      </c>
      <c r="N2357" s="116">
        <v>909.6</v>
      </c>
      <c r="O2357" s="116">
        <v>881</v>
      </c>
      <c r="P2357" s="116">
        <v>893</v>
      </c>
      <c r="Q2357" s="116">
        <v>902.85</v>
      </c>
      <c r="R2357">
        <v>1326007</v>
      </c>
    </row>
    <row r="2358" spans="1:18" x14ac:dyDescent="0.25">
      <c r="A2358" s="170">
        <v>45478</v>
      </c>
      <c r="B2358" s="116">
        <v>179.60609288808001</v>
      </c>
      <c r="C2358" s="116">
        <v>178.7033109397</v>
      </c>
      <c r="D2358" s="116">
        <v>173.19158957064801</v>
      </c>
      <c r="E2358" s="116">
        <v>176.75520252477699</v>
      </c>
      <c r="F2358" s="116">
        <v>188.05</v>
      </c>
      <c r="G2358">
        <v>1395712</v>
      </c>
      <c r="H2358" s="116"/>
      <c r="I2358" s="116"/>
      <c r="L2358" s="170">
        <v>45477</v>
      </c>
      <c r="M2358" s="116">
        <v>890.6</v>
      </c>
      <c r="N2358" s="116">
        <v>908</v>
      </c>
      <c r="O2358" s="116">
        <v>886.45</v>
      </c>
      <c r="P2358" s="116">
        <v>908</v>
      </c>
      <c r="Q2358" s="116">
        <v>890.6</v>
      </c>
      <c r="R2358">
        <v>369698</v>
      </c>
    </row>
    <row r="2359" spans="1:18" x14ac:dyDescent="0.25">
      <c r="A2359" s="170">
        <v>45481</v>
      </c>
      <c r="B2359" s="116">
        <v>196.568890549732</v>
      </c>
      <c r="C2359" s="116">
        <v>195.95119763768301</v>
      </c>
      <c r="D2359" s="116">
        <v>179.60609288808001</v>
      </c>
      <c r="E2359" s="116">
        <v>181.50668646361501</v>
      </c>
      <c r="F2359" s="116">
        <v>206.2</v>
      </c>
      <c r="G2359">
        <v>3887197</v>
      </c>
      <c r="H2359" s="116"/>
      <c r="I2359" s="116"/>
      <c r="L2359" s="170">
        <v>45478</v>
      </c>
      <c r="M2359" s="116">
        <v>886.9</v>
      </c>
      <c r="N2359" s="116">
        <v>895.4</v>
      </c>
      <c r="O2359" s="116">
        <v>879.5</v>
      </c>
      <c r="P2359" s="116">
        <v>890.6</v>
      </c>
      <c r="Q2359" s="116">
        <v>886.9</v>
      </c>
      <c r="R2359">
        <v>340493</v>
      </c>
    </row>
    <row r="2360" spans="1:18" x14ac:dyDescent="0.25">
      <c r="A2360" s="170">
        <v>45482</v>
      </c>
      <c r="B2360" s="116">
        <v>212.67642110239299</v>
      </c>
      <c r="C2360" s="116">
        <v>203.69611645798901</v>
      </c>
      <c r="D2360" s="116">
        <v>195.95119763768301</v>
      </c>
      <c r="E2360" s="116">
        <v>196.71143506789701</v>
      </c>
      <c r="F2360" s="116">
        <v>214.35</v>
      </c>
      <c r="G2360">
        <v>4782456</v>
      </c>
      <c r="H2360" s="116"/>
      <c r="I2360" s="116"/>
      <c r="L2360" s="170">
        <v>45481</v>
      </c>
      <c r="M2360" s="116">
        <v>886.85</v>
      </c>
      <c r="N2360" s="116">
        <v>898</v>
      </c>
      <c r="O2360" s="116">
        <v>875</v>
      </c>
      <c r="P2360" s="116">
        <v>886.6</v>
      </c>
      <c r="Q2360" s="116">
        <v>886.85</v>
      </c>
      <c r="R2360">
        <v>404409</v>
      </c>
    </row>
    <row r="2361" spans="1:18" x14ac:dyDescent="0.25">
      <c r="A2361" s="170">
        <v>45483</v>
      </c>
      <c r="B2361" s="116">
        <v>207.87742232416599</v>
      </c>
      <c r="C2361" s="116">
        <v>196.71143506789701</v>
      </c>
      <c r="D2361" s="116">
        <v>184.310061987529</v>
      </c>
      <c r="E2361" s="116">
        <v>206.214402945573</v>
      </c>
      <c r="F2361" s="116">
        <v>207</v>
      </c>
      <c r="G2361">
        <v>3595433</v>
      </c>
      <c r="H2361" s="116"/>
      <c r="I2361" s="116"/>
      <c r="L2361" s="170">
        <v>45482</v>
      </c>
      <c r="M2361" s="116">
        <v>879.3</v>
      </c>
      <c r="N2361" s="116">
        <v>902</v>
      </c>
      <c r="O2361" s="116">
        <v>874.95</v>
      </c>
      <c r="P2361" s="116">
        <v>892.1</v>
      </c>
      <c r="Q2361" s="116">
        <v>879.3</v>
      </c>
      <c r="R2361">
        <v>1075285</v>
      </c>
    </row>
    <row r="2362" spans="1:18" x14ac:dyDescent="0.25">
      <c r="A2362" s="170">
        <v>45484</v>
      </c>
      <c r="B2362" s="116">
        <v>198.992147358539</v>
      </c>
      <c r="C2362" s="116">
        <v>195.42853440440999</v>
      </c>
      <c r="D2362" s="116">
        <v>192.91024791682599</v>
      </c>
      <c r="E2362" s="116">
        <v>198.61202864343201</v>
      </c>
      <c r="F2362" s="116">
        <v>205.65</v>
      </c>
      <c r="G2362">
        <v>1360992</v>
      </c>
      <c r="H2362" s="116"/>
      <c r="I2362" s="116"/>
      <c r="L2362" s="170">
        <v>45483</v>
      </c>
      <c r="M2362" s="116">
        <v>883.25</v>
      </c>
      <c r="N2362" s="116">
        <v>888.7</v>
      </c>
      <c r="O2362" s="116">
        <v>860.4</v>
      </c>
      <c r="P2362" s="116">
        <v>882.35</v>
      </c>
      <c r="Q2362" s="116">
        <v>883.25</v>
      </c>
      <c r="R2362">
        <v>443690</v>
      </c>
    </row>
    <row r="2363" spans="1:18" x14ac:dyDescent="0.25">
      <c r="A2363" s="170">
        <v>45485</v>
      </c>
      <c r="B2363" s="116">
        <v>200.51262221896701</v>
      </c>
      <c r="C2363" s="116">
        <v>199.13469187670401</v>
      </c>
      <c r="D2363" s="116">
        <v>196.52137571034299</v>
      </c>
      <c r="E2363" s="116">
        <v>196.71143506789701</v>
      </c>
      <c r="F2363" s="116">
        <v>209.55</v>
      </c>
      <c r="G2363">
        <v>1343029</v>
      </c>
      <c r="H2363" s="116"/>
      <c r="I2363" s="116"/>
      <c r="L2363" s="170">
        <v>45484</v>
      </c>
      <c r="M2363" s="116">
        <v>878.25</v>
      </c>
      <c r="N2363" s="116">
        <v>890.4</v>
      </c>
      <c r="O2363" s="116">
        <v>875</v>
      </c>
      <c r="P2363" s="116">
        <v>890</v>
      </c>
      <c r="Q2363" s="116">
        <v>878.25</v>
      </c>
      <c r="R2363">
        <v>196440</v>
      </c>
    </row>
    <row r="2364" spans="1:18" x14ac:dyDescent="0.25">
      <c r="A2364" s="170">
        <v>45488</v>
      </c>
      <c r="B2364" s="116">
        <v>201.652978364288</v>
      </c>
      <c r="C2364" s="116">
        <v>197.89930605260599</v>
      </c>
      <c r="D2364" s="116">
        <v>195.09593052869201</v>
      </c>
      <c r="E2364" s="116">
        <v>200.51262221896701</v>
      </c>
      <c r="F2364" s="116">
        <v>208.25</v>
      </c>
      <c r="G2364">
        <v>1136345</v>
      </c>
      <c r="H2364" s="116"/>
      <c r="I2364" s="116"/>
      <c r="L2364" s="170">
        <v>45485</v>
      </c>
      <c r="M2364" s="116">
        <v>868.25</v>
      </c>
      <c r="N2364" s="116">
        <v>881.95</v>
      </c>
      <c r="O2364" s="116">
        <v>865</v>
      </c>
      <c r="P2364" s="116">
        <v>881.95</v>
      </c>
      <c r="Q2364" s="116">
        <v>868.25</v>
      </c>
      <c r="R2364">
        <v>866676</v>
      </c>
    </row>
    <row r="2365" spans="1:18" x14ac:dyDescent="0.25">
      <c r="A2365" s="170">
        <v>45489</v>
      </c>
      <c r="B2365" s="116">
        <v>201.27285964918099</v>
      </c>
      <c r="C2365" s="116">
        <v>196.663920228508</v>
      </c>
      <c r="D2365" s="116">
        <v>194.81084149236099</v>
      </c>
      <c r="E2365" s="116">
        <v>198.564513804044</v>
      </c>
      <c r="F2365" s="116">
        <v>206.95</v>
      </c>
      <c r="G2365">
        <v>924468</v>
      </c>
      <c r="H2365" s="116"/>
      <c r="I2365" s="116"/>
      <c r="L2365" s="170">
        <v>45488</v>
      </c>
      <c r="M2365" s="116">
        <v>878.45</v>
      </c>
      <c r="N2365" s="116">
        <v>882.45</v>
      </c>
      <c r="O2365" s="116">
        <v>855.25</v>
      </c>
      <c r="P2365" s="116">
        <v>865</v>
      </c>
      <c r="Q2365" s="116">
        <v>878.45</v>
      </c>
      <c r="R2365">
        <v>737699</v>
      </c>
    </row>
    <row r="2366" spans="1:18" x14ac:dyDescent="0.25">
      <c r="A2366" s="170">
        <v>45491</v>
      </c>
      <c r="B2366" s="116">
        <v>198.61202864343201</v>
      </c>
      <c r="C2366" s="116">
        <v>189.67923883841601</v>
      </c>
      <c r="D2366" s="116">
        <v>183.69236907548</v>
      </c>
      <c r="E2366" s="116">
        <v>197.281613140557</v>
      </c>
      <c r="F2366" s="116">
        <v>199.6</v>
      </c>
      <c r="G2366">
        <v>1674133</v>
      </c>
      <c r="H2366" s="116"/>
      <c r="I2366" s="116"/>
      <c r="L2366" s="170">
        <v>45489</v>
      </c>
      <c r="M2366" s="116">
        <v>887.7</v>
      </c>
      <c r="N2366" s="116">
        <v>900</v>
      </c>
      <c r="O2366" s="116">
        <v>878.5</v>
      </c>
      <c r="P2366" s="116">
        <v>879</v>
      </c>
      <c r="Q2366" s="116">
        <v>887.7</v>
      </c>
      <c r="R2366">
        <v>897775</v>
      </c>
    </row>
    <row r="2367" spans="1:18" x14ac:dyDescent="0.25">
      <c r="A2367" s="170">
        <v>45492</v>
      </c>
      <c r="B2367" s="116">
        <v>195.28598988624501</v>
      </c>
      <c r="C2367" s="116">
        <v>173.66673796453199</v>
      </c>
      <c r="D2367" s="116">
        <v>170.720817922452</v>
      </c>
      <c r="E2367" s="116">
        <v>189.109060765756</v>
      </c>
      <c r="F2367" s="116">
        <v>182.75</v>
      </c>
      <c r="G2367">
        <v>5413011</v>
      </c>
      <c r="H2367" s="116"/>
      <c r="I2367" s="116"/>
      <c r="L2367" s="170">
        <v>45491</v>
      </c>
      <c r="M2367" s="116">
        <v>877.1</v>
      </c>
      <c r="N2367" s="116">
        <v>894.7</v>
      </c>
      <c r="O2367" s="116">
        <v>866.15</v>
      </c>
      <c r="P2367" s="116">
        <v>894</v>
      </c>
      <c r="Q2367" s="116">
        <v>877.1</v>
      </c>
      <c r="R2367">
        <v>392701</v>
      </c>
    </row>
    <row r="2368" spans="1:18" x14ac:dyDescent="0.25">
      <c r="A2368" s="170">
        <v>45495</v>
      </c>
      <c r="B2368" s="116">
        <v>191.009654341291</v>
      </c>
      <c r="C2368" s="116">
        <v>189.58420915964001</v>
      </c>
      <c r="D2368" s="116">
        <v>159.64986034495999</v>
      </c>
      <c r="E2368" s="116">
        <v>170.530758564899</v>
      </c>
      <c r="F2368" s="116">
        <v>199.5</v>
      </c>
      <c r="G2368">
        <v>2710880</v>
      </c>
      <c r="H2368" s="116"/>
      <c r="I2368" s="116"/>
      <c r="L2368" s="170">
        <v>45492</v>
      </c>
      <c r="M2368" s="116">
        <v>849.3</v>
      </c>
      <c r="N2368" s="116">
        <v>884.8</v>
      </c>
      <c r="O2368" s="116">
        <v>844</v>
      </c>
      <c r="P2368" s="116">
        <v>884.8</v>
      </c>
      <c r="Q2368" s="116">
        <v>849.3</v>
      </c>
      <c r="R2368">
        <v>555823</v>
      </c>
    </row>
    <row r="2369" spans="1:18" x14ac:dyDescent="0.25">
      <c r="A2369" s="170">
        <v>45496</v>
      </c>
      <c r="B2369" s="116">
        <v>198.61202864343201</v>
      </c>
      <c r="C2369" s="116">
        <v>191.34225821701</v>
      </c>
      <c r="D2369" s="116">
        <v>172.14626310410401</v>
      </c>
      <c r="E2369" s="116">
        <v>197.37664281933399</v>
      </c>
      <c r="F2369" s="116">
        <v>201.35</v>
      </c>
      <c r="G2369">
        <v>2716282</v>
      </c>
      <c r="H2369" s="116"/>
      <c r="I2369" s="116"/>
      <c r="L2369" s="170">
        <v>45495</v>
      </c>
      <c r="M2369" s="116">
        <v>845.25</v>
      </c>
      <c r="N2369" s="116">
        <v>856.4</v>
      </c>
      <c r="O2369" s="116">
        <v>806.3</v>
      </c>
      <c r="P2369" s="116">
        <v>830</v>
      </c>
      <c r="Q2369" s="116">
        <v>845.25</v>
      </c>
      <c r="R2369">
        <v>3996731</v>
      </c>
    </row>
    <row r="2370" spans="1:18" x14ac:dyDescent="0.25">
      <c r="A2370" s="170">
        <v>45497</v>
      </c>
      <c r="B2370" s="116">
        <v>196.426346031566</v>
      </c>
      <c r="C2370" s="116">
        <v>190.24941691107699</v>
      </c>
      <c r="D2370" s="116">
        <v>187.20846719022001</v>
      </c>
      <c r="E2370" s="116">
        <v>191.95995112905899</v>
      </c>
      <c r="F2370" s="116">
        <v>200.2</v>
      </c>
      <c r="G2370">
        <v>825559</v>
      </c>
      <c r="H2370" s="116"/>
      <c r="I2370" s="116"/>
      <c r="L2370" s="170">
        <v>45496</v>
      </c>
      <c r="M2370" s="116">
        <v>842.8</v>
      </c>
      <c r="N2370" s="116">
        <v>862.2</v>
      </c>
      <c r="O2370" s="116">
        <v>792.95</v>
      </c>
      <c r="P2370" s="116">
        <v>857.45</v>
      </c>
      <c r="Q2370" s="116">
        <v>842.8</v>
      </c>
      <c r="R2370">
        <v>2849622</v>
      </c>
    </row>
    <row r="2371" spans="1:18" x14ac:dyDescent="0.25">
      <c r="A2371" s="170">
        <v>45498</v>
      </c>
      <c r="B2371" s="116">
        <v>190.059357553523</v>
      </c>
      <c r="C2371" s="116">
        <v>187.49355622655099</v>
      </c>
      <c r="D2371" s="116">
        <v>181.50668646361501</v>
      </c>
      <c r="E2371" s="116">
        <v>188.158763977988</v>
      </c>
      <c r="F2371" s="116">
        <v>197.3</v>
      </c>
      <c r="G2371">
        <v>768355</v>
      </c>
      <c r="H2371" s="116"/>
      <c r="I2371" s="116"/>
      <c r="L2371" s="170">
        <v>45497</v>
      </c>
      <c r="M2371" s="116">
        <v>850.25</v>
      </c>
      <c r="N2371" s="116">
        <v>855</v>
      </c>
      <c r="O2371" s="116">
        <v>829</v>
      </c>
      <c r="P2371" s="116">
        <v>840</v>
      </c>
      <c r="Q2371" s="116">
        <v>850.25</v>
      </c>
      <c r="R2371">
        <v>1333753</v>
      </c>
    </row>
    <row r="2372" spans="1:18" x14ac:dyDescent="0.25">
      <c r="A2372" s="170">
        <v>45499</v>
      </c>
      <c r="B2372" s="116">
        <v>194.620782134808</v>
      </c>
      <c r="C2372" s="116">
        <v>189.48917948086299</v>
      </c>
      <c r="D2372" s="116">
        <v>188.72894205064901</v>
      </c>
      <c r="E2372" s="116">
        <v>191.38977305639801</v>
      </c>
      <c r="F2372" s="116">
        <v>199.4</v>
      </c>
      <c r="G2372">
        <v>774225</v>
      </c>
      <c r="H2372" s="116"/>
      <c r="I2372" s="116"/>
      <c r="L2372" s="170">
        <v>45498</v>
      </c>
      <c r="M2372" s="116">
        <v>827.8</v>
      </c>
      <c r="N2372" s="116">
        <v>844.95</v>
      </c>
      <c r="O2372" s="116">
        <v>822</v>
      </c>
      <c r="P2372" s="116">
        <v>844.95</v>
      </c>
      <c r="Q2372" s="116">
        <v>827.8</v>
      </c>
      <c r="R2372">
        <v>1079220</v>
      </c>
    </row>
    <row r="2373" spans="1:18" x14ac:dyDescent="0.25">
      <c r="A2373" s="170">
        <v>45502</v>
      </c>
      <c r="B2373" s="116">
        <v>195.76113828012899</v>
      </c>
      <c r="C2373" s="116">
        <v>189.72675367780499</v>
      </c>
      <c r="D2373" s="116">
        <v>187.303496868997</v>
      </c>
      <c r="E2373" s="116">
        <v>190.059357553523</v>
      </c>
      <c r="F2373" s="116">
        <v>199.65</v>
      </c>
      <c r="G2373">
        <v>1193487</v>
      </c>
      <c r="H2373" s="116"/>
      <c r="I2373" s="116"/>
      <c r="L2373" s="170">
        <v>45499</v>
      </c>
      <c r="M2373" s="116">
        <v>856.9</v>
      </c>
      <c r="N2373" s="116">
        <v>868.35</v>
      </c>
      <c r="O2373" s="116">
        <v>828.05</v>
      </c>
      <c r="P2373" s="116">
        <v>828.05</v>
      </c>
      <c r="Q2373" s="116">
        <v>856.9</v>
      </c>
      <c r="R2373">
        <v>831348</v>
      </c>
    </row>
    <row r="2374" spans="1:18" x14ac:dyDescent="0.25">
      <c r="A2374" s="170">
        <v>45503</v>
      </c>
      <c r="B2374" s="116">
        <v>201.93806740061899</v>
      </c>
      <c r="C2374" s="116">
        <v>200.41759254018999</v>
      </c>
      <c r="D2374" s="116">
        <v>190.96213950190301</v>
      </c>
      <c r="E2374" s="116">
        <v>191.009654341291</v>
      </c>
      <c r="F2374" s="116">
        <v>210.9</v>
      </c>
      <c r="G2374">
        <v>2244883</v>
      </c>
      <c r="H2374" s="116"/>
      <c r="I2374" s="116"/>
      <c r="L2374" s="170">
        <v>45502</v>
      </c>
      <c r="M2374" s="116">
        <v>855.75</v>
      </c>
      <c r="N2374" s="116">
        <v>872</v>
      </c>
      <c r="O2374" s="116">
        <v>853.05</v>
      </c>
      <c r="P2374" s="116">
        <v>857</v>
      </c>
      <c r="Q2374" s="116">
        <v>855.75</v>
      </c>
      <c r="R2374">
        <v>609474</v>
      </c>
    </row>
    <row r="2375" spans="1:18" x14ac:dyDescent="0.25">
      <c r="A2375" s="170">
        <v>45504</v>
      </c>
      <c r="B2375" s="116">
        <v>201.46291900673501</v>
      </c>
      <c r="C2375" s="116">
        <v>194.24066341970101</v>
      </c>
      <c r="D2375" s="116">
        <v>193.86054470459399</v>
      </c>
      <c r="E2375" s="116">
        <v>201.46291900673501</v>
      </c>
      <c r="F2375" s="116">
        <v>204.4</v>
      </c>
      <c r="G2375">
        <v>590832</v>
      </c>
      <c r="H2375" s="116"/>
      <c r="I2375" s="116"/>
      <c r="L2375" s="170">
        <v>45503</v>
      </c>
      <c r="M2375" s="116">
        <v>851.55</v>
      </c>
      <c r="N2375" s="116">
        <v>861.3</v>
      </c>
      <c r="O2375" s="116">
        <v>845.75</v>
      </c>
      <c r="P2375" s="116">
        <v>855</v>
      </c>
      <c r="Q2375" s="116">
        <v>851.55</v>
      </c>
      <c r="R2375">
        <v>268939</v>
      </c>
    </row>
    <row r="2376" spans="1:18" x14ac:dyDescent="0.25">
      <c r="A2376" s="170">
        <v>45505</v>
      </c>
      <c r="B2376" s="116">
        <v>195.61859376196401</v>
      </c>
      <c r="C2376" s="116">
        <v>189.15657560514401</v>
      </c>
      <c r="D2376" s="116">
        <v>186.780833635725</v>
      </c>
      <c r="E2376" s="116">
        <v>195.19096020746801</v>
      </c>
      <c r="F2376" s="116">
        <v>199.05</v>
      </c>
      <c r="G2376">
        <v>667377</v>
      </c>
      <c r="H2376" s="116"/>
      <c r="I2376" s="116"/>
      <c r="L2376" s="170">
        <v>45504</v>
      </c>
      <c r="M2376" s="116">
        <v>848.65</v>
      </c>
      <c r="N2376" s="116">
        <v>857.4</v>
      </c>
      <c r="O2376" s="116">
        <v>845.15</v>
      </c>
      <c r="P2376" s="116">
        <v>855.35</v>
      </c>
      <c r="Q2376" s="116">
        <v>848.65</v>
      </c>
      <c r="R2376">
        <v>164005</v>
      </c>
    </row>
    <row r="2377" spans="1:18" x14ac:dyDescent="0.25">
      <c r="A2377" s="170">
        <v>45506</v>
      </c>
      <c r="B2377" s="116">
        <v>190.059357553523</v>
      </c>
      <c r="C2377" s="116">
        <v>187.96870462043501</v>
      </c>
      <c r="D2377" s="116">
        <v>183.40728003915001</v>
      </c>
      <c r="E2377" s="116">
        <v>185.497932972239</v>
      </c>
      <c r="F2377" s="116">
        <v>197.8</v>
      </c>
      <c r="G2377">
        <v>375015</v>
      </c>
      <c r="H2377" s="116"/>
      <c r="I2377" s="116"/>
      <c r="L2377" s="170">
        <v>45505</v>
      </c>
      <c r="M2377" s="116">
        <v>835</v>
      </c>
      <c r="N2377" s="116">
        <v>853.45</v>
      </c>
      <c r="O2377" s="116">
        <v>829.25</v>
      </c>
      <c r="P2377" s="116">
        <v>850</v>
      </c>
      <c r="Q2377" s="116">
        <v>835</v>
      </c>
      <c r="R2377">
        <v>324361</v>
      </c>
    </row>
    <row r="2378" spans="1:18" x14ac:dyDescent="0.25">
      <c r="A2378" s="170">
        <v>45509</v>
      </c>
      <c r="B2378" s="116">
        <v>182.409468411994</v>
      </c>
      <c r="C2378" s="116">
        <v>176.70768768538801</v>
      </c>
      <c r="D2378" s="116">
        <v>173.19158957064801</v>
      </c>
      <c r="E2378" s="116">
        <v>178.608281260924</v>
      </c>
      <c r="F2378" s="116">
        <v>185.95</v>
      </c>
      <c r="G2378">
        <v>671571</v>
      </c>
      <c r="H2378" s="116"/>
      <c r="I2378" s="116"/>
      <c r="L2378" s="170">
        <v>45506</v>
      </c>
      <c r="M2378" s="116">
        <v>836.6</v>
      </c>
      <c r="N2378" s="116">
        <v>841.8</v>
      </c>
      <c r="O2378" s="116">
        <v>815</v>
      </c>
      <c r="P2378" s="116">
        <v>829.8</v>
      </c>
      <c r="Q2378" s="116">
        <v>836.6</v>
      </c>
      <c r="R2378">
        <v>442892</v>
      </c>
    </row>
    <row r="2379" spans="1:18" x14ac:dyDescent="0.25">
      <c r="A2379" s="170">
        <v>45510</v>
      </c>
      <c r="B2379" s="116">
        <v>184.45260650569401</v>
      </c>
      <c r="C2379" s="116">
        <v>174.37946055535801</v>
      </c>
      <c r="D2379" s="116">
        <v>171.10093663755899</v>
      </c>
      <c r="E2379" s="116">
        <v>177.04029156110701</v>
      </c>
      <c r="F2379" s="116">
        <v>183.5</v>
      </c>
      <c r="G2379">
        <v>627987</v>
      </c>
      <c r="H2379" s="116"/>
      <c r="I2379" s="116"/>
      <c r="L2379" s="170">
        <v>45509</v>
      </c>
      <c r="M2379" s="116">
        <v>782</v>
      </c>
      <c r="N2379" s="116">
        <v>819.8</v>
      </c>
      <c r="O2379" s="116">
        <v>773.6</v>
      </c>
      <c r="P2379" s="116">
        <v>819.8</v>
      </c>
      <c r="Q2379" s="116">
        <v>782</v>
      </c>
      <c r="R2379">
        <v>1151511</v>
      </c>
    </row>
    <row r="2380" spans="1:18" x14ac:dyDescent="0.25">
      <c r="A2380" s="170">
        <v>45511</v>
      </c>
      <c r="B2380" s="116">
        <v>183.97745811181099</v>
      </c>
      <c r="C2380" s="116">
        <v>182.076864536275</v>
      </c>
      <c r="D2380" s="116">
        <v>175.80490573700899</v>
      </c>
      <c r="E2380" s="116">
        <v>179.986211603187</v>
      </c>
      <c r="F2380" s="116">
        <v>191.6</v>
      </c>
      <c r="G2380">
        <v>333251</v>
      </c>
      <c r="H2380" s="116"/>
      <c r="I2380" s="116"/>
      <c r="L2380" s="170">
        <v>45510</v>
      </c>
      <c r="M2380" s="116">
        <v>772.4</v>
      </c>
      <c r="N2380" s="116">
        <v>807</v>
      </c>
      <c r="O2380" s="116">
        <v>766.35</v>
      </c>
      <c r="P2380" s="116">
        <v>792.45</v>
      </c>
      <c r="Q2380" s="116">
        <v>772.4</v>
      </c>
      <c r="R2380">
        <v>685408</v>
      </c>
    </row>
    <row r="2381" spans="1:18" x14ac:dyDescent="0.25">
      <c r="A2381" s="170">
        <v>45512</v>
      </c>
      <c r="B2381" s="116">
        <v>182.45698325138201</v>
      </c>
      <c r="C2381" s="116">
        <v>179.653607727468</v>
      </c>
      <c r="D2381" s="116">
        <v>178.89337029725399</v>
      </c>
      <c r="E2381" s="116">
        <v>182.26692389382899</v>
      </c>
      <c r="F2381" s="116">
        <v>189.05</v>
      </c>
      <c r="G2381">
        <v>264867</v>
      </c>
      <c r="H2381" s="116"/>
      <c r="I2381" s="116"/>
      <c r="L2381" s="170">
        <v>45511</v>
      </c>
      <c r="M2381" s="116">
        <v>787.55</v>
      </c>
      <c r="N2381" s="116">
        <v>789.75</v>
      </c>
      <c r="O2381" s="116">
        <v>774</v>
      </c>
      <c r="P2381" s="116">
        <v>788</v>
      </c>
      <c r="Q2381" s="116">
        <v>787.55</v>
      </c>
      <c r="R2381">
        <v>265308</v>
      </c>
    </row>
    <row r="2382" spans="1:18" x14ac:dyDescent="0.25">
      <c r="A2382" s="170">
        <v>45513</v>
      </c>
      <c r="B2382" s="116">
        <v>182.219409054441</v>
      </c>
      <c r="C2382" s="116">
        <v>177.65798447315601</v>
      </c>
      <c r="D2382" s="116">
        <v>175.80490573700899</v>
      </c>
      <c r="E2382" s="116">
        <v>181.17408258789601</v>
      </c>
      <c r="F2382" s="116">
        <v>186.95</v>
      </c>
      <c r="G2382">
        <v>231206</v>
      </c>
      <c r="H2382" s="116"/>
      <c r="I2382" s="116"/>
      <c r="L2382" s="170">
        <v>45512</v>
      </c>
      <c r="M2382" s="116">
        <v>786.1</v>
      </c>
      <c r="N2382" s="116">
        <v>800.85</v>
      </c>
      <c r="O2382" s="116">
        <v>780.55</v>
      </c>
      <c r="P2382" s="116">
        <v>787.55</v>
      </c>
      <c r="Q2382" s="116">
        <v>786.1</v>
      </c>
      <c r="R2382">
        <v>1032271</v>
      </c>
    </row>
    <row r="2383" spans="1:18" x14ac:dyDescent="0.25">
      <c r="A2383" s="170">
        <v>45516</v>
      </c>
      <c r="B2383" s="116">
        <v>186.258170402453</v>
      </c>
      <c r="C2383" s="116">
        <v>182.88461680587801</v>
      </c>
      <c r="D2383" s="116">
        <v>171.52857019205501</v>
      </c>
      <c r="E2383" s="116">
        <v>175.75739089762101</v>
      </c>
      <c r="F2383" s="116">
        <v>192.45</v>
      </c>
      <c r="G2383">
        <v>657492</v>
      </c>
      <c r="H2383" s="116"/>
      <c r="I2383" s="116"/>
      <c r="L2383" s="170">
        <v>45513</v>
      </c>
      <c r="M2383" s="116">
        <v>803.15</v>
      </c>
      <c r="N2383" s="116">
        <v>808</v>
      </c>
      <c r="O2383" s="116">
        <v>790.05</v>
      </c>
      <c r="P2383" s="116">
        <v>790.05</v>
      </c>
      <c r="Q2383" s="116">
        <v>803.15</v>
      </c>
      <c r="R2383">
        <v>663662</v>
      </c>
    </row>
    <row r="2384" spans="1:18" x14ac:dyDescent="0.25">
      <c r="A2384" s="170">
        <v>45517</v>
      </c>
      <c r="B2384" s="116">
        <v>184.16751746936399</v>
      </c>
      <c r="C2384" s="116">
        <v>175.092183146183</v>
      </c>
      <c r="D2384" s="116">
        <v>173.95182700086201</v>
      </c>
      <c r="E2384" s="116">
        <v>182.26692389382899</v>
      </c>
      <c r="F2384" s="116">
        <v>184.25</v>
      </c>
      <c r="G2384">
        <v>401771</v>
      </c>
      <c r="H2384" s="116"/>
      <c r="I2384" s="116"/>
      <c r="L2384" s="170">
        <v>45516</v>
      </c>
      <c r="M2384" s="116">
        <v>818.2</v>
      </c>
      <c r="N2384" s="116">
        <v>822.8</v>
      </c>
      <c r="O2384" s="116">
        <v>798</v>
      </c>
      <c r="P2384" s="116">
        <v>805</v>
      </c>
      <c r="Q2384" s="116">
        <v>818.2</v>
      </c>
      <c r="R2384">
        <v>613242</v>
      </c>
    </row>
    <row r="2385" spans="1:18" x14ac:dyDescent="0.25">
      <c r="A2385" s="170">
        <v>45518</v>
      </c>
      <c r="B2385" s="116">
        <v>175.04466830679499</v>
      </c>
      <c r="C2385" s="116">
        <v>169.53294693774299</v>
      </c>
      <c r="D2385" s="116">
        <v>167.774897880373</v>
      </c>
      <c r="E2385" s="116">
        <v>175.04466830679499</v>
      </c>
      <c r="F2385" s="116">
        <v>178.4</v>
      </c>
      <c r="G2385">
        <v>313197</v>
      </c>
      <c r="H2385" s="116"/>
      <c r="I2385" s="116"/>
      <c r="L2385" s="170">
        <v>45517</v>
      </c>
      <c r="M2385" s="116">
        <v>802.85</v>
      </c>
      <c r="N2385" s="116">
        <v>818.2</v>
      </c>
      <c r="O2385" s="116">
        <v>800</v>
      </c>
      <c r="P2385" s="116">
        <v>813</v>
      </c>
      <c r="Q2385" s="116">
        <v>802.85</v>
      </c>
      <c r="R2385">
        <v>472800</v>
      </c>
    </row>
    <row r="2386" spans="1:18" x14ac:dyDescent="0.25">
      <c r="A2386" s="170">
        <v>45520</v>
      </c>
      <c r="B2386" s="116">
        <v>174.56951991291101</v>
      </c>
      <c r="C2386" s="116">
        <v>170.15063984979199</v>
      </c>
      <c r="D2386" s="116">
        <v>168.297561113645</v>
      </c>
      <c r="E2386" s="116">
        <v>173.00153021309501</v>
      </c>
      <c r="F2386" s="116">
        <v>179.05</v>
      </c>
      <c r="G2386">
        <v>312356</v>
      </c>
      <c r="H2386" s="116"/>
      <c r="I2386" s="116"/>
      <c r="L2386" s="170">
        <v>45518</v>
      </c>
      <c r="M2386" s="116">
        <v>805.4</v>
      </c>
      <c r="N2386" s="116">
        <v>808.85</v>
      </c>
      <c r="O2386" s="116">
        <v>793.05</v>
      </c>
      <c r="P2386" s="116">
        <v>807</v>
      </c>
      <c r="Q2386" s="116">
        <v>805.4</v>
      </c>
      <c r="R2386">
        <v>272425</v>
      </c>
    </row>
    <row r="2387" spans="1:18" x14ac:dyDescent="0.25">
      <c r="A2387" s="170">
        <v>45523</v>
      </c>
      <c r="B2387" s="116">
        <v>174.331945715969</v>
      </c>
      <c r="C2387" s="116">
        <v>172.57389665859901</v>
      </c>
      <c r="D2387" s="116">
        <v>170.19815468918</v>
      </c>
      <c r="E2387" s="116">
        <v>170.19815468918</v>
      </c>
      <c r="F2387" s="116">
        <v>181.6</v>
      </c>
      <c r="G2387">
        <v>144335</v>
      </c>
      <c r="H2387" s="116"/>
      <c r="I2387" s="116"/>
      <c r="L2387" s="170">
        <v>45520</v>
      </c>
      <c r="M2387" s="116">
        <v>834.55</v>
      </c>
      <c r="N2387" s="116">
        <v>839</v>
      </c>
      <c r="O2387" s="116">
        <v>805.4</v>
      </c>
      <c r="P2387" s="116">
        <v>805.4</v>
      </c>
      <c r="Q2387" s="116">
        <v>834.55</v>
      </c>
      <c r="R2387">
        <v>397103</v>
      </c>
    </row>
    <row r="2388" spans="1:18" x14ac:dyDescent="0.25">
      <c r="A2388" s="170">
        <v>45524</v>
      </c>
      <c r="B2388" s="116">
        <v>179.27348901236101</v>
      </c>
      <c r="C2388" s="116">
        <v>174.141886358416</v>
      </c>
      <c r="D2388" s="116">
        <v>172.19377794349199</v>
      </c>
      <c r="E2388" s="116">
        <v>175.519816700679</v>
      </c>
      <c r="F2388" s="116">
        <v>183.25</v>
      </c>
      <c r="G2388">
        <v>292336</v>
      </c>
      <c r="H2388" s="116"/>
      <c r="I2388" s="116"/>
      <c r="L2388" s="170">
        <v>45523</v>
      </c>
      <c r="M2388" s="116">
        <v>843.75</v>
      </c>
      <c r="N2388" s="116">
        <v>846</v>
      </c>
      <c r="O2388" s="116">
        <v>835.7</v>
      </c>
      <c r="P2388" s="116">
        <v>836.65</v>
      </c>
      <c r="Q2388" s="116">
        <v>843.75</v>
      </c>
      <c r="R2388">
        <v>242818</v>
      </c>
    </row>
    <row r="2389" spans="1:18" x14ac:dyDescent="0.25">
      <c r="A2389" s="170">
        <v>45525</v>
      </c>
      <c r="B2389" s="116">
        <v>181.459171624226</v>
      </c>
      <c r="C2389" s="116">
        <v>176.70768768538801</v>
      </c>
      <c r="D2389" s="116">
        <v>171.52857019205501</v>
      </c>
      <c r="E2389" s="116">
        <v>173.476678606978</v>
      </c>
      <c r="F2389" s="116">
        <v>185.95</v>
      </c>
      <c r="G2389">
        <v>605316</v>
      </c>
      <c r="H2389" s="116"/>
      <c r="I2389" s="116"/>
      <c r="L2389" s="170">
        <v>45524</v>
      </c>
      <c r="M2389" s="116">
        <v>847.65</v>
      </c>
      <c r="N2389" s="116">
        <v>850.8</v>
      </c>
      <c r="O2389" s="116">
        <v>840.65</v>
      </c>
      <c r="P2389" s="116">
        <v>844.9</v>
      </c>
      <c r="Q2389" s="116">
        <v>847.65</v>
      </c>
      <c r="R2389">
        <v>265744</v>
      </c>
    </row>
    <row r="2390" spans="1:18" x14ac:dyDescent="0.25">
      <c r="A2390" s="170">
        <v>45526</v>
      </c>
      <c r="B2390" s="116">
        <v>185.02278457835499</v>
      </c>
      <c r="C2390" s="116">
        <v>181.554201303003</v>
      </c>
      <c r="D2390" s="116">
        <v>176.992776721719</v>
      </c>
      <c r="E2390" s="116">
        <v>176.992776721719</v>
      </c>
      <c r="F2390" s="116">
        <v>191.05</v>
      </c>
      <c r="G2390">
        <v>444523</v>
      </c>
      <c r="H2390" s="116"/>
      <c r="I2390" s="116"/>
      <c r="L2390" s="170">
        <v>45525</v>
      </c>
      <c r="M2390" s="116">
        <v>847</v>
      </c>
      <c r="N2390" s="116">
        <v>859.4</v>
      </c>
      <c r="O2390" s="116">
        <v>844.1</v>
      </c>
      <c r="P2390" s="116">
        <v>847.85</v>
      </c>
      <c r="Q2390" s="116">
        <v>847</v>
      </c>
      <c r="R2390">
        <v>352021</v>
      </c>
    </row>
    <row r="2391" spans="1:18" x14ac:dyDescent="0.25">
      <c r="A2391" s="170">
        <v>45527</v>
      </c>
      <c r="B2391" s="116">
        <v>183.54982455731499</v>
      </c>
      <c r="C2391" s="116">
        <v>177.99058834887501</v>
      </c>
      <c r="D2391" s="116">
        <v>177.230350918661</v>
      </c>
      <c r="E2391" s="116">
        <v>182.12437937566401</v>
      </c>
      <c r="F2391" s="116">
        <v>187.3</v>
      </c>
      <c r="G2391">
        <v>167836</v>
      </c>
      <c r="H2391" s="116"/>
      <c r="I2391" s="116"/>
      <c r="L2391" s="170">
        <v>45526</v>
      </c>
      <c r="M2391" s="116">
        <v>849.6</v>
      </c>
      <c r="N2391" s="116">
        <v>853</v>
      </c>
      <c r="O2391" s="116">
        <v>840.9</v>
      </c>
      <c r="P2391" s="116">
        <v>850</v>
      </c>
      <c r="Q2391" s="116">
        <v>849.6</v>
      </c>
      <c r="R2391">
        <v>425674</v>
      </c>
    </row>
    <row r="2392" spans="1:18" x14ac:dyDescent="0.25">
      <c r="A2392" s="170">
        <v>45530</v>
      </c>
      <c r="B2392" s="116">
        <v>179.41603353052599</v>
      </c>
      <c r="C2392" s="116">
        <v>175.66236121884401</v>
      </c>
      <c r="D2392" s="116">
        <v>174.90212378863001</v>
      </c>
      <c r="E2392" s="116">
        <v>178.608281260924</v>
      </c>
      <c r="F2392" s="116">
        <v>184.85</v>
      </c>
      <c r="G2392">
        <v>127558</v>
      </c>
      <c r="H2392" s="116"/>
      <c r="I2392" s="116"/>
      <c r="L2392" s="170">
        <v>45527</v>
      </c>
      <c r="M2392" s="116">
        <v>850.1</v>
      </c>
      <c r="N2392" s="116">
        <v>857.65</v>
      </c>
      <c r="O2392" s="116">
        <v>842.55</v>
      </c>
      <c r="P2392" s="116">
        <v>849.9</v>
      </c>
      <c r="Q2392" s="116">
        <v>850.1</v>
      </c>
      <c r="R2392">
        <v>795371</v>
      </c>
    </row>
    <row r="2393" spans="1:18" x14ac:dyDescent="0.25">
      <c r="A2393" s="170">
        <v>45531</v>
      </c>
      <c r="B2393" s="116">
        <v>177.70549931254399</v>
      </c>
      <c r="C2393" s="116">
        <v>175.614846379456</v>
      </c>
      <c r="D2393" s="116">
        <v>173.99934184025099</v>
      </c>
      <c r="E2393" s="116">
        <v>176.37508380967</v>
      </c>
      <c r="F2393" s="116">
        <v>184.8</v>
      </c>
      <c r="G2393">
        <v>128459</v>
      </c>
      <c r="H2393" s="116"/>
      <c r="I2393" s="116"/>
      <c r="L2393" s="170">
        <v>45530</v>
      </c>
      <c r="M2393" s="116">
        <v>852.35</v>
      </c>
      <c r="N2393" s="116">
        <v>856.95</v>
      </c>
      <c r="O2393" s="116">
        <v>842.45</v>
      </c>
      <c r="P2393" s="116">
        <v>855.45</v>
      </c>
      <c r="Q2393" s="116">
        <v>852.35</v>
      </c>
      <c r="R2393">
        <v>306215</v>
      </c>
    </row>
    <row r="2394" spans="1:18" x14ac:dyDescent="0.25">
      <c r="A2394" s="170">
        <v>45532</v>
      </c>
      <c r="B2394" s="116">
        <v>177.70549931254399</v>
      </c>
      <c r="C2394" s="116">
        <v>172.66892633737601</v>
      </c>
      <c r="D2394" s="116">
        <v>172.003718585939</v>
      </c>
      <c r="E2394" s="116">
        <v>174.42697539474599</v>
      </c>
      <c r="F2394" s="116">
        <v>181.7</v>
      </c>
      <c r="G2394">
        <v>219497</v>
      </c>
      <c r="H2394" s="116"/>
      <c r="I2394" s="116"/>
      <c r="L2394" s="170">
        <v>45531</v>
      </c>
      <c r="M2394" s="116">
        <v>861.3</v>
      </c>
      <c r="N2394" s="116">
        <v>867.25</v>
      </c>
      <c r="O2394" s="116">
        <v>846.5</v>
      </c>
      <c r="P2394" s="116">
        <v>852.35</v>
      </c>
      <c r="Q2394" s="116">
        <v>861.3</v>
      </c>
      <c r="R2394">
        <v>432911</v>
      </c>
    </row>
    <row r="2395" spans="1:18" x14ac:dyDescent="0.25">
      <c r="A2395" s="170">
        <v>45533</v>
      </c>
      <c r="B2395" s="116">
        <v>174.854608949241</v>
      </c>
      <c r="C2395" s="116">
        <v>167.964957237926</v>
      </c>
      <c r="D2395" s="116">
        <v>166.68205657444</v>
      </c>
      <c r="E2395" s="116">
        <v>174.759579270465</v>
      </c>
      <c r="F2395" s="116">
        <v>176.75</v>
      </c>
      <c r="G2395">
        <v>190769</v>
      </c>
      <c r="H2395" s="116"/>
      <c r="I2395" s="116"/>
      <c r="L2395" s="170">
        <v>45532</v>
      </c>
      <c r="M2395" s="116">
        <v>873.7</v>
      </c>
      <c r="N2395" s="116">
        <v>877.7</v>
      </c>
      <c r="O2395" s="116">
        <v>858.25</v>
      </c>
      <c r="P2395" s="116">
        <v>867</v>
      </c>
      <c r="Q2395" s="116">
        <v>873.7</v>
      </c>
      <c r="R2395">
        <v>669843</v>
      </c>
    </row>
    <row r="2396" spans="1:18" x14ac:dyDescent="0.25">
      <c r="A2396" s="170">
        <v>45534</v>
      </c>
      <c r="B2396" s="116">
        <v>171.38602567389</v>
      </c>
      <c r="C2396" s="116">
        <v>168.86773918630499</v>
      </c>
      <c r="D2396" s="116">
        <v>167.39477916526599</v>
      </c>
      <c r="E2396" s="116">
        <v>168.15501659547999</v>
      </c>
      <c r="F2396" s="116">
        <v>177.7</v>
      </c>
      <c r="G2396">
        <v>202710</v>
      </c>
      <c r="H2396" s="116"/>
      <c r="I2396" s="116"/>
      <c r="L2396" s="170">
        <v>45533</v>
      </c>
      <c r="M2396" s="116">
        <v>882.9</v>
      </c>
      <c r="N2396" s="116">
        <v>903.85</v>
      </c>
      <c r="O2396" s="116">
        <v>868.5</v>
      </c>
      <c r="P2396" s="116">
        <v>873.7</v>
      </c>
      <c r="Q2396" s="116">
        <v>882.9</v>
      </c>
      <c r="R2396">
        <v>2174332</v>
      </c>
    </row>
    <row r="2397" spans="1:18" x14ac:dyDescent="0.25">
      <c r="A2397" s="170">
        <v>45537</v>
      </c>
      <c r="B2397" s="116">
        <v>170.19815468918</v>
      </c>
      <c r="C2397" s="116">
        <v>164.258799765633</v>
      </c>
      <c r="D2397" s="116">
        <v>163.45104749602999</v>
      </c>
      <c r="E2397" s="116">
        <v>169.62797661651999</v>
      </c>
      <c r="F2397" s="116">
        <v>172.85</v>
      </c>
      <c r="G2397">
        <v>305564</v>
      </c>
      <c r="H2397" s="116"/>
      <c r="I2397" s="116"/>
      <c r="L2397" s="170">
        <v>45534</v>
      </c>
      <c r="M2397" s="116">
        <v>863.55</v>
      </c>
      <c r="N2397" s="116">
        <v>899.5</v>
      </c>
      <c r="O2397" s="116">
        <v>860</v>
      </c>
      <c r="P2397" s="116">
        <v>890</v>
      </c>
      <c r="Q2397" s="116">
        <v>863.55</v>
      </c>
      <c r="R2397">
        <v>591783</v>
      </c>
    </row>
    <row r="2398" spans="1:18" x14ac:dyDescent="0.25">
      <c r="A2398" s="170">
        <v>45538</v>
      </c>
      <c r="B2398" s="116">
        <v>169.152828222636</v>
      </c>
      <c r="C2398" s="116">
        <v>165.25661139278901</v>
      </c>
      <c r="D2398" s="116">
        <v>163.54607717480701</v>
      </c>
      <c r="E2398" s="116">
        <v>163.97371072930201</v>
      </c>
      <c r="F2398" s="116">
        <v>173.9</v>
      </c>
      <c r="G2398">
        <v>238471</v>
      </c>
      <c r="H2398" s="116"/>
      <c r="I2398" s="116"/>
      <c r="L2398" s="170">
        <v>45537</v>
      </c>
      <c r="M2398" s="116">
        <v>879.9</v>
      </c>
      <c r="N2398" s="116">
        <v>885.05</v>
      </c>
      <c r="O2398" s="116">
        <v>858</v>
      </c>
      <c r="P2398" s="116">
        <v>865.85</v>
      </c>
      <c r="Q2398" s="116">
        <v>879.9</v>
      </c>
      <c r="R2398">
        <v>810362</v>
      </c>
    </row>
    <row r="2399" spans="1:18" x14ac:dyDescent="0.25">
      <c r="A2399" s="170">
        <v>45539</v>
      </c>
      <c r="B2399" s="116">
        <v>165.11406687462301</v>
      </c>
      <c r="C2399" s="116">
        <v>162.50075070826199</v>
      </c>
      <c r="D2399" s="116">
        <v>161.075305526611</v>
      </c>
      <c r="E2399" s="116">
        <v>162.738324905204</v>
      </c>
      <c r="F2399" s="116">
        <v>171</v>
      </c>
      <c r="G2399">
        <v>178754</v>
      </c>
      <c r="H2399" s="116"/>
      <c r="I2399" s="116"/>
      <c r="L2399" s="170">
        <v>45538</v>
      </c>
      <c r="M2399" s="116">
        <v>882.9</v>
      </c>
      <c r="N2399" s="116">
        <v>890</v>
      </c>
      <c r="O2399" s="116">
        <v>878.75</v>
      </c>
      <c r="P2399" s="116">
        <v>885.8</v>
      </c>
      <c r="Q2399" s="116">
        <v>882.9</v>
      </c>
      <c r="R2399">
        <v>290414</v>
      </c>
    </row>
    <row r="2400" spans="1:18" x14ac:dyDescent="0.25">
      <c r="A2400" s="170">
        <v>45540</v>
      </c>
      <c r="B2400" s="116">
        <v>169.10531338324699</v>
      </c>
      <c r="C2400" s="116">
        <v>166.68205657444</v>
      </c>
      <c r="D2400" s="116">
        <v>164.02122556869099</v>
      </c>
      <c r="E2400" s="116">
        <v>167.82241271976099</v>
      </c>
      <c r="F2400" s="116">
        <v>175.4</v>
      </c>
      <c r="G2400">
        <v>131560</v>
      </c>
      <c r="H2400" s="116"/>
      <c r="I2400" s="116"/>
      <c r="L2400" s="170">
        <v>45539</v>
      </c>
      <c r="M2400" s="116">
        <v>881.9</v>
      </c>
      <c r="N2400" s="116">
        <v>896.25</v>
      </c>
      <c r="O2400" s="116">
        <v>872.95</v>
      </c>
      <c r="P2400" s="116">
        <v>874.1</v>
      </c>
      <c r="Q2400" s="116">
        <v>881.9</v>
      </c>
      <c r="R2400">
        <v>467093</v>
      </c>
    </row>
    <row r="2401" spans="1:18" x14ac:dyDescent="0.25">
      <c r="A2401" s="170">
        <v>45541</v>
      </c>
      <c r="B2401" s="116">
        <v>168.15501659547999</v>
      </c>
      <c r="C2401" s="116">
        <v>164.02122556869099</v>
      </c>
      <c r="D2401" s="116">
        <v>163.45104749602999</v>
      </c>
      <c r="E2401" s="116">
        <v>166.77708625321699</v>
      </c>
      <c r="F2401" s="116">
        <v>172.6</v>
      </c>
      <c r="G2401">
        <v>98734</v>
      </c>
      <c r="H2401" s="116"/>
      <c r="I2401" s="116"/>
      <c r="L2401" s="170">
        <v>45540</v>
      </c>
      <c r="M2401" s="116">
        <v>885.6</v>
      </c>
      <c r="N2401" s="116">
        <v>897.2</v>
      </c>
      <c r="O2401" s="116">
        <v>882.65</v>
      </c>
      <c r="P2401" s="116">
        <v>889</v>
      </c>
      <c r="Q2401" s="116">
        <v>885.6</v>
      </c>
      <c r="R2401">
        <v>688432</v>
      </c>
    </row>
    <row r="2402" spans="1:18" x14ac:dyDescent="0.25">
      <c r="A2402" s="170">
        <v>45544</v>
      </c>
      <c r="B2402" s="116">
        <v>163.11844362031101</v>
      </c>
      <c r="C2402" s="116">
        <v>158.65204871780401</v>
      </c>
      <c r="D2402" s="116">
        <v>157.749266769424</v>
      </c>
      <c r="E2402" s="116">
        <v>161.78802811743699</v>
      </c>
      <c r="F2402" s="116">
        <v>166.95</v>
      </c>
      <c r="G2402">
        <v>333532</v>
      </c>
      <c r="H2402" s="116"/>
      <c r="I2402" s="116"/>
      <c r="L2402" s="170">
        <v>45541</v>
      </c>
      <c r="M2402" s="116">
        <v>870.75</v>
      </c>
      <c r="N2402" s="116">
        <v>898.85</v>
      </c>
      <c r="O2402" s="116">
        <v>865</v>
      </c>
      <c r="P2402" s="116">
        <v>888</v>
      </c>
      <c r="Q2402" s="116">
        <v>870.75</v>
      </c>
      <c r="R2402">
        <v>473713</v>
      </c>
    </row>
    <row r="2403" spans="1:18" x14ac:dyDescent="0.25">
      <c r="A2403" s="170">
        <v>45545</v>
      </c>
      <c r="B2403" s="116">
        <v>165.87430430483801</v>
      </c>
      <c r="C2403" s="116">
        <v>161.74051327804801</v>
      </c>
      <c r="D2403" s="116">
        <v>159.269741629853</v>
      </c>
      <c r="E2403" s="116">
        <v>159.64986034495999</v>
      </c>
      <c r="F2403" s="116">
        <v>170.2</v>
      </c>
      <c r="G2403">
        <v>203146</v>
      </c>
      <c r="H2403" s="116"/>
      <c r="I2403" s="116"/>
      <c r="L2403" s="170">
        <v>45544</v>
      </c>
      <c r="M2403" s="116">
        <v>869.25</v>
      </c>
      <c r="N2403" s="116">
        <v>873.95</v>
      </c>
      <c r="O2403" s="116">
        <v>853.35</v>
      </c>
      <c r="P2403" s="116">
        <v>869.8</v>
      </c>
      <c r="Q2403" s="116">
        <v>869.25</v>
      </c>
      <c r="R2403">
        <v>491448</v>
      </c>
    </row>
    <row r="2404" spans="1:18" x14ac:dyDescent="0.25">
      <c r="A2404" s="170">
        <v>45546</v>
      </c>
      <c r="B2404" s="116">
        <v>166.919630771382</v>
      </c>
      <c r="C2404" s="116">
        <v>163.35601781725299</v>
      </c>
      <c r="D2404" s="116">
        <v>161.74051327804801</v>
      </c>
      <c r="E2404" s="116">
        <v>163.11844362031101</v>
      </c>
      <c r="F2404" s="116">
        <v>171.9</v>
      </c>
      <c r="G2404">
        <v>182663</v>
      </c>
      <c r="H2404" s="116"/>
      <c r="I2404" s="116"/>
      <c r="L2404" s="170">
        <v>45545</v>
      </c>
      <c r="M2404" s="116">
        <v>848.7</v>
      </c>
      <c r="N2404" s="116">
        <v>873.75</v>
      </c>
      <c r="O2404" s="116">
        <v>845.45</v>
      </c>
      <c r="P2404" s="116">
        <v>873</v>
      </c>
      <c r="Q2404" s="116">
        <v>848.7</v>
      </c>
      <c r="R2404">
        <v>692077</v>
      </c>
    </row>
    <row r="2405" spans="1:18" x14ac:dyDescent="0.25">
      <c r="A2405" s="170">
        <v>45547</v>
      </c>
      <c r="B2405" s="116">
        <v>165.25661139278901</v>
      </c>
      <c r="C2405" s="116">
        <v>162.26317651132101</v>
      </c>
      <c r="D2405" s="116">
        <v>160.07749389945499</v>
      </c>
      <c r="E2405" s="116">
        <v>164.87649267768199</v>
      </c>
      <c r="F2405" s="116">
        <v>170.75</v>
      </c>
      <c r="G2405">
        <v>85380</v>
      </c>
      <c r="H2405" s="116"/>
      <c r="I2405" s="116"/>
      <c r="L2405" s="170">
        <v>45546</v>
      </c>
      <c r="M2405" s="116">
        <v>865.5</v>
      </c>
      <c r="N2405" s="116">
        <v>870.3</v>
      </c>
      <c r="O2405" s="116">
        <v>838</v>
      </c>
      <c r="P2405" s="116">
        <v>849.6</v>
      </c>
      <c r="Q2405" s="116">
        <v>865.5</v>
      </c>
      <c r="R2405">
        <v>559042</v>
      </c>
    </row>
    <row r="2406" spans="1:18" x14ac:dyDescent="0.25">
      <c r="A2406" s="170">
        <v>45548</v>
      </c>
      <c r="B2406" s="116">
        <v>163.16595845969999</v>
      </c>
      <c r="C2406" s="116">
        <v>160.26755325700901</v>
      </c>
      <c r="D2406" s="116">
        <v>159.64986034495999</v>
      </c>
      <c r="E2406" s="116">
        <v>159.64986034495999</v>
      </c>
      <c r="F2406" s="116">
        <v>168.65</v>
      </c>
      <c r="G2406">
        <v>211031</v>
      </c>
      <c r="H2406" s="116"/>
      <c r="I2406" s="116"/>
      <c r="L2406" s="170">
        <v>45547</v>
      </c>
      <c r="M2406" s="116">
        <v>908.35</v>
      </c>
      <c r="N2406" s="116">
        <v>914</v>
      </c>
      <c r="O2406" s="116">
        <v>873.05</v>
      </c>
      <c r="P2406" s="116">
        <v>875</v>
      </c>
      <c r="Q2406" s="116">
        <v>908.35</v>
      </c>
      <c r="R2406">
        <v>1794537</v>
      </c>
    </row>
    <row r="2407" spans="1:18" x14ac:dyDescent="0.25">
      <c r="A2407" s="170">
        <v>45551</v>
      </c>
      <c r="B2407" s="116">
        <v>163.21347329908801</v>
      </c>
      <c r="C2407" s="116">
        <v>160.07749389945499</v>
      </c>
      <c r="D2407" s="116">
        <v>159.127197111687</v>
      </c>
      <c r="E2407" s="116">
        <v>160.60015713272699</v>
      </c>
      <c r="F2407" s="116">
        <v>168.45</v>
      </c>
      <c r="G2407">
        <v>190649</v>
      </c>
      <c r="H2407" s="116"/>
      <c r="I2407" s="116"/>
      <c r="L2407" s="170">
        <v>45548</v>
      </c>
      <c r="M2407" s="116">
        <v>931.2</v>
      </c>
      <c r="N2407" s="116">
        <v>951.75</v>
      </c>
      <c r="O2407" s="116">
        <v>909.35</v>
      </c>
      <c r="P2407" s="116">
        <v>915.55</v>
      </c>
      <c r="Q2407" s="116">
        <v>931.2</v>
      </c>
      <c r="R2407">
        <v>3072023</v>
      </c>
    </row>
    <row r="2408" spans="1:18" x14ac:dyDescent="0.25">
      <c r="A2408" s="170">
        <v>45552</v>
      </c>
      <c r="B2408" s="116">
        <v>164.40134428379801</v>
      </c>
      <c r="C2408" s="116">
        <v>161.170335205388</v>
      </c>
      <c r="D2408" s="116">
        <v>158.69956355719199</v>
      </c>
      <c r="E2408" s="116">
        <v>159.22222679046399</v>
      </c>
      <c r="F2408" s="116">
        <v>169.6</v>
      </c>
      <c r="G2408">
        <v>203116</v>
      </c>
      <c r="H2408" s="116"/>
      <c r="I2408" s="116"/>
      <c r="L2408" s="170">
        <v>45551</v>
      </c>
      <c r="M2408" s="116">
        <v>903.5</v>
      </c>
      <c r="N2408" s="116">
        <v>947.65</v>
      </c>
      <c r="O2408" s="116">
        <v>883.8</v>
      </c>
      <c r="P2408" s="116">
        <v>939.45</v>
      </c>
      <c r="Q2408" s="116">
        <v>903.5</v>
      </c>
      <c r="R2408">
        <v>1972984</v>
      </c>
    </row>
    <row r="2409" spans="1:18" x14ac:dyDescent="0.25">
      <c r="A2409" s="170">
        <v>45553</v>
      </c>
      <c r="B2409" s="116">
        <v>174.854608949241</v>
      </c>
      <c r="C2409" s="116">
        <v>164.163770086856</v>
      </c>
      <c r="D2409" s="116">
        <v>161.64548359927201</v>
      </c>
      <c r="E2409" s="116">
        <v>165.96933398361401</v>
      </c>
      <c r="F2409" s="116">
        <v>172.75</v>
      </c>
      <c r="G2409">
        <v>893075</v>
      </c>
      <c r="H2409" s="116"/>
      <c r="I2409" s="116"/>
      <c r="L2409" s="170">
        <v>45552</v>
      </c>
      <c r="M2409" s="116">
        <v>881.35</v>
      </c>
      <c r="N2409" s="116">
        <v>908.35</v>
      </c>
      <c r="O2409" s="116">
        <v>877.05</v>
      </c>
      <c r="P2409" s="116">
        <v>905.2</v>
      </c>
      <c r="Q2409" s="116">
        <v>881.35</v>
      </c>
      <c r="R2409">
        <v>712240</v>
      </c>
    </row>
    <row r="2410" spans="1:18" x14ac:dyDescent="0.25">
      <c r="A2410" s="170">
        <v>45554</v>
      </c>
      <c r="B2410" s="116">
        <v>169.247857901413</v>
      </c>
      <c r="C2410" s="116">
        <v>161.78802811743699</v>
      </c>
      <c r="D2410" s="116">
        <v>158.842108075357</v>
      </c>
      <c r="E2410" s="116">
        <v>166.25442301994499</v>
      </c>
      <c r="F2410" s="116">
        <v>170.25</v>
      </c>
      <c r="G2410">
        <v>334311</v>
      </c>
      <c r="H2410" s="116"/>
      <c r="I2410" s="116"/>
      <c r="L2410" s="170">
        <v>45553</v>
      </c>
      <c r="M2410" s="116">
        <v>877.4</v>
      </c>
      <c r="N2410" s="116">
        <v>898</v>
      </c>
      <c r="O2410" s="116">
        <v>869.05</v>
      </c>
      <c r="P2410" s="116">
        <v>883</v>
      </c>
      <c r="Q2410" s="116">
        <v>877.4</v>
      </c>
      <c r="R2410">
        <v>699623</v>
      </c>
    </row>
    <row r="2411" spans="1:18" x14ac:dyDescent="0.25">
      <c r="A2411" s="170">
        <v>45555</v>
      </c>
      <c r="B2411" s="116">
        <v>166.30193785933301</v>
      </c>
      <c r="C2411" s="116">
        <v>163.593592014195</v>
      </c>
      <c r="D2411" s="116">
        <v>161.12282036599899</v>
      </c>
      <c r="E2411" s="116">
        <v>162.78583974459301</v>
      </c>
      <c r="F2411" s="116">
        <v>172.15</v>
      </c>
      <c r="G2411">
        <v>155712</v>
      </c>
      <c r="H2411" s="116"/>
      <c r="I2411" s="116"/>
      <c r="L2411" s="170">
        <v>45554</v>
      </c>
      <c r="M2411" s="116">
        <v>851.85</v>
      </c>
      <c r="N2411" s="116">
        <v>889.2</v>
      </c>
      <c r="O2411" s="116">
        <v>836.15</v>
      </c>
      <c r="P2411" s="116">
        <v>884</v>
      </c>
      <c r="Q2411" s="116">
        <v>851.85</v>
      </c>
      <c r="R2411">
        <v>841701</v>
      </c>
    </row>
    <row r="2412" spans="1:18" x14ac:dyDescent="0.25">
      <c r="A2412" s="170">
        <v>45558</v>
      </c>
      <c r="B2412" s="116">
        <v>165.304126232177</v>
      </c>
      <c r="C2412" s="116">
        <v>163.498562335418</v>
      </c>
      <c r="D2412" s="116">
        <v>163.070928780923</v>
      </c>
      <c r="E2412" s="116">
        <v>165.2090965534</v>
      </c>
      <c r="F2412" s="116">
        <v>172.05</v>
      </c>
      <c r="G2412">
        <v>66740</v>
      </c>
      <c r="H2412" s="116"/>
      <c r="I2412" s="116"/>
      <c r="L2412" s="170">
        <v>45555</v>
      </c>
      <c r="M2412" s="116">
        <v>862.65</v>
      </c>
      <c r="N2412" s="116">
        <v>869.95</v>
      </c>
      <c r="O2412" s="116">
        <v>848.6</v>
      </c>
      <c r="P2412" s="116">
        <v>858.7</v>
      </c>
      <c r="Q2412" s="116">
        <v>862.65</v>
      </c>
      <c r="R2412">
        <v>442052</v>
      </c>
    </row>
    <row r="2413" spans="1:18" x14ac:dyDescent="0.25">
      <c r="A2413" s="170">
        <v>45559</v>
      </c>
      <c r="B2413" s="116">
        <v>165.39915591095399</v>
      </c>
      <c r="C2413" s="116">
        <v>163.54607717480701</v>
      </c>
      <c r="D2413" s="116">
        <v>161.55045392049499</v>
      </c>
      <c r="E2413" s="116">
        <v>163.926195889914</v>
      </c>
      <c r="F2413" s="116">
        <v>172.1</v>
      </c>
      <c r="G2413">
        <v>95367</v>
      </c>
      <c r="H2413" s="116"/>
      <c r="I2413" s="116"/>
      <c r="L2413" s="170">
        <v>45558</v>
      </c>
      <c r="M2413" s="116">
        <v>880</v>
      </c>
      <c r="N2413" s="116">
        <v>885.9</v>
      </c>
      <c r="O2413" s="116">
        <v>866.25</v>
      </c>
      <c r="P2413" s="116">
        <v>870.4</v>
      </c>
      <c r="Q2413" s="116">
        <v>880</v>
      </c>
      <c r="R2413">
        <v>549217</v>
      </c>
    </row>
    <row r="2414" spans="1:18" x14ac:dyDescent="0.25">
      <c r="A2414" s="170">
        <v>45560</v>
      </c>
      <c r="B2414" s="116">
        <v>169.48543209835401</v>
      </c>
      <c r="C2414" s="116">
        <v>167.34726432587701</v>
      </c>
      <c r="D2414" s="116">
        <v>160.647671972116</v>
      </c>
      <c r="E2414" s="116">
        <v>164.02122556869099</v>
      </c>
      <c r="F2414" s="116">
        <v>176.1</v>
      </c>
      <c r="G2414">
        <v>355331</v>
      </c>
      <c r="H2414" s="116"/>
      <c r="I2414" s="116"/>
      <c r="L2414" s="170">
        <v>45559</v>
      </c>
      <c r="M2414" s="116">
        <v>861.4</v>
      </c>
      <c r="N2414" s="116">
        <v>888.65</v>
      </c>
      <c r="O2414" s="116">
        <v>859.55</v>
      </c>
      <c r="P2414" s="116">
        <v>884</v>
      </c>
      <c r="Q2414" s="116">
        <v>861.4</v>
      </c>
      <c r="R2414">
        <v>490770</v>
      </c>
    </row>
    <row r="2415" spans="1:18" x14ac:dyDescent="0.25">
      <c r="A2415" s="170">
        <v>45561</v>
      </c>
      <c r="B2415" s="116">
        <v>170.720817922452</v>
      </c>
      <c r="C2415" s="116">
        <v>164.116255247467</v>
      </c>
      <c r="D2415" s="116">
        <v>163.593592014195</v>
      </c>
      <c r="E2415" s="116">
        <v>170.720817922452</v>
      </c>
      <c r="F2415" s="116">
        <v>172.7</v>
      </c>
      <c r="G2415">
        <v>166632</v>
      </c>
      <c r="H2415" s="116"/>
      <c r="I2415" s="116"/>
      <c r="L2415" s="170">
        <v>45560</v>
      </c>
      <c r="M2415" s="116">
        <v>868.05</v>
      </c>
      <c r="N2415" s="116">
        <v>871.8</v>
      </c>
      <c r="O2415" s="116">
        <v>857.65</v>
      </c>
      <c r="P2415" s="116">
        <v>865</v>
      </c>
      <c r="Q2415" s="116">
        <v>868.05</v>
      </c>
      <c r="R2415">
        <v>360410</v>
      </c>
    </row>
    <row r="2416" spans="1:18" x14ac:dyDescent="0.25">
      <c r="A2416" s="170">
        <v>45562</v>
      </c>
      <c r="B2416" s="116">
        <v>167.25223464710101</v>
      </c>
      <c r="C2416" s="116">
        <v>163.070928780923</v>
      </c>
      <c r="D2416" s="116">
        <v>162.59578038703901</v>
      </c>
      <c r="E2416" s="116">
        <v>164.21128492624399</v>
      </c>
      <c r="F2416" s="116">
        <v>171.6</v>
      </c>
      <c r="G2416">
        <v>112565</v>
      </c>
      <c r="H2416" s="116"/>
      <c r="I2416" s="116"/>
      <c r="L2416" s="170">
        <v>45561</v>
      </c>
      <c r="M2416" s="116">
        <v>885.25</v>
      </c>
      <c r="N2416" s="116">
        <v>892.7</v>
      </c>
      <c r="O2416" s="116">
        <v>859.45</v>
      </c>
      <c r="P2416" s="116">
        <v>873</v>
      </c>
      <c r="Q2416" s="116">
        <v>885.25</v>
      </c>
      <c r="R2416">
        <v>729666</v>
      </c>
    </row>
    <row r="2417" spans="1:18" x14ac:dyDescent="0.25">
      <c r="A2417" s="170">
        <v>45565</v>
      </c>
      <c r="B2417" s="116">
        <v>183.40728003915001</v>
      </c>
      <c r="C2417" s="116">
        <v>174.71206443107599</v>
      </c>
      <c r="D2417" s="116">
        <v>167.34726432587701</v>
      </c>
      <c r="E2417" s="116">
        <v>167.34726432587701</v>
      </c>
      <c r="F2417" s="116">
        <v>183.85</v>
      </c>
      <c r="G2417">
        <v>1275701</v>
      </c>
      <c r="H2417" s="116"/>
      <c r="I2417" s="116"/>
      <c r="L2417" s="170">
        <v>45562</v>
      </c>
      <c r="M2417" s="116">
        <v>884.3</v>
      </c>
      <c r="N2417" s="116">
        <v>885.9</v>
      </c>
      <c r="O2417" s="116">
        <v>872.05</v>
      </c>
      <c r="P2417" s="116">
        <v>885.2</v>
      </c>
      <c r="Q2417" s="116">
        <v>884.3</v>
      </c>
      <c r="R2417">
        <v>535642</v>
      </c>
    </row>
    <row r="2418" spans="1:18" x14ac:dyDescent="0.25">
      <c r="A2418" s="170">
        <v>45566</v>
      </c>
      <c r="B2418" s="116">
        <v>177.943073509486</v>
      </c>
      <c r="C2418" s="116">
        <v>173.619223125144</v>
      </c>
      <c r="D2418" s="116">
        <v>172.241292782881</v>
      </c>
      <c r="E2418" s="116">
        <v>173.95182700086201</v>
      </c>
      <c r="F2418" s="116">
        <v>182.7</v>
      </c>
      <c r="G2418">
        <v>148409</v>
      </c>
      <c r="H2418" s="116"/>
      <c r="I2418" s="116"/>
      <c r="L2418" s="170">
        <v>45565</v>
      </c>
      <c r="M2418" s="116">
        <v>892.25</v>
      </c>
      <c r="N2418" s="116">
        <v>901</v>
      </c>
      <c r="O2418" s="116">
        <v>873.05</v>
      </c>
      <c r="P2418" s="116">
        <v>885</v>
      </c>
      <c r="Q2418" s="116">
        <v>892.25</v>
      </c>
      <c r="R2418">
        <v>537306</v>
      </c>
    </row>
    <row r="2419" spans="1:18" x14ac:dyDescent="0.25">
      <c r="A2419" s="170">
        <v>45568</v>
      </c>
      <c r="B2419" s="116">
        <v>173.619223125144</v>
      </c>
      <c r="C2419" s="116">
        <v>170.86336244061701</v>
      </c>
      <c r="D2419" s="116">
        <v>168.20253143486801</v>
      </c>
      <c r="E2419" s="116">
        <v>168.392590792422</v>
      </c>
      <c r="F2419" s="116">
        <v>179.8</v>
      </c>
      <c r="G2419">
        <v>351700</v>
      </c>
      <c r="H2419" s="116"/>
      <c r="I2419" s="116"/>
      <c r="L2419" s="170">
        <v>45566</v>
      </c>
      <c r="M2419" s="116">
        <v>901.95</v>
      </c>
      <c r="N2419" s="116">
        <v>925.45</v>
      </c>
      <c r="O2419" s="116">
        <v>896.55</v>
      </c>
      <c r="P2419" s="116">
        <v>899.65</v>
      </c>
      <c r="Q2419" s="116">
        <v>901.95</v>
      </c>
      <c r="R2419">
        <v>1572768</v>
      </c>
    </row>
    <row r="2420" spans="1:18" x14ac:dyDescent="0.25">
      <c r="A2420" s="170">
        <v>45569</v>
      </c>
      <c r="B2420" s="116">
        <v>173.809282482697</v>
      </c>
      <c r="C2420" s="116">
        <v>169.53294693774299</v>
      </c>
      <c r="D2420" s="116">
        <v>165.304126232177</v>
      </c>
      <c r="E2420" s="116">
        <v>170.24566952856901</v>
      </c>
      <c r="F2420" s="116">
        <v>178.4</v>
      </c>
      <c r="G2420">
        <v>268176</v>
      </c>
      <c r="H2420" s="116"/>
      <c r="I2420" s="116"/>
      <c r="L2420" s="170">
        <v>45568</v>
      </c>
      <c r="M2420" s="116">
        <v>883.9</v>
      </c>
      <c r="N2420" s="116">
        <v>894.4</v>
      </c>
      <c r="O2420" s="116">
        <v>869.75</v>
      </c>
      <c r="P2420" s="116">
        <v>887.6</v>
      </c>
      <c r="Q2420" s="116">
        <v>883.9</v>
      </c>
      <c r="R2420">
        <v>934129</v>
      </c>
    </row>
    <row r="2421" spans="1:18" x14ac:dyDescent="0.25">
      <c r="A2421" s="170">
        <v>45572</v>
      </c>
      <c r="B2421" s="116">
        <v>191.009654341291</v>
      </c>
      <c r="C2421" s="116">
        <v>175.56733154006699</v>
      </c>
      <c r="D2421" s="116">
        <v>173.09655989187101</v>
      </c>
      <c r="E2421" s="116">
        <v>189.014031086979</v>
      </c>
      <c r="F2421" s="116">
        <v>184.75</v>
      </c>
      <c r="G2421">
        <v>1802588</v>
      </c>
      <c r="H2421" s="116"/>
      <c r="I2421" s="116"/>
      <c r="L2421" s="170">
        <v>45569</v>
      </c>
      <c r="M2421" s="116">
        <v>847.15</v>
      </c>
      <c r="N2421" s="116">
        <v>880</v>
      </c>
      <c r="O2421" s="116">
        <v>833</v>
      </c>
      <c r="P2421" s="116">
        <v>880</v>
      </c>
      <c r="Q2421" s="116">
        <v>847.15</v>
      </c>
      <c r="R2421">
        <v>864805</v>
      </c>
    </row>
    <row r="2422" spans="1:18" x14ac:dyDescent="0.25">
      <c r="A2422" s="170">
        <v>45573</v>
      </c>
      <c r="B2422" s="116">
        <v>176.28005413089301</v>
      </c>
      <c r="C2422" s="116">
        <v>167.67986820159601</v>
      </c>
      <c r="D2422" s="116">
        <v>166.587026895663</v>
      </c>
      <c r="E2422" s="116">
        <v>175.56733154006699</v>
      </c>
      <c r="F2422" s="116">
        <v>176.45</v>
      </c>
      <c r="G2422">
        <v>487763</v>
      </c>
      <c r="H2422" s="116"/>
      <c r="I2422" s="116"/>
      <c r="L2422" s="170">
        <v>45572</v>
      </c>
      <c r="M2422" s="116">
        <v>824.1</v>
      </c>
      <c r="N2422" s="116">
        <v>858.3</v>
      </c>
      <c r="O2422" s="116">
        <v>821</v>
      </c>
      <c r="P2422" s="116">
        <v>852.05</v>
      </c>
      <c r="Q2422" s="116">
        <v>824.1</v>
      </c>
      <c r="R2422">
        <v>309966</v>
      </c>
    </row>
    <row r="2423" spans="1:18" x14ac:dyDescent="0.25">
      <c r="A2423" s="170">
        <v>45574</v>
      </c>
      <c r="B2423" s="116">
        <v>179.70112256685599</v>
      </c>
      <c r="C2423" s="116">
        <v>172.431352140434</v>
      </c>
      <c r="D2423" s="116">
        <v>169.62797661651999</v>
      </c>
      <c r="E2423" s="116">
        <v>170.86336244061701</v>
      </c>
      <c r="F2423" s="116">
        <v>181.45</v>
      </c>
      <c r="G2423">
        <v>854581</v>
      </c>
      <c r="H2423" s="116"/>
      <c r="I2423" s="116"/>
      <c r="L2423" s="170">
        <v>45573</v>
      </c>
      <c r="M2423" s="116">
        <v>854.45</v>
      </c>
      <c r="N2423" s="116">
        <v>857</v>
      </c>
      <c r="O2423" s="116">
        <v>822.4</v>
      </c>
      <c r="P2423" s="116">
        <v>824</v>
      </c>
      <c r="Q2423" s="116">
        <v>854.45</v>
      </c>
      <c r="R2423">
        <v>415781</v>
      </c>
    </row>
    <row r="2424" spans="1:18" x14ac:dyDescent="0.25">
      <c r="A2424" s="170">
        <v>45575</v>
      </c>
      <c r="B2424" s="116">
        <v>176.70768768538801</v>
      </c>
      <c r="C2424" s="116">
        <v>169.96058049223799</v>
      </c>
      <c r="D2424" s="116">
        <v>168.059986916703</v>
      </c>
      <c r="E2424" s="116">
        <v>173.904312161474</v>
      </c>
      <c r="F2424" s="116">
        <v>178.85</v>
      </c>
      <c r="G2424">
        <v>373856</v>
      </c>
      <c r="H2424" s="116"/>
      <c r="I2424" s="116"/>
      <c r="L2424" s="170">
        <v>45574</v>
      </c>
      <c r="M2424" s="116">
        <v>870.2</v>
      </c>
      <c r="N2424" s="116">
        <v>880.35</v>
      </c>
      <c r="O2424" s="116">
        <v>842.75</v>
      </c>
      <c r="P2424" s="116">
        <v>860</v>
      </c>
      <c r="Q2424" s="116">
        <v>870.2</v>
      </c>
      <c r="R2424">
        <v>555932</v>
      </c>
    </row>
    <row r="2425" spans="1:18" x14ac:dyDescent="0.25">
      <c r="A2425" s="170">
        <v>45576</v>
      </c>
      <c r="B2425" s="116">
        <v>173.286619249425</v>
      </c>
      <c r="C2425" s="116">
        <v>168.96276886508201</v>
      </c>
      <c r="D2425" s="116">
        <v>168.20253143486801</v>
      </c>
      <c r="E2425" s="116">
        <v>171.053421798171</v>
      </c>
      <c r="F2425" s="116">
        <v>177.8</v>
      </c>
      <c r="G2425">
        <v>188683</v>
      </c>
      <c r="H2425" s="116"/>
      <c r="I2425" s="116"/>
      <c r="L2425" s="170">
        <v>45575</v>
      </c>
      <c r="M2425" s="116">
        <v>858.1</v>
      </c>
      <c r="N2425" s="116">
        <v>876.85</v>
      </c>
      <c r="O2425" s="116">
        <v>854</v>
      </c>
      <c r="P2425" s="116">
        <v>874.45</v>
      </c>
      <c r="Q2425" s="116">
        <v>858.1</v>
      </c>
      <c r="R2425">
        <v>189500</v>
      </c>
    </row>
    <row r="2426" spans="1:18" x14ac:dyDescent="0.25">
      <c r="A2426" s="170">
        <v>45579</v>
      </c>
      <c r="B2426" s="116">
        <v>172.003718585939</v>
      </c>
      <c r="C2426" s="116">
        <v>166.39696753811</v>
      </c>
      <c r="D2426" s="116">
        <v>165.35164107156501</v>
      </c>
      <c r="E2426" s="116">
        <v>169.20034306202399</v>
      </c>
      <c r="F2426" s="116">
        <v>175.1</v>
      </c>
      <c r="G2426">
        <v>281692</v>
      </c>
      <c r="H2426" s="116"/>
      <c r="I2426" s="116"/>
      <c r="L2426" s="170">
        <v>45576</v>
      </c>
      <c r="M2426" s="116">
        <v>867.75</v>
      </c>
      <c r="N2426" s="116">
        <v>872</v>
      </c>
      <c r="O2426" s="116">
        <v>852.9</v>
      </c>
      <c r="P2426" s="116">
        <v>860</v>
      </c>
      <c r="Q2426" s="116">
        <v>867.75</v>
      </c>
      <c r="R2426">
        <v>220490</v>
      </c>
    </row>
    <row r="2427" spans="1:18" x14ac:dyDescent="0.25">
      <c r="A2427" s="170">
        <v>45580</v>
      </c>
      <c r="B2427" s="116">
        <v>170.008095331627</v>
      </c>
      <c r="C2427" s="116">
        <v>167.25223464710101</v>
      </c>
      <c r="D2427" s="116">
        <v>166.72957141382801</v>
      </c>
      <c r="E2427" s="116">
        <v>167.25223464710101</v>
      </c>
      <c r="F2427" s="116">
        <v>176</v>
      </c>
      <c r="G2427">
        <v>98308</v>
      </c>
      <c r="H2427" s="116"/>
      <c r="I2427" s="116"/>
      <c r="L2427" s="170">
        <v>45579</v>
      </c>
      <c r="M2427" s="116">
        <v>871.9</v>
      </c>
      <c r="N2427" s="116">
        <v>876.2</v>
      </c>
      <c r="O2427" s="116">
        <v>858.35</v>
      </c>
      <c r="P2427" s="116">
        <v>873.8</v>
      </c>
      <c r="Q2427" s="116">
        <v>871.9</v>
      </c>
      <c r="R2427">
        <v>410371</v>
      </c>
    </row>
    <row r="2428" spans="1:18" x14ac:dyDescent="0.25">
      <c r="A2428" s="170">
        <v>45581</v>
      </c>
      <c r="B2428" s="116">
        <v>172.003718585939</v>
      </c>
      <c r="C2428" s="116">
        <v>167.109690128935</v>
      </c>
      <c r="D2428" s="116">
        <v>166.77708625321699</v>
      </c>
      <c r="E2428" s="116">
        <v>167.25223464710101</v>
      </c>
      <c r="F2428" s="116">
        <v>175.85</v>
      </c>
      <c r="G2428">
        <v>124591</v>
      </c>
      <c r="H2428" s="116"/>
      <c r="I2428" s="116"/>
      <c r="L2428" s="170">
        <v>45580</v>
      </c>
      <c r="M2428" s="116">
        <v>890.8</v>
      </c>
      <c r="N2428" s="116">
        <v>897</v>
      </c>
      <c r="O2428" s="116">
        <v>874</v>
      </c>
      <c r="P2428" s="116">
        <v>878.3</v>
      </c>
      <c r="Q2428" s="116">
        <v>890.8</v>
      </c>
      <c r="R2428">
        <v>717891</v>
      </c>
    </row>
    <row r="2429" spans="1:18" x14ac:dyDescent="0.25">
      <c r="A2429" s="170">
        <v>45582</v>
      </c>
      <c r="B2429" s="116">
        <v>171.52857019205501</v>
      </c>
      <c r="C2429" s="116">
        <v>168.059986916703</v>
      </c>
      <c r="D2429" s="116">
        <v>163.26098813847699</v>
      </c>
      <c r="E2429" s="116">
        <v>167.67986820159601</v>
      </c>
      <c r="F2429" s="116">
        <v>176.85</v>
      </c>
      <c r="G2429">
        <v>144467</v>
      </c>
      <c r="H2429" s="116"/>
      <c r="I2429" s="116"/>
      <c r="L2429" s="170">
        <v>45581</v>
      </c>
      <c r="M2429" s="116">
        <v>882.35</v>
      </c>
      <c r="N2429" s="116">
        <v>889.95</v>
      </c>
      <c r="O2429" s="116">
        <v>873.6</v>
      </c>
      <c r="P2429" s="116">
        <v>885</v>
      </c>
      <c r="Q2429" s="116">
        <v>882.35</v>
      </c>
      <c r="R2429">
        <v>194324</v>
      </c>
    </row>
    <row r="2430" spans="1:18" x14ac:dyDescent="0.25">
      <c r="A2430" s="170">
        <v>45583</v>
      </c>
      <c r="B2430" s="116">
        <v>169.152828222636</v>
      </c>
      <c r="C2430" s="116">
        <v>166.82460109260501</v>
      </c>
      <c r="D2430" s="116">
        <v>163.45104749602999</v>
      </c>
      <c r="E2430" s="116">
        <v>168.297561113645</v>
      </c>
      <c r="F2430" s="116">
        <v>175.55</v>
      </c>
      <c r="G2430">
        <v>184689</v>
      </c>
      <c r="H2430" s="116"/>
      <c r="I2430" s="116"/>
      <c r="L2430" s="170">
        <v>45582</v>
      </c>
      <c r="M2430" s="116">
        <v>857.6</v>
      </c>
      <c r="N2430" s="116">
        <v>883</v>
      </c>
      <c r="O2430" s="116">
        <v>854.7</v>
      </c>
      <c r="P2430" s="116">
        <v>883</v>
      </c>
      <c r="Q2430" s="116">
        <v>857.6</v>
      </c>
      <c r="R2430">
        <v>295183</v>
      </c>
    </row>
    <row r="2431" spans="1:18" x14ac:dyDescent="0.25">
      <c r="A2431" s="170">
        <v>45586</v>
      </c>
      <c r="B2431" s="116">
        <v>172.954015373706</v>
      </c>
      <c r="C2431" s="116">
        <v>169.96058049223799</v>
      </c>
      <c r="D2431" s="116">
        <v>167.34726432587701</v>
      </c>
      <c r="E2431" s="116">
        <v>170.05561017101499</v>
      </c>
      <c r="F2431" s="116">
        <v>178.85</v>
      </c>
      <c r="G2431">
        <v>216850</v>
      </c>
      <c r="H2431" s="116"/>
      <c r="I2431" s="116"/>
      <c r="L2431" s="170">
        <v>45583</v>
      </c>
      <c r="M2431" s="116">
        <v>861.1</v>
      </c>
      <c r="N2431" s="116">
        <v>865</v>
      </c>
      <c r="O2431" s="116">
        <v>842.05</v>
      </c>
      <c r="P2431" s="116">
        <v>853</v>
      </c>
      <c r="Q2431" s="116">
        <v>861.1</v>
      </c>
      <c r="R2431">
        <v>175385</v>
      </c>
    </row>
    <row r="2432" spans="1:18" x14ac:dyDescent="0.25">
      <c r="A2432" s="170">
        <v>45587</v>
      </c>
      <c r="B2432" s="116">
        <v>171.00590695878299</v>
      </c>
      <c r="C2432" s="116">
        <v>161.50293908110601</v>
      </c>
      <c r="D2432" s="116">
        <v>160.60015713272699</v>
      </c>
      <c r="E2432" s="116">
        <v>171.00590695878299</v>
      </c>
      <c r="F2432" s="116">
        <v>169.95</v>
      </c>
      <c r="G2432">
        <v>289626</v>
      </c>
      <c r="H2432" s="116"/>
      <c r="I2432" s="116"/>
      <c r="L2432" s="170">
        <v>45586</v>
      </c>
      <c r="M2432" s="116">
        <v>859.45</v>
      </c>
      <c r="N2432" s="116">
        <v>872.95</v>
      </c>
      <c r="O2432" s="116">
        <v>848.25</v>
      </c>
      <c r="P2432" s="116">
        <v>864</v>
      </c>
      <c r="Q2432" s="116">
        <v>859.45</v>
      </c>
      <c r="R2432">
        <v>279871</v>
      </c>
    </row>
    <row r="2433" spans="1:18" x14ac:dyDescent="0.25">
      <c r="A2433" s="170">
        <v>45588</v>
      </c>
      <c r="B2433" s="116">
        <v>162.50075070826199</v>
      </c>
      <c r="C2433" s="116">
        <v>156.56139578471499</v>
      </c>
      <c r="D2433" s="116">
        <v>155.326009960617</v>
      </c>
      <c r="E2433" s="116">
        <v>160.02997906006701</v>
      </c>
      <c r="F2433" s="116">
        <v>164.75</v>
      </c>
      <c r="G2433">
        <v>479475</v>
      </c>
      <c r="H2433" s="116"/>
      <c r="I2433" s="116"/>
      <c r="L2433" s="170">
        <v>45587</v>
      </c>
      <c r="M2433" s="116">
        <v>832.9</v>
      </c>
      <c r="N2433" s="116">
        <v>863.9</v>
      </c>
      <c r="O2433" s="116">
        <v>828.8</v>
      </c>
      <c r="P2433" s="116">
        <v>861.75</v>
      </c>
      <c r="Q2433" s="116">
        <v>832.9</v>
      </c>
      <c r="R2433">
        <v>334033</v>
      </c>
    </row>
    <row r="2434" spans="1:18" x14ac:dyDescent="0.25">
      <c r="A2434" s="170">
        <v>45589</v>
      </c>
      <c r="B2434" s="116">
        <v>165.35164107156501</v>
      </c>
      <c r="C2434" s="116">
        <v>164.54388880196299</v>
      </c>
      <c r="D2434" s="116">
        <v>156.798969981657</v>
      </c>
      <c r="E2434" s="116">
        <v>156.84648482104501</v>
      </c>
      <c r="F2434" s="116">
        <v>173.15</v>
      </c>
      <c r="G2434">
        <v>264213</v>
      </c>
      <c r="H2434" s="116"/>
      <c r="I2434" s="116"/>
      <c r="L2434" s="170">
        <v>45588</v>
      </c>
      <c r="M2434" s="116">
        <v>871.3</v>
      </c>
      <c r="N2434" s="116">
        <v>897.95</v>
      </c>
      <c r="O2434" s="116">
        <v>840.25</v>
      </c>
      <c r="P2434" s="116">
        <v>844</v>
      </c>
      <c r="Q2434" s="116">
        <v>871.3</v>
      </c>
      <c r="R2434">
        <v>2265745</v>
      </c>
    </row>
    <row r="2435" spans="1:18" x14ac:dyDescent="0.25">
      <c r="A2435" s="170">
        <v>45590</v>
      </c>
      <c r="B2435" s="116">
        <v>166.30193785933301</v>
      </c>
      <c r="C2435" s="116">
        <v>159.269741629853</v>
      </c>
      <c r="D2435" s="116">
        <v>156.798969981657</v>
      </c>
      <c r="E2435" s="116">
        <v>164.59140364135101</v>
      </c>
      <c r="F2435" s="116">
        <v>167.6</v>
      </c>
      <c r="G2435">
        <v>254391</v>
      </c>
      <c r="H2435" s="116"/>
      <c r="I2435" s="116"/>
      <c r="L2435" s="170">
        <v>45589</v>
      </c>
      <c r="M2435" s="116">
        <v>845.45</v>
      </c>
      <c r="N2435" s="116">
        <v>887.9</v>
      </c>
      <c r="O2435" s="116">
        <v>841.3</v>
      </c>
      <c r="P2435" s="116">
        <v>869.8</v>
      </c>
      <c r="Q2435" s="116">
        <v>845.45</v>
      </c>
      <c r="R2435">
        <v>900505</v>
      </c>
    </row>
    <row r="2436" spans="1:18" x14ac:dyDescent="0.25">
      <c r="A2436" s="170">
        <v>45593</v>
      </c>
      <c r="B2436" s="116">
        <v>161.265364884165</v>
      </c>
      <c r="C2436" s="116">
        <v>159.64986034495999</v>
      </c>
      <c r="D2436" s="116">
        <v>156.84648482104501</v>
      </c>
      <c r="E2436" s="116">
        <v>159.697375184348</v>
      </c>
      <c r="F2436" s="116">
        <v>168</v>
      </c>
      <c r="G2436">
        <v>125757</v>
      </c>
      <c r="H2436" s="116"/>
      <c r="I2436" s="116"/>
      <c r="L2436" s="170">
        <v>45590</v>
      </c>
      <c r="M2436" s="116">
        <v>850.65</v>
      </c>
      <c r="N2436" s="116">
        <v>867.85</v>
      </c>
      <c r="O2436" s="116">
        <v>845</v>
      </c>
      <c r="P2436" s="116">
        <v>850.85</v>
      </c>
      <c r="Q2436" s="116">
        <v>850.65</v>
      </c>
      <c r="R2436">
        <v>752327</v>
      </c>
    </row>
    <row r="2437" spans="1:18" x14ac:dyDescent="0.25">
      <c r="A2437" s="170">
        <v>45594</v>
      </c>
      <c r="B2437" s="116">
        <v>161.360394562941</v>
      </c>
      <c r="C2437" s="116">
        <v>160.26755325700901</v>
      </c>
      <c r="D2437" s="116">
        <v>156.798969981657</v>
      </c>
      <c r="E2437" s="116">
        <v>159.60234550557101</v>
      </c>
      <c r="F2437" s="116">
        <v>168.65</v>
      </c>
      <c r="G2437">
        <v>195462</v>
      </c>
      <c r="H2437" s="116"/>
      <c r="I2437" s="116"/>
      <c r="L2437" s="170">
        <v>45593</v>
      </c>
      <c r="M2437" s="116">
        <v>847.75</v>
      </c>
      <c r="N2437" s="116">
        <v>871</v>
      </c>
      <c r="O2437" s="116">
        <v>844.5</v>
      </c>
      <c r="P2437" s="116">
        <v>850</v>
      </c>
      <c r="Q2437" s="116">
        <v>847.75</v>
      </c>
      <c r="R2437">
        <v>485963</v>
      </c>
    </row>
    <row r="2438" spans="1:18" x14ac:dyDescent="0.25">
      <c r="A2438" s="170">
        <v>45595</v>
      </c>
      <c r="B2438" s="116">
        <v>163.87868105052601</v>
      </c>
      <c r="C2438" s="116">
        <v>161.83554295682501</v>
      </c>
      <c r="D2438" s="116">
        <v>159.31725646924099</v>
      </c>
      <c r="E2438" s="116">
        <v>160.60015713272699</v>
      </c>
      <c r="F2438" s="116">
        <v>170.3</v>
      </c>
      <c r="G2438">
        <v>94967</v>
      </c>
      <c r="H2438" s="116"/>
      <c r="I2438" s="116"/>
      <c r="L2438" s="170">
        <v>45594</v>
      </c>
      <c r="M2438" s="116">
        <v>862.6</v>
      </c>
      <c r="N2438" s="116">
        <v>866.9</v>
      </c>
      <c r="O2438" s="116">
        <v>832.05</v>
      </c>
      <c r="P2438" s="116">
        <v>850.35</v>
      </c>
      <c r="Q2438" s="116">
        <v>862.6</v>
      </c>
      <c r="R2438">
        <v>655404</v>
      </c>
    </row>
    <row r="2439" spans="1:18" x14ac:dyDescent="0.25">
      <c r="A2439" s="170">
        <v>45596</v>
      </c>
      <c r="B2439" s="116">
        <v>164.258799765633</v>
      </c>
      <c r="C2439" s="116">
        <v>163.78365137174899</v>
      </c>
      <c r="D2439" s="116">
        <v>160.60015713272699</v>
      </c>
      <c r="E2439" s="116">
        <v>162.215661671932</v>
      </c>
      <c r="F2439" s="116">
        <v>172.35</v>
      </c>
      <c r="G2439">
        <v>166534</v>
      </c>
      <c r="H2439" s="116"/>
      <c r="I2439" s="116"/>
      <c r="L2439" s="170">
        <v>45595</v>
      </c>
      <c r="M2439" s="116">
        <v>884.8</v>
      </c>
      <c r="N2439" s="116">
        <v>896.8</v>
      </c>
      <c r="O2439" s="116">
        <v>863</v>
      </c>
      <c r="P2439" s="116">
        <v>863</v>
      </c>
      <c r="Q2439" s="116">
        <v>884.8</v>
      </c>
      <c r="R2439">
        <v>1311532</v>
      </c>
    </row>
    <row r="2440" spans="1:18" x14ac:dyDescent="0.25">
      <c r="A2440" s="170">
        <v>45597</v>
      </c>
      <c r="B2440" s="116">
        <v>166.39696753811</v>
      </c>
      <c r="C2440" s="116">
        <v>165.96933398361401</v>
      </c>
      <c r="D2440" s="116">
        <v>165.16158171401199</v>
      </c>
      <c r="E2440" s="116">
        <v>165.826789465449</v>
      </c>
      <c r="F2440" s="116">
        <v>174.65</v>
      </c>
      <c r="G2440">
        <v>28794</v>
      </c>
      <c r="H2440" s="116"/>
      <c r="I2440" s="116"/>
      <c r="L2440" s="170">
        <v>45596</v>
      </c>
      <c r="M2440" s="116">
        <v>867.95</v>
      </c>
      <c r="N2440" s="116">
        <v>884.05</v>
      </c>
      <c r="O2440" s="116">
        <v>861.7</v>
      </c>
      <c r="P2440" s="116">
        <v>883.85</v>
      </c>
      <c r="Q2440" s="116">
        <v>867.95</v>
      </c>
      <c r="R2440">
        <v>465469</v>
      </c>
    </row>
    <row r="2441" spans="1:18" x14ac:dyDescent="0.25">
      <c r="A2441" s="170">
        <v>45600</v>
      </c>
      <c r="B2441" s="116">
        <v>165.58921526850699</v>
      </c>
      <c r="C2441" s="116">
        <v>161.075305526611</v>
      </c>
      <c r="D2441" s="116">
        <v>159.887434541902</v>
      </c>
      <c r="E2441" s="116">
        <v>165.49418558972999</v>
      </c>
      <c r="F2441" s="116">
        <v>169.5</v>
      </c>
      <c r="G2441">
        <v>134405</v>
      </c>
      <c r="H2441" s="116"/>
      <c r="I2441" s="116"/>
      <c r="L2441" s="170">
        <v>45597</v>
      </c>
      <c r="M2441" s="116">
        <v>876.05</v>
      </c>
      <c r="N2441" s="116">
        <v>879</v>
      </c>
      <c r="O2441" s="116">
        <v>871.75</v>
      </c>
      <c r="P2441" s="116">
        <v>878</v>
      </c>
      <c r="Q2441" s="116">
        <v>876.05</v>
      </c>
      <c r="R2441">
        <v>71313</v>
      </c>
    </row>
    <row r="2442" spans="1:18" x14ac:dyDescent="0.25">
      <c r="A2442" s="170">
        <v>45601</v>
      </c>
      <c r="B2442" s="116">
        <v>163.73613653236001</v>
      </c>
      <c r="C2442" s="116">
        <v>162.40572102948599</v>
      </c>
      <c r="D2442" s="116">
        <v>159.127197111687</v>
      </c>
      <c r="E2442" s="116">
        <v>161.12282036599899</v>
      </c>
      <c r="F2442" s="116">
        <v>170.9</v>
      </c>
      <c r="G2442">
        <v>167043</v>
      </c>
      <c r="H2442" s="116"/>
      <c r="I2442" s="116"/>
      <c r="L2442" s="170">
        <v>45600</v>
      </c>
      <c r="M2442" s="116">
        <v>856.35</v>
      </c>
      <c r="N2442" s="116">
        <v>879</v>
      </c>
      <c r="O2442" s="116">
        <v>847.8</v>
      </c>
      <c r="P2442" s="116">
        <v>879</v>
      </c>
      <c r="Q2442" s="116">
        <v>856.35</v>
      </c>
      <c r="R2442">
        <v>268481</v>
      </c>
    </row>
    <row r="2443" spans="1:18" x14ac:dyDescent="0.25">
      <c r="A2443" s="170">
        <v>45602</v>
      </c>
      <c r="B2443" s="116">
        <v>164.54388880196299</v>
      </c>
      <c r="C2443" s="116">
        <v>162.78583974459301</v>
      </c>
      <c r="D2443" s="116">
        <v>161.45542424171799</v>
      </c>
      <c r="E2443" s="116">
        <v>162.88086942337</v>
      </c>
      <c r="F2443" s="116">
        <v>171.3</v>
      </c>
      <c r="G2443">
        <v>167557</v>
      </c>
      <c r="H2443" s="116"/>
      <c r="I2443" s="116"/>
      <c r="L2443" s="170">
        <v>45601</v>
      </c>
      <c r="M2443" s="116">
        <v>865.8</v>
      </c>
      <c r="N2443" s="116">
        <v>870.5</v>
      </c>
      <c r="O2443" s="116">
        <v>841.85</v>
      </c>
      <c r="P2443" s="116">
        <v>855</v>
      </c>
      <c r="Q2443" s="116">
        <v>865.8</v>
      </c>
      <c r="R2443">
        <v>372561</v>
      </c>
    </row>
    <row r="2444" spans="1:18" x14ac:dyDescent="0.25">
      <c r="A2444" s="170">
        <v>45603</v>
      </c>
      <c r="B2444" s="116">
        <v>165.636730107896</v>
      </c>
      <c r="C2444" s="116">
        <v>162.50075070826199</v>
      </c>
      <c r="D2444" s="116">
        <v>162.025602314379</v>
      </c>
      <c r="E2444" s="116">
        <v>164.06874040807901</v>
      </c>
      <c r="F2444" s="116">
        <v>171</v>
      </c>
      <c r="G2444">
        <v>88838</v>
      </c>
      <c r="H2444" s="116"/>
      <c r="I2444" s="116"/>
      <c r="L2444" s="170">
        <v>45602</v>
      </c>
      <c r="M2444" s="116">
        <v>869.8</v>
      </c>
      <c r="N2444" s="116">
        <v>891.9</v>
      </c>
      <c r="O2444" s="116">
        <v>863.65</v>
      </c>
      <c r="P2444" s="116">
        <v>867.4</v>
      </c>
      <c r="Q2444" s="116">
        <v>869.8</v>
      </c>
      <c r="R2444">
        <v>516391</v>
      </c>
    </row>
    <row r="2445" spans="1:18" x14ac:dyDescent="0.25">
      <c r="A2445" s="170">
        <v>45604</v>
      </c>
      <c r="B2445" s="116">
        <v>164.353829444409</v>
      </c>
      <c r="C2445" s="116">
        <v>160.79021649028101</v>
      </c>
      <c r="D2445" s="116">
        <v>159.697375184348</v>
      </c>
      <c r="E2445" s="116">
        <v>164.353829444409</v>
      </c>
      <c r="F2445" s="116">
        <v>169.2</v>
      </c>
      <c r="G2445">
        <v>74897</v>
      </c>
      <c r="H2445" s="116"/>
      <c r="I2445" s="116"/>
      <c r="L2445" s="170">
        <v>45603</v>
      </c>
      <c r="M2445" s="116">
        <v>858.55</v>
      </c>
      <c r="N2445" s="116">
        <v>874.45</v>
      </c>
      <c r="O2445" s="116">
        <v>854.9</v>
      </c>
      <c r="P2445" s="116">
        <v>872.35</v>
      </c>
      <c r="Q2445" s="116">
        <v>858.55</v>
      </c>
      <c r="R2445">
        <v>187974</v>
      </c>
    </row>
    <row r="2446" spans="1:18" x14ac:dyDescent="0.25">
      <c r="A2446" s="170">
        <v>45607</v>
      </c>
      <c r="B2446" s="116">
        <v>160.55264229333901</v>
      </c>
      <c r="C2446" s="116">
        <v>154.803346727345</v>
      </c>
      <c r="D2446" s="116">
        <v>154.375713172849</v>
      </c>
      <c r="E2446" s="116">
        <v>158.31944484208501</v>
      </c>
      <c r="F2446" s="116">
        <v>162.9</v>
      </c>
      <c r="G2446">
        <v>236121</v>
      </c>
      <c r="H2446" s="116"/>
      <c r="I2446" s="116"/>
      <c r="L2446" s="170">
        <v>45604</v>
      </c>
      <c r="M2446" s="116">
        <v>849.6</v>
      </c>
      <c r="N2446" s="116">
        <v>863</v>
      </c>
      <c r="O2446" s="116">
        <v>845.4</v>
      </c>
      <c r="P2446" s="116">
        <v>859.95</v>
      </c>
      <c r="Q2446" s="116">
        <v>849.6</v>
      </c>
      <c r="R2446">
        <v>200702</v>
      </c>
    </row>
    <row r="2447" spans="1:18" x14ac:dyDescent="0.25">
      <c r="A2447" s="170">
        <v>45608</v>
      </c>
      <c r="B2447" s="116">
        <v>158.65204871780401</v>
      </c>
      <c r="C2447" s="116">
        <v>148.00872469480601</v>
      </c>
      <c r="D2447" s="116">
        <v>147.29600210398101</v>
      </c>
      <c r="E2447" s="116">
        <v>155.13595060306301</v>
      </c>
      <c r="F2447" s="116">
        <v>155.75</v>
      </c>
      <c r="G2447">
        <v>395808</v>
      </c>
      <c r="H2447" s="116"/>
      <c r="I2447" s="116"/>
      <c r="L2447" s="170">
        <v>45607</v>
      </c>
      <c r="M2447" s="116">
        <v>838.65</v>
      </c>
      <c r="N2447" s="116">
        <v>848.1</v>
      </c>
      <c r="O2447" s="116">
        <v>830</v>
      </c>
      <c r="P2447" s="116">
        <v>845</v>
      </c>
      <c r="Q2447" s="116">
        <v>838.65</v>
      </c>
      <c r="R2447">
        <v>193207</v>
      </c>
    </row>
    <row r="2448" spans="1:18" x14ac:dyDescent="0.25">
      <c r="A2448" s="170">
        <v>45609</v>
      </c>
      <c r="B2448" s="116">
        <v>147.81866533725301</v>
      </c>
      <c r="C2448" s="116">
        <v>139.170964568567</v>
      </c>
      <c r="D2448" s="116">
        <v>137.55546002936299</v>
      </c>
      <c r="E2448" s="116">
        <v>147.058427907039</v>
      </c>
      <c r="F2448" s="116">
        <v>146.44999999999999</v>
      </c>
      <c r="G2448">
        <v>567406</v>
      </c>
      <c r="H2448" s="116"/>
      <c r="I2448" s="116"/>
      <c r="L2448" s="170">
        <v>45608</v>
      </c>
      <c r="M2448" s="116">
        <v>828.85</v>
      </c>
      <c r="N2448" s="116">
        <v>847.25</v>
      </c>
      <c r="O2448" s="116">
        <v>826</v>
      </c>
      <c r="P2448" s="116">
        <v>841.1</v>
      </c>
      <c r="Q2448" s="116">
        <v>828.85</v>
      </c>
      <c r="R2448">
        <v>183237</v>
      </c>
    </row>
    <row r="2449" spans="1:18" x14ac:dyDescent="0.25">
      <c r="A2449" s="170">
        <v>45610</v>
      </c>
      <c r="B2449" s="116">
        <v>144.44511174067799</v>
      </c>
      <c r="C2449" s="116">
        <v>137.93557874447001</v>
      </c>
      <c r="D2449" s="116">
        <v>136.082500008323</v>
      </c>
      <c r="E2449" s="116">
        <v>139.170964568567</v>
      </c>
      <c r="F2449" s="116">
        <v>145.15</v>
      </c>
      <c r="G2449">
        <v>345506</v>
      </c>
      <c r="H2449" s="116"/>
      <c r="I2449" s="116"/>
      <c r="L2449" s="170">
        <v>45609</v>
      </c>
      <c r="M2449" s="116">
        <v>815.6</v>
      </c>
      <c r="N2449" s="116">
        <v>827.8</v>
      </c>
      <c r="O2449" s="116">
        <v>810.5</v>
      </c>
      <c r="P2449" s="116">
        <v>827.8</v>
      </c>
      <c r="Q2449" s="116">
        <v>815.6</v>
      </c>
      <c r="R2449">
        <v>299321</v>
      </c>
    </row>
    <row r="2450" spans="1:18" x14ac:dyDescent="0.25">
      <c r="A2450" s="170">
        <v>45614</v>
      </c>
      <c r="B2450" s="116">
        <v>142.30694396820101</v>
      </c>
      <c r="C2450" s="116">
        <v>140.69143942899601</v>
      </c>
      <c r="D2450" s="116">
        <v>132.85149092991301</v>
      </c>
      <c r="E2450" s="116">
        <v>137.98309358385799</v>
      </c>
      <c r="F2450" s="116">
        <v>148.05000000000001</v>
      </c>
      <c r="G2450">
        <v>419740</v>
      </c>
      <c r="H2450" s="116"/>
      <c r="I2450" s="116"/>
      <c r="L2450" s="170">
        <v>45610</v>
      </c>
      <c r="M2450" s="116">
        <v>822.95</v>
      </c>
      <c r="N2450" s="116">
        <v>832.2</v>
      </c>
      <c r="O2450" s="116">
        <v>813.8</v>
      </c>
      <c r="P2450" s="116">
        <v>815.6</v>
      </c>
      <c r="Q2450" s="116">
        <v>822.95</v>
      </c>
      <c r="R2450">
        <v>199382</v>
      </c>
    </row>
    <row r="2451" spans="1:18" x14ac:dyDescent="0.25">
      <c r="A2451" s="170">
        <v>45615</v>
      </c>
      <c r="B2451" s="116">
        <v>145.20534917089199</v>
      </c>
      <c r="C2451" s="116">
        <v>140.07374651694701</v>
      </c>
      <c r="D2451" s="116">
        <v>139.40853876550901</v>
      </c>
      <c r="E2451" s="116">
        <v>143.82741882862899</v>
      </c>
      <c r="F2451" s="116">
        <v>147.4</v>
      </c>
      <c r="G2451">
        <v>233518</v>
      </c>
      <c r="H2451" s="116"/>
      <c r="I2451" s="116"/>
      <c r="L2451" s="170">
        <v>45614</v>
      </c>
      <c r="M2451" s="116">
        <v>829.5</v>
      </c>
      <c r="N2451" s="116">
        <v>837.95</v>
      </c>
      <c r="O2451" s="116">
        <v>811.9</v>
      </c>
      <c r="P2451" s="116">
        <v>816.05</v>
      </c>
      <c r="Q2451" s="116">
        <v>829.5</v>
      </c>
      <c r="R2451">
        <v>206386</v>
      </c>
    </row>
    <row r="2452" spans="1:18" x14ac:dyDescent="0.25">
      <c r="A2452" s="170">
        <v>45617</v>
      </c>
      <c r="B2452" s="116">
        <v>140.07374651694701</v>
      </c>
      <c r="C2452" s="116">
        <v>138.648301335295</v>
      </c>
      <c r="D2452" s="116">
        <v>136.842737438537</v>
      </c>
      <c r="E2452" s="116">
        <v>140.026231677558</v>
      </c>
      <c r="F2452" s="116">
        <v>145.9</v>
      </c>
      <c r="G2452">
        <v>70902</v>
      </c>
      <c r="H2452" s="116"/>
      <c r="I2452" s="116"/>
      <c r="L2452" s="170">
        <v>45615</v>
      </c>
      <c r="M2452" s="116">
        <v>832.65</v>
      </c>
      <c r="N2452" s="116">
        <v>852.2</v>
      </c>
      <c r="O2452" s="116">
        <v>828.6</v>
      </c>
      <c r="P2452" s="116">
        <v>830.6</v>
      </c>
      <c r="Q2452" s="116">
        <v>832.65</v>
      </c>
      <c r="R2452">
        <v>248145</v>
      </c>
    </row>
    <row r="2453" spans="1:18" x14ac:dyDescent="0.25">
      <c r="A2453" s="170">
        <v>45618</v>
      </c>
      <c r="B2453" s="116">
        <v>140.643924589607</v>
      </c>
      <c r="C2453" s="116">
        <v>139.36102392612099</v>
      </c>
      <c r="D2453" s="116">
        <v>137.50794518997401</v>
      </c>
      <c r="E2453" s="116">
        <v>138.93339037162599</v>
      </c>
      <c r="F2453" s="116">
        <v>146.65</v>
      </c>
      <c r="G2453">
        <v>84581</v>
      </c>
      <c r="H2453" s="116"/>
      <c r="I2453" s="116"/>
      <c r="L2453" s="170">
        <v>45617</v>
      </c>
      <c r="M2453" s="116">
        <v>822.65</v>
      </c>
      <c r="N2453" s="116">
        <v>834.9</v>
      </c>
      <c r="O2453" s="116">
        <v>812.35</v>
      </c>
      <c r="P2453" s="116">
        <v>832.65</v>
      </c>
      <c r="Q2453" s="116">
        <v>822.65</v>
      </c>
      <c r="R2453">
        <v>266625</v>
      </c>
    </row>
    <row r="2454" spans="1:18" x14ac:dyDescent="0.25">
      <c r="A2454" s="170">
        <v>45621</v>
      </c>
      <c r="B2454" s="116">
        <v>149.00653632196199</v>
      </c>
      <c r="C2454" s="116">
        <v>147.62860597969899</v>
      </c>
      <c r="D2454" s="116">
        <v>142.259429128812</v>
      </c>
      <c r="E2454" s="116">
        <v>144.35008206190099</v>
      </c>
      <c r="F2454" s="116">
        <v>155.35</v>
      </c>
      <c r="G2454">
        <v>187331</v>
      </c>
      <c r="H2454" s="116"/>
      <c r="I2454" s="116"/>
      <c r="L2454" s="170">
        <v>45618</v>
      </c>
      <c r="M2454" s="116">
        <v>842.8</v>
      </c>
      <c r="N2454" s="116">
        <v>848.35</v>
      </c>
      <c r="O2454" s="116">
        <v>823.5</v>
      </c>
      <c r="P2454" s="116">
        <v>823.5</v>
      </c>
      <c r="Q2454" s="116">
        <v>842.8</v>
      </c>
      <c r="R2454">
        <v>365815</v>
      </c>
    </row>
    <row r="2455" spans="1:18" x14ac:dyDescent="0.25">
      <c r="A2455" s="170">
        <v>45622</v>
      </c>
      <c r="B2455" s="116">
        <v>149.149080840127</v>
      </c>
      <c r="C2455" s="116">
        <v>145.82304208294099</v>
      </c>
      <c r="D2455" s="116">
        <v>144.54014141945501</v>
      </c>
      <c r="E2455" s="116">
        <v>148.81647696440899</v>
      </c>
      <c r="F2455" s="116">
        <v>153.44999999999999</v>
      </c>
      <c r="G2455">
        <v>143949</v>
      </c>
      <c r="H2455" s="116"/>
      <c r="I2455" s="116"/>
      <c r="L2455" s="170">
        <v>45621</v>
      </c>
      <c r="M2455" s="116">
        <v>844.25</v>
      </c>
      <c r="N2455" s="116">
        <v>873.65</v>
      </c>
      <c r="O2455" s="116">
        <v>840</v>
      </c>
      <c r="P2455" s="116">
        <v>855</v>
      </c>
      <c r="Q2455" s="116">
        <v>844.25</v>
      </c>
      <c r="R2455">
        <v>541970</v>
      </c>
    </row>
    <row r="2456" spans="1:18" x14ac:dyDescent="0.25">
      <c r="A2456" s="170">
        <v>45623</v>
      </c>
      <c r="B2456" s="116">
        <v>148.24629889174801</v>
      </c>
      <c r="C2456" s="116">
        <v>146.63079435254301</v>
      </c>
      <c r="D2456" s="116">
        <v>144.73020077700801</v>
      </c>
      <c r="E2456" s="116">
        <v>147.01091306764999</v>
      </c>
      <c r="F2456" s="116">
        <v>154.30000000000001</v>
      </c>
      <c r="G2456">
        <v>104867</v>
      </c>
      <c r="H2456" s="116"/>
      <c r="I2456" s="116"/>
      <c r="L2456" s="170">
        <v>45622</v>
      </c>
      <c r="M2456" s="116">
        <v>821.05</v>
      </c>
      <c r="N2456" s="116">
        <v>844.35</v>
      </c>
      <c r="O2456" s="116">
        <v>819.4</v>
      </c>
      <c r="P2456" s="116">
        <v>844.25</v>
      </c>
      <c r="Q2456" s="116">
        <v>821.05</v>
      </c>
      <c r="R2456">
        <v>716832</v>
      </c>
    </row>
    <row r="2457" spans="1:18" x14ac:dyDescent="0.25">
      <c r="A2457" s="170">
        <v>45624</v>
      </c>
      <c r="B2457" s="116">
        <v>152.19003056098401</v>
      </c>
      <c r="C2457" s="116">
        <v>149.814288591565</v>
      </c>
      <c r="D2457" s="116">
        <v>146.393220155601</v>
      </c>
      <c r="E2457" s="116">
        <v>148.00872469480601</v>
      </c>
      <c r="F2457" s="116">
        <v>157.65</v>
      </c>
      <c r="G2457">
        <v>132474</v>
      </c>
      <c r="H2457" s="116"/>
      <c r="I2457" s="116"/>
      <c r="L2457" s="170">
        <v>45623</v>
      </c>
      <c r="M2457" s="116">
        <v>826.25</v>
      </c>
      <c r="N2457" s="116">
        <v>833.5</v>
      </c>
      <c r="O2457" s="116">
        <v>815.6</v>
      </c>
      <c r="P2457" s="116">
        <v>825</v>
      </c>
      <c r="Q2457" s="116">
        <v>826.25</v>
      </c>
      <c r="R2457">
        <v>977644</v>
      </c>
    </row>
    <row r="2458" spans="1:18" x14ac:dyDescent="0.25">
      <c r="A2458" s="170">
        <v>45625</v>
      </c>
      <c r="B2458" s="116">
        <v>151.23973377321599</v>
      </c>
      <c r="C2458" s="116">
        <v>148.626417606855</v>
      </c>
      <c r="D2458" s="116">
        <v>145.442923367834</v>
      </c>
      <c r="E2458" s="116">
        <v>151.23973377321599</v>
      </c>
      <c r="F2458" s="116">
        <v>156.4</v>
      </c>
      <c r="G2458">
        <v>175958</v>
      </c>
      <c r="H2458" s="116"/>
      <c r="I2458" s="116"/>
      <c r="L2458" s="170">
        <v>45624</v>
      </c>
      <c r="M2458" s="116">
        <v>821.85</v>
      </c>
      <c r="N2458" s="116">
        <v>835</v>
      </c>
      <c r="O2458" s="116">
        <v>818.05</v>
      </c>
      <c r="P2458" s="116">
        <v>829.9</v>
      </c>
      <c r="Q2458" s="116">
        <v>821.85</v>
      </c>
      <c r="R2458">
        <v>529131</v>
      </c>
    </row>
    <row r="2459" spans="1:18" x14ac:dyDescent="0.25">
      <c r="A2459" s="170">
        <v>45628</v>
      </c>
      <c r="B2459" s="116">
        <v>147.866180176641</v>
      </c>
      <c r="C2459" s="116">
        <v>146.203160798048</v>
      </c>
      <c r="D2459" s="116">
        <v>144.96777497394999</v>
      </c>
      <c r="E2459" s="116">
        <v>146.10813111927101</v>
      </c>
      <c r="F2459" s="116">
        <v>153.85</v>
      </c>
      <c r="G2459">
        <v>95493</v>
      </c>
      <c r="H2459" s="116"/>
      <c r="I2459" s="116"/>
      <c r="L2459" s="170">
        <v>45625</v>
      </c>
      <c r="M2459" s="116">
        <v>823.95</v>
      </c>
      <c r="N2459" s="116">
        <v>829.1</v>
      </c>
      <c r="O2459" s="116">
        <v>817.6</v>
      </c>
      <c r="P2459" s="116">
        <v>828</v>
      </c>
      <c r="Q2459" s="116">
        <v>823.95</v>
      </c>
      <c r="R2459">
        <v>296879</v>
      </c>
    </row>
    <row r="2460" spans="1:18" x14ac:dyDescent="0.25">
      <c r="A2460" s="170">
        <v>45629</v>
      </c>
      <c r="B2460" s="116">
        <v>160.60015713272699</v>
      </c>
      <c r="C2460" s="116">
        <v>158.937137754134</v>
      </c>
      <c r="D2460" s="116">
        <v>146.203160798048</v>
      </c>
      <c r="E2460" s="116">
        <v>147.771150497864</v>
      </c>
      <c r="F2460" s="116">
        <v>167.25</v>
      </c>
      <c r="G2460">
        <v>309952</v>
      </c>
      <c r="H2460" s="116"/>
      <c r="I2460" s="116"/>
      <c r="L2460" s="170">
        <v>45628</v>
      </c>
      <c r="M2460" s="116">
        <v>814.55</v>
      </c>
      <c r="N2460" s="116">
        <v>834.2</v>
      </c>
      <c r="O2460" s="116">
        <v>813.5</v>
      </c>
      <c r="P2460" s="116">
        <v>828</v>
      </c>
      <c r="Q2460" s="116">
        <v>814.55</v>
      </c>
      <c r="R2460">
        <v>3653242</v>
      </c>
    </row>
    <row r="2461" spans="1:18" x14ac:dyDescent="0.25">
      <c r="A2461" s="170">
        <v>45630</v>
      </c>
      <c r="B2461" s="116">
        <v>170.008095331627</v>
      </c>
      <c r="C2461" s="116">
        <v>162.50075070826199</v>
      </c>
      <c r="D2461" s="116">
        <v>159.887434541902</v>
      </c>
      <c r="E2461" s="116">
        <v>160.55264229333901</v>
      </c>
      <c r="F2461" s="116">
        <v>171</v>
      </c>
      <c r="G2461">
        <v>788443</v>
      </c>
      <c r="H2461" s="116"/>
      <c r="I2461" s="116"/>
      <c r="L2461" s="170">
        <v>45629</v>
      </c>
      <c r="M2461" s="116">
        <v>834.6</v>
      </c>
      <c r="N2461" s="116">
        <v>837</v>
      </c>
      <c r="O2461" s="116">
        <v>816.65</v>
      </c>
      <c r="P2461" s="116">
        <v>820</v>
      </c>
      <c r="Q2461" s="116">
        <v>834.6</v>
      </c>
      <c r="R2461">
        <v>652530</v>
      </c>
    </row>
    <row r="2462" spans="1:18" x14ac:dyDescent="0.25">
      <c r="A2462" s="170">
        <v>45631</v>
      </c>
      <c r="B2462" s="116">
        <v>165.87430430483801</v>
      </c>
      <c r="C2462" s="116">
        <v>163.78365137174899</v>
      </c>
      <c r="D2462" s="116">
        <v>161.40790940233001</v>
      </c>
      <c r="E2462" s="116">
        <v>163.73613653236001</v>
      </c>
      <c r="F2462" s="116">
        <v>172.35</v>
      </c>
      <c r="G2462">
        <v>92548</v>
      </c>
      <c r="H2462" s="116"/>
      <c r="I2462" s="116"/>
      <c r="L2462" s="170">
        <v>45630</v>
      </c>
      <c r="M2462" s="116">
        <v>844.15</v>
      </c>
      <c r="N2462" s="116">
        <v>847.7</v>
      </c>
      <c r="O2462" s="116">
        <v>828.3</v>
      </c>
      <c r="P2462" s="116">
        <v>834</v>
      </c>
      <c r="Q2462" s="116">
        <v>844.15</v>
      </c>
      <c r="R2462">
        <v>1229540</v>
      </c>
    </row>
    <row r="2463" spans="1:18" x14ac:dyDescent="0.25">
      <c r="A2463" s="170">
        <v>45632</v>
      </c>
      <c r="B2463" s="116">
        <v>165.87430430483801</v>
      </c>
      <c r="C2463" s="116">
        <v>163.070928780923</v>
      </c>
      <c r="D2463" s="116">
        <v>162.215661671932</v>
      </c>
      <c r="E2463" s="116">
        <v>165.87430430483801</v>
      </c>
      <c r="F2463" s="116">
        <v>171.6</v>
      </c>
      <c r="G2463">
        <v>47336</v>
      </c>
      <c r="H2463" s="116"/>
      <c r="I2463" s="116"/>
      <c r="L2463" s="170">
        <v>45631</v>
      </c>
      <c r="M2463" s="116">
        <v>835.55</v>
      </c>
      <c r="N2463" s="116">
        <v>849.85</v>
      </c>
      <c r="O2463" s="116">
        <v>832.4</v>
      </c>
      <c r="P2463" s="116">
        <v>840</v>
      </c>
      <c r="Q2463" s="116">
        <v>835.55</v>
      </c>
      <c r="R2463">
        <v>423591</v>
      </c>
    </row>
    <row r="2464" spans="1:18" x14ac:dyDescent="0.25">
      <c r="A2464" s="170">
        <v>45635</v>
      </c>
      <c r="B2464" s="116">
        <v>165.2090965534</v>
      </c>
      <c r="C2464" s="116">
        <v>158.081870645143</v>
      </c>
      <c r="D2464" s="116">
        <v>157.08405901798699</v>
      </c>
      <c r="E2464" s="116">
        <v>163.45104749602999</v>
      </c>
      <c r="F2464" s="116">
        <v>166.35</v>
      </c>
      <c r="G2464">
        <v>264676</v>
      </c>
      <c r="H2464" s="116"/>
      <c r="I2464" s="116"/>
      <c r="L2464" s="170">
        <v>45632</v>
      </c>
      <c r="M2464" s="116">
        <v>802.95</v>
      </c>
      <c r="N2464" s="116">
        <v>836</v>
      </c>
      <c r="O2464" s="116">
        <v>801</v>
      </c>
      <c r="P2464" s="116">
        <v>836</v>
      </c>
      <c r="Q2464" s="116">
        <v>802.95</v>
      </c>
      <c r="R2464">
        <v>1565730</v>
      </c>
    </row>
    <row r="2465" spans="1:18" x14ac:dyDescent="0.25">
      <c r="A2465" s="170">
        <v>45636</v>
      </c>
      <c r="B2465" s="116">
        <v>160.315068096397</v>
      </c>
      <c r="C2465" s="116">
        <v>154.23316865468399</v>
      </c>
      <c r="D2465" s="116">
        <v>153.520446063858</v>
      </c>
      <c r="E2465" s="116">
        <v>158.27193000269699</v>
      </c>
      <c r="F2465" s="116">
        <v>162.30000000000001</v>
      </c>
      <c r="G2465">
        <v>150419</v>
      </c>
      <c r="H2465" s="116"/>
      <c r="I2465" s="116"/>
      <c r="L2465" s="170">
        <v>45635</v>
      </c>
      <c r="M2465" s="116">
        <v>804.5</v>
      </c>
      <c r="N2465" s="116">
        <v>807.65</v>
      </c>
      <c r="O2465" s="116">
        <v>795</v>
      </c>
      <c r="P2465" s="116">
        <v>803</v>
      </c>
      <c r="Q2465" s="116">
        <v>804.5</v>
      </c>
      <c r="R2465">
        <v>849391</v>
      </c>
    </row>
    <row r="2466" spans="1:18" x14ac:dyDescent="0.25">
      <c r="A2466" s="170">
        <v>45637</v>
      </c>
      <c r="B2466" s="116">
        <v>158.17690032391999</v>
      </c>
      <c r="C2466" s="116">
        <v>155.658613836336</v>
      </c>
      <c r="D2466" s="116">
        <v>153.948079618354</v>
      </c>
      <c r="E2466" s="116">
        <v>154.23316865468399</v>
      </c>
      <c r="F2466" s="116">
        <v>163.80000000000001</v>
      </c>
      <c r="G2466">
        <v>149672</v>
      </c>
      <c r="H2466" s="116"/>
      <c r="I2466" s="116"/>
      <c r="L2466" s="170">
        <v>45636</v>
      </c>
      <c r="M2466" s="116">
        <v>818.85</v>
      </c>
      <c r="N2466" s="116">
        <v>826</v>
      </c>
      <c r="O2466" s="116">
        <v>807.25</v>
      </c>
      <c r="P2466" s="116">
        <v>807.3</v>
      </c>
      <c r="Q2466" s="116">
        <v>818.85</v>
      </c>
      <c r="R2466">
        <v>1076619</v>
      </c>
    </row>
    <row r="2467" spans="1:18" x14ac:dyDescent="0.25">
      <c r="A2467" s="170">
        <v>45638</v>
      </c>
      <c r="B2467" s="116">
        <v>158.604533878415</v>
      </c>
      <c r="C2467" s="116">
        <v>155.326009960617</v>
      </c>
      <c r="D2467" s="116">
        <v>154.898376406122</v>
      </c>
      <c r="E2467" s="116">
        <v>157.464177733094</v>
      </c>
      <c r="F2467" s="116">
        <v>163.44999999999999</v>
      </c>
      <c r="G2467">
        <v>113945</v>
      </c>
      <c r="H2467" s="116"/>
      <c r="I2467" s="116"/>
      <c r="L2467" s="170">
        <v>45637</v>
      </c>
      <c r="M2467" s="116">
        <v>819.95</v>
      </c>
      <c r="N2467" s="116">
        <v>827.7</v>
      </c>
      <c r="O2467" s="116">
        <v>818</v>
      </c>
      <c r="P2467" s="116">
        <v>824</v>
      </c>
      <c r="Q2467" s="116">
        <v>819.95</v>
      </c>
      <c r="R2467">
        <v>366800</v>
      </c>
    </row>
    <row r="2468" spans="1:18" x14ac:dyDescent="0.25">
      <c r="A2468" s="170">
        <v>45639</v>
      </c>
      <c r="B2468" s="116">
        <v>158.17690032391999</v>
      </c>
      <c r="C2468" s="116">
        <v>156.98902933920999</v>
      </c>
      <c r="D2468" s="116">
        <v>153.85304993957701</v>
      </c>
      <c r="E2468" s="116">
        <v>154.043109297131</v>
      </c>
      <c r="F2468" s="116">
        <v>165.2</v>
      </c>
      <c r="G2468">
        <v>130505</v>
      </c>
      <c r="H2468" s="116"/>
      <c r="I2468" s="116"/>
      <c r="L2468" s="170">
        <v>45638</v>
      </c>
      <c r="M2468" s="116">
        <v>810.85</v>
      </c>
      <c r="N2468" s="116">
        <v>822.8</v>
      </c>
      <c r="O2468" s="116">
        <v>809.5</v>
      </c>
      <c r="P2468" s="116">
        <v>820.05</v>
      </c>
      <c r="Q2468" s="116">
        <v>810.85</v>
      </c>
      <c r="R2468">
        <v>167677</v>
      </c>
    </row>
    <row r="2469" spans="1:18" x14ac:dyDescent="0.25">
      <c r="A2469" s="170">
        <v>45642</v>
      </c>
      <c r="B2469" s="116">
        <v>164.30631460502099</v>
      </c>
      <c r="C2469" s="116">
        <v>162.26317651132101</v>
      </c>
      <c r="D2469" s="116">
        <v>156.84648482104501</v>
      </c>
      <c r="E2469" s="116">
        <v>157.464177733094</v>
      </c>
      <c r="F2469" s="116">
        <v>170.75</v>
      </c>
      <c r="G2469">
        <v>264734</v>
      </c>
      <c r="H2469" s="116"/>
      <c r="I2469" s="116"/>
      <c r="L2469" s="170">
        <v>45639</v>
      </c>
      <c r="M2469" s="116">
        <v>803.1</v>
      </c>
      <c r="N2469" s="116">
        <v>811.75</v>
      </c>
      <c r="O2469" s="116">
        <v>789.1</v>
      </c>
      <c r="P2469" s="116">
        <v>811</v>
      </c>
      <c r="Q2469" s="116">
        <v>803.1</v>
      </c>
      <c r="R2469">
        <v>451723</v>
      </c>
    </row>
    <row r="2470" spans="1:18" x14ac:dyDescent="0.25">
      <c r="A2470" s="170">
        <v>45643</v>
      </c>
      <c r="B2470" s="116">
        <v>166.96714561076999</v>
      </c>
      <c r="C2470" s="116">
        <v>163.26098813847699</v>
      </c>
      <c r="D2470" s="116">
        <v>160.12500873884301</v>
      </c>
      <c r="E2470" s="116">
        <v>163.593592014195</v>
      </c>
      <c r="F2470" s="116">
        <v>171.8</v>
      </c>
      <c r="G2470">
        <v>120061</v>
      </c>
      <c r="H2470" s="116"/>
      <c r="I2470" s="116"/>
      <c r="L2470" s="170">
        <v>45642</v>
      </c>
      <c r="M2470" s="116">
        <v>801.95</v>
      </c>
      <c r="N2470" s="116">
        <v>809.5</v>
      </c>
      <c r="O2470" s="116">
        <v>800</v>
      </c>
      <c r="P2470" s="116">
        <v>801</v>
      </c>
      <c r="Q2470" s="116">
        <v>801.95</v>
      </c>
      <c r="R2470">
        <v>198073</v>
      </c>
    </row>
    <row r="2471" spans="1:18" x14ac:dyDescent="0.25">
      <c r="A2471" s="170">
        <v>45644</v>
      </c>
      <c r="B2471" s="116">
        <v>165.87430430483801</v>
      </c>
      <c r="C2471" s="116">
        <v>159.93494938129001</v>
      </c>
      <c r="D2471" s="116">
        <v>159.792404863125</v>
      </c>
      <c r="E2471" s="116">
        <v>163.403532656642</v>
      </c>
      <c r="F2471" s="116">
        <v>168.3</v>
      </c>
      <c r="G2471">
        <v>53003</v>
      </c>
      <c r="H2471" s="116"/>
      <c r="I2471" s="116"/>
      <c r="L2471" s="170">
        <v>45643</v>
      </c>
      <c r="M2471" s="116">
        <v>781.45</v>
      </c>
      <c r="N2471" s="116">
        <v>804.55</v>
      </c>
      <c r="O2471" s="116">
        <v>775.1</v>
      </c>
      <c r="P2471" s="116">
        <v>802.3</v>
      </c>
      <c r="Q2471" s="116">
        <v>781.45</v>
      </c>
      <c r="R2471">
        <v>653676</v>
      </c>
    </row>
    <row r="2472" spans="1:18" x14ac:dyDescent="0.25">
      <c r="A2472" s="170">
        <v>45645</v>
      </c>
      <c r="B2472" s="116">
        <v>159.41228614801801</v>
      </c>
      <c r="C2472" s="116">
        <v>156.608910624103</v>
      </c>
      <c r="D2472" s="116">
        <v>153.99559445774199</v>
      </c>
      <c r="E2472" s="116">
        <v>153.99559445774199</v>
      </c>
      <c r="F2472" s="116">
        <v>164.8</v>
      </c>
      <c r="G2472">
        <v>127999</v>
      </c>
      <c r="H2472" s="116"/>
      <c r="I2472" s="116"/>
      <c r="L2472" s="170">
        <v>45644</v>
      </c>
      <c r="M2472" s="116">
        <v>772.95</v>
      </c>
      <c r="N2472" s="116">
        <v>781.5</v>
      </c>
      <c r="O2472" s="116">
        <v>764.3</v>
      </c>
      <c r="P2472" s="116">
        <v>778</v>
      </c>
      <c r="Q2472" s="116">
        <v>772.95</v>
      </c>
      <c r="R2472">
        <v>665418</v>
      </c>
    </row>
    <row r="2473" spans="1:18" x14ac:dyDescent="0.25">
      <c r="A2473" s="170">
        <v>45646</v>
      </c>
      <c r="B2473" s="116">
        <v>158.22441516330801</v>
      </c>
      <c r="C2473" s="116">
        <v>152.570149276091</v>
      </c>
      <c r="D2473" s="116">
        <v>151.619852488323</v>
      </c>
      <c r="E2473" s="116">
        <v>155.99121771205401</v>
      </c>
      <c r="F2473" s="116">
        <v>160.55000000000001</v>
      </c>
      <c r="G2473">
        <v>75464</v>
      </c>
      <c r="H2473" s="116"/>
      <c r="I2473" s="116"/>
      <c r="L2473" s="170">
        <v>45645</v>
      </c>
      <c r="M2473" s="116">
        <v>770.55</v>
      </c>
      <c r="N2473" s="116">
        <v>772.55</v>
      </c>
      <c r="O2473" s="116">
        <v>758.1</v>
      </c>
      <c r="P2473" s="116">
        <v>760</v>
      </c>
      <c r="Q2473" s="116">
        <v>770.55</v>
      </c>
      <c r="R2473">
        <v>435621</v>
      </c>
    </row>
    <row r="2474" spans="1:18" x14ac:dyDescent="0.25">
      <c r="A2474" s="170">
        <v>45649</v>
      </c>
      <c r="B2474" s="116">
        <v>156.46636610593799</v>
      </c>
      <c r="C2474" s="116">
        <v>148.103754373583</v>
      </c>
      <c r="D2474" s="116">
        <v>146.34570531621301</v>
      </c>
      <c r="E2474" s="116">
        <v>153.85304993957701</v>
      </c>
      <c r="F2474" s="116">
        <v>155.85</v>
      </c>
      <c r="G2474">
        <v>140205</v>
      </c>
      <c r="H2474" s="116"/>
      <c r="I2474" s="116"/>
      <c r="L2474" s="170">
        <v>45646</v>
      </c>
      <c r="M2474" s="116">
        <v>747.7</v>
      </c>
      <c r="N2474" s="116">
        <v>772.85</v>
      </c>
      <c r="O2474" s="116">
        <v>745.5</v>
      </c>
      <c r="P2474" s="116">
        <v>771.9</v>
      </c>
      <c r="Q2474" s="116">
        <v>747.7</v>
      </c>
      <c r="R2474">
        <v>517033</v>
      </c>
    </row>
    <row r="2475" spans="1:18" x14ac:dyDescent="0.25">
      <c r="A2475" s="170">
        <v>45650</v>
      </c>
      <c r="B2475" s="116">
        <v>154.803346727345</v>
      </c>
      <c r="C2475" s="116">
        <v>151.57233764893499</v>
      </c>
      <c r="D2475" s="116">
        <v>149.19659567951601</v>
      </c>
      <c r="E2475" s="116">
        <v>150.57452602177901</v>
      </c>
      <c r="F2475" s="116">
        <v>159.5</v>
      </c>
      <c r="G2475">
        <v>139056</v>
      </c>
      <c r="H2475" s="116"/>
      <c r="I2475" s="116"/>
      <c r="L2475" s="170">
        <v>45649</v>
      </c>
      <c r="M2475" s="116">
        <v>726.55</v>
      </c>
      <c r="N2475" s="116">
        <v>756</v>
      </c>
      <c r="O2475" s="116">
        <v>723.55</v>
      </c>
      <c r="P2475" s="116">
        <v>747.55</v>
      </c>
      <c r="Q2475" s="116">
        <v>726.55</v>
      </c>
      <c r="R2475">
        <v>940565</v>
      </c>
    </row>
    <row r="2476" spans="1:18" x14ac:dyDescent="0.25">
      <c r="A2476" s="170">
        <v>45652</v>
      </c>
      <c r="B2476" s="116">
        <v>153.948079618354</v>
      </c>
      <c r="C2476" s="116">
        <v>149.10156600073901</v>
      </c>
      <c r="D2476" s="116">
        <v>148.626417606855</v>
      </c>
      <c r="E2476" s="116">
        <v>153.615475742635</v>
      </c>
      <c r="F2476" s="116">
        <v>156.9</v>
      </c>
      <c r="G2476">
        <v>117861</v>
      </c>
      <c r="H2476" s="116"/>
      <c r="I2476" s="116"/>
      <c r="L2476" s="170">
        <v>45650</v>
      </c>
      <c r="M2476" s="116">
        <v>726.2</v>
      </c>
      <c r="N2476" s="116">
        <v>732.8</v>
      </c>
      <c r="O2476" s="116">
        <v>717.85</v>
      </c>
      <c r="P2476" s="116">
        <v>728.95</v>
      </c>
      <c r="Q2476" s="116">
        <v>726.2</v>
      </c>
      <c r="R2476">
        <v>792904</v>
      </c>
    </row>
    <row r="2477" spans="1:18" x14ac:dyDescent="0.25">
      <c r="A2477" s="170">
        <v>45653</v>
      </c>
      <c r="B2477" s="116">
        <v>151.99997120342999</v>
      </c>
      <c r="C2477" s="116">
        <v>149.33914019768099</v>
      </c>
      <c r="D2477" s="116">
        <v>149.10156600073901</v>
      </c>
      <c r="E2477" s="116">
        <v>150.81210021872101</v>
      </c>
      <c r="F2477" s="116">
        <v>157.15</v>
      </c>
      <c r="G2477">
        <v>69660</v>
      </c>
      <c r="H2477" s="116"/>
      <c r="I2477" s="116"/>
      <c r="L2477" s="170">
        <v>45652</v>
      </c>
      <c r="M2477" s="116">
        <v>723.95</v>
      </c>
      <c r="N2477" s="116">
        <v>729.7</v>
      </c>
      <c r="O2477" s="116">
        <v>716.7</v>
      </c>
      <c r="P2477" s="116">
        <v>726.2</v>
      </c>
      <c r="Q2477" s="116">
        <v>723.95</v>
      </c>
      <c r="R2477">
        <v>523582</v>
      </c>
    </row>
    <row r="2478" spans="1:18" x14ac:dyDescent="0.25">
      <c r="A2478" s="170">
        <v>45656</v>
      </c>
      <c r="B2478" s="116">
        <v>150.28943698544899</v>
      </c>
      <c r="C2478" s="116">
        <v>144.255052383124</v>
      </c>
      <c r="D2478" s="116">
        <v>143.58984463168699</v>
      </c>
      <c r="E2478" s="116">
        <v>149.24411051890399</v>
      </c>
      <c r="F2478" s="116">
        <v>151.80000000000001</v>
      </c>
      <c r="G2478">
        <v>110640</v>
      </c>
      <c r="H2478" s="116"/>
      <c r="I2478" s="116"/>
      <c r="L2478" s="170">
        <v>45653</v>
      </c>
      <c r="M2478" s="116">
        <v>750.55</v>
      </c>
      <c r="N2478" s="116">
        <v>754.25</v>
      </c>
      <c r="O2478" s="116">
        <v>725.95</v>
      </c>
      <c r="P2478" s="116">
        <v>730</v>
      </c>
      <c r="Q2478" s="116">
        <v>750.55</v>
      </c>
      <c r="R2478">
        <v>1034470</v>
      </c>
    </row>
    <row r="2479" spans="1:18" x14ac:dyDescent="0.25">
      <c r="A2479" s="170">
        <v>45657</v>
      </c>
      <c r="B2479" s="116">
        <v>146.298190476825</v>
      </c>
      <c r="C2479" s="116">
        <v>145.20534917089199</v>
      </c>
      <c r="D2479" s="116">
        <v>142.592033004531</v>
      </c>
      <c r="E2479" s="116">
        <v>144.255052383124</v>
      </c>
      <c r="F2479" s="116">
        <v>152.80000000000001</v>
      </c>
      <c r="G2479">
        <v>132757</v>
      </c>
      <c r="H2479" s="116"/>
      <c r="I2479" s="116"/>
      <c r="L2479" s="170">
        <v>45656</v>
      </c>
      <c r="M2479" s="116">
        <v>754.3</v>
      </c>
      <c r="N2479" s="116">
        <v>763.9</v>
      </c>
      <c r="O2479" s="116">
        <v>746.55</v>
      </c>
      <c r="P2479" s="116">
        <v>751.25</v>
      </c>
      <c r="Q2479" s="116">
        <v>754.3</v>
      </c>
      <c r="R2479">
        <v>645351</v>
      </c>
    </row>
    <row r="2480" spans="1:18" x14ac:dyDescent="0.25">
      <c r="A2480" s="170">
        <v>45658</v>
      </c>
      <c r="B2480" s="116">
        <v>153.33038670630501</v>
      </c>
      <c r="C2480" s="116">
        <v>151.7148821671</v>
      </c>
      <c r="D2480" s="116">
        <v>145.20534917089199</v>
      </c>
      <c r="E2480" s="116">
        <v>145.347893689057</v>
      </c>
      <c r="F2480" s="116">
        <v>159.65</v>
      </c>
      <c r="G2480">
        <v>102045</v>
      </c>
      <c r="H2480" s="116"/>
      <c r="I2480" s="116"/>
      <c r="L2480" s="170">
        <v>45657</v>
      </c>
      <c r="M2480" s="116">
        <v>759.3</v>
      </c>
      <c r="N2480" s="116">
        <v>761.95</v>
      </c>
      <c r="O2480" s="116">
        <v>746</v>
      </c>
      <c r="P2480" s="116">
        <v>746</v>
      </c>
      <c r="Q2480" s="116">
        <v>759.3</v>
      </c>
      <c r="R2480">
        <v>482066</v>
      </c>
    </row>
    <row r="2481" spans="1:18" x14ac:dyDescent="0.25">
      <c r="A2481" s="170">
        <v>45659</v>
      </c>
      <c r="B2481" s="116">
        <v>153.66299058202401</v>
      </c>
      <c r="C2481" s="116">
        <v>150.336951824837</v>
      </c>
      <c r="D2481" s="116">
        <v>148.91150664318599</v>
      </c>
      <c r="E2481" s="116">
        <v>153.18784218814</v>
      </c>
      <c r="F2481" s="116">
        <v>158.19999999999999</v>
      </c>
      <c r="G2481">
        <v>52477</v>
      </c>
      <c r="H2481" s="116"/>
      <c r="I2481" s="116"/>
      <c r="L2481" s="170">
        <v>45658</v>
      </c>
      <c r="M2481" s="116">
        <v>730.35</v>
      </c>
      <c r="N2481" s="116">
        <v>758</v>
      </c>
      <c r="O2481" s="116">
        <v>727.1</v>
      </c>
      <c r="P2481" s="116">
        <v>752.05</v>
      </c>
      <c r="Q2481" s="116">
        <v>730.35</v>
      </c>
      <c r="R2481">
        <v>1241318</v>
      </c>
    </row>
    <row r="2482" spans="1:18" x14ac:dyDescent="0.25">
      <c r="A2482" s="170">
        <v>45660</v>
      </c>
      <c r="B2482" s="116">
        <v>152.665178954868</v>
      </c>
      <c r="C2482" s="116">
        <v>149.33914019768099</v>
      </c>
      <c r="D2482" s="116">
        <v>148.626417606855</v>
      </c>
      <c r="E2482" s="116">
        <v>150.004347949118</v>
      </c>
      <c r="F2482" s="116">
        <v>157.15</v>
      </c>
      <c r="G2482">
        <v>53141</v>
      </c>
      <c r="H2482" s="116"/>
      <c r="I2482" s="116"/>
      <c r="L2482" s="170">
        <v>45659</v>
      </c>
      <c r="M2482" s="116">
        <v>729.45</v>
      </c>
      <c r="N2482" s="116">
        <v>736</v>
      </c>
      <c r="O2482" s="116">
        <v>716.9</v>
      </c>
      <c r="P2482" s="116">
        <v>728.55</v>
      </c>
      <c r="Q2482" s="116">
        <v>729.45</v>
      </c>
      <c r="R2482">
        <v>1595191</v>
      </c>
    </row>
    <row r="2483" spans="1:18" x14ac:dyDescent="0.25">
      <c r="A2483" s="170">
        <v>45663</v>
      </c>
      <c r="B2483" s="116">
        <v>150.14689246728301</v>
      </c>
      <c r="C2483" s="116">
        <v>141.87931041370501</v>
      </c>
      <c r="D2483" s="116">
        <v>140.643924589607</v>
      </c>
      <c r="E2483" s="116">
        <v>148.29381373113699</v>
      </c>
      <c r="F2483" s="116">
        <v>149.30000000000001</v>
      </c>
      <c r="G2483">
        <v>176697</v>
      </c>
      <c r="H2483" s="116"/>
      <c r="I2483" s="116"/>
      <c r="L2483" s="170">
        <v>45660</v>
      </c>
      <c r="M2483" s="116">
        <v>721.15</v>
      </c>
      <c r="N2483" s="116">
        <v>733.9</v>
      </c>
      <c r="O2483" s="116">
        <v>718</v>
      </c>
      <c r="P2483" s="116">
        <v>731</v>
      </c>
      <c r="Q2483" s="116">
        <v>721.15</v>
      </c>
      <c r="R2483">
        <v>1327182</v>
      </c>
    </row>
    <row r="2484" spans="1:18" x14ac:dyDescent="0.25">
      <c r="A2484" s="170">
        <v>45664</v>
      </c>
      <c r="B2484" s="116">
        <v>150.47949634300201</v>
      </c>
      <c r="C2484" s="116">
        <v>142.782092362084</v>
      </c>
      <c r="D2484" s="116">
        <v>140.50138007144199</v>
      </c>
      <c r="E2484" s="116">
        <v>150.47949634300201</v>
      </c>
      <c r="F2484" s="116">
        <v>150.25</v>
      </c>
      <c r="G2484">
        <v>116156</v>
      </c>
      <c r="H2484" s="116"/>
      <c r="I2484" s="116"/>
      <c r="L2484" s="170">
        <v>45663</v>
      </c>
      <c r="M2484" s="116">
        <v>697.75</v>
      </c>
      <c r="N2484" s="116">
        <v>728.65</v>
      </c>
      <c r="O2484" s="116">
        <v>695.25</v>
      </c>
      <c r="P2484" s="116">
        <v>726</v>
      </c>
      <c r="Q2484" s="116">
        <v>697.75</v>
      </c>
      <c r="R2484">
        <v>776227</v>
      </c>
    </row>
    <row r="2485" spans="1:18" x14ac:dyDescent="0.25">
      <c r="A2485" s="170">
        <v>45665</v>
      </c>
      <c r="B2485" s="116">
        <v>144.44511174067799</v>
      </c>
      <c r="C2485" s="116">
        <v>141.45167685921001</v>
      </c>
      <c r="D2485" s="116">
        <v>140.643924589607</v>
      </c>
      <c r="E2485" s="116">
        <v>142.82960720147301</v>
      </c>
      <c r="F2485" s="116">
        <v>148.85</v>
      </c>
      <c r="G2485">
        <v>123600</v>
      </c>
      <c r="H2485" s="116"/>
      <c r="I2485" s="116"/>
      <c r="L2485" s="170">
        <v>45664</v>
      </c>
      <c r="M2485" s="116">
        <v>714.8</v>
      </c>
      <c r="N2485" s="116">
        <v>721.6</v>
      </c>
      <c r="O2485" s="116">
        <v>698.25</v>
      </c>
      <c r="P2485" s="116">
        <v>698.25</v>
      </c>
      <c r="Q2485" s="116">
        <v>714.8</v>
      </c>
      <c r="R2485">
        <v>550218</v>
      </c>
    </row>
    <row r="2486" spans="1:18" x14ac:dyDescent="0.25">
      <c r="A2486" s="170">
        <v>45666</v>
      </c>
      <c r="B2486" s="116">
        <v>141.02404330471401</v>
      </c>
      <c r="C2486" s="116">
        <v>138.980905211014</v>
      </c>
      <c r="D2486" s="116">
        <v>138.410727138353</v>
      </c>
      <c r="E2486" s="116">
        <v>140.881498786549</v>
      </c>
      <c r="F2486" s="116">
        <v>146.25</v>
      </c>
      <c r="G2486">
        <v>67774</v>
      </c>
      <c r="H2486" s="116"/>
      <c r="I2486" s="116"/>
      <c r="L2486" s="170">
        <v>45665</v>
      </c>
      <c r="M2486" s="116">
        <v>705.4</v>
      </c>
      <c r="N2486" s="116">
        <v>716.45</v>
      </c>
      <c r="O2486" s="116">
        <v>692</v>
      </c>
      <c r="P2486" s="116">
        <v>716</v>
      </c>
      <c r="Q2486" s="116">
        <v>705.4</v>
      </c>
      <c r="R2486">
        <v>648590</v>
      </c>
    </row>
    <row r="2487" spans="1:18" x14ac:dyDescent="0.25">
      <c r="A2487" s="170">
        <v>45667</v>
      </c>
      <c r="B2487" s="116">
        <v>140.643924589607</v>
      </c>
      <c r="C2487" s="116">
        <v>133.849302557069</v>
      </c>
      <c r="D2487" s="116">
        <v>133.04155028746601</v>
      </c>
      <c r="E2487" s="116">
        <v>140.643924589607</v>
      </c>
      <c r="F2487" s="116">
        <v>140.85</v>
      </c>
      <c r="G2487">
        <v>220995</v>
      </c>
      <c r="H2487" s="116"/>
      <c r="I2487" s="116"/>
      <c r="L2487" s="170">
        <v>45666</v>
      </c>
      <c r="M2487" s="116">
        <v>693.1</v>
      </c>
      <c r="N2487" s="116">
        <v>708.35</v>
      </c>
      <c r="O2487" s="116">
        <v>692.05</v>
      </c>
      <c r="P2487" s="116">
        <v>705.4</v>
      </c>
      <c r="Q2487" s="116">
        <v>693.1</v>
      </c>
      <c r="R2487">
        <v>243903</v>
      </c>
    </row>
    <row r="2488" spans="1:18" x14ac:dyDescent="0.25">
      <c r="A2488" s="170">
        <v>45670</v>
      </c>
      <c r="B2488" s="116">
        <v>133.326639323797</v>
      </c>
      <c r="C2488" s="116">
        <v>125.676750182267</v>
      </c>
      <c r="D2488" s="116">
        <v>123.63361208856701</v>
      </c>
      <c r="E2488" s="116">
        <v>129.620481851503</v>
      </c>
      <c r="F2488" s="116">
        <v>132.25</v>
      </c>
      <c r="G2488">
        <v>315808</v>
      </c>
      <c r="H2488" s="116"/>
      <c r="I2488" s="116"/>
      <c r="L2488" s="170">
        <v>45667</v>
      </c>
      <c r="M2488" s="116">
        <v>679.35</v>
      </c>
      <c r="N2488" s="116">
        <v>697</v>
      </c>
      <c r="O2488" s="116">
        <v>676.5</v>
      </c>
      <c r="P2488" s="116">
        <v>697</v>
      </c>
      <c r="Q2488" s="116">
        <v>679.35</v>
      </c>
      <c r="R2488">
        <v>457544</v>
      </c>
    </row>
    <row r="2489" spans="1:18" x14ac:dyDescent="0.25">
      <c r="A2489" s="170">
        <v>45671</v>
      </c>
      <c r="B2489" s="116">
        <v>133.94433223584599</v>
      </c>
      <c r="C2489" s="116">
        <v>129.620481851503</v>
      </c>
      <c r="D2489" s="116">
        <v>125.676750182267</v>
      </c>
      <c r="E2489" s="116">
        <v>127.529828918414</v>
      </c>
      <c r="F2489" s="116">
        <v>136.4</v>
      </c>
      <c r="G2489">
        <v>136598</v>
      </c>
      <c r="H2489" s="116"/>
      <c r="I2489" s="116"/>
      <c r="L2489" s="170">
        <v>45670</v>
      </c>
      <c r="M2489" s="116">
        <v>651.75</v>
      </c>
      <c r="N2489" s="116">
        <v>677.95</v>
      </c>
      <c r="O2489" s="116">
        <v>650.20000000000005</v>
      </c>
      <c r="P2489" s="116">
        <v>677.95</v>
      </c>
      <c r="Q2489" s="116">
        <v>651.75</v>
      </c>
      <c r="R2489">
        <v>646336</v>
      </c>
    </row>
    <row r="2490" spans="1:18" x14ac:dyDescent="0.25">
      <c r="A2490" s="170">
        <v>45672</v>
      </c>
      <c r="B2490" s="116">
        <v>132.85149092991301</v>
      </c>
      <c r="C2490" s="116">
        <v>128.765214742512</v>
      </c>
      <c r="D2490" s="116">
        <v>127.57734375780301</v>
      </c>
      <c r="E2490" s="116">
        <v>131.99622382092201</v>
      </c>
      <c r="F2490" s="116">
        <v>135.5</v>
      </c>
      <c r="G2490">
        <v>125475</v>
      </c>
      <c r="H2490" s="116"/>
      <c r="I2490" s="116"/>
      <c r="L2490" s="170">
        <v>45671</v>
      </c>
      <c r="M2490" s="116">
        <v>670.8</v>
      </c>
      <c r="N2490" s="116">
        <v>689.1</v>
      </c>
      <c r="O2490" s="116">
        <v>654.45000000000005</v>
      </c>
      <c r="P2490" s="116">
        <v>655</v>
      </c>
      <c r="Q2490" s="116">
        <v>670.8</v>
      </c>
      <c r="R2490">
        <v>1028887</v>
      </c>
    </row>
    <row r="2491" spans="1:18" x14ac:dyDescent="0.25">
      <c r="A2491" s="170">
        <v>45673</v>
      </c>
      <c r="B2491" s="116">
        <v>133.99184707523401</v>
      </c>
      <c r="C2491" s="116">
        <v>132.32882769664101</v>
      </c>
      <c r="D2491" s="116">
        <v>130.33320444232899</v>
      </c>
      <c r="E2491" s="116">
        <v>131.853679302757</v>
      </c>
      <c r="F2491" s="116">
        <v>139.25</v>
      </c>
      <c r="G2491">
        <v>124439</v>
      </c>
      <c r="H2491" s="116"/>
      <c r="I2491" s="116"/>
      <c r="L2491" s="170">
        <v>45672</v>
      </c>
      <c r="M2491" s="116">
        <v>673.15</v>
      </c>
      <c r="N2491" s="116">
        <v>679.65</v>
      </c>
      <c r="O2491" s="116">
        <v>666.6</v>
      </c>
      <c r="P2491" s="116">
        <v>676</v>
      </c>
      <c r="Q2491" s="116">
        <v>673.15</v>
      </c>
      <c r="R2491">
        <v>599629</v>
      </c>
    </row>
    <row r="2492" spans="1:18" x14ac:dyDescent="0.25">
      <c r="A2492" s="170">
        <v>45674</v>
      </c>
      <c r="B2492" s="116">
        <v>135.559836775051</v>
      </c>
      <c r="C2492" s="116">
        <v>132.94652060869001</v>
      </c>
      <c r="D2492" s="116">
        <v>130.665808318047</v>
      </c>
      <c r="E2492" s="116">
        <v>134.84711418422501</v>
      </c>
      <c r="F2492" s="116">
        <v>139.9</v>
      </c>
      <c r="G2492">
        <v>84438</v>
      </c>
      <c r="H2492" s="116"/>
      <c r="I2492" s="116"/>
      <c r="L2492" s="170">
        <v>45673</v>
      </c>
      <c r="M2492" s="116">
        <v>687.6</v>
      </c>
      <c r="N2492" s="116">
        <v>693.45</v>
      </c>
      <c r="O2492" s="116">
        <v>676</v>
      </c>
      <c r="P2492" s="116">
        <v>676</v>
      </c>
      <c r="Q2492" s="116">
        <v>687.6</v>
      </c>
      <c r="R2492">
        <v>738353</v>
      </c>
    </row>
    <row r="2493" spans="1:18" x14ac:dyDescent="0.25">
      <c r="A2493" s="170">
        <v>45677</v>
      </c>
      <c r="B2493" s="116">
        <v>134.942143863002</v>
      </c>
      <c r="C2493" s="116">
        <v>128.62267022434699</v>
      </c>
      <c r="D2493" s="116">
        <v>126.627046970035</v>
      </c>
      <c r="E2493" s="116">
        <v>134.942143863002</v>
      </c>
      <c r="F2493" s="116">
        <v>135.35</v>
      </c>
      <c r="G2493">
        <v>287422</v>
      </c>
      <c r="H2493" s="116"/>
      <c r="I2493" s="116"/>
      <c r="L2493" s="170">
        <v>45674</v>
      </c>
      <c r="M2493" s="116">
        <v>691.5</v>
      </c>
      <c r="N2493" s="116">
        <v>695.1</v>
      </c>
      <c r="O2493" s="116">
        <v>670.8</v>
      </c>
      <c r="P2493" s="116">
        <v>687.6</v>
      </c>
      <c r="Q2493" s="116">
        <v>691.5</v>
      </c>
      <c r="R2493">
        <v>1041143</v>
      </c>
    </row>
    <row r="2494" spans="1:18" x14ac:dyDescent="0.25">
      <c r="A2494" s="170">
        <v>45678</v>
      </c>
      <c r="B2494" s="116">
        <v>141.499191698598</v>
      </c>
      <c r="C2494" s="116">
        <v>134.942143863002</v>
      </c>
      <c r="D2494" s="116">
        <v>130.570778639271</v>
      </c>
      <c r="E2494" s="116">
        <v>131.853679302757</v>
      </c>
      <c r="F2494" s="116">
        <v>142</v>
      </c>
      <c r="G2494">
        <v>437274</v>
      </c>
      <c r="H2494" s="116"/>
      <c r="I2494" s="116"/>
      <c r="L2494" s="170">
        <v>45677</v>
      </c>
      <c r="M2494" s="116">
        <v>708</v>
      </c>
      <c r="N2494" s="116">
        <v>722</v>
      </c>
      <c r="O2494" s="116">
        <v>697</v>
      </c>
      <c r="P2494" s="116">
        <v>700</v>
      </c>
      <c r="Q2494" s="116">
        <v>708</v>
      </c>
      <c r="R2494">
        <v>1534764</v>
      </c>
    </row>
    <row r="2495" spans="1:18" x14ac:dyDescent="0.25">
      <c r="A2495" s="170">
        <v>45679</v>
      </c>
      <c r="B2495" s="116">
        <v>135.892440650769</v>
      </c>
      <c r="C2495" s="116">
        <v>131.948708981534</v>
      </c>
      <c r="D2495" s="116">
        <v>129.85805604844501</v>
      </c>
      <c r="E2495" s="116">
        <v>135.892440650769</v>
      </c>
      <c r="F2495" s="116">
        <v>138.85</v>
      </c>
      <c r="G2495">
        <v>82177</v>
      </c>
      <c r="H2495" s="116"/>
      <c r="I2495" s="116"/>
      <c r="L2495" s="170">
        <v>45678</v>
      </c>
      <c r="M2495" s="116">
        <v>691.8</v>
      </c>
      <c r="N2495" s="116">
        <v>711.85</v>
      </c>
      <c r="O2495" s="116">
        <v>688.25</v>
      </c>
      <c r="P2495" s="116">
        <v>710.15</v>
      </c>
      <c r="Q2495" s="116">
        <v>691.8</v>
      </c>
      <c r="R2495">
        <v>825903</v>
      </c>
    </row>
    <row r="2496" spans="1:18" x14ac:dyDescent="0.25">
      <c r="A2496" s="170">
        <v>45680</v>
      </c>
      <c r="B2496" s="116">
        <v>138.2206677808</v>
      </c>
      <c r="C2496" s="116">
        <v>132.281312857252</v>
      </c>
      <c r="D2496" s="116">
        <v>128.29006634862799</v>
      </c>
      <c r="E2496" s="116">
        <v>128.29006634862799</v>
      </c>
      <c r="F2496" s="116">
        <v>139.19999999999999</v>
      </c>
      <c r="G2496">
        <v>193100</v>
      </c>
      <c r="H2496" s="116"/>
      <c r="I2496" s="116"/>
      <c r="L2496" s="170">
        <v>45679</v>
      </c>
      <c r="M2496" s="116">
        <v>686</v>
      </c>
      <c r="N2496" s="116">
        <v>692</v>
      </c>
      <c r="O2496" s="116">
        <v>676.35</v>
      </c>
      <c r="P2496" s="116">
        <v>690.5</v>
      </c>
      <c r="Q2496" s="116">
        <v>686</v>
      </c>
      <c r="R2496">
        <v>572090</v>
      </c>
    </row>
    <row r="2497" spans="1:18" x14ac:dyDescent="0.25">
      <c r="A2497" s="170">
        <v>45681</v>
      </c>
      <c r="B2497" s="116">
        <v>135.17971805994301</v>
      </c>
      <c r="C2497" s="116">
        <v>129.24036313639601</v>
      </c>
      <c r="D2497" s="116">
        <v>128.670185063735</v>
      </c>
      <c r="E2497" s="116">
        <v>135.17971805994301</v>
      </c>
      <c r="F2497" s="116">
        <v>136</v>
      </c>
      <c r="G2497">
        <v>65781</v>
      </c>
      <c r="H2497" s="116"/>
      <c r="I2497" s="116"/>
      <c r="L2497" s="170">
        <v>45680</v>
      </c>
      <c r="M2497" s="116">
        <v>690.95</v>
      </c>
      <c r="N2497" s="116">
        <v>694.75</v>
      </c>
      <c r="O2497" s="116">
        <v>681.1</v>
      </c>
      <c r="P2497" s="116">
        <v>681.9</v>
      </c>
      <c r="Q2497" s="116">
        <v>690.95</v>
      </c>
      <c r="R2497">
        <v>367970</v>
      </c>
    </row>
    <row r="2498" spans="1:18" x14ac:dyDescent="0.25">
      <c r="A2498" s="170">
        <v>45684</v>
      </c>
      <c r="B2498" s="116">
        <v>129.24036313639601</v>
      </c>
      <c r="C2498" s="116">
        <v>122.113137228139</v>
      </c>
      <c r="D2498" s="116">
        <v>119.73739525872</v>
      </c>
      <c r="E2498" s="116">
        <v>128.14752183046301</v>
      </c>
      <c r="F2498" s="116">
        <v>128.5</v>
      </c>
      <c r="G2498">
        <v>117997</v>
      </c>
      <c r="H2498" s="116"/>
      <c r="I2498" s="116"/>
      <c r="L2498" s="170">
        <v>45681</v>
      </c>
      <c r="M2498" s="116">
        <v>682.7</v>
      </c>
      <c r="N2498" s="116">
        <v>693.75</v>
      </c>
      <c r="O2498" s="116">
        <v>680</v>
      </c>
      <c r="P2498" s="116">
        <v>689.9</v>
      </c>
      <c r="Q2498" s="116">
        <v>682.7</v>
      </c>
      <c r="R2498">
        <v>254312</v>
      </c>
    </row>
    <row r="2499" spans="1:18" x14ac:dyDescent="0.25">
      <c r="A2499" s="170">
        <v>45685</v>
      </c>
      <c r="B2499" s="116">
        <v>125.34414630654901</v>
      </c>
      <c r="C2499" s="116">
        <v>121.115325600983</v>
      </c>
      <c r="D2499" s="116">
        <v>112.27756547474399</v>
      </c>
      <c r="E2499" s="116">
        <v>122.58828562202299</v>
      </c>
      <c r="F2499" s="116">
        <v>127.45</v>
      </c>
      <c r="G2499">
        <v>356874</v>
      </c>
      <c r="H2499" s="116"/>
      <c r="I2499" s="116"/>
      <c r="L2499" s="170">
        <v>45684</v>
      </c>
      <c r="M2499" s="116">
        <v>674.05</v>
      </c>
      <c r="N2499" s="116">
        <v>681</v>
      </c>
      <c r="O2499" s="116">
        <v>668.1</v>
      </c>
      <c r="P2499" s="116">
        <v>680.1</v>
      </c>
      <c r="Q2499" s="116">
        <v>674.05</v>
      </c>
      <c r="R2499">
        <v>645450</v>
      </c>
    </row>
    <row r="2500" spans="1:18" x14ac:dyDescent="0.25">
      <c r="A2500" s="170">
        <v>45686</v>
      </c>
      <c r="B2500" s="116">
        <v>126.81710632758799</v>
      </c>
      <c r="C2500" s="116">
        <v>125.581720503491</v>
      </c>
      <c r="D2500" s="116">
        <v>121.257870119148</v>
      </c>
      <c r="E2500" s="116">
        <v>121.257870119148</v>
      </c>
      <c r="F2500" s="116">
        <v>132.15</v>
      </c>
      <c r="G2500">
        <v>142739</v>
      </c>
      <c r="H2500" s="116"/>
      <c r="I2500" s="116"/>
      <c r="L2500" s="170">
        <v>45685</v>
      </c>
      <c r="M2500" s="116">
        <v>662.95</v>
      </c>
      <c r="N2500" s="116">
        <v>684</v>
      </c>
      <c r="O2500" s="116">
        <v>658.55</v>
      </c>
      <c r="P2500" s="116">
        <v>679.9</v>
      </c>
      <c r="Q2500" s="116">
        <v>662.95</v>
      </c>
      <c r="R2500">
        <v>1315871</v>
      </c>
    </row>
    <row r="2501" spans="1:18" x14ac:dyDescent="0.25">
      <c r="A2501" s="170">
        <v>45687</v>
      </c>
      <c r="B2501" s="116">
        <v>129.66799669089099</v>
      </c>
      <c r="C2501" s="116">
        <v>125.629235342879</v>
      </c>
      <c r="D2501" s="116">
        <v>124.821483073276</v>
      </c>
      <c r="E2501" s="116">
        <v>128.10000699107499</v>
      </c>
      <c r="F2501" s="116">
        <v>132.19999999999999</v>
      </c>
      <c r="G2501">
        <v>113813</v>
      </c>
      <c r="H2501" s="116"/>
      <c r="I2501" s="116"/>
      <c r="L2501" s="170">
        <v>45686</v>
      </c>
      <c r="M2501" s="116">
        <v>667.45</v>
      </c>
      <c r="N2501" s="116">
        <v>678</v>
      </c>
      <c r="O2501" s="116">
        <v>658.8</v>
      </c>
      <c r="P2501" s="116">
        <v>665</v>
      </c>
      <c r="Q2501" s="116">
        <v>667.45</v>
      </c>
      <c r="R2501">
        <v>868154</v>
      </c>
    </row>
    <row r="2502" spans="1:18" x14ac:dyDescent="0.25">
      <c r="A2502" s="170">
        <v>45688</v>
      </c>
      <c r="B2502" s="116">
        <v>131.521075427038</v>
      </c>
      <c r="C2502" s="116">
        <v>130.00060056660999</v>
      </c>
      <c r="D2502" s="116">
        <v>125.819294700432</v>
      </c>
      <c r="E2502" s="116">
        <v>125.819294700432</v>
      </c>
      <c r="F2502" s="116">
        <v>136.80000000000001</v>
      </c>
      <c r="G2502">
        <v>124251</v>
      </c>
      <c r="H2502" s="116"/>
      <c r="I2502" s="116"/>
      <c r="L2502" s="170">
        <v>45687</v>
      </c>
      <c r="M2502" s="116">
        <v>653.70000000000005</v>
      </c>
      <c r="N2502" s="116">
        <v>674.8</v>
      </c>
      <c r="O2502" s="116">
        <v>651.29999999999995</v>
      </c>
      <c r="P2502" s="116">
        <v>674.8</v>
      </c>
      <c r="Q2502" s="116">
        <v>653.70000000000005</v>
      </c>
      <c r="R2502">
        <v>701511</v>
      </c>
    </row>
    <row r="2503" spans="1:18" x14ac:dyDescent="0.25">
      <c r="A2503" s="170">
        <v>45689</v>
      </c>
      <c r="B2503" s="116">
        <v>133.89681739645701</v>
      </c>
      <c r="C2503" s="116">
        <v>126.056868897374</v>
      </c>
      <c r="D2503" s="116">
        <v>124.53639403694601</v>
      </c>
      <c r="E2503" s="116">
        <v>130.00060056660999</v>
      </c>
      <c r="F2503" s="116">
        <v>132.65</v>
      </c>
      <c r="G2503">
        <v>192319</v>
      </c>
      <c r="H2503" s="116"/>
      <c r="I2503" s="116"/>
      <c r="L2503" s="170">
        <v>45688</v>
      </c>
      <c r="M2503" s="116">
        <v>667.7</v>
      </c>
      <c r="N2503" s="116">
        <v>671.5</v>
      </c>
      <c r="O2503" s="116">
        <v>648.85</v>
      </c>
      <c r="P2503" s="116">
        <v>653.85</v>
      </c>
      <c r="Q2503" s="116">
        <v>667.7</v>
      </c>
      <c r="R2503">
        <v>548361</v>
      </c>
    </row>
    <row r="2504" spans="1:18" x14ac:dyDescent="0.25">
      <c r="A2504" s="170">
        <v>45691</v>
      </c>
      <c r="B2504" s="116">
        <v>125.39166114593699</v>
      </c>
      <c r="C2504" s="116">
        <v>120.830236564652</v>
      </c>
      <c r="D2504" s="116">
        <v>120.260058491992</v>
      </c>
      <c r="E2504" s="116">
        <v>124.298819840004</v>
      </c>
      <c r="F2504" s="116">
        <v>127.15</v>
      </c>
      <c r="G2504">
        <v>103931</v>
      </c>
      <c r="H2504" s="116"/>
      <c r="I2504" s="116"/>
      <c r="L2504" s="170">
        <v>45689</v>
      </c>
      <c r="M2504" s="116">
        <v>660.7</v>
      </c>
      <c r="N2504" s="116">
        <v>695</v>
      </c>
      <c r="O2504" s="116">
        <v>658.45</v>
      </c>
      <c r="P2504" s="116">
        <v>675</v>
      </c>
      <c r="Q2504" s="116">
        <v>660.7</v>
      </c>
      <c r="R2504">
        <v>709385</v>
      </c>
    </row>
    <row r="2505" spans="1:18" x14ac:dyDescent="0.25">
      <c r="A2505" s="170">
        <v>45692</v>
      </c>
      <c r="B2505" s="116">
        <v>125.771779861044</v>
      </c>
      <c r="C2505" s="116">
        <v>124.251305000616</v>
      </c>
      <c r="D2505" s="116">
        <v>121.73301851303199</v>
      </c>
      <c r="E2505" s="116">
        <v>121.73301851303199</v>
      </c>
      <c r="F2505" s="116">
        <v>130.75</v>
      </c>
      <c r="G2505">
        <v>98605</v>
      </c>
      <c r="H2505" s="116"/>
      <c r="I2505" s="116"/>
      <c r="L2505" s="170">
        <v>45691</v>
      </c>
      <c r="M2505" s="116">
        <v>648.29999999999995</v>
      </c>
      <c r="N2505" s="116">
        <v>657.45</v>
      </c>
      <c r="O2505" s="116">
        <v>638.04999999999995</v>
      </c>
      <c r="P2505" s="116">
        <v>655</v>
      </c>
      <c r="Q2505" s="116">
        <v>648.29999999999995</v>
      </c>
      <c r="R2505">
        <v>715089</v>
      </c>
    </row>
    <row r="2506" spans="1:18" x14ac:dyDescent="0.25">
      <c r="A2506" s="170">
        <v>45693</v>
      </c>
      <c r="B2506" s="116">
        <v>127.339769560861</v>
      </c>
      <c r="C2506" s="116">
        <v>125.106572109607</v>
      </c>
      <c r="D2506" s="116">
        <v>124.583908876335</v>
      </c>
      <c r="E2506" s="116">
        <v>126.19941341553999</v>
      </c>
      <c r="F2506" s="116">
        <v>131.65</v>
      </c>
      <c r="G2506">
        <v>70889</v>
      </c>
      <c r="H2506" s="116"/>
      <c r="I2506" s="116"/>
      <c r="L2506" s="170">
        <v>45692</v>
      </c>
      <c r="M2506" s="116">
        <v>663.6</v>
      </c>
      <c r="N2506" s="116">
        <v>665</v>
      </c>
      <c r="O2506" s="116">
        <v>649.29999999999995</v>
      </c>
      <c r="P2506" s="116">
        <v>650</v>
      </c>
      <c r="Q2506" s="116">
        <v>663.6</v>
      </c>
      <c r="R2506">
        <v>769295</v>
      </c>
    </row>
    <row r="2507" spans="1:18" x14ac:dyDescent="0.25">
      <c r="A2507" s="170">
        <v>45694</v>
      </c>
      <c r="B2507" s="116">
        <v>127.339769560861</v>
      </c>
      <c r="C2507" s="116">
        <v>124.91651275205299</v>
      </c>
      <c r="D2507" s="116">
        <v>123.776156606732</v>
      </c>
      <c r="E2507" s="116">
        <v>126.48450245187</v>
      </c>
      <c r="F2507" s="116">
        <v>131.44999999999999</v>
      </c>
      <c r="G2507">
        <v>72121</v>
      </c>
      <c r="H2507" s="116"/>
      <c r="I2507" s="116"/>
      <c r="L2507" s="170">
        <v>45693</v>
      </c>
      <c r="M2507" s="116">
        <v>673.45</v>
      </c>
      <c r="N2507" s="116">
        <v>682</v>
      </c>
      <c r="O2507" s="116">
        <v>665.05</v>
      </c>
      <c r="P2507" s="116">
        <v>669</v>
      </c>
      <c r="Q2507" s="116">
        <v>673.45</v>
      </c>
      <c r="R2507">
        <v>348081</v>
      </c>
    </row>
    <row r="2508" spans="1:18" x14ac:dyDescent="0.25">
      <c r="A2508" s="170">
        <v>45695</v>
      </c>
      <c r="B2508" s="116">
        <v>125.91432437920901</v>
      </c>
      <c r="C2508" s="116">
        <v>123.63361208856701</v>
      </c>
      <c r="D2508" s="116">
        <v>122.63580046141099</v>
      </c>
      <c r="E2508" s="116">
        <v>124.91651275205299</v>
      </c>
      <c r="F2508" s="116">
        <v>130.1</v>
      </c>
      <c r="G2508">
        <v>74701</v>
      </c>
      <c r="H2508" s="116"/>
      <c r="I2508" s="116"/>
      <c r="L2508" s="170">
        <v>45694</v>
      </c>
      <c r="M2508" s="116">
        <v>667.05</v>
      </c>
      <c r="N2508" s="116">
        <v>677.2</v>
      </c>
      <c r="O2508" s="116">
        <v>662</v>
      </c>
      <c r="P2508" s="116">
        <v>673.45</v>
      </c>
      <c r="Q2508" s="116">
        <v>667.05</v>
      </c>
      <c r="R2508">
        <v>218332</v>
      </c>
    </row>
    <row r="2509" spans="1:18" x14ac:dyDescent="0.25">
      <c r="A2509" s="170">
        <v>45698</v>
      </c>
      <c r="B2509" s="116">
        <v>124.53639403694601</v>
      </c>
      <c r="C2509" s="116">
        <v>120.640177207099</v>
      </c>
      <c r="D2509" s="116">
        <v>120.212543652604</v>
      </c>
      <c r="E2509" s="116">
        <v>122.63580046141099</v>
      </c>
      <c r="F2509" s="116">
        <v>126.95</v>
      </c>
      <c r="G2509">
        <v>48515</v>
      </c>
      <c r="H2509" s="116"/>
      <c r="I2509" s="116"/>
      <c r="L2509" s="170">
        <v>45695</v>
      </c>
      <c r="M2509" s="116">
        <v>669.3</v>
      </c>
      <c r="N2509" s="116">
        <v>679.45</v>
      </c>
      <c r="O2509" s="116">
        <v>655</v>
      </c>
      <c r="P2509" s="116">
        <v>661</v>
      </c>
      <c r="Q2509" s="116">
        <v>669.3</v>
      </c>
      <c r="R2509">
        <v>428131</v>
      </c>
    </row>
    <row r="2510" spans="1:18" x14ac:dyDescent="0.25">
      <c r="A2510" s="170">
        <v>45699</v>
      </c>
      <c r="B2510" s="116">
        <v>120.830236564652</v>
      </c>
      <c r="C2510" s="116">
        <v>113.56046613823</v>
      </c>
      <c r="D2510" s="116">
        <v>112.610169350463</v>
      </c>
      <c r="E2510" s="116">
        <v>120.830236564652</v>
      </c>
      <c r="F2510" s="116">
        <v>119.5</v>
      </c>
      <c r="G2510">
        <v>173852</v>
      </c>
      <c r="H2510" s="116"/>
      <c r="I2510" s="116"/>
      <c r="L2510" s="170">
        <v>45698</v>
      </c>
      <c r="M2510" s="116">
        <v>649.29999999999995</v>
      </c>
      <c r="N2510" s="116">
        <v>671.95</v>
      </c>
      <c r="O2510" s="116">
        <v>645.25</v>
      </c>
      <c r="P2510" s="116">
        <v>665.1</v>
      </c>
      <c r="Q2510" s="116">
        <v>649.29999999999995</v>
      </c>
      <c r="R2510">
        <v>319444</v>
      </c>
    </row>
    <row r="2511" spans="1:18" x14ac:dyDescent="0.25">
      <c r="A2511" s="170">
        <v>45700</v>
      </c>
      <c r="B2511" s="116">
        <v>114.70082228355101</v>
      </c>
      <c r="C2511" s="116">
        <v>113.988099692726</v>
      </c>
      <c r="D2511" s="116">
        <v>106.718329266303</v>
      </c>
      <c r="E2511" s="116">
        <v>113.512951298842</v>
      </c>
      <c r="F2511" s="116">
        <v>119.95</v>
      </c>
      <c r="G2511">
        <v>326832</v>
      </c>
      <c r="H2511" s="116"/>
      <c r="I2511" s="116"/>
      <c r="L2511" s="170">
        <v>45699</v>
      </c>
      <c r="M2511" s="116">
        <v>620.65</v>
      </c>
      <c r="N2511" s="116">
        <v>648</v>
      </c>
      <c r="O2511" s="116">
        <v>618.5</v>
      </c>
      <c r="P2511" s="116">
        <v>647.54999999999995</v>
      </c>
      <c r="Q2511" s="116">
        <v>620.65</v>
      </c>
      <c r="R2511">
        <v>520336</v>
      </c>
    </row>
    <row r="2512" spans="1:18" x14ac:dyDescent="0.25">
      <c r="A2512" s="170">
        <v>45701</v>
      </c>
      <c r="B2512" s="116">
        <v>116.553901019698</v>
      </c>
      <c r="C2512" s="116">
        <v>112.420109992909</v>
      </c>
      <c r="D2512" s="116">
        <v>110.899635132481</v>
      </c>
      <c r="E2512" s="116">
        <v>116.268811983368</v>
      </c>
      <c r="F2512" s="116">
        <v>118.3</v>
      </c>
      <c r="G2512">
        <v>72642</v>
      </c>
      <c r="H2512" s="116"/>
      <c r="I2512" s="116"/>
      <c r="L2512" s="170">
        <v>45700</v>
      </c>
      <c r="M2512" s="116">
        <v>616.45000000000005</v>
      </c>
      <c r="N2512" s="116">
        <v>620.65</v>
      </c>
      <c r="O2512" s="116">
        <v>596</v>
      </c>
      <c r="P2512" s="116">
        <v>615.20000000000005</v>
      </c>
      <c r="Q2512" s="116">
        <v>616.45000000000005</v>
      </c>
      <c r="R2512">
        <v>580938</v>
      </c>
    </row>
    <row r="2513" spans="1:18" x14ac:dyDescent="0.25">
      <c r="A2513" s="170">
        <v>45702</v>
      </c>
      <c r="B2513" s="116">
        <v>113.940584853337</v>
      </c>
      <c r="C2513" s="116">
        <v>107.573596375294</v>
      </c>
      <c r="D2513" s="116">
        <v>107.003418302634</v>
      </c>
      <c r="E2513" s="116">
        <v>113.940584853337</v>
      </c>
      <c r="F2513" s="116">
        <v>113.2</v>
      </c>
      <c r="G2513">
        <v>119373</v>
      </c>
      <c r="H2513" s="116"/>
      <c r="I2513" s="116"/>
      <c r="L2513" s="170">
        <v>45701</v>
      </c>
      <c r="M2513" s="116">
        <v>611.4</v>
      </c>
      <c r="N2513" s="116">
        <v>621.20000000000005</v>
      </c>
      <c r="O2513" s="116">
        <v>605.85</v>
      </c>
      <c r="P2513" s="116">
        <v>612.20000000000005</v>
      </c>
      <c r="Q2513" s="116">
        <v>611.4</v>
      </c>
      <c r="R2513">
        <v>363701</v>
      </c>
    </row>
    <row r="2514" spans="1:18" x14ac:dyDescent="0.25">
      <c r="A2514" s="170">
        <v>45705</v>
      </c>
      <c r="B2514" s="116">
        <v>108.80898219939201</v>
      </c>
      <c r="C2514" s="116">
        <v>103.154716312175</v>
      </c>
      <c r="D2514" s="116">
        <v>101.8243008093</v>
      </c>
      <c r="E2514" s="116">
        <v>106.86087378446901</v>
      </c>
      <c r="F2514" s="116">
        <v>108.55</v>
      </c>
      <c r="G2514">
        <v>287474</v>
      </c>
      <c r="H2514" s="116"/>
      <c r="I2514" s="116"/>
      <c r="L2514" s="170">
        <v>45702</v>
      </c>
      <c r="M2514" s="116">
        <v>607.29999999999995</v>
      </c>
      <c r="N2514" s="116">
        <v>614.15</v>
      </c>
      <c r="O2514" s="116">
        <v>599.15</v>
      </c>
      <c r="P2514" s="116">
        <v>610</v>
      </c>
      <c r="Q2514" s="116">
        <v>607.29999999999995</v>
      </c>
      <c r="R2514">
        <v>415632</v>
      </c>
    </row>
    <row r="2515" spans="1:18" x14ac:dyDescent="0.25">
      <c r="A2515" s="170">
        <v>45706</v>
      </c>
      <c r="B2515" s="116">
        <v>105.768032478536</v>
      </c>
      <c r="C2515" s="116">
        <v>96.550153637189894</v>
      </c>
      <c r="D2515" s="116">
        <v>95.979975564529298</v>
      </c>
      <c r="E2515" s="116">
        <v>102.679567918291</v>
      </c>
      <c r="F2515" s="116">
        <v>101.6</v>
      </c>
      <c r="G2515">
        <v>302521</v>
      </c>
      <c r="H2515" s="116"/>
      <c r="I2515" s="116"/>
      <c r="L2515" s="170">
        <v>45705</v>
      </c>
      <c r="M2515" s="116">
        <v>608.85</v>
      </c>
      <c r="N2515" s="116">
        <v>610.95000000000005</v>
      </c>
      <c r="O2515" s="116">
        <v>591.79999999999995</v>
      </c>
      <c r="P2515" s="116">
        <v>599</v>
      </c>
      <c r="Q2515" s="116">
        <v>608.85</v>
      </c>
      <c r="R2515">
        <v>755324</v>
      </c>
    </row>
    <row r="2516" spans="1:18" x14ac:dyDescent="0.25">
      <c r="A2516" s="170">
        <v>45707</v>
      </c>
      <c r="B2516" s="116">
        <v>102.632053078903</v>
      </c>
      <c r="C2516" s="116">
        <v>101.729271130523</v>
      </c>
      <c r="D2516" s="116">
        <v>94.649560061654597</v>
      </c>
      <c r="E2516" s="116">
        <v>95.932460725140899</v>
      </c>
      <c r="F2516" s="116">
        <v>107.05</v>
      </c>
      <c r="G2516">
        <v>393187</v>
      </c>
      <c r="H2516" s="116"/>
      <c r="I2516" s="116"/>
      <c r="L2516" s="170">
        <v>45706</v>
      </c>
      <c r="M2516" s="116">
        <v>598.6</v>
      </c>
      <c r="N2516" s="116">
        <v>608</v>
      </c>
      <c r="O2516" s="116">
        <v>595.65</v>
      </c>
      <c r="P2516" s="116">
        <v>602.5</v>
      </c>
      <c r="Q2516" s="116">
        <v>598.6</v>
      </c>
      <c r="R2516">
        <v>165183</v>
      </c>
    </row>
    <row r="2517" spans="1:18" x14ac:dyDescent="0.25">
      <c r="A2517" s="170">
        <v>45708</v>
      </c>
      <c r="B2517" s="116">
        <v>118.739583631564</v>
      </c>
      <c r="C2517" s="116">
        <v>116.838990056028</v>
      </c>
      <c r="D2517" s="116">
        <v>102.91714211523301</v>
      </c>
      <c r="E2517" s="116">
        <v>108.381348644897</v>
      </c>
      <c r="F2517" s="116">
        <v>122.95</v>
      </c>
      <c r="G2517">
        <v>1090935</v>
      </c>
      <c r="H2517" s="116"/>
      <c r="I2517" s="116"/>
      <c r="L2517" s="170">
        <v>45707</v>
      </c>
      <c r="M2517" s="116">
        <v>600.79999999999995</v>
      </c>
      <c r="N2517" s="116">
        <v>607.9</v>
      </c>
      <c r="O2517" s="116">
        <v>590.85</v>
      </c>
      <c r="P2517" s="116">
        <v>592.20000000000005</v>
      </c>
      <c r="Q2517" s="116">
        <v>600.79999999999995</v>
      </c>
      <c r="R2517">
        <v>190817</v>
      </c>
    </row>
    <row r="2518" spans="1:18" x14ac:dyDescent="0.25">
      <c r="A2518" s="170">
        <v>45709</v>
      </c>
      <c r="B2518" s="116">
        <v>121.21035527975999</v>
      </c>
      <c r="C2518" s="116">
        <v>115.413544874377</v>
      </c>
      <c r="D2518" s="116">
        <v>114.368218407833</v>
      </c>
      <c r="E2518" s="116">
        <v>117.504197807466</v>
      </c>
      <c r="F2518" s="116">
        <v>121.45</v>
      </c>
      <c r="G2518">
        <v>436960</v>
      </c>
      <c r="H2518" s="116"/>
      <c r="I2518" s="116"/>
      <c r="L2518" s="170">
        <v>45708</v>
      </c>
      <c r="M2518" s="116">
        <v>605.04999999999995</v>
      </c>
      <c r="N2518" s="116">
        <v>612.35</v>
      </c>
      <c r="O2518" s="116">
        <v>595.20000000000005</v>
      </c>
      <c r="P2518" s="116">
        <v>599.04999999999995</v>
      </c>
      <c r="Q2518" s="116">
        <v>605.04999999999995</v>
      </c>
      <c r="R2518">
        <v>309864</v>
      </c>
    </row>
    <row r="2519" spans="1:18" x14ac:dyDescent="0.25">
      <c r="A2519" s="170">
        <v>45712</v>
      </c>
      <c r="B2519" s="116">
        <v>116.50638618031</v>
      </c>
      <c r="C2519" s="116">
        <v>113.22786226251201</v>
      </c>
      <c r="D2519" s="116">
        <v>110.139397702267</v>
      </c>
      <c r="E2519" s="116">
        <v>114.225673889668</v>
      </c>
      <c r="F2519" s="116">
        <v>119.15</v>
      </c>
      <c r="G2519">
        <v>167778</v>
      </c>
      <c r="H2519" s="116"/>
      <c r="I2519" s="116"/>
      <c r="L2519" s="170">
        <v>45709</v>
      </c>
      <c r="M2519" s="116">
        <v>598.54999999999995</v>
      </c>
      <c r="N2519" s="116">
        <v>621.25</v>
      </c>
      <c r="O2519" s="116">
        <v>594.35</v>
      </c>
      <c r="P2519" s="116">
        <v>607.9</v>
      </c>
      <c r="Q2519" s="116">
        <v>598.54999999999995</v>
      </c>
      <c r="R2519">
        <v>743811</v>
      </c>
    </row>
    <row r="2520" spans="1:18" x14ac:dyDescent="0.25">
      <c r="A2520" s="170">
        <v>45713</v>
      </c>
      <c r="B2520" s="116">
        <v>116.41135650153301</v>
      </c>
      <c r="C2520" s="116">
        <v>112.08750611719</v>
      </c>
      <c r="D2520" s="116">
        <v>111.42229836575299</v>
      </c>
      <c r="E2520" s="116">
        <v>114.083129371502</v>
      </c>
      <c r="F2520" s="116">
        <v>117.95</v>
      </c>
      <c r="G2520">
        <v>87051</v>
      </c>
      <c r="H2520" s="116"/>
      <c r="I2520" s="116"/>
      <c r="L2520" s="170">
        <v>45712</v>
      </c>
      <c r="M2520" s="116">
        <v>605.20000000000005</v>
      </c>
      <c r="N2520" s="116">
        <v>607.65</v>
      </c>
      <c r="O2520" s="116">
        <v>588.4</v>
      </c>
      <c r="P2520" s="116">
        <v>594</v>
      </c>
      <c r="Q2520" s="116">
        <v>605.20000000000005</v>
      </c>
      <c r="R2520">
        <v>593713</v>
      </c>
    </row>
    <row r="2521" spans="1:18" x14ac:dyDescent="0.25">
      <c r="A2521" s="170">
        <v>45715</v>
      </c>
      <c r="B2521" s="116">
        <v>114.083129371502</v>
      </c>
      <c r="C2521" s="116">
        <v>108.57140800245</v>
      </c>
      <c r="D2521" s="116">
        <v>108.00122992979</v>
      </c>
      <c r="E2521" s="116">
        <v>114.083129371502</v>
      </c>
      <c r="F2521" s="116">
        <v>114.25</v>
      </c>
      <c r="G2521">
        <v>129835</v>
      </c>
      <c r="H2521" s="116"/>
      <c r="I2521" s="116"/>
      <c r="L2521" s="170">
        <v>45713</v>
      </c>
      <c r="M2521" s="116">
        <v>577.85</v>
      </c>
      <c r="N2521" s="116">
        <v>608.95000000000005</v>
      </c>
      <c r="O2521" s="116">
        <v>558.5</v>
      </c>
      <c r="P2521" s="116">
        <v>605.95000000000005</v>
      </c>
      <c r="Q2521" s="116">
        <v>577.85</v>
      </c>
      <c r="R2521">
        <v>2623068</v>
      </c>
    </row>
    <row r="2522" spans="1:18" x14ac:dyDescent="0.25">
      <c r="A2522" s="170">
        <v>45716</v>
      </c>
      <c r="B2522" s="116">
        <v>108.428863484285</v>
      </c>
      <c r="C2522" s="116">
        <v>105.19785440587501</v>
      </c>
      <c r="D2522" s="116">
        <v>104.532646654438</v>
      </c>
      <c r="E2522" s="116">
        <v>106.623299587527</v>
      </c>
      <c r="F2522" s="116">
        <v>110.7</v>
      </c>
      <c r="G2522">
        <v>125306</v>
      </c>
      <c r="H2522" s="116"/>
      <c r="I2522" s="116"/>
      <c r="L2522" s="170">
        <v>45715</v>
      </c>
      <c r="M2522" s="116">
        <v>574.79999999999995</v>
      </c>
      <c r="N2522" s="116">
        <v>592</v>
      </c>
      <c r="O2522" s="116">
        <v>568.54999999999995</v>
      </c>
      <c r="P2522" s="116">
        <v>577</v>
      </c>
      <c r="Q2522" s="116">
        <v>574.79999999999995</v>
      </c>
      <c r="R2522">
        <v>2214435</v>
      </c>
    </row>
    <row r="2523" spans="1:18" x14ac:dyDescent="0.25">
      <c r="A2523" s="170">
        <v>45719</v>
      </c>
      <c r="B2523" s="116">
        <v>108.28631896612001</v>
      </c>
      <c r="C2523" s="116">
        <v>105.007795048322</v>
      </c>
      <c r="D2523" s="116">
        <v>98.830865927832093</v>
      </c>
      <c r="E2523" s="116">
        <v>104.72270601199099</v>
      </c>
      <c r="F2523" s="116">
        <v>110.5</v>
      </c>
      <c r="G2523">
        <v>134522</v>
      </c>
      <c r="H2523" s="116"/>
      <c r="I2523" s="116"/>
      <c r="L2523" s="170">
        <v>45716</v>
      </c>
      <c r="M2523" s="116">
        <v>577.65</v>
      </c>
      <c r="N2523" s="116">
        <v>585.1</v>
      </c>
      <c r="O2523" s="116">
        <v>565</v>
      </c>
      <c r="P2523" s="116">
        <v>565.54999999999995</v>
      </c>
      <c r="Q2523" s="116">
        <v>577.65</v>
      </c>
      <c r="R2523">
        <v>492841</v>
      </c>
    </row>
    <row r="2524" spans="1:18" x14ac:dyDescent="0.25">
      <c r="A2524" s="170">
        <v>45720</v>
      </c>
      <c r="B2524" s="116">
        <v>107.38353701774101</v>
      </c>
      <c r="C2524" s="116">
        <v>104.20004277871899</v>
      </c>
      <c r="D2524" s="116">
        <v>102.632053078903</v>
      </c>
      <c r="E2524" s="116">
        <v>103.629864706059</v>
      </c>
      <c r="F2524" s="116">
        <v>109.65</v>
      </c>
      <c r="G2524">
        <v>152009</v>
      </c>
      <c r="H2524" s="116"/>
      <c r="I2524" s="116"/>
      <c r="L2524" s="170">
        <v>45719</v>
      </c>
      <c r="M2524" s="116">
        <v>578.70000000000005</v>
      </c>
      <c r="N2524" s="116">
        <v>582</v>
      </c>
      <c r="O2524" s="116">
        <v>563.85</v>
      </c>
      <c r="P2524" s="116">
        <v>580.04999999999995</v>
      </c>
      <c r="Q2524" s="116">
        <v>578.70000000000005</v>
      </c>
      <c r="R2524">
        <v>362970</v>
      </c>
    </row>
    <row r="2525" spans="1:18" x14ac:dyDescent="0.25">
      <c r="A2525" s="170">
        <v>45721</v>
      </c>
      <c r="B2525" s="116">
        <v>112.135020956579</v>
      </c>
      <c r="C2525" s="116">
        <v>111.612357723307</v>
      </c>
      <c r="D2525" s="116">
        <v>104.960280208933</v>
      </c>
      <c r="E2525" s="116">
        <v>105.910576996701</v>
      </c>
      <c r="F2525" s="116">
        <v>117.45</v>
      </c>
      <c r="G2525">
        <v>105196</v>
      </c>
      <c r="H2525" s="116"/>
      <c r="I2525" s="116"/>
      <c r="L2525" s="170">
        <v>45720</v>
      </c>
      <c r="M2525" s="116">
        <v>592.6</v>
      </c>
      <c r="N2525" s="116">
        <v>595.79999999999995</v>
      </c>
      <c r="O2525" s="116">
        <v>573.29999999999995</v>
      </c>
      <c r="P2525" s="116">
        <v>576.6</v>
      </c>
      <c r="Q2525" s="116">
        <v>592.6</v>
      </c>
      <c r="R2525">
        <v>425196</v>
      </c>
    </row>
    <row r="2526" spans="1:18" x14ac:dyDescent="0.25">
      <c r="A2526" s="170">
        <v>45722</v>
      </c>
      <c r="B2526" s="116">
        <v>115.603604231931</v>
      </c>
      <c r="C2526" s="116">
        <v>112.32508031413199</v>
      </c>
      <c r="D2526" s="116">
        <v>111.754902241472</v>
      </c>
      <c r="E2526" s="116">
        <v>115.603604231931</v>
      </c>
      <c r="F2526" s="116">
        <v>118.2</v>
      </c>
      <c r="G2526">
        <v>191466</v>
      </c>
      <c r="H2526" s="116"/>
      <c r="I2526" s="116"/>
      <c r="L2526" s="170">
        <v>45721</v>
      </c>
      <c r="M2526" s="116">
        <v>603.04999999999995</v>
      </c>
      <c r="N2526" s="116">
        <v>609</v>
      </c>
      <c r="O2526" s="116">
        <v>568.95000000000005</v>
      </c>
      <c r="P2526" s="116">
        <v>588</v>
      </c>
      <c r="Q2526" s="116">
        <v>603.04999999999995</v>
      </c>
      <c r="R2526">
        <v>939034</v>
      </c>
    </row>
    <row r="2527" spans="1:18" x14ac:dyDescent="0.25">
      <c r="A2527" s="170">
        <v>45723</v>
      </c>
      <c r="B2527" s="116">
        <v>116.268811983368</v>
      </c>
      <c r="C2527" s="116">
        <v>113.132832583735</v>
      </c>
      <c r="D2527" s="116">
        <v>111.51732804453</v>
      </c>
      <c r="E2527" s="116">
        <v>112.182535795967</v>
      </c>
      <c r="F2527" s="116">
        <v>119.05</v>
      </c>
      <c r="G2527">
        <v>201212</v>
      </c>
      <c r="H2527" s="116"/>
      <c r="I2527" s="116"/>
      <c r="L2527" s="170">
        <v>45722</v>
      </c>
      <c r="M2527" s="116">
        <v>606.20000000000005</v>
      </c>
      <c r="N2527" s="116">
        <v>619.65</v>
      </c>
      <c r="O2527" s="116">
        <v>601.25</v>
      </c>
      <c r="P2527" s="116">
        <v>614.79999999999995</v>
      </c>
      <c r="Q2527" s="116">
        <v>606.20000000000005</v>
      </c>
      <c r="R2527">
        <v>377503</v>
      </c>
    </row>
    <row r="2528" spans="1:18" x14ac:dyDescent="0.25">
      <c r="A2528" s="170">
        <v>45726</v>
      </c>
      <c r="B2528" s="116">
        <v>116.22129714398</v>
      </c>
      <c r="C2528" s="116">
        <v>112.135020956579</v>
      </c>
      <c r="D2528" s="116">
        <v>111.137209329423</v>
      </c>
      <c r="E2528" s="116">
        <v>116.22129714398</v>
      </c>
      <c r="F2528" s="116">
        <v>118</v>
      </c>
      <c r="G2528">
        <v>145747</v>
      </c>
      <c r="H2528" s="116"/>
      <c r="I2528" s="116"/>
      <c r="L2528" s="170">
        <v>45723</v>
      </c>
      <c r="M2528" s="116">
        <v>629.6</v>
      </c>
      <c r="N2528" s="116">
        <v>632.04999999999995</v>
      </c>
      <c r="O2528" s="116">
        <v>607.95000000000005</v>
      </c>
      <c r="P2528" s="116">
        <v>607.95000000000005</v>
      </c>
      <c r="Q2528" s="116">
        <v>629.6</v>
      </c>
      <c r="R2528">
        <v>608823</v>
      </c>
    </row>
    <row r="2529" spans="1:18" x14ac:dyDescent="0.25">
      <c r="A2529" s="170">
        <v>45727</v>
      </c>
      <c r="B2529" s="116">
        <v>111.184724168811</v>
      </c>
      <c r="C2529" s="116">
        <v>107.858685411625</v>
      </c>
      <c r="D2529" s="116">
        <v>105.673002799759</v>
      </c>
      <c r="E2529" s="116">
        <v>110.234427381044</v>
      </c>
      <c r="F2529" s="116">
        <v>113.5</v>
      </c>
      <c r="G2529">
        <v>213692</v>
      </c>
      <c r="H2529" s="116"/>
      <c r="I2529" s="116"/>
      <c r="L2529" s="170">
        <v>45726</v>
      </c>
      <c r="M2529" s="116">
        <v>622.65</v>
      </c>
      <c r="N2529" s="116">
        <v>644.9</v>
      </c>
      <c r="O2529" s="116">
        <v>620</v>
      </c>
      <c r="P2529" s="116">
        <v>634.54999999999995</v>
      </c>
      <c r="Q2529" s="116">
        <v>622.65</v>
      </c>
      <c r="R2529">
        <v>607679</v>
      </c>
    </row>
    <row r="2530" spans="1:18" x14ac:dyDescent="0.25">
      <c r="A2530" s="170">
        <v>45728</v>
      </c>
      <c r="B2530" s="116">
        <v>110.51951641737401</v>
      </c>
      <c r="C2530" s="116">
        <v>106.623299587527</v>
      </c>
      <c r="D2530" s="116">
        <v>106.195666033031</v>
      </c>
      <c r="E2530" s="116">
        <v>110.04436802348999</v>
      </c>
      <c r="F2530" s="116">
        <v>112.2</v>
      </c>
      <c r="G2530">
        <v>80714</v>
      </c>
      <c r="H2530" s="116"/>
      <c r="I2530" s="116"/>
      <c r="L2530" s="170">
        <v>45727</v>
      </c>
      <c r="M2530" s="116">
        <v>612.79999999999995</v>
      </c>
      <c r="N2530" s="116">
        <v>625.15</v>
      </c>
      <c r="O2530" s="116">
        <v>606</v>
      </c>
      <c r="P2530" s="116">
        <v>621.5</v>
      </c>
      <c r="Q2530" s="116">
        <v>612.79999999999995</v>
      </c>
      <c r="R2530">
        <v>266841</v>
      </c>
    </row>
    <row r="2531" spans="1:18" x14ac:dyDescent="0.25">
      <c r="A2531" s="170">
        <v>45729</v>
      </c>
      <c r="B2531" s="116">
        <v>107.573596375294</v>
      </c>
      <c r="C2531" s="116">
        <v>104.009983421166</v>
      </c>
      <c r="D2531" s="116">
        <v>103.58234986667</v>
      </c>
      <c r="E2531" s="116">
        <v>107.573596375294</v>
      </c>
      <c r="F2531" s="116">
        <v>109.45</v>
      </c>
      <c r="G2531">
        <v>126544</v>
      </c>
      <c r="H2531" s="116"/>
      <c r="I2531" s="116"/>
      <c r="L2531" s="170">
        <v>45728</v>
      </c>
      <c r="M2531" s="116">
        <v>602.4</v>
      </c>
      <c r="N2531" s="116">
        <v>622.29999999999995</v>
      </c>
      <c r="O2531" s="116">
        <v>595.5</v>
      </c>
      <c r="P2531" s="116">
        <v>612.79999999999995</v>
      </c>
      <c r="Q2531" s="116">
        <v>602.4</v>
      </c>
      <c r="R2531">
        <v>201070</v>
      </c>
    </row>
    <row r="2532" spans="1:18" x14ac:dyDescent="0.25">
      <c r="A2532" s="170">
        <v>45733</v>
      </c>
      <c r="B2532" s="116">
        <v>105.863062157313</v>
      </c>
      <c r="C2532" s="116">
        <v>101.53921177297001</v>
      </c>
      <c r="D2532" s="116">
        <v>101.159093057863</v>
      </c>
      <c r="E2532" s="116">
        <v>104.67519117260299</v>
      </c>
      <c r="F2532" s="116">
        <v>106.85</v>
      </c>
      <c r="G2532">
        <v>197839</v>
      </c>
      <c r="H2532" s="116"/>
      <c r="I2532" s="116"/>
      <c r="L2532" s="170">
        <v>45729</v>
      </c>
      <c r="M2532" s="116">
        <v>601.75</v>
      </c>
      <c r="N2532" s="116">
        <v>610.54999999999995</v>
      </c>
      <c r="O2532" s="116">
        <v>598.04999999999995</v>
      </c>
      <c r="P2532" s="116">
        <v>604.79999999999995</v>
      </c>
      <c r="Q2532" s="116">
        <v>601.75</v>
      </c>
      <c r="R2532">
        <v>154831</v>
      </c>
    </row>
    <row r="2533" spans="1:18" x14ac:dyDescent="0.25">
      <c r="A2533" s="170">
        <v>45734</v>
      </c>
      <c r="B2533" s="116">
        <v>108.33383380550799</v>
      </c>
      <c r="C2533" s="116">
        <v>107.668626054071</v>
      </c>
      <c r="D2533" s="116">
        <v>102.679567918291</v>
      </c>
      <c r="E2533" s="116">
        <v>102.679567918291</v>
      </c>
      <c r="F2533" s="116">
        <v>113.3</v>
      </c>
      <c r="G2533">
        <v>147622</v>
      </c>
      <c r="H2533" s="116"/>
      <c r="I2533" s="116"/>
      <c r="L2533" s="170">
        <v>45733</v>
      </c>
      <c r="M2533" s="116">
        <v>625.5</v>
      </c>
      <c r="N2533" s="116">
        <v>630</v>
      </c>
      <c r="O2533" s="116">
        <v>600</v>
      </c>
      <c r="P2533" s="116">
        <v>603</v>
      </c>
      <c r="Q2533" s="116">
        <v>625.5</v>
      </c>
      <c r="R2533">
        <v>512839</v>
      </c>
    </row>
    <row r="2534" spans="1:18" x14ac:dyDescent="0.25">
      <c r="A2534" s="170">
        <v>45735</v>
      </c>
      <c r="B2534" s="116">
        <v>110.804605453704</v>
      </c>
      <c r="C2534" s="116">
        <v>110.281942220432</v>
      </c>
      <c r="D2534" s="116">
        <v>108.191289287343</v>
      </c>
      <c r="E2534" s="116">
        <v>108.191289287343</v>
      </c>
      <c r="F2534" s="116">
        <v>116.05</v>
      </c>
      <c r="G2534">
        <v>305136</v>
      </c>
      <c r="H2534" s="116"/>
      <c r="I2534" s="116"/>
      <c r="L2534" s="170">
        <v>45734</v>
      </c>
      <c r="M2534" s="116">
        <v>643.54999999999995</v>
      </c>
      <c r="N2534" s="116">
        <v>647.95000000000005</v>
      </c>
      <c r="O2534" s="116">
        <v>622.54999999999995</v>
      </c>
      <c r="P2534" s="116">
        <v>629.95000000000005</v>
      </c>
      <c r="Q2534" s="116">
        <v>643.54999999999995</v>
      </c>
      <c r="R2534">
        <v>480521</v>
      </c>
    </row>
    <row r="2535" spans="1:18" x14ac:dyDescent="0.25">
      <c r="A2535" s="170">
        <v>45736</v>
      </c>
      <c r="B2535" s="116">
        <v>114.320703568444</v>
      </c>
      <c r="C2535" s="116">
        <v>111.184724168811</v>
      </c>
      <c r="D2535" s="116">
        <v>110.56703125676199</v>
      </c>
      <c r="E2535" s="116">
        <v>111.42229836575299</v>
      </c>
      <c r="F2535" s="116">
        <v>117</v>
      </c>
      <c r="G2535">
        <v>219868</v>
      </c>
      <c r="H2535" s="116"/>
      <c r="I2535" s="116"/>
      <c r="L2535" s="170">
        <v>45735</v>
      </c>
      <c r="M2535" s="116">
        <v>660.05</v>
      </c>
      <c r="N2535" s="116">
        <v>661.75</v>
      </c>
      <c r="O2535" s="116">
        <v>641.79999999999995</v>
      </c>
      <c r="P2535" s="116">
        <v>645.1</v>
      </c>
      <c r="Q2535" s="116">
        <v>660.05</v>
      </c>
      <c r="R2535">
        <v>337633</v>
      </c>
    </row>
    <row r="2536" spans="1:18" x14ac:dyDescent="0.25">
      <c r="A2536" s="170">
        <v>45737</v>
      </c>
      <c r="B2536" s="116">
        <v>117.21910877113601</v>
      </c>
      <c r="C2536" s="116">
        <v>115.175970677435</v>
      </c>
      <c r="D2536" s="116">
        <v>110.234427381044</v>
      </c>
      <c r="E2536" s="116">
        <v>111.707387402083</v>
      </c>
      <c r="F2536" s="116">
        <v>121.2</v>
      </c>
      <c r="G2536">
        <v>286870</v>
      </c>
      <c r="H2536" s="116"/>
      <c r="I2536" s="116"/>
      <c r="L2536" s="170">
        <v>45736</v>
      </c>
      <c r="M2536" s="116">
        <v>676.5</v>
      </c>
      <c r="N2536" s="116">
        <v>679</v>
      </c>
      <c r="O2536" s="116">
        <v>659.5</v>
      </c>
      <c r="P2536" s="116">
        <v>661.2</v>
      </c>
      <c r="Q2536" s="116">
        <v>676.5</v>
      </c>
      <c r="R2536">
        <v>482798</v>
      </c>
    </row>
    <row r="2537" spans="1:18" x14ac:dyDescent="0.25">
      <c r="A2537" s="170">
        <v>45740</v>
      </c>
      <c r="B2537" s="116">
        <v>120.497632688934</v>
      </c>
      <c r="C2537" s="116">
        <v>115.271000356212</v>
      </c>
      <c r="D2537" s="116">
        <v>114.74833712294</v>
      </c>
      <c r="E2537" s="116">
        <v>117.646742325631</v>
      </c>
      <c r="F2537" s="116">
        <v>121.3</v>
      </c>
      <c r="G2537">
        <v>226706</v>
      </c>
      <c r="H2537" s="116"/>
      <c r="I2537" s="116"/>
      <c r="L2537" s="170">
        <v>45737</v>
      </c>
      <c r="M2537" s="116">
        <v>675.65</v>
      </c>
      <c r="N2537" s="116">
        <v>681.9</v>
      </c>
      <c r="O2537" s="116">
        <v>667.25</v>
      </c>
      <c r="P2537" s="116">
        <v>676.95</v>
      </c>
      <c r="Q2537" s="116">
        <v>675.65</v>
      </c>
      <c r="R2537">
        <v>412119</v>
      </c>
    </row>
    <row r="2538" spans="1:18" x14ac:dyDescent="0.25">
      <c r="A2538" s="170">
        <v>45741</v>
      </c>
      <c r="B2538" s="116">
        <v>116.648930698475</v>
      </c>
      <c r="C2538" s="116">
        <v>108.143774447955</v>
      </c>
      <c r="D2538" s="116">
        <v>107.38353701774101</v>
      </c>
      <c r="E2538" s="116">
        <v>116.41135650153301</v>
      </c>
      <c r="F2538" s="116">
        <v>113.8</v>
      </c>
      <c r="G2538">
        <v>333214</v>
      </c>
      <c r="H2538" s="116"/>
      <c r="I2538" s="116"/>
      <c r="L2538" s="170">
        <v>45740</v>
      </c>
      <c r="M2538" s="116">
        <v>685.3</v>
      </c>
      <c r="N2538" s="116">
        <v>696.75</v>
      </c>
      <c r="O2538" s="116">
        <v>675.65</v>
      </c>
      <c r="P2538" s="116">
        <v>675.65</v>
      </c>
      <c r="Q2538" s="116">
        <v>685.3</v>
      </c>
      <c r="R2538">
        <v>358866</v>
      </c>
    </row>
    <row r="2539" spans="1:18" x14ac:dyDescent="0.25">
      <c r="A2539" s="170">
        <v>45742</v>
      </c>
      <c r="B2539" s="116">
        <v>109.71176414777101</v>
      </c>
      <c r="C2539" s="116">
        <v>105.57797312098199</v>
      </c>
      <c r="D2539" s="116">
        <v>104.960280208933</v>
      </c>
      <c r="E2539" s="116">
        <v>108.66643768122699</v>
      </c>
      <c r="F2539" s="116">
        <v>111.1</v>
      </c>
      <c r="G2539">
        <v>221993</v>
      </c>
      <c r="H2539" s="116"/>
      <c r="I2539" s="116"/>
      <c r="L2539" s="170">
        <v>45741</v>
      </c>
      <c r="M2539" s="116">
        <v>680.1</v>
      </c>
      <c r="N2539" s="116">
        <v>695</v>
      </c>
      <c r="O2539" s="116">
        <v>670.7</v>
      </c>
      <c r="P2539" s="116">
        <v>695</v>
      </c>
      <c r="Q2539" s="116">
        <v>680.1</v>
      </c>
      <c r="R2539">
        <v>311666</v>
      </c>
    </row>
    <row r="2540" spans="1:18" x14ac:dyDescent="0.25">
      <c r="A2540" s="170">
        <v>45743</v>
      </c>
      <c r="B2540" s="116">
        <v>107.906200251013</v>
      </c>
      <c r="C2540" s="116">
        <v>106.00560667547801</v>
      </c>
      <c r="D2540" s="116">
        <v>104.67519117260299</v>
      </c>
      <c r="E2540" s="116">
        <v>105.53045828159399</v>
      </c>
      <c r="F2540" s="116">
        <v>111.55</v>
      </c>
      <c r="G2540">
        <v>357258</v>
      </c>
      <c r="H2540" s="116"/>
      <c r="I2540" s="116"/>
      <c r="L2540" s="170">
        <v>45742</v>
      </c>
      <c r="M2540" s="116">
        <v>670.65</v>
      </c>
      <c r="N2540" s="116">
        <v>694.7</v>
      </c>
      <c r="O2540" s="116">
        <v>666.55</v>
      </c>
      <c r="P2540" s="116">
        <v>694.7</v>
      </c>
      <c r="Q2540" s="116">
        <v>670.65</v>
      </c>
      <c r="R2540">
        <v>220885</v>
      </c>
    </row>
    <row r="2541" spans="1:18" x14ac:dyDescent="0.25">
      <c r="A2541" s="170">
        <v>45744</v>
      </c>
      <c r="B2541" s="116">
        <v>110.709575774927</v>
      </c>
      <c r="C2541" s="116">
        <v>107.76365573284799</v>
      </c>
      <c r="D2541" s="116">
        <v>105.53045828159399</v>
      </c>
      <c r="E2541" s="116">
        <v>106.24318087242</v>
      </c>
      <c r="F2541" s="116">
        <v>113.4</v>
      </c>
      <c r="G2541">
        <v>429720</v>
      </c>
      <c r="H2541" s="116"/>
      <c r="I2541" s="116"/>
      <c r="L2541" s="170">
        <v>45743</v>
      </c>
      <c r="M2541" s="116">
        <v>666.9</v>
      </c>
      <c r="N2541" s="116">
        <v>674.9</v>
      </c>
      <c r="O2541" s="116">
        <v>661.85</v>
      </c>
      <c r="P2541" s="116">
        <v>670</v>
      </c>
      <c r="Q2541" s="116">
        <v>666.9</v>
      </c>
      <c r="R2541">
        <v>266519</v>
      </c>
    </row>
    <row r="2542" spans="1:18" x14ac:dyDescent="0.25">
      <c r="A2542" s="170">
        <v>45748</v>
      </c>
      <c r="B2542" s="116">
        <v>112.27756547474399</v>
      </c>
      <c r="C2542" s="116">
        <v>108.999041556946</v>
      </c>
      <c r="D2542" s="116">
        <v>107.573596375294</v>
      </c>
      <c r="E2542" s="116">
        <v>107.573596375294</v>
      </c>
      <c r="F2542" s="116">
        <v>114.7</v>
      </c>
      <c r="G2542">
        <v>292984</v>
      </c>
      <c r="H2542" s="116"/>
      <c r="I2542" s="116"/>
      <c r="L2542" s="170">
        <v>45744</v>
      </c>
      <c r="M2542" s="116">
        <v>669.45</v>
      </c>
      <c r="N2542" s="116">
        <v>678</v>
      </c>
      <c r="O2542" s="116">
        <v>664.7</v>
      </c>
      <c r="P2542" s="116">
        <v>667.55</v>
      </c>
      <c r="Q2542" s="116">
        <v>669.45</v>
      </c>
      <c r="R2542">
        <v>193798</v>
      </c>
    </row>
    <row r="2543" spans="1:18" x14ac:dyDescent="0.25">
      <c r="A2543" s="170">
        <v>45749</v>
      </c>
      <c r="B2543" s="116">
        <v>110.614546096151</v>
      </c>
      <c r="C2543" s="116">
        <v>109.854308665936</v>
      </c>
      <c r="D2543" s="116">
        <v>106.480755069361</v>
      </c>
      <c r="E2543" s="116">
        <v>109.18910091449899</v>
      </c>
      <c r="F2543" s="116">
        <v>115.6</v>
      </c>
      <c r="G2543">
        <v>68255</v>
      </c>
      <c r="H2543" s="116"/>
      <c r="I2543" s="116"/>
      <c r="L2543" s="170">
        <v>45748</v>
      </c>
      <c r="M2543" s="116">
        <v>663.35</v>
      </c>
      <c r="N2543" s="116">
        <v>674.1</v>
      </c>
      <c r="O2543" s="116">
        <v>660.2</v>
      </c>
      <c r="P2543" s="116">
        <v>666.8</v>
      </c>
      <c r="Q2543" s="116">
        <v>663.35</v>
      </c>
      <c r="R2543">
        <v>169914</v>
      </c>
    </row>
    <row r="2544" spans="1:18" x14ac:dyDescent="0.25">
      <c r="A2544" s="170">
        <v>45750</v>
      </c>
      <c r="B2544" s="116">
        <v>112.895258386793</v>
      </c>
      <c r="C2544" s="116">
        <v>111.564842883918</v>
      </c>
      <c r="D2544" s="116">
        <v>107.526081535906</v>
      </c>
      <c r="E2544" s="116">
        <v>108.191289287343</v>
      </c>
      <c r="F2544" s="116">
        <v>117.4</v>
      </c>
      <c r="G2544">
        <v>166679</v>
      </c>
      <c r="H2544" s="116"/>
      <c r="I2544" s="116"/>
      <c r="L2544" s="170">
        <v>45749</v>
      </c>
      <c r="M2544" s="116">
        <v>670.9</v>
      </c>
      <c r="N2544" s="116">
        <v>676.4</v>
      </c>
      <c r="O2544" s="116">
        <v>653.79999999999995</v>
      </c>
      <c r="P2544" s="116">
        <v>663</v>
      </c>
      <c r="Q2544" s="116">
        <v>670.9</v>
      </c>
      <c r="R2544">
        <v>206213</v>
      </c>
    </row>
    <row r="2545" spans="1:18" x14ac:dyDescent="0.25">
      <c r="A2545" s="170">
        <v>45751</v>
      </c>
      <c r="B2545" s="116">
        <v>112.23005063535599</v>
      </c>
      <c r="C2545" s="116">
        <v>106.95590346324499</v>
      </c>
      <c r="D2545" s="116">
        <v>105.57797312098199</v>
      </c>
      <c r="E2545" s="116">
        <v>112.23005063535599</v>
      </c>
      <c r="F2545" s="116">
        <v>112.55</v>
      </c>
      <c r="G2545">
        <v>148369</v>
      </c>
      <c r="H2545" s="116"/>
      <c r="I2545" s="116"/>
      <c r="L2545" s="170">
        <v>45750</v>
      </c>
      <c r="M2545" s="116">
        <v>679.9</v>
      </c>
      <c r="N2545" s="116">
        <v>688.15</v>
      </c>
      <c r="O2545" s="116">
        <v>661</v>
      </c>
      <c r="P2545" s="116">
        <v>661</v>
      </c>
      <c r="Q2545" s="116">
        <v>679.9</v>
      </c>
      <c r="R2545">
        <v>341888</v>
      </c>
    </row>
    <row r="2546" spans="1:18" x14ac:dyDescent="0.25">
      <c r="A2546" s="170">
        <v>45754</v>
      </c>
      <c r="B2546" s="116">
        <v>102.632053078903</v>
      </c>
      <c r="C2546" s="116">
        <v>101.06406337908599</v>
      </c>
      <c r="D2546" s="116">
        <v>90.325709677312005</v>
      </c>
      <c r="E2546" s="116">
        <v>90.325709677312005</v>
      </c>
      <c r="F2546" s="116">
        <v>106.35</v>
      </c>
      <c r="G2546">
        <v>411797</v>
      </c>
      <c r="H2546" s="116"/>
      <c r="I2546" s="116"/>
      <c r="L2546" s="170">
        <v>45751</v>
      </c>
      <c r="M2546" s="116">
        <v>664.1</v>
      </c>
      <c r="N2546" s="116">
        <v>683.1</v>
      </c>
      <c r="O2546" s="116">
        <v>663</v>
      </c>
      <c r="P2546" s="116">
        <v>678.5</v>
      </c>
      <c r="Q2546" s="116">
        <v>664.1</v>
      </c>
      <c r="R2546">
        <v>244072</v>
      </c>
    </row>
    <row r="2547" spans="1:18" x14ac:dyDescent="0.25">
      <c r="A2547" s="170">
        <v>45755</v>
      </c>
      <c r="B2547" s="116">
        <v>107.668626054071</v>
      </c>
      <c r="C2547" s="116">
        <v>107.09844798141</v>
      </c>
      <c r="D2547" s="116">
        <v>101.206607897251</v>
      </c>
      <c r="E2547" s="116">
        <v>103.392290509117</v>
      </c>
      <c r="F2547" s="116">
        <v>112.7</v>
      </c>
      <c r="G2547">
        <v>134222</v>
      </c>
      <c r="H2547" s="116"/>
      <c r="I2547" s="116"/>
      <c r="L2547" s="170">
        <v>45754</v>
      </c>
      <c r="M2547" s="116">
        <v>647.35</v>
      </c>
      <c r="N2547" s="116">
        <v>655.75</v>
      </c>
      <c r="O2547" s="116">
        <v>615</v>
      </c>
      <c r="P2547" s="116">
        <v>615</v>
      </c>
      <c r="Q2547" s="116">
        <v>647.35</v>
      </c>
      <c r="R2547">
        <v>652588</v>
      </c>
    </row>
    <row r="2548" spans="1:18" x14ac:dyDescent="0.25">
      <c r="A2548" s="170">
        <v>45756</v>
      </c>
      <c r="B2548" s="116">
        <v>108.048744769178</v>
      </c>
      <c r="C2548" s="116">
        <v>107.716140893459</v>
      </c>
      <c r="D2548" s="116">
        <v>104.865250530157</v>
      </c>
      <c r="E2548" s="116">
        <v>107.336022178352</v>
      </c>
      <c r="F2548" s="116">
        <v>113.35</v>
      </c>
      <c r="G2548">
        <v>54067</v>
      </c>
      <c r="H2548" s="116"/>
      <c r="I2548" s="116"/>
      <c r="L2548" s="170">
        <v>45755</v>
      </c>
      <c r="M2548" s="116">
        <v>660.1</v>
      </c>
      <c r="N2548" s="116">
        <v>677.05</v>
      </c>
      <c r="O2548" s="116">
        <v>654.79999999999995</v>
      </c>
      <c r="P2548" s="116">
        <v>654.79999999999995</v>
      </c>
      <c r="Q2548" s="116">
        <v>660.1</v>
      </c>
      <c r="R2548">
        <v>252153</v>
      </c>
    </row>
    <row r="2549" spans="1:18" x14ac:dyDescent="0.25">
      <c r="A2549" s="170">
        <v>45758</v>
      </c>
      <c r="B2549" s="116">
        <v>110.994664811258</v>
      </c>
      <c r="C2549" s="116">
        <v>109.569219629606</v>
      </c>
      <c r="D2549" s="116">
        <v>109.094071235722</v>
      </c>
      <c r="E2549" s="116">
        <v>110.424486738597</v>
      </c>
      <c r="F2549" s="116">
        <v>115.3</v>
      </c>
      <c r="G2549">
        <v>188373</v>
      </c>
      <c r="H2549" s="116"/>
      <c r="I2549" s="116"/>
      <c r="L2549" s="170">
        <v>45756</v>
      </c>
      <c r="M2549" s="116">
        <v>656.85</v>
      </c>
      <c r="N2549" s="116">
        <v>663.5</v>
      </c>
      <c r="O2549" s="116">
        <v>650.20000000000005</v>
      </c>
      <c r="P2549" s="116">
        <v>659.4</v>
      </c>
      <c r="Q2549" s="116">
        <v>656.85</v>
      </c>
      <c r="R2549">
        <v>239240</v>
      </c>
    </row>
    <row r="2550" spans="1:18" x14ac:dyDescent="0.25">
      <c r="A2550" s="170">
        <v>45762</v>
      </c>
      <c r="B2550" s="116">
        <v>119.642365579943</v>
      </c>
      <c r="C2550" s="116">
        <v>118.216920398292</v>
      </c>
      <c r="D2550" s="116">
        <v>110.424486738597</v>
      </c>
      <c r="E2550" s="116">
        <v>112.32508031413199</v>
      </c>
      <c r="F2550" s="116">
        <v>124.4</v>
      </c>
      <c r="G2550">
        <v>182450</v>
      </c>
      <c r="H2550" s="116"/>
      <c r="I2550" s="116"/>
      <c r="L2550" s="170">
        <v>45758</v>
      </c>
      <c r="M2550" s="116">
        <v>652</v>
      </c>
      <c r="N2550" s="116">
        <v>667.4</v>
      </c>
      <c r="O2550" s="116">
        <v>646.65</v>
      </c>
      <c r="P2550" s="116">
        <v>664</v>
      </c>
      <c r="Q2550" s="116">
        <v>652</v>
      </c>
      <c r="R2550">
        <v>427585</v>
      </c>
    </row>
    <row r="2551" spans="1:18" x14ac:dyDescent="0.25">
      <c r="A2551" s="170">
        <v>45763</v>
      </c>
      <c r="B2551" s="116">
        <v>121.257870119148</v>
      </c>
      <c r="C2551" s="116">
        <v>119.309761704224</v>
      </c>
      <c r="D2551" s="116">
        <v>117.409168128689</v>
      </c>
      <c r="E2551" s="116">
        <v>118.787098470952</v>
      </c>
      <c r="F2551" s="116">
        <v>125.55</v>
      </c>
      <c r="G2551">
        <v>245454</v>
      </c>
      <c r="H2551" s="116"/>
      <c r="I2551" s="116"/>
      <c r="L2551" s="170">
        <v>45762</v>
      </c>
      <c r="M2551" s="116">
        <v>666.5</v>
      </c>
      <c r="N2551" s="116">
        <v>669.7</v>
      </c>
      <c r="O2551" s="116">
        <v>651.20000000000005</v>
      </c>
      <c r="P2551" s="116">
        <v>665</v>
      </c>
      <c r="Q2551" s="116">
        <v>666.5</v>
      </c>
      <c r="R2551">
        <v>408789</v>
      </c>
    </row>
    <row r="2552" spans="1:18" x14ac:dyDescent="0.25">
      <c r="A2552" s="170">
        <v>45764</v>
      </c>
      <c r="B2552" s="116">
        <v>121.305384958536</v>
      </c>
      <c r="C2552" s="116">
        <v>120.782721725264</v>
      </c>
      <c r="D2552" s="116">
        <v>117.78928684379601</v>
      </c>
      <c r="E2552" s="116">
        <v>117.97934620135</v>
      </c>
      <c r="F2552" s="116">
        <v>127.1</v>
      </c>
      <c r="G2552">
        <v>120149</v>
      </c>
      <c r="H2552" s="116"/>
      <c r="I2552" s="116"/>
      <c r="L2552" s="170">
        <v>45763</v>
      </c>
      <c r="M2552" s="116">
        <v>697.4</v>
      </c>
      <c r="N2552" s="116">
        <v>705</v>
      </c>
      <c r="O2552" s="116">
        <v>665.45</v>
      </c>
      <c r="P2552" s="116">
        <v>667.6</v>
      </c>
      <c r="Q2552" s="116">
        <v>697.4</v>
      </c>
      <c r="R2552">
        <v>1005234</v>
      </c>
    </row>
    <row r="2553" spans="1:18" x14ac:dyDescent="0.25">
      <c r="A2553" s="170">
        <v>45768</v>
      </c>
      <c r="B2553" s="116">
        <v>126.009354057986</v>
      </c>
      <c r="C2553" s="116">
        <v>124.821483073276</v>
      </c>
      <c r="D2553" s="116">
        <v>121.637988834255</v>
      </c>
      <c r="E2553" s="116">
        <v>121.685503673643</v>
      </c>
      <c r="F2553" s="116">
        <v>131.35</v>
      </c>
      <c r="G2553">
        <v>131160</v>
      </c>
      <c r="H2553" s="116"/>
      <c r="I2553" s="116"/>
      <c r="L2553" s="170">
        <v>45764</v>
      </c>
      <c r="M2553" s="116">
        <v>711.55</v>
      </c>
      <c r="N2553" s="116">
        <v>720</v>
      </c>
      <c r="O2553" s="116">
        <v>690.3</v>
      </c>
      <c r="P2553" s="116">
        <v>703.45</v>
      </c>
      <c r="Q2553" s="116">
        <v>711.55</v>
      </c>
      <c r="R2553">
        <v>774073</v>
      </c>
    </row>
    <row r="2554" spans="1:18" x14ac:dyDescent="0.25">
      <c r="A2554" s="170">
        <v>45769</v>
      </c>
      <c r="B2554" s="116">
        <v>128.90775926067701</v>
      </c>
      <c r="C2554" s="116">
        <v>127.197225042695</v>
      </c>
      <c r="D2554" s="116">
        <v>122.920889497741</v>
      </c>
      <c r="E2554" s="116">
        <v>126.19941341553999</v>
      </c>
      <c r="F2554" s="116">
        <v>133.85</v>
      </c>
      <c r="G2554">
        <v>101740</v>
      </c>
      <c r="H2554" s="116"/>
      <c r="I2554" s="116"/>
      <c r="L2554" s="170">
        <v>45768</v>
      </c>
      <c r="M2554" s="116">
        <v>739.95</v>
      </c>
      <c r="N2554" s="116">
        <v>746.15</v>
      </c>
      <c r="O2554" s="116">
        <v>716.5</v>
      </c>
      <c r="P2554" s="116">
        <v>718</v>
      </c>
      <c r="Q2554" s="116">
        <v>739.95</v>
      </c>
      <c r="R2554">
        <v>528465</v>
      </c>
    </row>
    <row r="2555" spans="1:18" x14ac:dyDescent="0.25">
      <c r="A2555" s="170">
        <v>45770</v>
      </c>
      <c r="B2555" s="116">
        <v>129.71551153028</v>
      </c>
      <c r="C2555" s="116">
        <v>126.76959148820001</v>
      </c>
      <c r="D2555" s="116">
        <v>123.96621596428599</v>
      </c>
      <c r="E2555" s="116">
        <v>128.432610866793</v>
      </c>
      <c r="F2555" s="116">
        <v>133.4</v>
      </c>
      <c r="G2555">
        <v>216367</v>
      </c>
      <c r="H2555" s="116"/>
      <c r="I2555" s="116"/>
      <c r="L2555" s="170">
        <v>45769</v>
      </c>
      <c r="M2555" s="116">
        <v>739.8</v>
      </c>
      <c r="N2555" s="116">
        <v>749</v>
      </c>
      <c r="O2555" s="116">
        <v>731</v>
      </c>
      <c r="P2555" s="116">
        <v>749</v>
      </c>
      <c r="Q2555" s="116">
        <v>739.8</v>
      </c>
      <c r="R2555">
        <v>262679</v>
      </c>
    </row>
    <row r="2556" spans="1:18" x14ac:dyDescent="0.25">
      <c r="A2556" s="170">
        <v>45771</v>
      </c>
      <c r="B2556" s="116">
        <v>128.765214742512</v>
      </c>
      <c r="C2556" s="116">
        <v>127.909947633521</v>
      </c>
      <c r="D2556" s="116">
        <v>126.104383736763</v>
      </c>
      <c r="E2556" s="116">
        <v>126.76959148820001</v>
      </c>
      <c r="F2556" s="116">
        <v>134.6</v>
      </c>
      <c r="G2556">
        <v>165011</v>
      </c>
      <c r="H2556" s="116"/>
      <c r="I2556" s="116"/>
      <c r="L2556" s="170">
        <v>45770</v>
      </c>
      <c r="M2556" s="116">
        <v>744.9</v>
      </c>
      <c r="N2556" s="116">
        <v>749</v>
      </c>
      <c r="O2556" s="116">
        <v>728</v>
      </c>
      <c r="P2556" s="116">
        <v>746</v>
      </c>
      <c r="Q2556" s="116">
        <v>744.9</v>
      </c>
      <c r="R2556">
        <v>490362</v>
      </c>
    </row>
    <row r="2557" spans="1:18" x14ac:dyDescent="0.25">
      <c r="A2557" s="170">
        <v>45772</v>
      </c>
      <c r="B2557" s="116">
        <v>128.81272958189999</v>
      </c>
      <c r="C2557" s="116">
        <v>122.920889497741</v>
      </c>
      <c r="D2557" s="116">
        <v>119.214732025448</v>
      </c>
      <c r="E2557" s="116">
        <v>126.436987612481</v>
      </c>
      <c r="F2557" s="116">
        <v>129.35</v>
      </c>
      <c r="G2557">
        <v>443970</v>
      </c>
      <c r="H2557" s="116"/>
      <c r="I2557" s="116"/>
      <c r="L2557" s="170">
        <v>45771</v>
      </c>
      <c r="M2557" s="116">
        <v>708.65</v>
      </c>
      <c r="N2557" s="116">
        <v>750</v>
      </c>
      <c r="O2557" s="116">
        <v>704.4</v>
      </c>
      <c r="P2557" s="116">
        <v>750</v>
      </c>
      <c r="Q2557" s="116">
        <v>708.65</v>
      </c>
      <c r="R2557">
        <v>1235577</v>
      </c>
    </row>
    <row r="2558" spans="1:18" x14ac:dyDescent="0.25">
      <c r="A2558" s="170">
        <v>45775</v>
      </c>
      <c r="B2558" s="116">
        <v>115.603604231931</v>
      </c>
      <c r="C2558" s="116">
        <v>111.08969449003401</v>
      </c>
      <c r="D2558" s="116">
        <v>105.910576996701</v>
      </c>
      <c r="E2558" s="116">
        <v>107.336022178352</v>
      </c>
      <c r="F2558" s="116">
        <v>116.9</v>
      </c>
      <c r="G2558">
        <v>797956</v>
      </c>
      <c r="H2558" s="116"/>
      <c r="I2558" s="116"/>
      <c r="L2558" s="170">
        <v>45772</v>
      </c>
      <c r="M2558" s="116">
        <v>723.15</v>
      </c>
      <c r="N2558" s="116">
        <v>729</v>
      </c>
      <c r="O2558" s="116">
        <v>700</v>
      </c>
      <c r="P2558" s="116">
        <v>711.95</v>
      </c>
      <c r="Q2558" s="116">
        <v>723.15</v>
      </c>
      <c r="R2558">
        <v>1109864</v>
      </c>
    </row>
    <row r="2559" spans="1:18" x14ac:dyDescent="0.25">
      <c r="A2559" s="170">
        <v>45776</v>
      </c>
      <c r="B2559" s="116">
        <v>114.225673889668</v>
      </c>
      <c r="C2559" s="116">
        <v>111.08969449003401</v>
      </c>
      <c r="D2559" s="116">
        <v>110.234427381044</v>
      </c>
      <c r="E2559" s="116">
        <v>112.182535795967</v>
      </c>
      <c r="F2559" s="116">
        <v>116.9</v>
      </c>
      <c r="G2559">
        <v>243285</v>
      </c>
      <c r="H2559" s="116"/>
      <c r="I2559" s="116"/>
      <c r="L2559" s="170">
        <v>45775</v>
      </c>
      <c r="M2559" s="116">
        <v>726.95</v>
      </c>
      <c r="N2559" s="116">
        <v>731.9</v>
      </c>
      <c r="O2559" s="116">
        <v>716.85</v>
      </c>
      <c r="P2559" s="116">
        <v>727</v>
      </c>
      <c r="Q2559" s="116">
        <v>726.95</v>
      </c>
      <c r="R2559">
        <v>292218</v>
      </c>
    </row>
    <row r="2560" spans="1:18" x14ac:dyDescent="0.25">
      <c r="A2560" s="170">
        <v>45777</v>
      </c>
      <c r="B2560" s="116">
        <v>113.750525495784</v>
      </c>
      <c r="C2560" s="116">
        <v>107.76365573284799</v>
      </c>
      <c r="D2560" s="116">
        <v>106.718329266303</v>
      </c>
      <c r="E2560" s="116">
        <v>113.750525495784</v>
      </c>
      <c r="F2560" s="116">
        <v>113.4</v>
      </c>
      <c r="G2560">
        <v>122705</v>
      </c>
      <c r="H2560" s="116"/>
      <c r="I2560" s="116"/>
      <c r="L2560" s="170">
        <v>45776</v>
      </c>
      <c r="M2560" s="116">
        <v>708.65</v>
      </c>
      <c r="N2560" s="116">
        <v>730.5</v>
      </c>
      <c r="O2560" s="116">
        <v>706.1</v>
      </c>
      <c r="P2560" s="116">
        <v>730</v>
      </c>
      <c r="Q2560" s="116">
        <v>708.65</v>
      </c>
      <c r="R2560">
        <v>598251</v>
      </c>
    </row>
    <row r="2561" spans="1:18" x14ac:dyDescent="0.25">
      <c r="A2561" s="170">
        <v>45779</v>
      </c>
      <c r="B2561" s="116">
        <v>112.515139671686</v>
      </c>
      <c r="C2561" s="116">
        <v>109.236615753888</v>
      </c>
      <c r="D2561" s="116">
        <v>106.86087378446901</v>
      </c>
      <c r="E2561" s="116">
        <v>112.515139671686</v>
      </c>
      <c r="F2561" s="116">
        <v>114.95</v>
      </c>
      <c r="G2561">
        <v>141196</v>
      </c>
      <c r="H2561" s="116"/>
      <c r="I2561" s="116"/>
      <c r="L2561" s="170">
        <v>45777</v>
      </c>
      <c r="M2561" s="116">
        <v>715.15</v>
      </c>
      <c r="N2561" s="116">
        <v>718.7</v>
      </c>
      <c r="O2561" s="116">
        <v>698.05</v>
      </c>
      <c r="P2561" s="116">
        <v>705.05</v>
      </c>
      <c r="Q2561" s="116">
        <v>715.15</v>
      </c>
      <c r="R2561">
        <v>664251</v>
      </c>
    </row>
    <row r="2562" spans="1:18" x14ac:dyDescent="0.25">
      <c r="A2562" s="170">
        <v>45782</v>
      </c>
      <c r="B2562" s="116">
        <v>118.739583631564</v>
      </c>
      <c r="C2562" s="116">
        <v>117.504197807466</v>
      </c>
      <c r="D2562" s="116">
        <v>110.139397702267</v>
      </c>
      <c r="E2562" s="116">
        <v>111.754902241472</v>
      </c>
      <c r="F2562" s="116">
        <v>123.65</v>
      </c>
      <c r="G2562">
        <v>360545</v>
      </c>
      <c r="H2562" s="116"/>
      <c r="I2562" s="116"/>
      <c r="L2562" s="170">
        <v>45779</v>
      </c>
      <c r="M2562" s="116">
        <v>718.75</v>
      </c>
      <c r="N2562" s="116">
        <v>730</v>
      </c>
      <c r="O2562" s="116">
        <v>710.55</v>
      </c>
      <c r="P2562" s="116">
        <v>722</v>
      </c>
      <c r="Q2562" s="116">
        <v>718.75</v>
      </c>
      <c r="R2562">
        <v>305716</v>
      </c>
    </row>
    <row r="2563" spans="1:18" x14ac:dyDescent="0.25">
      <c r="A2563" s="170">
        <v>45783</v>
      </c>
      <c r="B2563" s="116">
        <v>120.45011784954499</v>
      </c>
      <c r="C2563" s="116">
        <v>108.951526717557</v>
      </c>
      <c r="D2563" s="116">
        <v>107.38353701774101</v>
      </c>
      <c r="E2563" s="116">
        <v>120.117513973827</v>
      </c>
      <c r="F2563" s="116">
        <v>114.65</v>
      </c>
      <c r="G2563">
        <v>262316</v>
      </c>
      <c r="H2563" s="116"/>
      <c r="I2563" s="116"/>
      <c r="L2563" s="170">
        <v>45782</v>
      </c>
      <c r="M2563" s="116">
        <v>715.2</v>
      </c>
      <c r="N2563" s="116">
        <v>724.3</v>
      </c>
      <c r="O2563" s="116">
        <v>708.8</v>
      </c>
      <c r="P2563" s="116">
        <v>724.3</v>
      </c>
      <c r="Q2563" s="116">
        <v>715.2</v>
      </c>
      <c r="R2563">
        <v>539007</v>
      </c>
    </row>
    <row r="2564" spans="1:18" x14ac:dyDescent="0.25">
      <c r="A2564" s="170">
        <v>45784</v>
      </c>
      <c r="B2564" s="116">
        <v>111</v>
      </c>
      <c r="C2564" s="116">
        <v>108.5</v>
      </c>
      <c r="D2564" s="116">
        <v>107.05</v>
      </c>
      <c r="E2564" s="116">
        <v>108.95</v>
      </c>
      <c r="F2564" s="116">
        <v>108.5</v>
      </c>
      <c r="G2564">
        <v>390513</v>
      </c>
      <c r="H2564" s="116"/>
      <c r="I2564" s="116"/>
      <c r="L2564" s="170">
        <v>45783</v>
      </c>
      <c r="M2564" s="116">
        <v>703.35</v>
      </c>
      <c r="N2564" s="116">
        <v>720.25</v>
      </c>
      <c r="O2564" s="116">
        <v>699.95</v>
      </c>
      <c r="P2564" s="116">
        <v>715.2</v>
      </c>
      <c r="Q2564" s="116">
        <v>703.35</v>
      </c>
      <c r="R2564">
        <v>246890</v>
      </c>
    </row>
    <row r="2565" spans="1:18" x14ac:dyDescent="0.25">
      <c r="A2565" s="170">
        <v>45785</v>
      </c>
      <c r="B2565" s="116">
        <v>110.95</v>
      </c>
      <c r="C2565" s="116">
        <v>105.7</v>
      </c>
      <c r="D2565" s="116">
        <v>104.7</v>
      </c>
      <c r="E2565" s="116">
        <v>109</v>
      </c>
      <c r="F2565" s="116">
        <v>105.7</v>
      </c>
      <c r="G2565">
        <v>230189</v>
      </c>
      <c r="H2565" s="116"/>
      <c r="I2565" s="116"/>
      <c r="L2565" s="170">
        <v>45784</v>
      </c>
      <c r="M2565" s="116">
        <v>718.1</v>
      </c>
      <c r="N2565" s="116">
        <v>721.45</v>
      </c>
      <c r="O2565" s="116">
        <v>695</v>
      </c>
      <c r="P2565" s="116">
        <v>695</v>
      </c>
      <c r="Q2565" s="116">
        <v>718.1</v>
      </c>
      <c r="R2565">
        <v>208281</v>
      </c>
    </row>
    <row r="2566" spans="1:18" x14ac:dyDescent="0.25">
      <c r="A2566" s="170">
        <v>45786</v>
      </c>
      <c r="B2566" s="116">
        <v>110.8</v>
      </c>
      <c r="C2566" s="116">
        <v>106</v>
      </c>
      <c r="D2566" s="116">
        <v>101.35</v>
      </c>
      <c r="E2566" s="116">
        <v>103.5</v>
      </c>
      <c r="F2566" s="116">
        <v>106</v>
      </c>
      <c r="G2566">
        <v>532290</v>
      </c>
      <c r="H2566" s="116"/>
      <c r="I2566" s="116"/>
      <c r="L2566" s="170">
        <v>45785</v>
      </c>
      <c r="M2566" s="116">
        <v>712.85</v>
      </c>
      <c r="N2566" s="116">
        <v>735</v>
      </c>
      <c r="O2566" s="116">
        <v>701.1</v>
      </c>
      <c r="P2566" s="116">
        <v>719</v>
      </c>
      <c r="Q2566" s="116">
        <v>712.85</v>
      </c>
      <c r="R2566">
        <v>606965</v>
      </c>
    </row>
    <row r="2567" spans="1:18" x14ac:dyDescent="0.25">
      <c r="A2567" s="170">
        <v>45789</v>
      </c>
      <c r="B2567" s="116">
        <v>113.8</v>
      </c>
      <c r="C2567" s="116">
        <v>110</v>
      </c>
      <c r="D2567" s="116">
        <v>108.8</v>
      </c>
      <c r="E2567" s="116">
        <v>113.8</v>
      </c>
      <c r="F2567" s="116">
        <v>110</v>
      </c>
      <c r="G2567">
        <v>295049</v>
      </c>
      <c r="H2567" s="116"/>
      <c r="I2567" s="116"/>
      <c r="L2567" s="170">
        <v>45786</v>
      </c>
      <c r="M2567" s="116">
        <v>707.7</v>
      </c>
      <c r="N2567" s="116">
        <v>712</v>
      </c>
      <c r="O2567" s="116">
        <v>691.55</v>
      </c>
      <c r="P2567" s="116">
        <v>691.55</v>
      </c>
      <c r="Q2567" s="116">
        <v>707.7</v>
      </c>
      <c r="R2567">
        <v>247892</v>
      </c>
    </row>
    <row r="2568" spans="1:18" x14ac:dyDescent="0.25">
      <c r="A2568" s="170">
        <v>45790</v>
      </c>
      <c r="B2568" s="116">
        <v>114.55</v>
      </c>
      <c r="C2568" s="116">
        <v>114.1</v>
      </c>
      <c r="D2568" s="116">
        <v>108.5</v>
      </c>
      <c r="E2568" s="116">
        <v>111.95</v>
      </c>
      <c r="F2568" s="116">
        <v>114.1</v>
      </c>
      <c r="G2568">
        <v>317668</v>
      </c>
      <c r="H2568" s="116"/>
      <c r="I2568" s="116"/>
      <c r="L2568" s="170">
        <v>45789</v>
      </c>
      <c r="M2568" s="116">
        <v>728.35</v>
      </c>
      <c r="N2568" s="116">
        <v>734</v>
      </c>
      <c r="O2568" s="116">
        <v>715.95</v>
      </c>
      <c r="P2568" s="116">
        <v>734</v>
      </c>
      <c r="Q2568" s="116">
        <v>728.35</v>
      </c>
      <c r="R2568">
        <v>307989</v>
      </c>
    </row>
    <row r="2569" spans="1:18" x14ac:dyDescent="0.25">
      <c r="A2569" s="170">
        <v>45791</v>
      </c>
      <c r="B2569" s="116">
        <v>118.3</v>
      </c>
      <c r="C2569" s="116">
        <v>117.25</v>
      </c>
      <c r="D2569" s="116">
        <v>114.55</v>
      </c>
      <c r="E2569" s="116">
        <v>114.95</v>
      </c>
      <c r="F2569" s="116">
        <v>117.25</v>
      </c>
      <c r="G2569">
        <v>468113</v>
      </c>
      <c r="H2569" s="116"/>
      <c r="I2569" s="116"/>
      <c r="L2569" s="170">
        <v>45790</v>
      </c>
      <c r="M2569" s="116">
        <v>720.55</v>
      </c>
      <c r="N2569" s="116">
        <v>734.2</v>
      </c>
      <c r="O2569" s="116">
        <v>718</v>
      </c>
      <c r="P2569" s="116">
        <v>729.95</v>
      </c>
      <c r="Q2569" s="116">
        <v>720.55</v>
      </c>
      <c r="R2569">
        <v>204768</v>
      </c>
    </row>
    <row r="2570" spans="1:18" x14ac:dyDescent="0.25">
      <c r="A2570" s="170">
        <v>45792</v>
      </c>
      <c r="B2570" s="116">
        <v>117.95</v>
      </c>
      <c r="C2570" s="116">
        <v>113.35</v>
      </c>
      <c r="D2570" s="116">
        <v>113</v>
      </c>
      <c r="E2570" s="116">
        <v>117.85</v>
      </c>
      <c r="F2570" s="116">
        <v>113.35</v>
      </c>
      <c r="G2570">
        <v>462429</v>
      </c>
      <c r="H2570" s="116"/>
      <c r="I2570" s="116"/>
      <c r="L2570" s="170">
        <v>45791</v>
      </c>
      <c r="M2570" s="116">
        <v>741.3</v>
      </c>
      <c r="N2570" s="116">
        <v>743.75</v>
      </c>
      <c r="O2570" s="116">
        <v>722.4</v>
      </c>
      <c r="P2570" s="116">
        <v>728</v>
      </c>
      <c r="Q2570" s="116">
        <v>741.3</v>
      </c>
      <c r="R2570">
        <v>454479</v>
      </c>
    </row>
    <row r="2571" spans="1:18" x14ac:dyDescent="0.25">
      <c r="A2571" s="170">
        <v>45793</v>
      </c>
      <c r="B2571" s="116">
        <v>122.9</v>
      </c>
      <c r="C2571" s="116">
        <v>122.15</v>
      </c>
      <c r="D2571" s="116">
        <v>113.2</v>
      </c>
      <c r="E2571" s="116">
        <v>114.05</v>
      </c>
      <c r="F2571" s="116">
        <v>122.15</v>
      </c>
      <c r="G2571">
        <v>866738</v>
      </c>
      <c r="H2571" s="116"/>
      <c r="I2571" s="116"/>
      <c r="L2571" s="170">
        <v>45792</v>
      </c>
      <c r="M2571" s="116">
        <v>743.4</v>
      </c>
      <c r="N2571" s="116">
        <v>749.8</v>
      </c>
      <c r="O2571" s="116">
        <v>740</v>
      </c>
      <c r="P2571" s="116">
        <v>745</v>
      </c>
      <c r="Q2571" s="116">
        <v>743.4</v>
      </c>
      <c r="R2571">
        <v>299495</v>
      </c>
    </row>
    <row r="2572" spans="1:18" x14ac:dyDescent="0.25">
      <c r="A2572" s="170">
        <v>45796</v>
      </c>
      <c r="B2572" s="116">
        <v>139.9</v>
      </c>
      <c r="C2572" s="116">
        <v>133.94999999999999</v>
      </c>
      <c r="D2572" s="116">
        <v>125</v>
      </c>
      <c r="E2572" s="116">
        <v>125</v>
      </c>
      <c r="F2572" s="116">
        <v>133.94999999999999</v>
      </c>
      <c r="G2572">
        <v>1397684</v>
      </c>
      <c r="H2572" s="116"/>
      <c r="I2572" s="116"/>
      <c r="L2572" s="170">
        <v>45793</v>
      </c>
      <c r="M2572" s="116">
        <v>754.2</v>
      </c>
      <c r="N2572" s="116">
        <v>756</v>
      </c>
      <c r="O2572" s="116">
        <v>741.05</v>
      </c>
      <c r="P2572" s="116">
        <v>750</v>
      </c>
      <c r="Q2572" s="116">
        <v>754.2</v>
      </c>
      <c r="R2572">
        <v>271095</v>
      </c>
    </row>
    <row r="2573" spans="1:18" x14ac:dyDescent="0.25">
      <c r="A2573" s="170">
        <v>45797</v>
      </c>
      <c r="B2573" s="116">
        <v>136.65</v>
      </c>
      <c r="C2573" s="116">
        <v>133.69999999999999</v>
      </c>
      <c r="D2573" s="116">
        <v>129.15</v>
      </c>
      <c r="E2573" s="116">
        <v>135.19999999999999</v>
      </c>
      <c r="F2573" s="116">
        <v>133.69999999999999</v>
      </c>
      <c r="G2573">
        <v>699781</v>
      </c>
      <c r="H2573" s="116"/>
      <c r="I2573" s="116"/>
      <c r="L2573" s="170">
        <v>45796</v>
      </c>
      <c r="M2573" s="116">
        <v>743.65</v>
      </c>
      <c r="N2573" s="116">
        <v>758.25</v>
      </c>
      <c r="O2573" s="116">
        <v>736</v>
      </c>
      <c r="P2573" s="116">
        <v>754.2</v>
      </c>
      <c r="Q2573" s="116">
        <v>743.65</v>
      </c>
      <c r="R2573">
        <v>247043</v>
      </c>
    </row>
    <row r="2574" spans="1:18" x14ac:dyDescent="0.25">
      <c r="A2574" s="170">
        <v>45798</v>
      </c>
      <c r="B2574" s="116">
        <v>135.5</v>
      </c>
      <c r="C2574" s="116">
        <v>132.85</v>
      </c>
      <c r="D2574" s="116">
        <v>130.30000000000001</v>
      </c>
      <c r="E2574" s="116">
        <v>133.6</v>
      </c>
      <c r="F2574" s="116">
        <v>132.85</v>
      </c>
      <c r="G2574">
        <v>244907</v>
      </c>
      <c r="H2574" s="116"/>
      <c r="I2574" s="116"/>
      <c r="L2574" s="170">
        <v>45797</v>
      </c>
      <c r="M2574" s="116">
        <v>743.3</v>
      </c>
      <c r="N2574" s="116">
        <v>749.45</v>
      </c>
      <c r="O2574" s="116">
        <v>736.95</v>
      </c>
      <c r="P2574" s="116">
        <v>748.7</v>
      </c>
      <c r="Q2574" s="116">
        <v>743.3</v>
      </c>
      <c r="R2574">
        <v>140331</v>
      </c>
    </row>
    <row r="2575" spans="1:18" x14ac:dyDescent="0.25">
      <c r="A2575" s="170">
        <v>45799</v>
      </c>
      <c r="B2575" s="116">
        <v>132.85</v>
      </c>
      <c r="C2575" s="116">
        <v>128.80000000000001</v>
      </c>
      <c r="D2575" s="116">
        <v>127.5</v>
      </c>
      <c r="E2575" s="116">
        <v>132.75</v>
      </c>
      <c r="F2575" s="116">
        <v>128.80000000000001</v>
      </c>
      <c r="G2575">
        <v>206994</v>
      </c>
      <c r="H2575" s="116"/>
      <c r="I2575" s="116"/>
      <c r="L2575" s="170">
        <v>45798</v>
      </c>
      <c r="M2575" s="116">
        <v>751.05</v>
      </c>
      <c r="N2575" s="116">
        <v>754.95</v>
      </c>
      <c r="O2575" s="116">
        <v>735</v>
      </c>
      <c r="P2575" s="116">
        <v>743.8</v>
      </c>
      <c r="Q2575" s="116">
        <v>751.05</v>
      </c>
      <c r="R2575">
        <v>151115</v>
      </c>
    </row>
    <row r="2576" spans="1:18" x14ac:dyDescent="0.25">
      <c r="A2576" s="170">
        <v>45800</v>
      </c>
      <c r="B2576" s="116">
        <v>132</v>
      </c>
      <c r="C2576" s="116">
        <v>127.9</v>
      </c>
      <c r="D2576" s="116">
        <v>127.4</v>
      </c>
      <c r="E2576" s="116">
        <v>128.9</v>
      </c>
      <c r="F2576" s="116">
        <v>127.9</v>
      </c>
      <c r="G2576">
        <v>237289</v>
      </c>
      <c r="H2576" s="116"/>
      <c r="I2576" s="116"/>
      <c r="L2576" s="170">
        <v>45799</v>
      </c>
      <c r="M2576" s="116">
        <v>745</v>
      </c>
      <c r="N2576" s="116">
        <v>753.55</v>
      </c>
      <c r="O2576" s="116">
        <v>738.6</v>
      </c>
      <c r="P2576" s="116">
        <v>748</v>
      </c>
      <c r="Q2576" s="116">
        <v>745</v>
      </c>
      <c r="R2576">
        <v>90754</v>
      </c>
    </row>
    <row r="2577" spans="1:18" x14ac:dyDescent="0.25">
      <c r="A2577" s="170">
        <v>45803</v>
      </c>
      <c r="B2577" s="116">
        <v>130.6</v>
      </c>
      <c r="C2577" s="116">
        <v>128.55000000000001</v>
      </c>
      <c r="D2577" s="116">
        <v>127.3</v>
      </c>
      <c r="E2577" s="116">
        <v>128.75</v>
      </c>
      <c r="F2577" s="116">
        <v>128.55000000000001</v>
      </c>
      <c r="G2577">
        <v>137253</v>
      </c>
      <c r="H2577" s="116"/>
      <c r="I2577" s="116"/>
      <c r="L2577" s="170">
        <v>45800</v>
      </c>
      <c r="M2577" s="116">
        <v>738.7</v>
      </c>
      <c r="N2577" s="116">
        <v>747.9</v>
      </c>
      <c r="O2577" s="116">
        <v>735</v>
      </c>
      <c r="P2577" s="116">
        <v>746.1</v>
      </c>
      <c r="Q2577" s="116">
        <v>738.7</v>
      </c>
      <c r="R2577">
        <v>296136</v>
      </c>
    </row>
    <row r="2578" spans="1:18" x14ac:dyDescent="0.25">
      <c r="A2578" s="170">
        <v>45804</v>
      </c>
      <c r="B2578" s="116">
        <v>142.5</v>
      </c>
      <c r="C2578" s="116">
        <v>139.1</v>
      </c>
      <c r="D2578" s="116">
        <v>128.05000000000001</v>
      </c>
      <c r="E2578" s="116">
        <v>128.05000000000001</v>
      </c>
      <c r="F2578" s="116">
        <v>139.1</v>
      </c>
      <c r="G2578">
        <v>2070278</v>
      </c>
      <c r="H2578" s="116"/>
      <c r="I2578" s="116"/>
      <c r="L2578" s="170">
        <v>45803</v>
      </c>
      <c r="M2578" s="116">
        <v>755.65</v>
      </c>
      <c r="N2578" s="116">
        <v>759</v>
      </c>
      <c r="O2578" s="116">
        <v>742.1</v>
      </c>
      <c r="P2578" s="116">
        <v>743.8</v>
      </c>
      <c r="Q2578" s="116">
        <v>755.65</v>
      </c>
      <c r="R2578">
        <v>212863</v>
      </c>
    </row>
    <row r="2579" spans="1:18" x14ac:dyDescent="0.25">
      <c r="A2579" s="170">
        <v>45805</v>
      </c>
      <c r="B2579" s="116">
        <v>149.15</v>
      </c>
      <c r="C2579" s="116">
        <v>146.75</v>
      </c>
      <c r="D2579" s="116">
        <v>140.44999999999999</v>
      </c>
      <c r="E2579" s="116">
        <v>140.6</v>
      </c>
      <c r="F2579" s="116">
        <v>146.75</v>
      </c>
      <c r="G2579">
        <v>1292990</v>
      </c>
      <c r="H2579" s="116"/>
      <c r="I2579" s="116"/>
      <c r="L2579" s="170">
        <v>45804</v>
      </c>
      <c r="M2579" s="116">
        <v>775.05</v>
      </c>
      <c r="N2579" s="116">
        <v>779.9</v>
      </c>
      <c r="O2579" s="116">
        <v>758</v>
      </c>
      <c r="P2579" s="116">
        <v>760</v>
      </c>
      <c r="Q2579" s="116">
        <v>775.05</v>
      </c>
      <c r="R2579">
        <v>482834</v>
      </c>
    </row>
    <row r="2580" spans="1:18" x14ac:dyDescent="0.25">
      <c r="A2580" s="170">
        <v>45806</v>
      </c>
      <c r="B2580" s="116">
        <v>152.65</v>
      </c>
      <c r="C2580" s="116">
        <v>146.80000000000001</v>
      </c>
      <c r="D2580" s="116">
        <v>145.19999999999999</v>
      </c>
      <c r="E2580" s="116">
        <v>147.4</v>
      </c>
      <c r="F2580" s="116">
        <v>146.80000000000001</v>
      </c>
      <c r="G2580">
        <v>524754</v>
      </c>
      <c r="H2580" s="116"/>
      <c r="I2580" s="116"/>
      <c r="L2580" s="170">
        <v>45805</v>
      </c>
      <c r="M2580" s="116">
        <v>767.8</v>
      </c>
      <c r="N2580" s="116">
        <v>779.5</v>
      </c>
      <c r="O2580" s="116">
        <v>762.2</v>
      </c>
      <c r="P2580" s="116">
        <v>778</v>
      </c>
      <c r="Q2580" s="116">
        <v>767.8</v>
      </c>
      <c r="R2580">
        <v>124298</v>
      </c>
    </row>
    <row r="2581" spans="1:18" x14ac:dyDescent="0.25">
      <c r="A2581" s="170">
        <v>45807</v>
      </c>
      <c r="B2581" s="116">
        <v>148.6</v>
      </c>
      <c r="C2581" s="116">
        <v>140.55000000000001</v>
      </c>
      <c r="D2581" s="116">
        <v>139.94999999999999</v>
      </c>
      <c r="E2581" s="116">
        <v>148.6</v>
      </c>
      <c r="F2581" s="116">
        <v>140.55000000000001</v>
      </c>
      <c r="G2581">
        <v>211716</v>
      </c>
      <c r="H2581" s="116"/>
      <c r="I2581" s="116"/>
      <c r="L2581" s="170">
        <v>45806</v>
      </c>
      <c r="M2581" s="116">
        <v>779.55</v>
      </c>
      <c r="N2581" s="116">
        <v>785.2</v>
      </c>
      <c r="O2581" s="116">
        <v>765.55</v>
      </c>
      <c r="P2581" s="116">
        <v>767.2</v>
      </c>
      <c r="Q2581" s="116">
        <v>779.55</v>
      </c>
      <c r="R2581">
        <v>218848</v>
      </c>
    </row>
    <row r="2582" spans="1:18" x14ac:dyDescent="0.25">
      <c r="A2582" s="170">
        <v>45810</v>
      </c>
      <c r="B2582" s="116">
        <v>154</v>
      </c>
      <c r="C2582" s="116">
        <v>151.6</v>
      </c>
      <c r="D2582" s="116">
        <v>139.75</v>
      </c>
      <c r="E2582" s="116">
        <v>140.55000000000001</v>
      </c>
      <c r="F2582" s="116">
        <v>151.6</v>
      </c>
      <c r="G2582">
        <v>541013</v>
      </c>
      <c r="H2582" s="116"/>
      <c r="I2582" s="116"/>
      <c r="L2582" s="170">
        <v>45807</v>
      </c>
      <c r="M2582" s="116">
        <v>788.15</v>
      </c>
      <c r="N2582" s="116">
        <v>790.8</v>
      </c>
      <c r="O2582" s="116">
        <v>768</v>
      </c>
      <c r="P2582" s="116">
        <v>784</v>
      </c>
      <c r="Q2582" s="116">
        <v>788.15</v>
      </c>
      <c r="R2582">
        <v>235390</v>
      </c>
    </row>
    <row r="2583" spans="1:18" x14ac:dyDescent="0.25">
      <c r="A2583" s="170">
        <v>45811</v>
      </c>
      <c r="B2583" s="116">
        <v>159</v>
      </c>
      <c r="C2583" s="116">
        <v>156.9</v>
      </c>
      <c r="D2583" s="116">
        <v>151.19999999999999</v>
      </c>
      <c r="E2583" s="116">
        <v>153.85</v>
      </c>
      <c r="F2583" s="116">
        <v>156.9</v>
      </c>
      <c r="G2583">
        <v>1270982</v>
      </c>
      <c r="H2583" s="116"/>
      <c r="I2583" s="116"/>
      <c r="L2583" s="170">
        <v>45810</v>
      </c>
      <c r="M2583" s="116">
        <v>791.85</v>
      </c>
      <c r="N2583" s="116">
        <v>794</v>
      </c>
      <c r="O2583" s="116">
        <v>776.05</v>
      </c>
      <c r="P2583" s="116">
        <v>788.2</v>
      </c>
      <c r="Q2583" s="116">
        <v>791.85</v>
      </c>
      <c r="R2583">
        <v>280101</v>
      </c>
    </row>
    <row r="2584" spans="1:18" x14ac:dyDescent="0.25">
      <c r="A2584" s="170">
        <v>45812</v>
      </c>
      <c r="B2584" s="116">
        <v>162.55000000000001</v>
      </c>
      <c r="C2584" s="116">
        <v>160.4</v>
      </c>
      <c r="D2584" s="116">
        <v>155.19999999999999</v>
      </c>
      <c r="E2584" s="116">
        <v>157.85</v>
      </c>
      <c r="F2584" s="116">
        <v>160.4</v>
      </c>
      <c r="G2584">
        <v>626244</v>
      </c>
      <c r="H2584" s="116"/>
      <c r="I2584" s="116"/>
      <c r="L2584" s="170">
        <v>45811</v>
      </c>
      <c r="M2584" s="116">
        <v>782.85</v>
      </c>
      <c r="N2584" s="116">
        <v>795.3</v>
      </c>
      <c r="O2584" s="116">
        <v>780.5</v>
      </c>
      <c r="P2584" s="116">
        <v>795</v>
      </c>
      <c r="Q2584" s="116">
        <v>782.85</v>
      </c>
      <c r="R2584">
        <v>149421</v>
      </c>
    </row>
    <row r="2585" spans="1:18" x14ac:dyDescent="0.25">
      <c r="A2585" s="170">
        <v>45813</v>
      </c>
      <c r="B2585" s="116">
        <v>184.5</v>
      </c>
      <c r="C2585" s="116">
        <v>181.65</v>
      </c>
      <c r="D2585" s="116">
        <v>164</v>
      </c>
      <c r="E2585" s="116">
        <v>165</v>
      </c>
      <c r="F2585" s="116">
        <v>181.65</v>
      </c>
      <c r="G2585">
        <v>3019181</v>
      </c>
      <c r="H2585" s="116"/>
      <c r="I2585" s="116"/>
      <c r="L2585" s="170">
        <v>45812</v>
      </c>
      <c r="M2585" s="116">
        <v>782.45</v>
      </c>
      <c r="N2585" s="116">
        <v>795.4</v>
      </c>
      <c r="O2585" s="116">
        <v>777</v>
      </c>
      <c r="P2585" s="116">
        <v>784</v>
      </c>
      <c r="Q2585" s="116">
        <v>782.45</v>
      </c>
      <c r="R2585">
        <v>142169</v>
      </c>
    </row>
    <row r="2586" spans="1:18" x14ac:dyDescent="0.25">
      <c r="A2586" s="170">
        <v>45814</v>
      </c>
      <c r="B2586" s="116">
        <v>189.75</v>
      </c>
      <c r="C2586" s="116">
        <v>171.3</v>
      </c>
      <c r="D2586" s="116">
        <v>170</v>
      </c>
      <c r="E2586" s="116">
        <v>185</v>
      </c>
      <c r="F2586" s="116">
        <v>171.3</v>
      </c>
      <c r="G2586">
        <v>2027982</v>
      </c>
      <c r="H2586" s="116"/>
      <c r="I2586" s="116"/>
      <c r="L2586" s="170">
        <v>45813</v>
      </c>
      <c r="M2586" s="116">
        <v>778.4</v>
      </c>
      <c r="N2586" s="116">
        <v>790.45</v>
      </c>
      <c r="O2586" s="116">
        <v>777</v>
      </c>
      <c r="P2586" s="116">
        <v>789.4</v>
      </c>
      <c r="Q2586" s="116">
        <v>778.4</v>
      </c>
      <c r="R2586">
        <v>104247</v>
      </c>
    </row>
    <row r="2587" spans="1:18" x14ac:dyDescent="0.25">
      <c r="A2587" s="170">
        <v>45817</v>
      </c>
      <c r="B2587" s="116">
        <v>174.55</v>
      </c>
      <c r="C2587" s="116">
        <v>161.30000000000001</v>
      </c>
      <c r="D2587" s="116">
        <v>158.65</v>
      </c>
      <c r="E2587" s="116">
        <v>173</v>
      </c>
      <c r="F2587" s="116">
        <v>161.30000000000001</v>
      </c>
      <c r="G2587">
        <v>982993</v>
      </c>
      <c r="H2587" s="116"/>
      <c r="I2587" s="116"/>
      <c r="L2587" s="170">
        <v>45814</v>
      </c>
      <c r="M2587" s="116">
        <v>782.55</v>
      </c>
      <c r="N2587" s="116">
        <v>801.9</v>
      </c>
      <c r="O2587" s="116">
        <v>773</v>
      </c>
      <c r="P2587" s="116">
        <v>778.4</v>
      </c>
      <c r="Q2587" s="116">
        <v>782.55</v>
      </c>
      <c r="R2587">
        <v>509557</v>
      </c>
    </row>
    <row r="2588" spans="1:18" x14ac:dyDescent="0.25">
      <c r="A2588" s="170">
        <v>45818</v>
      </c>
      <c r="B2588" s="116">
        <v>165.95</v>
      </c>
      <c r="C2588" s="116">
        <v>163.80000000000001</v>
      </c>
      <c r="D2588" s="116">
        <v>156.30000000000001</v>
      </c>
      <c r="E2588" s="116">
        <v>161.6</v>
      </c>
      <c r="F2588" s="116">
        <v>163.80000000000001</v>
      </c>
      <c r="G2588">
        <v>880700</v>
      </c>
      <c r="H2588" s="116"/>
      <c r="I2588" s="116"/>
      <c r="L2588" s="170">
        <v>45817</v>
      </c>
      <c r="M2588" s="116">
        <v>808.9</v>
      </c>
      <c r="N2588" s="116">
        <v>812.2</v>
      </c>
      <c r="O2588" s="116">
        <v>787</v>
      </c>
      <c r="P2588" s="116">
        <v>789.4</v>
      </c>
      <c r="Q2588" s="116">
        <v>808.9</v>
      </c>
      <c r="R2588">
        <v>584647</v>
      </c>
    </row>
    <row r="2589" spans="1:18" x14ac:dyDescent="0.25">
      <c r="A2589" s="170">
        <v>45819</v>
      </c>
      <c r="B2589" s="116">
        <v>168.7</v>
      </c>
      <c r="C2589" s="116">
        <v>165.95</v>
      </c>
      <c r="D2589" s="116">
        <v>161.94999999999999</v>
      </c>
      <c r="E2589" s="116">
        <v>165.85</v>
      </c>
      <c r="F2589" s="116">
        <v>165.95</v>
      </c>
      <c r="G2589">
        <v>341067</v>
      </c>
      <c r="H2589" s="116"/>
      <c r="I2589" s="116"/>
      <c r="L2589" s="170">
        <v>45818</v>
      </c>
      <c r="M2589" s="116">
        <v>811.95</v>
      </c>
      <c r="N2589" s="116">
        <v>817.7</v>
      </c>
      <c r="O2589" s="116">
        <v>805.05</v>
      </c>
      <c r="P2589" s="116">
        <v>817.7</v>
      </c>
      <c r="Q2589" s="116">
        <v>811.95</v>
      </c>
      <c r="R2589">
        <v>321681</v>
      </c>
    </row>
    <row r="2590" spans="1:18" x14ac:dyDescent="0.25">
      <c r="A2590" s="170">
        <v>45820</v>
      </c>
      <c r="B2590" s="116">
        <v>166</v>
      </c>
      <c r="C2590" s="116">
        <v>161.19999999999999</v>
      </c>
      <c r="D2590" s="116">
        <v>160</v>
      </c>
      <c r="E2590" s="116">
        <v>164.95</v>
      </c>
      <c r="F2590" s="116">
        <v>161.19999999999999</v>
      </c>
      <c r="G2590">
        <v>325136</v>
      </c>
      <c r="H2590" s="116"/>
      <c r="I2590" s="116"/>
      <c r="L2590" s="170">
        <v>45819</v>
      </c>
      <c r="M2590" s="116">
        <v>813.45</v>
      </c>
      <c r="N2590" s="116">
        <v>817.75</v>
      </c>
      <c r="O2590" s="116">
        <v>800.55</v>
      </c>
      <c r="P2590" s="116">
        <v>810.9</v>
      </c>
      <c r="Q2590" s="116">
        <v>813.45</v>
      </c>
      <c r="R2590">
        <v>317340</v>
      </c>
    </row>
    <row r="2591" spans="1:18" x14ac:dyDescent="0.25">
      <c r="A2591" s="170">
        <v>45821</v>
      </c>
      <c r="B2591" s="116">
        <v>163.25</v>
      </c>
      <c r="C2591" s="116">
        <v>159.30000000000001</v>
      </c>
      <c r="D2591" s="116">
        <v>153.9</v>
      </c>
      <c r="E2591" s="116">
        <v>154.94999999999999</v>
      </c>
      <c r="F2591" s="116">
        <v>159.30000000000001</v>
      </c>
      <c r="G2591">
        <v>324334</v>
      </c>
      <c r="H2591" s="116"/>
      <c r="I2591" s="116"/>
      <c r="L2591" s="170">
        <v>45820</v>
      </c>
      <c r="M2591" s="116">
        <v>796.7</v>
      </c>
      <c r="N2591" s="116">
        <v>816.5</v>
      </c>
      <c r="O2591" s="116">
        <v>790.9</v>
      </c>
      <c r="P2591" s="116">
        <v>816.5</v>
      </c>
      <c r="Q2591" s="116">
        <v>796.7</v>
      </c>
      <c r="R2591">
        <v>329745</v>
      </c>
    </row>
    <row r="2592" spans="1:18" x14ac:dyDescent="0.25">
      <c r="A2592" s="170">
        <v>45824</v>
      </c>
      <c r="B2592" s="116">
        <v>161</v>
      </c>
      <c r="C2592" s="116">
        <v>156.55000000000001</v>
      </c>
      <c r="D2592" s="116">
        <v>150.30000000000001</v>
      </c>
      <c r="E2592" s="116">
        <v>158.55000000000001</v>
      </c>
      <c r="F2592" s="116">
        <v>156.55000000000001</v>
      </c>
      <c r="G2592">
        <v>419249</v>
      </c>
      <c r="H2592" s="116"/>
      <c r="I2592" s="116"/>
      <c r="L2592" s="170">
        <v>45821</v>
      </c>
      <c r="M2592" s="116">
        <v>792.45</v>
      </c>
      <c r="N2592" s="116">
        <v>801.3</v>
      </c>
      <c r="O2592" s="116">
        <v>773.6</v>
      </c>
      <c r="P2592" s="116">
        <v>787.1</v>
      </c>
      <c r="Q2592" s="116">
        <v>792.45</v>
      </c>
      <c r="R2592">
        <v>160545</v>
      </c>
    </row>
    <row r="2593" spans="1:18" x14ac:dyDescent="0.25">
      <c r="A2593" s="170">
        <v>45825</v>
      </c>
      <c r="B2593" s="116">
        <v>160.35</v>
      </c>
      <c r="C2593" s="116">
        <v>153.5</v>
      </c>
      <c r="D2593" s="116">
        <v>153</v>
      </c>
      <c r="E2593" s="116">
        <v>155.9</v>
      </c>
      <c r="F2593" s="116">
        <v>153.5</v>
      </c>
      <c r="G2593">
        <v>326305</v>
      </c>
      <c r="H2593" s="116"/>
      <c r="I2593" s="116"/>
      <c r="L2593" s="170">
        <v>45824</v>
      </c>
      <c r="M2593" s="116">
        <v>779.75</v>
      </c>
      <c r="N2593" s="116">
        <v>792</v>
      </c>
      <c r="O2593" s="116">
        <v>768</v>
      </c>
      <c r="P2593" s="116">
        <v>790.25</v>
      </c>
      <c r="Q2593" s="116">
        <v>779.75</v>
      </c>
      <c r="R2593">
        <v>279210</v>
      </c>
    </row>
    <row r="2594" spans="1:18" x14ac:dyDescent="0.25">
      <c r="A2594" s="170">
        <v>45826</v>
      </c>
      <c r="B2594" s="116">
        <v>155.5</v>
      </c>
      <c r="C2594" s="116">
        <v>153.05000000000001</v>
      </c>
      <c r="D2594" s="116">
        <v>151.19999999999999</v>
      </c>
      <c r="E2594" s="116">
        <v>152.30000000000001</v>
      </c>
      <c r="F2594" s="116">
        <v>153.05000000000001</v>
      </c>
      <c r="G2594">
        <v>212040</v>
      </c>
      <c r="H2594" s="116"/>
      <c r="I2594" s="116"/>
      <c r="L2594" s="170">
        <v>45825</v>
      </c>
      <c r="M2594" s="116">
        <v>793.35</v>
      </c>
      <c r="N2594" s="116">
        <v>796.55</v>
      </c>
      <c r="O2594" s="116">
        <v>777.6</v>
      </c>
      <c r="P2594" s="116">
        <v>782</v>
      </c>
      <c r="Q2594" s="116">
        <v>793.35</v>
      </c>
      <c r="R2594">
        <v>345617</v>
      </c>
    </row>
    <row r="2595" spans="1:18" x14ac:dyDescent="0.25">
      <c r="A2595" s="170">
        <v>45827</v>
      </c>
      <c r="B2595" s="116">
        <v>159.15</v>
      </c>
      <c r="C2595" s="116">
        <v>153.94999999999999</v>
      </c>
      <c r="D2595" s="116">
        <v>151.44999999999999</v>
      </c>
      <c r="E2595" s="116">
        <v>153.05000000000001</v>
      </c>
      <c r="F2595" s="116">
        <v>153.94999999999999</v>
      </c>
      <c r="G2595">
        <v>280553</v>
      </c>
      <c r="H2595" s="116"/>
      <c r="I2595" s="116"/>
      <c r="L2595" s="170">
        <v>45826</v>
      </c>
      <c r="M2595" s="116">
        <v>790.05</v>
      </c>
      <c r="N2595" s="116">
        <v>801.45</v>
      </c>
      <c r="O2595" s="116">
        <v>783</v>
      </c>
      <c r="P2595" s="116">
        <v>794.3</v>
      </c>
      <c r="Q2595" s="116">
        <v>790.05</v>
      </c>
      <c r="R2595">
        <v>296023</v>
      </c>
    </row>
    <row r="2596" spans="1:18" x14ac:dyDescent="0.25">
      <c r="A2596" s="170">
        <v>45828</v>
      </c>
      <c r="B2596" s="116">
        <v>156.5</v>
      </c>
      <c r="C2596" s="116">
        <v>155</v>
      </c>
      <c r="D2596" s="116">
        <v>151.5</v>
      </c>
      <c r="E2596" s="116">
        <v>154.5</v>
      </c>
      <c r="F2596" s="116">
        <v>155</v>
      </c>
      <c r="G2596">
        <v>121768</v>
      </c>
      <c r="H2596" s="116"/>
      <c r="I2596" s="116"/>
      <c r="L2596" s="170">
        <v>45827</v>
      </c>
      <c r="M2596" s="116">
        <v>777.05</v>
      </c>
      <c r="N2596" s="116">
        <v>788.4</v>
      </c>
      <c r="O2596" s="116">
        <v>766.9</v>
      </c>
      <c r="P2596" s="116">
        <v>785</v>
      </c>
      <c r="Q2596" s="116">
        <v>777.05</v>
      </c>
      <c r="R2596">
        <v>191631</v>
      </c>
    </row>
    <row r="2597" spans="1:18" x14ac:dyDescent="0.25">
      <c r="A2597" s="170">
        <v>45831</v>
      </c>
      <c r="B2597" s="116">
        <v>168.35</v>
      </c>
      <c r="C2597" s="116">
        <v>163.35</v>
      </c>
      <c r="D2597" s="116">
        <v>155.55000000000001</v>
      </c>
      <c r="E2597" s="116">
        <v>155.55000000000001</v>
      </c>
      <c r="F2597" s="116">
        <v>163.35</v>
      </c>
      <c r="G2597">
        <v>1213221</v>
      </c>
      <c r="H2597" s="116"/>
      <c r="I2597" s="116"/>
      <c r="L2597" s="170">
        <v>45828</v>
      </c>
      <c r="M2597" s="116">
        <v>764.45</v>
      </c>
      <c r="N2597" s="116">
        <v>781.45</v>
      </c>
      <c r="O2597" s="116">
        <v>760</v>
      </c>
      <c r="P2597" s="116">
        <v>777.05</v>
      </c>
      <c r="Q2597" s="116">
        <v>764.45</v>
      </c>
      <c r="R2597">
        <v>525429</v>
      </c>
    </row>
    <row r="2598" spans="1:18" x14ac:dyDescent="0.25">
      <c r="A2598" s="170">
        <v>45832</v>
      </c>
      <c r="B2598" s="116">
        <v>167.95</v>
      </c>
      <c r="C2598" s="116">
        <v>161.4</v>
      </c>
      <c r="D2598" s="116">
        <v>159.55000000000001</v>
      </c>
      <c r="E2598" s="116">
        <v>165.1</v>
      </c>
      <c r="F2598" s="116">
        <v>161.4</v>
      </c>
      <c r="G2598">
        <v>277502</v>
      </c>
      <c r="H2598" s="116"/>
      <c r="I2598" s="116"/>
      <c r="L2598" s="170">
        <v>45831</v>
      </c>
      <c r="M2598" s="116">
        <v>763.3</v>
      </c>
      <c r="N2598" s="116">
        <v>772.5</v>
      </c>
      <c r="O2598" s="116">
        <v>754.8</v>
      </c>
      <c r="P2598" s="116">
        <v>757.1</v>
      </c>
      <c r="Q2598" s="116">
        <v>763.3</v>
      </c>
      <c r="R2598">
        <v>91174</v>
      </c>
    </row>
    <row r="2599" spans="1:18" x14ac:dyDescent="0.25">
      <c r="A2599" s="170">
        <v>45833</v>
      </c>
      <c r="B2599" s="116">
        <v>162.6</v>
      </c>
      <c r="C2599" s="116">
        <v>158.5</v>
      </c>
      <c r="D2599" s="116">
        <v>158</v>
      </c>
      <c r="E2599" s="116">
        <v>161.65</v>
      </c>
      <c r="F2599" s="116">
        <v>158.5</v>
      </c>
      <c r="G2599">
        <v>223530</v>
      </c>
      <c r="H2599" s="116"/>
      <c r="I2599" s="116"/>
      <c r="L2599" s="170">
        <v>45832</v>
      </c>
      <c r="M2599" s="116">
        <v>789.35</v>
      </c>
      <c r="N2599" s="116">
        <v>792</v>
      </c>
      <c r="O2599" s="116">
        <v>765</v>
      </c>
      <c r="P2599" s="116">
        <v>767</v>
      </c>
      <c r="Q2599" s="116">
        <v>789.35</v>
      </c>
      <c r="R2599">
        <v>368881</v>
      </c>
    </row>
    <row r="2600" spans="1:18" x14ac:dyDescent="0.25">
      <c r="A2600" s="170">
        <v>45834</v>
      </c>
      <c r="B2600" s="116">
        <v>161.05000000000001</v>
      </c>
      <c r="C2600" s="116">
        <v>157.85</v>
      </c>
      <c r="D2600" s="116">
        <v>156.30000000000001</v>
      </c>
      <c r="E2600" s="116">
        <v>159.5</v>
      </c>
      <c r="F2600" s="116">
        <v>157.85</v>
      </c>
      <c r="G2600">
        <v>258507</v>
      </c>
      <c r="H2600" s="116"/>
      <c r="I2600" s="116"/>
      <c r="L2600" s="170">
        <v>45833</v>
      </c>
      <c r="M2600" s="116">
        <v>784.3</v>
      </c>
      <c r="N2600" s="116">
        <v>799</v>
      </c>
      <c r="O2600" s="116">
        <v>782.05</v>
      </c>
      <c r="P2600" s="116">
        <v>795.55</v>
      </c>
      <c r="Q2600" s="116">
        <v>784.3</v>
      </c>
      <c r="R2600">
        <v>173442</v>
      </c>
    </row>
    <row r="2601" spans="1:18" x14ac:dyDescent="0.25">
      <c r="A2601" s="170">
        <v>45835</v>
      </c>
      <c r="B2601" s="116">
        <v>159.65</v>
      </c>
      <c r="C2601" s="116">
        <v>156.30000000000001</v>
      </c>
      <c r="D2601" s="116">
        <v>155.30000000000001</v>
      </c>
      <c r="E2601" s="116">
        <v>157.15</v>
      </c>
      <c r="F2601" s="116">
        <v>156.30000000000001</v>
      </c>
      <c r="G2601">
        <v>184726</v>
      </c>
      <c r="H2601" s="116"/>
      <c r="I2601" s="116"/>
      <c r="L2601" s="170">
        <v>45834</v>
      </c>
      <c r="M2601" s="116">
        <v>790.5</v>
      </c>
      <c r="N2601" s="116">
        <v>796</v>
      </c>
      <c r="O2601" s="116">
        <v>780</v>
      </c>
      <c r="P2601" s="116">
        <v>792</v>
      </c>
      <c r="Q2601" s="116">
        <v>790.5</v>
      </c>
      <c r="R2601">
        <v>214509</v>
      </c>
    </row>
    <row r="2602" spans="1:18" x14ac:dyDescent="0.25">
      <c r="A2602" s="170">
        <v>45838</v>
      </c>
      <c r="B2602" s="116">
        <v>161.19999999999999</v>
      </c>
      <c r="C2602" s="116">
        <v>158.25</v>
      </c>
      <c r="D2602" s="116">
        <v>156.65</v>
      </c>
      <c r="E2602" s="116">
        <v>157</v>
      </c>
      <c r="F2602" s="116">
        <v>158.25</v>
      </c>
      <c r="G2602">
        <v>113803</v>
      </c>
      <c r="H2602" s="116"/>
      <c r="I2602" s="116"/>
      <c r="L2602" s="170">
        <v>45835</v>
      </c>
      <c r="M2602" s="116">
        <v>789.3</v>
      </c>
      <c r="N2602" s="116">
        <v>807.55</v>
      </c>
      <c r="O2602" s="116">
        <v>785</v>
      </c>
      <c r="P2602" s="116">
        <v>794</v>
      </c>
      <c r="Q2602" s="116">
        <v>789.3</v>
      </c>
      <c r="R2602">
        <v>432438</v>
      </c>
    </row>
    <row r="2603" spans="1:18" x14ac:dyDescent="0.25">
      <c r="A2603" s="170">
        <v>45839</v>
      </c>
      <c r="B2603" s="116">
        <v>165.6</v>
      </c>
      <c r="C2603" s="116">
        <v>164.1</v>
      </c>
      <c r="D2603" s="116">
        <v>158.85</v>
      </c>
      <c r="E2603" s="116">
        <v>160.69999999999999</v>
      </c>
      <c r="F2603" s="116">
        <v>164.1</v>
      </c>
      <c r="G2603">
        <v>265083</v>
      </c>
      <c r="H2603" s="116"/>
      <c r="I2603" s="116"/>
      <c r="L2603" s="170">
        <v>45838</v>
      </c>
      <c r="M2603" s="116">
        <v>792.9</v>
      </c>
      <c r="N2603" s="116">
        <v>798.55</v>
      </c>
      <c r="O2603" s="116">
        <v>786</v>
      </c>
      <c r="P2603" s="116">
        <v>793.25</v>
      </c>
      <c r="Q2603" s="116">
        <v>792.9</v>
      </c>
      <c r="R2603">
        <v>180131</v>
      </c>
    </row>
    <row r="2604" spans="1:18" x14ac:dyDescent="0.25">
      <c r="A2604" s="170">
        <v>45840</v>
      </c>
      <c r="B2604" s="116">
        <v>165.9</v>
      </c>
      <c r="C2604" s="116">
        <v>160.35</v>
      </c>
      <c r="D2604" s="116">
        <v>159.25</v>
      </c>
      <c r="E2604" s="116">
        <v>164.3</v>
      </c>
      <c r="F2604" s="116">
        <v>160.35</v>
      </c>
      <c r="G2604">
        <v>296417</v>
      </c>
      <c r="H2604" s="116"/>
      <c r="I2604" s="116"/>
      <c r="L2604" s="170">
        <v>45839</v>
      </c>
      <c r="M2604" s="116">
        <v>791.35</v>
      </c>
      <c r="N2604" s="116">
        <v>797.8</v>
      </c>
      <c r="O2604" s="116">
        <v>786.2</v>
      </c>
      <c r="P2604" s="116">
        <v>793.2</v>
      </c>
      <c r="Q2604" s="116">
        <v>791.35</v>
      </c>
      <c r="R2604">
        <v>154061</v>
      </c>
    </row>
    <row r="2605" spans="1:18" x14ac:dyDescent="0.25">
      <c r="A2605" s="170">
        <v>45841</v>
      </c>
      <c r="B2605" s="116">
        <v>161.25</v>
      </c>
      <c r="C2605" s="116">
        <v>157.5</v>
      </c>
      <c r="D2605" s="116">
        <v>157</v>
      </c>
      <c r="E2605" s="116">
        <v>161.25</v>
      </c>
      <c r="F2605" s="116">
        <v>157.5</v>
      </c>
      <c r="G2605">
        <v>137185</v>
      </c>
      <c r="H2605" s="116"/>
      <c r="I2605" s="116"/>
      <c r="L2605" s="170">
        <v>45840</v>
      </c>
      <c r="M2605" s="116">
        <v>809.25</v>
      </c>
      <c r="N2605" s="116">
        <v>812</v>
      </c>
      <c r="O2605" s="116">
        <v>794.25</v>
      </c>
      <c r="P2605" s="116">
        <v>794.25</v>
      </c>
      <c r="Q2605" s="116">
        <v>809.25</v>
      </c>
      <c r="R2605">
        <v>439489</v>
      </c>
    </row>
    <row r="2606" spans="1:18" x14ac:dyDescent="0.25">
      <c r="A2606" s="170">
        <v>45842</v>
      </c>
      <c r="B2606" s="116">
        <v>160.69999999999999</v>
      </c>
      <c r="C2606" s="116">
        <v>159.35</v>
      </c>
      <c r="D2606" s="116">
        <v>157.5</v>
      </c>
      <c r="E2606" s="116">
        <v>157.55000000000001</v>
      </c>
      <c r="F2606" s="116">
        <v>159.35</v>
      </c>
      <c r="G2606">
        <v>190740</v>
      </c>
      <c r="H2606" s="116"/>
      <c r="I2606" s="116"/>
      <c r="L2606" s="170">
        <v>45841</v>
      </c>
      <c r="M2606" s="116">
        <v>815.1</v>
      </c>
      <c r="N2606" s="116">
        <v>817.9</v>
      </c>
      <c r="O2606" s="116">
        <v>809.65</v>
      </c>
      <c r="P2606" s="116">
        <v>812.05</v>
      </c>
      <c r="Q2606" s="116">
        <v>815.1</v>
      </c>
      <c r="R2606">
        <v>333733</v>
      </c>
    </row>
    <row r="2607" spans="1:18" x14ac:dyDescent="0.25">
      <c r="A2607" s="170">
        <v>45845</v>
      </c>
      <c r="B2607" s="116">
        <v>163.30000000000001</v>
      </c>
      <c r="C2607" s="116">
        <v>160.44999999999999</v>
      </c>
      <c r="D2607" s="116">
        <v>156.9</v>
      </c>
      <c r="E2607" s="116">
        <v>159.35</v>
      </c>
      <c r="F2607" s="116">
        <v>160.44999999999999</v>
      </c>
      <c r="G2607">
        <v>167954</v>
      </c>
      <c r="H2607" s="116"/>
      <c r="I2607" s="116"/>
      <c r="L2607" s="170">
        <v>45842</v>
      </c>
      <c r="M2607" s="116">
        <v>817.3</v>
      </c>
      <c r="N2607" s="116">
        <v>821</v>
      </c>
      <c r="O2607" s="116">
        <v>810.2</v>
      </c>
      <c r="P2607" s="116">
        <v>817</v>
      </c>
      <c r="Q2607" s="116">
        <v>817.3</v>
      </c>
      <c r="R2607">
        <v>335965</v>
      </c>
    </row>
    <row r="2608" spans="1:18" x14ac:dyDescent="0.25">
      <c r="A2608" s="170">
        <v>45846</v>
      </c>
      <c r="B2608" s="116">
        <v>160.65</v>
      </c>
      <c r="C2608" s="116">
        <v>158.69999999999999</v>
      </c>
      <c r="D2608" s="116">
        <v>156.75</v>
      </c>
      <c r="E2608" s="116">
        <v>160.65</v>
      </c>
      <c r="F2608" s="116">
        <v>158.69999999999999</v>
      </c>
      <c r="G2608">
        <v>147850</v>
      </c>
      <c r="H2608" s="116"/>
      <c r="I2608" s="116"/>
      <c r="L2608" s="170">
        <v>45845</v>
      </c>
      <c r="M2608" s="116">
        <v>820.3</v>
      </c>
      <c r="N2608" s="116">
        <v>822</v>
      </c>
      <c r="O2608" s="116">
        <v>812</v>
      </c>
      <c r="P2608" s="116">
        <v>815</v>
      </c>
      <c r="Q2608" s="116">
        <v>820.3</v>
      </c>
      <c r="R2608">
        <v>193965</v>
      </c>
    </row>
    <row r="2609" spans="1:18" x14ac:dyDescent="0.25">
      <c r="A2609" s="170">
        <v>45847</v>
      </c>
      <c r="B2609" s="116">
        <v>164.5</v>
      </c>
      <c r="C2609" s="116">
        <v>162.15</v>
      </c>
      <c r="D2609" s="116">
        <v>158.05000000000001</v>
      </c>
      <c r="E2609" s="116">
        <v>159.65</v>
      </c>
      <c r="F2609" s="116">
        <v>162.15</v>
      </c>
      <c r="G2609">
        <v>227556</v>
      </c>
      <c r="H2609" s="116"/>
      <c r="I2609" s="116"/>
      <c r="L2609" s="170">
        <v>45846</v>
      </c>
      <c r="M2609" s="116">
        <v>815</v>
      </c>
      <c r="N2609" s="116">
        <v>822</v>
      </c>
      <c r="O2609" s="116">
        <v>811.3</v>
      </c>
      <c r="P2609" s="116">
        <v>820</v>
      </c>
      <c r="Q2609" s="116">
        <v>815</v>
      </c>
      <c r="R2609">
        <v>261036</v>
      </c>
    </row>
    <row r="2610" spans="1:18" x14ac:dyDescent="0.25">
      <c r="A2610" s="170">
        <v>45848</v>
      </c>
      <c r="B2610" s="116">
        <v>164.4</v>
      </c>
      <c r="C2610" s="116">
        <v>155.94999999999999</v>
      </c>
      <c r="D2610" s="116">
        <v>153.55000000000001</v>
      </c>
      <c r="E2610" s="116">
        <v>163.75</v>
      </c>
      <c r="F2610" s="116">
        <v>155.94999999999999</v>
      </c>
      <c r="G2610">
        <v>157273</v>
      </c>
      <c r="H2610" s="116"/>
      <c r="I2610" s="116"/>
      <c r="L2610" s="170">
        <v>45847</v>
      </c>
      <c r="M2610" s="116">
        <v>823</v>
      </c>
      <c r="N2610" s="116">
        <v>825</v>
      </c>
      <c r="O2610" s="116">
        <v>813.45</v>
      </c>
      <c r="P2610" s="116">
        <v>815.75</v>
      </c>
      <c r="Q2610" s="116">
        <v>823</v>
      </c>
      <c r="R2610">
        <v>596214</v>
      </c>
    </row>
    <row r="2611" spans="1:18" x14ac:dyDescent="0.25">
      <c r="A2611" s="170">
        <v>45849</v>
      </c>
      <c r="B2611" s="116">
        <v>157.55000000000001</v>
      </c>
      <c r="C2611" s="116">
        <v>154.85</v>
      </c>
      <c r="D2611" s="116">
        <v>154.1</v>
      </c>
      <c r="E2611" s="116">
        <v>156.05000000000001</v>
      </c>
      <c r="F2611" s="116">
        <v>154.85</v>
      </c>
      <c r="G2611">
        <v>72969</v>
      </c>
      <c r="H2611" s="116"/>
      <c r="I2611" s="116"/>
      <c r="L2611" s="170">
        <v>45848</v>
      </c>
      <c r="M2611" s="116">
        <v>800.6</v>
      </c>
      <c r="N2611" s="116">
        <v>826.65</v>
      </c>
      <c r="O2611" s="116">
        <v>797.1</v>
      </c>
      <c r="P2611" s="116">
        <v>826</v>
      </c>
      <c r="Q2611" s="116">
        <v>800.6</v>
      </c>
      <c r="R2611">
        <v>315600</v>
      </c>
    </row>
    <row r="2612" spans="1:18" x14ac:dyDescent="0.25">
      <c r="A2612" s="170">
        <v>45852</v>
      </c>
      <c r="B2612" s="116">
        <v>156.44999999999999</v>
      </c>
      <c r="C2612" s="116">
        <v>156.1</v>
      </c>
      <c r="D2612" s="116">
        <v>151.65</v>
      </c>
      <c r="E2612" s="116">
        <v>156.19999999999999</v>
      </c>
      <c r="F2612" s="116">
        <v>156.1</v>
      </c>
      <c r="G2612">
        <v>82497</v>
      </c>
      <c r="H2612" s="116"/>
      <c r="I2612" s="116"/>
      <c r="L2612" s="170">
        <v>45849</v>
      </c>
      <c r="M2612" s="116">
        <v>794.3</v>
      </c>
      <c r="N2612" s="116">
        <v>804.35</v>
      </c>
      <c r="O2612" s="116">
        <v>789.25</v>
      </c>
      <c r="P2612" s="116">
        <v>791.1</v>
      </c>
      <c r="Q2612" s="116">
        <v>794.3</v>
      </c>
      <c r="R2612">
        <v>107314</v>
      </c>
    </row>
    <row r="2613" spans="1:18" x14ac:dyDescent="0.25">
      <c r="A2613" s="170">
        <v>45853</v>
      </c>
      <c r="B2613" s="116">
        <v>157.65</v>
      </c>
      <c r="C2613" s="116">
        <v>155.44999999999999</v>
      </c>
      <c r="D2613" s="116">
        <v>154.80000000000001</v>
      </c>
      <c r="E2613" s="116">
        <v>155.05000000000001</v>
      </c>
      <c r="F2613" s="116">
        <v>155.44999999999999</v>
      </c>
      <c r="G2613">
        <v>173999</v>
      </c>
      <c r="H2613" s="116"/>
      <c r="I2613" s="116"/>
      <c r="L2613" s="170">
        <v>45852</v>
      </c>
      <c r="M2613" s="116">
        <v>797.15</v>
      </c>
      <c r="N2613" s="116">
        <v>801.85</v>
      </c>
      <c r="O2613" s="116">
        <v>789.25</v>
      </c>
      <c r="P2613" s="116">
        <v>789.25</v>
      </c>
      <c r="Q2613" s="116">
        <v>797.15</v>
      </c>
      <c r="R2613">
        <v>94599</v>
      </c>
    </row>
    <row r="2614" spans="1:18" x14ac:dyDescent="0.25">
      <c r="A2614" s="170">
        <v>45854</v>
      </c>
      <c r="B2614" s="116">
        <v>155.6</v>
      </c>
      <c r="C2614" s="116">
        <v>153.85</v>
      </c>
      <c r="D2614" s="116">
        <v>153.55000000000001</v>
      </c>
      <c r="E2614" s="116">
        <v>154.94999999999999</v>
      </c>
      <c r="F2614" s="116">
        <v>153.85</v>
      </c>
      <c r="G2614">
        <v>71911</v>
      </c>
      <c r="H2614" s="116"/>
      <c r="I2614" s="116"/>
      <c r="L2614" s="170">
        <v>45853</v>
      </c>
      <c r="M2614" s="116">
        <v>796.95</v>
      </c>
      <c r="N2614" s="116">
        <v>806.3</v>
      </c>
      <c r="O2614" s="116">
        <v>796</v>
      </c>
      <c r="P2614" s="116">
        <v>797.15</v>
      </c>
      <c r="Q2614" s="116">
        <v>796.95</v>
      </c>
      <c r="R2614">
        <v>59825</v>
      </c>
    </row>
    <row r="2615" spans="1:18" x14ac:dyDescent="0.25">
      <c r="A2615" s="170">
        <v>45855</v>
      </c>
      <c r="B2615" s="116">
        <v>155.80000000000001</v>
      </c>
      <c r="C2615" s="116">
        <v>153.1</v>
      </c>
      <c r="D2615" s="116">
        <v>152.4</v>
      </c>
      <c r="E2615" s="116">
        <v>152.4</v>
      </c>
      <c r="F2615" s="116">
        <v>153.1</v>
      </c>
      <c r="G2615">
        <v>140424</v>
      </c>
      <c r="H2615" s="116"/>
      <c r="I2615" s="116"/>
      <c r="L2615" s="170">
        <v>45854</v>
      </c>
      <c r="M2615" s="116">
        <v>811.6</v>
      </c>
      <c r="N2615" s="116">
        <v>814.2</v>
      </c>
      <c r="O2615" s="116">
        <v>792.4</v>
      </c>
      <c r="P2615" s="116">
        <v>799.95</v>
      </c>
      <c r="Q2615" s="116">
        <v>811.6</v>
      </c>
      <c r="R2615">
        <v>166647</v>
      </c>
    </row>
    <row r="2616" spans="1:18" x14ac:dyDescent="0.25">
      <c r="A2616" s="170">
        <v>45856</v>
      </c>
      <c r="B2616" s="116">
        <v>154.25</v>
      </c>
      <c r="C2616" s="116">
        <v>151.19999999999999</v>
      </c>
      <c r="D2616" s="116">
        <v>150.25</v>
      </c>
      <c r="E2616" s="116">
        <v>152.85</v>
      </c>
      <c r="F2616" s="116">
        <v>151.19999999999999</v>
      </c>
      <c r="G2616">
        <v>63068</v>
      </c>
      <c r="H2616" s="116"/>
      <c r="I2616" s="116"/>
      <c r="L2616" s="170">
        <v>45855</v>
      </c>
      <c r="M2616" s="116">
        <v>818.7</v>
      </c>
      <c r="N2616" s="116">
        <v>823.9</v>
      </c>
      <c r="O2616" s="116">
        <v>807.25</v>
      </c>
      <c r="P2616" s="116">
        <v>815</v>
      </c>
      <c r="Q2616" s="116">
        <v>818.7</v>
      </c>
      <c r="R2616">
        <v>177827</v>
      </c>
    </row>
    <row r="2617" spans="1:18" x14ac:dyDescent="0.25">
      <c r="A2617" s="170">
        <v>45859</v>
      </c>
      <c r="B2617" s="116">
        <v>151.35</v>
      </c>
      <c r="C2617" s="116">
        <v>144.9</v>
      </c>
      <c r="D2617" s="116">
        <v>143.1</v>
      </c>
      <c r="E2617" s="116">
        <v>150.80000000000001</v>
      </c>
      <c r="F2617" s="116">
        <v>144.9</v>
      </c>
      <c r="G2617">
        <v>370467</v>
      </c>
      <c r="H2617" s="116"/>
      <c r="I2617" s="116"/>
      <c r="L2617" s="170">
        <v>45856</v>
      </c>
      <c r="M2617" s="116">
        <v>817</v>
      </c>
      <c r="N2617" s="116">
        <v>821</v>
      </c>
      <c r="O2617" s="116">
        <v>806</v>
      </c>
      <c r="P2617" s="116">
        <v>818.7</v>
      </c>
      <c r="Q2617" s="116">
        <v>817</v>
      </c>
      <c r="R2617">
        <v>130960</v>
      </c>
    </row>
    <row r="2618" spans="1:18" x14ac:dyDescent="0.25">
      <c r="A2618" s="170">
        <v>45860</v>
      </c>
      <c r="B2618" s="116">
        <v>150.05000000000001</v>
      </c>
      <c r="C2618" s="116">
        <v>147.80000000000001</v>
      </c>
      <c r="D2618" s="116">
        <v>145.19999999999999</v>
      </c>
      <c r="E2618" s="116">
        <v>145.19999999999999</v>
      </c>
      <c r="F2618" s="116">
        <v>147.80000000000001</v>
      </c>
      <c r="G2618">
        <v>247314</v>
      </c>
      <c r="H2618" s="116"/>
      <c r="I2618" s="116"/>
      <c r="L2618" s="170">
        <v>45859</v>
      </c>
      <c r="M2618" s="116">
        <v>813</v>
      </c>
      <c r="N2618" s="116">
        <v>814.75</v>
      </c>
      <c r="O2618" s="116">
        <v>800.6</v>
      </c>
      <c r="P2618" s="116">
        <v>810</v>
      </c>
      <c r="Q2618" s="116">
        <v>813</v>
      </c>
      <c r="R2618">
        <v>144530</v>
      </c>
    </row>
    <row r="2619" spans="1:18" x14ac:dyDescent="0.25">
      <c r="A2619" s="170">
        <v>45861</v>
      </c>
      <c r="B2619" s="116">
        <v>149.05000000000001</v>
      </c>
      <c r="C2619" s="116">
        <v>144.69999999999999</v>
      </c>
      <c r="D2619" s="116">
        <v>143.6</v>
      </c>
      <c r="E2619" s="116">
        <v>149.05000000000001</v>
      </c>
      <c r="F2619" s="116">
        <v>144.69999999999999</v>
      </c>
      <c r="G2619">
        <v>170720</v>
      </c>
      <c r="H2619" s="116"/>
      <c r="I2619" s="116"/>
      <c r="L2619" s="170">
        <v>45860</v>
      </c>
      <c r="M2619" s="116">
        <v>798.6</v>
      </c>
      <c r="N2619" s="116">
        <v>822</v>
      </c>
      <c r="O2619" s="116">
        <v>794</v>
      </c>
      <c r="P2619" s="116">
        <v>815</v>
      </c>
      <c r="Q2619" s="116">
        <v>798.6</v>
      </c>
      <c r="R2619">
        <v>283702</v>
      </c>
    </row>
    <row r="2620" spans="1:18" x14ac:dyDescent="0.25">
      <c r="A2620" s="170">
        <v>45862</v>
      </c>
      <c r="B2620" s="116">
        <v>148.35</v>
      </c>
      <c r="C2620" s="116">
        <v>147.15</v>
      </c>
      <c r="D2620" s="116">
        <v>144.25</v>
      </c>
      <c r="E2620" s="116">
        <v>144.35</v>
      </c>
      <c r="F2620" s="116">
        <v>147.15</v>
      </c>
      <c r="G2620">
        <v>99692</v>
      </c>
      <c r="H2620" s="116"/>
      <c r="I2620" s="116"/>
      <c r="L2620" s="170">
        <v>45861</v>
      </c>
      <c r="M2620" s="116">
        <v>787.4</v>
      </c>
      <c r="N2620" s="116">
        <v>799.9</v>
      </c>
      <c r="O2620" s="116">
        <v>786.1</v>
      </c>
      <c r="P2620" s="116">
        <v>799.9</v>
      </c>
      <c r="Q2620" s="116">
        <v>787.4</v>
      </c>
      <c r="R2620">
        <v>146623</v>
      </c>
    </row>
    <row r="2621" spans="1:18" x14ac:dyDescent="0.25">
      <c r="A2621" s="170">
        <v>45863</v>
      </c>
      <c r="B2621" s="116">
        <v>146.75</v>
      </c>
      <c r="C2621" s="116">
        <v>135.94999999999999</v>
      </c>
      <c r="D2621" s="116">
        <v>135.25</v>
      </c>
      <c r="E2621" s="116">
        <v>146.75</v>
      </c>
      <c r="F2621" s="116">
        <v>135.94999999999999</v>
      </c>
      <c r="G2621">
        <v>334899</v>
      </c>
      <c r="H2621" s="116"/>
      <c r="I2621" s="116"/>
      <c r="L2621" s="170">
        <v>45862</v>
      </c>
      <c r="M2621" s="116">
        <v>772.4</v>
      </c>
      <c r="N2621" s="116">
        <v>790.45</v>
      </c>
      <c r="O2621" s="116">
        <v>768</v>
      </c>
      <c r="P2621" s="116">
        <v>787.1</v>
      </c>
      <c r="Q2621" s="116">
        <v>772.4</v>
      </c>
      <c r="R2621">
        <v>238154</v>
      </c>
    </row>
    <row r="2622" spans="1:18" x14ac:dyDescent="0.25">
      <c r="A2622" s="170">
        <v>45866</v>
      </c>
      <c r="B2622" s="116">
        <v>134.19999999999999</v>
      </c>
      <c r="C2622" s="116">
        <v>129.94999999999999</v>
      </c>
      <c r="D2622" s="116">
        <v>128.5</v>
      </c>
      <c r="E2622" s="116">
        <v>132.55000000000001</v>
      </c>
      <c r="F2622" s="116">
        <v>129.94999999999999</v>
      </c>
      <c r="G2622">
        <v>252834</v>
      </c>
      <c r="H2622" s="116"/>
      <c r="I2622" s="116"/>
      <c r="L2622" s="170">
        <v>45863</v>
      </c>
      <c r="M2622" s="116">
        <v>774.6</v>
      </c>
      <c r="N2622" s="116">
        <v>781.65</v>
      </c>
      <c r="O2622" s="116">
        <v>769.3</v>
      </c>
      <c r="P2622" s="116">
        <v>772.4</v>
      </c>
      <c r="Q2622" s="116">
        <v>774.6</v>
      </c>
      <c r="R2622">
        <v>265897</v>
      </c>
    </row>
    <row r="2623" spans="1:18" x14ac:dyDescent="0.25">
      <c r="A2623" s="170">
        <v>45867</v>
      </c>
      <c r="B2623" s="116">
        <v>133.94999999999999</v>
      </c>
      <c r="C2623" s="116">
        <v>132.80000000000001</v>
      </c>
      <c r="D2623" s="116">
        <v>127.8</v>
      </c>
      <c r="E2623" s="116">
        <v>128.94999999999999</v>
      </c>
      <c r="F2623" s="116">
        <v>132.80000000000001</v>
      </c>
      <c r="G2623">
        <v>104839</v>
      </c>
      <c r="H2623" s="116"/>
      <c r="I2623" s="116"/>
      <c r="L2623" s="170">
        <v>45866</v>
      </c>
      <c r="M2623" s="116">
        <v>764.65</v>
      </c>
      <c r="N2623" s="116">
        <v>775.95</v>
      </c>
      <c r="O2623" s="116">
        <v>751.1</v>
      </c>
      <c r="P2623" s="116">
        <v>774.3</v>
      </c>
      <c r="Q2623" s="116">
        <v>764.65</v>
      </c>
      <c r="R2623">
        <v>164046</v>
      </c>
    </row>
    <row r="2624" spans="1:18" x14ac:dyDescent="0.25">
      <c r="A2624" s="170">
        <v>45868</v>
      </c>
      <c r="B2624" s="116">
        <v>134.75</v>
      </c>
      <c r="C2624" s="116">
        <v>131.65</v>
      </c>
      <c r="D2624" s="116">
        <v>130.25</v>
      </c>
      <c r="E2624" s="116">
        <v>131.25</v>
      </c>
      <c r="F2624" s="116">
        <v>131.65</v>
      </c>
      <c r="G2624">
        <v>151222</v>
      </c>
      <c r="H2624" s="116"/>
      <c r="I2624" s="116"/>
      <c r="L2624" s="170">
        <v>45867</v>
      </c>
      <c r="M2624" s="116">
        <v>748.2</v>
      </c>
      <c r="N2624" s="116">
        <v>764.4</v>
      </c>
      <c r="O2624" s="116">
        <v>744.4</v>
      </c>
      <c r="P2624" s="116">
        <v>764</v>
      </c>
      <c r="Q2624" s="116">
        <v>748.2</v>
      </c>
      <c r="R2624">
        <v>277566</v>
      </c>
    </row>
    <row r="2625" spans="1:18" x14ac:dyDescent="0.25">
      <c r="A2625" s="170">
        <v>45869</v>
      </c>
      <c r="B2625" s="116">
        <v>130.6</v>
      </c>
      <c r="C2625" s="116">
        <v>127.55</v>
      </c>
      <c r="D2625" s="116">
        <v>126.6</v>
      </c>
      <c r="E2625" s="116">
        <v>129.65</v>
      </c>
      <c r="F2625" s="116">
        <v>127.55</v>
      </c>
      <c r="G2625">
        <v>85757</v>
      </c>
      <c r="H2625" s="116"/>
      <c r="I2625" s="116"/>
      <c r="L2625" s="170">
        <v>45868</v>
      </c>
      <c r="M2625" s="116">
        <v>739.05</v>
      </c>
      <c r="N2625" s="116">
        <v>759.9</v>
      </c>
      <c r="O2625" s="116">
        <v>737.3</v>
      </c>
      <c r="P2625" s="116">
        <v>759.9</v>
      </c>
      <c r="Q2625" s="116">
        <v>739.05</v>
      </c>
      <c r="R2625">
        <v>382664</v>
      </c>
    </row>
    <row r="2626" spans="1:18" x14ac:dyDescent="0.25">
      <c r="A2626" s="170">
        <v>45870</v>
      </c>
      <c r="B2626" s="116">
        <v>129.65</v>
      </c>
      <c r="C2626" s="116">
        <v>127.75</v>
      </c>
      <c r="D2626" s="116">
        <v>127.1</v>
      </c>
      <c r="E2626" s="116">
        <v>127.15</v>
      </c>
      <c r="F2626" s="116">
        <v>127.75</v>
      </c>
      <c r="G2626">
        <v>150800</v>
      </c>
      <c r="H2626" s="116"/>
      <c r="I2626" s="116"/>
      <c r="L2626" s="170">
        <v>45869</v>
      </c>
      <c r="M2626" s="116">
        <v>751.95</v>
      </c>
      <c r="N2626" s="116">
        <v>757.25</v>
      </c>
      <c r="O2626" s="116">
        <v>727.5</v>
      </c>
      <c r="P2626" s="116">
        <v>739</v>
      </c>
      <c r="Q2626" s="116">
        <v>751.95</v>
      </c>
      <c r="R2626">
        <v>716582</v>
      </c>
    </row>
    <row r="2627" spans="1:18" x14ac:dyDescent="0.25">
      <c r="A2627" s="170">
        <v>45873</v>
      </c>
      <c r="B2627" s="116">
        <v>132</v>
      </c>
      <c r="C2627" s="116">
        <v>130.65</v>
      </c>
      <c r="D2627" s="116">
        <v>125.5</v>
      </c>
      <c r="E2627" s="116">
        <v>130.65</v>
      </c>
      <c r="F2627" s="116">
        <v>130.65</v>
      </c>
      <c r="G2627">
        <v>64916</v>
      </c>
      <c r="H2627" s="116"/>
      <c r="I2627" s="116"/>
      <c r="L2627" s="170">
        <v>45870</v>
      </c>
      <c r="M2627" s="116">
        <v>740.35</v>
      </c>
      <c r="N2627" s="116">
        <v>756.45</v>
      </c>
      <c r="O2627" s="116">
        <v>737.05</v>
      </c>
      <c r="P2627" s="116">
        <v>751.95</v>
      </c>
      <c r="Q2627" s="116">
        <v>740.35</v>
      </c>
      <c r="R2627">
        <v>191651</v>
      </c>
    </row>
    <row r="2628" spans="1:18" x14ac:dyDescent="0.25">
      <c r="A2628" s="170">
        <v>45874</v>
      </c>
      <c r="B2628" s="116">
        <v>132.55000000000001</v>
      </c>
      <c r="C2628" s="116">
        <v>129.44999999999999</v>
      </c>
      <c r="D2628" s="116">
        <v>129</v>
      </c>
      <c r="E2628" s="116">
        <v>131.6</v>
      </c>
      <c r="F2628" s="116">
        <v>129.44999999999999</v>
      </c>
      <c r="G2628">
        <v>40849</v>
      </c>
      <c r="H2628" s="116"/>
      <c r="I2628" s="116"/>
      <c r="L2628" s="170">
        <v>45873</v>
      </c>
      <c r="M2628" s="116">
        <v>757.2</v>
      </c>
      <c r="N2628" s="116">
        <v>758</v>
      </c>
      <c r="O2628" s="116">
        <v>735.75</v>
      </c>
      <c r="P2628" s="116">
        <v>744</v>
      </c>
      <c r="Q2628" s="116">
        <v>757.2</v>
      </c>
      <c r="R2628">
        <v>82441</v>
      </c>
    </row>
    <row r="2629" spans="1:18" x14ac:dyDescent="0.25">
      <c r="A2629" s="170">
        <v>45875</v>
      </c>
      <c r="B2629" s="116">
        <v>131.15</v>
      </c>
      <c r="C2629" s="116">
        <v>126.4</v>
      </c>
      <c r="D2629" s="116">
        <v>125.7</v>
      </c>
      <c r="E2629" s="116">
        <v>129.15</v>
      </c>
      <c r="F2629" s="116">
        <v>126.4</v>
      </c>
      <c r="G2629">
        <v>41069</v>
      </c>
      <c r="H2629" s="116"/>
      <c r="I2629" s="116"/>
      <c r="L2629" s="170">
        <v>45874</v>
      </c>
      <c r="M2629" s="116">
        <v>756.95</v>
      </c>
      <c r="N2629" s="116">
        <v>764.9</v>
      </c>
      <c r="O2629" s="116">
        <v>746.55</v>
      </c>
      <c r="P2629" s="116">
        <v>757.3</v>
      </c>
      <c r="Q2629" s="116">
        <v>756.95</v>
      </c>
      <c r="R2629">
        <v>115005</v>
      </c>
    </row>
    <row r="2630" spans="1:18" x14ac:dyDescent="0.25">
      <c r="A2630" s="170">
        <v>45876</v>
      </c>
      <c r="B2630" s="116">
        <v>130.19999999999999</v>
      </c>
      <c r="C2630" s="116">
        <v>129</v>
      </c>
      <c r="D2630" s="116">
        <v>123.35</v>
      </c>
      <c r="E2630" s="116">
        <v>125.85</v>
      </c>
      <c r="F2630" s="116">
        <v>129</v>
      </c>
      <c r="G2630">
        <v>221692</v>
      </c>
      <c r="H2630" s="116"/>
      <c r="I2630" s="116"/>
      <c r="L2630" s="170">
        <v>45875</v>
      </c>
      <c r="M2630" s="116">
        <v>744.3</v>
      </c>
      <c r="N2630" s="116">
        <v>757.5</v>
      </c>
      <c r="O2630" s="116">
        <v>742.1</v>
      </c>
      <c r="P2630" s="116">
        <v>754.85</v>
      </c>
      <c r="Q2630" s="116">
        <v>744.3</v>
      </c>
      <c r="R2630">
        <v>58920</v>
      </c>
    </row>
    <row r="2631" spans="1:18" x14ac:dyDescent="0.25">
      <c r="A2631" s="170">
        <v>45877</v>
      </c>
      <c r="B2631" s="116">
        <v>130.25</v>
      </c>
      <c r="C2631" s="116">
        <v>125.4</v>
      </c>
      <c r="D2631" s="116">
        <v>125</v>
      </c>
      <c r="E2631" s="116">
        <v>129.05000000000001</v>
      </c>
      <c r="F2631" s="116">
        <v>125.4</v>
      </c>
      <c r="G2631">
        <v>150731</v>
      </c>
      <c r="H2631" s="116"/>
      <c r="I2631" s="116"/>
      <c r="L2631" s="170">
        <v>45876</v>
      </c>
      <c r="M2631" s="116">
        <v>741.95</v>
      </c>
      <c r="N2631" s="116">
        <v>745.15</v>
      </c>
      <c r="O2631" s="116">
        <v>735.9</v>
      </c>
      <c r="P2631" s="116">
        <v>744.3</v>
      </c>
      <c r="Q2631" s="116">
        <v>741.95</v>
      </c>
      <c r="R2631">
        <v>147204</v>
      </c>
    </row>
    <row r="2632" spans="1:18" x14ac:dyDescent="0.25">
      <c r="A2632" s="170">
        <v>45880</v>
      </c>
      <c r="B2632" s="116">
        <v>129.15</v>
      </c>
      <c r="C2632" s="116">
        <v>128</v>
      </c>
      <c r="D2632" s="116">
        <v>123.5</v>
      </c>
      <c r="E2632" s="116">
        <v>125.35</v>
      </c>
      <c r="F2632" s="116">
        <v>128</v>
      </c>
      <c r="G2632">
        <v>188920</v>
      </c>
      <c r="H2632" s="116"/>
      <c r="I2632" s="116"/>
      <c r="L2632" s="170">
        <v>45877</v>
      </c>
      <c r="M2632" s="116">
        <v>743.65</v>
      </c>
      <c r="N2632" s="116">
        <v>753.85</v>
      </c>
      <c r="O2632" s="116">
        <v>732.15</v>
      </c>
      <c r="P2632" s="116">
        <v>740.85</v>
      </c>
      <c r="Q2632" s="116">
        <v>743.65</v>
      </c>
      <c r="R2632">
        <v>79781</v>
      </c>
    </row>
    <row r="2633" spans="1:18" x14ac:dyDescent="0.25">
      <c r="A2633" s="170">
        <v>45881</v>
      </c>
      <c r="B2633" s="116">
        <v>135.94999999999999</v>
      </c>
      <c r="C2633" s="116">
        <v>135</v>
      </c>
      <c r="D2633" s="116">
        <v>128</v>
      </c>
      <c r="E2633" s="116">
        <v>129.69999999999999</v>
      </c>
      <c r="F2633" s="116">
        <v>135</v>
      </c>
      <c r="G2633">
        <v>282854</v>
      </c>
      <c r="H2633" s="116"/>
      <c r="I2633" s="116"/>
      <c r="L2633" s="170">
        <v>45880</v>
      </c>
      <c r="M2633" s="116">
        <v>753.95</v>
      </c>
      <c r="N2633" s="116">
        <v>756.95</v>
      </c>
      <c r="O2633" s="116">
        <v>740.25</v>
      </c>
      <c r="P2633" s="116">
        <v>742.55</v>
      </c>
      <c r="Q2633" s="116">
        <v>753.95</v>
      </c>
      <c r="R2633">
        <v>515783</v>
      </c>
    </row>
    <row r="2634" spans="1:18" x14ac:dyDescent="0.25">
      <c r="A2634" s="170">
        <v>45882</v>
      </c>
      <c r="B2634" s="116">
        <v>136.44999999999999</v>
      </c>
      <c r="C2634" s="116">
        <v>133.6</v>
      </c>
      <c r="D2634" s="116">
        <v>132.6</v>
      </c>
      <c r="E2634" s="116">
        <v>136.19999999999999</v>
      </c>
      <c r="F2634" s="116">
        <v>133.6</v>
      </c>
      <c r="G2634">
        <v>104748</v>
      </c>
      <c r="H2634" s="116"/>
      <c r="I2634" s="116"/>
      <c r="L2634" s="170">
        <v>45881</v>
      </c>
      <c r="M2634" s="116">
        <v>742.95</v>
      </c>
      <c r="N2634" s="116">
        <v>754.65</v>
      </c>
      <c r="O2634" s="116">
        <v>738.9</v>
      </c>
      <c r="P2634" s="116">
        <v>753.8</v>
      </c>
      <c r="Q2634" s="116">
        <v>742.95</v>
      </c>
      <c r="R2634">
        <v>125462</v>
      </c>
    </row>
    <row r="2635" spans="1:18" x14ac:dyDescent="0.25">
      <c r="A2635" s="170">
        <v>45883</v>
      </c>
      <c r="B2635" s="116">
        <v>135</v>
      </c>
      <c r="C2635" s="116">
        <v>131.69999999999999</v>
      </c>
      <c r="D2635" s="116">
        <v>131</v>
      </c>
      <c r="E2635" s="116">
        <v>134.85</v>
      </c>
      <c r="F2635" s="116">
        <v>131.69999999999999</v>
      </c>
      <c r="G2635">
        <v>115170</v>
      </c>
      <c r="H2635" s="116"/>
      <c r="I2635" s="116"/>
      <c r="L2635" s="170">
        <v>45882</v>
      </c>
      <c r="M2635" s="116">
        <v>751.65</v>
      </c>
      <c r="N2635" s="116">
        <v>755.95</v>
      </c>
      <c r="O2635" s="116">
        <v>739.2</v>
      </c>
      <c r="P2635" s="116">
        <v>744.75</v>
      </c>
      <c r="Q2635" s="116">
        <v>751.65</v>
      </c>
      <c r="R2635">
        <v>94881</v>
      </c>
    </row>
    <row r="2636" spans="1:18" x14ac:dyDescent="0.25">
      <c r="A2636" s="170">
        <v>45887</v>
      </c>
      <c r="B2636" s="116">
        <v>135.30000000000001</v>
      </c>
      <c r="C2636" s="116">
        <v>132.94999999999999</v>
      </c>
      <c r="D2636" s="116">
        <v>132.15</v>
      </c>
      <c r="E2636" s="116">
        <v>133.65</v>
      </c>
      <c r="F2636" s="116">
        <v>132.94999999999999</v>
      </c>
      <c r="G2636">
        <v>54747</v>
      </c>
      <c r="H2636" s="116"/>
      <c r="I2636" s="116"/>
      <c r="L2636" s="170">
        <v>45883</v>
      </c>
      <c r="M2636" s="116">
        <v>758.95</v>
      </c>
      <c r="N2636" s="116">
        <v>763.95</v>
      </c>
      <c r="O2636" s="116">
        <v>745.2</v>
      </c>
      <c r="P2636" s="116">
        <v>745.2</v>
      </c>
      <c r="Q2636" s="116">
        <v>758.95</v>
      </c>
      <c r="R2636">
        <v>363612</v>
      </c>
    </row>
    <row r="2637" spans="1:18" x14ac:dyDescent="0.25">
      <c r="A2637" s="170">
        <v>45888</v>
      </c>
      <c r="B2637" s="116">
        <v>133.5</v>
      </c>
      <c r="C2637" s="116">
        <v>133</v>
      </c>
      <c r="D2637" s="116">
        <v>131.35</v>
      </c>
      <c r="E2637" s="116">
        <v>133.05000000000001</v>
      </c>
      <c r="F2637" s="116">
        <v>133</v>
      </c>
      <c r="G2637">
        <v>119401</v>
      </c>
      <c r="H2637" s="116"/>
      <c r="I2637" s="116"/>
      <c r="L2637" s="170">
        <v>45887</v>
      </c>
      <c r="M2637" s="116">
        <v>758.95</v>
      </c>
      <c r="N2637" s="116">
        <v>767</v>
      </c>
      <c r="O2637" s="116">
        <v>756.8</v>
      </c>
      <c r="P2637" s="116">
        <v>766</v>
      </c>
      <c r="Q2637" s="116">
        <v>758.95</v>
      </c>
      <c r="R2637">
        <v>143259</v>
      </c>
    </row>
    <row r="2638" spans="1:18" x14ac:dyDescent="0.25">
      <c r="A2638" s="170">
        <v>45889</v>
      </c>
      <c r="B2638" s="116">
        <v>140.4</v>
      </c>
      <c r="C2638" s="116">
        <v>139.75</v>
      </c>
      <c r="D2638" s="116">
        <v>132.69999999999999</v>
      </c>
      <c r="E2638" s="116">
        <v>133.15</v>
      </c>
      <c r="F2638" s="116">
        <v>139.75</v>
      </c>
      <c r="G2638">
        <v>316185</v>
      </c>
      <c r="H2638" s="116"/>
      <c r="I2638" s="116"/>
      <c r="L2638" s="170">
        <v>45888</v>
      </c>
      <c r="M2638" s="116">
        <v>768.1</v>
      </c>
      <c r="N2638" s="116">
        <v>769</v>
      </c>
      <c r="O2638" s="116">
        <v>755.45</v>
      </c>
      <c r="P2638" s="116">
        <v>758.95</v>
      </c>
      <c r="Q2638" s="116">
        <v>768.1</v>
      </c>
      <c r="R2638">
        <v>102197</v>
      </c>
    </row>
    <row r="2639" spans="1:18" x14ac:dyDescent="0.25">
      <c r="A2639" s="170">
        <v>45890</v>
      </c>
      <c r="B2639" s="116">
        <v>143.9</v>
      </c>
      <c r="C2639" s="116">
        <v>141.69999999999999</v>
      </c>
      <c r="D2639" s="116">
        <v>140.55000000000001</v>
      </c>
      <c r="E2639" s="116">
        <v>140.94999999999999</v>
      </c>
      <c r="F2639" s="116">
        <v>141.69999999999999</v>
      </c>
      <c r="G2639">
        <v>250311</v>
      </c>
      <c r="H2639" s="116"/>
      <c r="I2639" s="116"/>
      <c r="L2639" s="170">
        <v>45889</v>
      </c>
      <c r="M2639" s="116">
        <v>780.1</v>
      </c>
      <c r="N2639" s="116">
        <v>783.85</v>
      </c>
      <c r="O2639" s="116">
        <v>765.8</v>
      </c>
      <c r="P2639" s="116">
        <v>768.1</v>
      </c>
      <c r="Q2639" s="116">
        <v>780.1</v>
      </c>
      <c r="R2639">
        <v>988760</v>
      </c>
    </row>
    <row r="2640" spans="1:18" x14ac:dyDescent="0.25">
      <c r="A2640" s="170">
        <v>45891</v>
      </c>
      <c r="B2640" s="116">
        <v>150.5</v>
      </c>
      <c r="C2640" s="116">
        <v>149.1</v>
      </c>
      <c r="D2640" s="116">
        <v>138.05000000000001</v>
      </c>
      <c r="E2640" s="116">
        <v>142.4</v>
      </c>
      <c r="F2640" s="116">
        <v>149.1</v>
      </c>
      <c r="G2640">
        <v>325609</v>
      </c>
      <c r="H2640" s="116"/>
      <c r="I2640" s="116"/>
      <c r="L2640" s="170">
        <v>45890</v>
      </c>
      <c r="M2640" s="116">
        <v>782.1</v>
      </c>
      <c r="N2640" s="116">
        <v>789.9</v>
      </c>
      <c r="O2640" s="116">
        <v>777.05</v>
      </c>
      <c r="P2640" s="116">
        <v>787.95</v>
      </c>
      <c r="Q2640" s="116">
        <v>782.1</v>
      </c>
      <c r="R2640">
        <v>110420</v>
      </c>
    </row>
    <row r="2641" spans="1:18" x14ac:dyDescent="0.25">
      <c r="A2641" s="170">
        <v>45894</v>
      </c>
      <c r="B2641" s="116">
        <v>152.19999999999999</v>
      </c>
      <c r="C2641" s="116">
        <v>151</v>
      </c>
      <c r="D2641" s="116">
        <v>147.69999999999999</v>
      </c>
      <c r="E2641" s="116">
        <v>149.85</v>
      </c>
      <c r="F2641" s="116">
        <v>151</v>
      </c>
      <c r="G2641">
        <v>324841</v>
      </c>
      <c r="H2641" s="116"/>
      <c r="I2641" s="116"/>
      <c r="L2641" s="170">
        <v>45891</v>
      </c>
      <c r="M2641" s="116">
        <v>769.75</v>
      </c>
      <c r="N2641" s="116">
        <v>787.95</v>
      </c>
      <c r="O2641" s="116">
        <v>768.05</v>
      </c>
      <c r="P2641" s="116">
        <v>787.75</v>
      </c>
      <c r="Q2641" s="116">
        <v>769.75</v>
      </c>
      <c r="R2641">
        <v>85209</v>
      </c>
    </row>
    <row r="2642" spans="1:18" x14ac:dyDescent="0.25">
      <c r="A2642" s="170">
        <v>45895</v>
      </c>
      <c r="B2642" s="116">
        <v>153.80000000000001</v>
      </c>
      <c r="C2642" s="116">
        <v>148.15</v>
      </c>
      <c r="D2642" s="116">
        <v>146.44999999999999</v>
      </c>
      <c r="E2642" s="116">
        <v>151.80000000000001</v>
      </c>
      <c r="F2642" s="116">
        <v>148.15</v>
      </c>
      <c r="G2642">
        <v>339770</v>
      </c>
      <c r="H2642" s="116"/>
      <c r="I2642" s="116"/>
      <c r="L2642" s="170">
        <v>45894</v>
      </c>
      <c r="M2642" s="116">
        <v>767.15</v>
      </c>
      <c r="N2642" s="116">
        <v>772.35</v>
      </c>
      <c r="O2642" s="116">
        <v>762</v>
      </c>
      <c r="P2642" s="116">
        <v>770.9</v>
      </c>
      <c r="Q2642" s="116">
        <v>767.15</v>
      </c>
      <c r="R2642">
        <v>167084</v>
      </c>
    </row>
    <row r="2643" spans="1:18" x14ac:dyDescent="0.25">
      <c r="A2643" s="170">
        <v>45897</v>
      </c>
      <c r="B2643" s="116">
        <v>148.85</v>
      </c>
      <c r="C2643" s="116">
        <v>145.69999999999999</v>
      </c>
      <c r="D2643" s="116">
        <v>144</v>
      </c>
      <c r="E2643" s="116">
        <v>148.19999999999999</v>
      </c>
      <c r="F2643" s="116">
        <v>145.69999999999999</v>
      </c>
      <c r="G2643">
        <v>256507</v>
      </c>
      <c r="H2643" s="116"/>
      <c r="I2643" s="116"/>
      <c r="L2643" s="170">
        <v>45895</v>
      </c>
      <c r="M2643" s="116">
        <v>739.85</v>
      </c>
      <c r="N2643" s="116">
        <v>768.75</v>
      </c>
      <c r="O2643" s="116">
        <v>733</v>
      </c>
      <c r="P2643" s="116">
        <v>764.8</v>
      </c>
      <c r="Q2643" s="116">
        <v>739.85</v>
      </c>
      <c r="R2643">
        <v>294477</v>
      </c>
    </row>
    <row r="2644" spans="1:18" x14ac:dyDescent="0.25">
      <c r="A2644" s="170">
        <v>45898</v>
      </c>
      <c r="B2644" s="116">
        <v>153</v>
      </c>
      <c r="C2644" s="116">
        <v>149.69999999999999</v>
      </c>
      <c r="D2644" s="116">
        <v>143.55000000000001</v>
      </c>
      <c r="E2644" s="116">
        <v>144.85</v>
      </c>
      <c r="F2644" s="116">
        <v>149.69999999999999</v>
      </c>
      <c r="G2644">
        <v>426588</v>
      </c>
      <c r="H2644" s="116"/>
      <c r="I2644" s="116"/>
      <c r="L2644" s="170">
        <v>45897</v>
      </c>
      <c r="M2644" s="116">
        <v>725.65</v>
      </c>
      <c r="N2644" s="116">
        <v>745.95</v>
      </c>
      <c r="O2644" s="116">
        <v>724.3</v>
      </c>
      <c r="P2644" s="116">
        <v>739.85</v>
      </c>
      <c r="Q2644" s="116">
        <v>725.65</v>
      </c>
      <c r="R2644">
        <v>116881</v>
      </c>
    </row>
    <row r="2645" spans="1:18" x14ac:dyDescent="0.25">
      <c r="A2645" s="170">
        <v>45901</v>
      </c>
      <c r="B2645" s="116">
        <v>153.85</v>
      </c>
      <c r="C2645" s="116">
        <v>151</v>
      </c>
      <c r="D2645" s="116">
        <v>149.94999999999999</v>
      </c>
      <c r="E2645" s="116">
        <v>152.19999999999999</v>
      </c>
      <c r="F2645" s="116">
        <v>151</v>
      </c>
      <c r="G2645">
        <v>155829</v>
      </c>
      <c r="H2645" s="116"/>
      <c r="I2645" s="116"/>
      <c r="L2645" s="170">
        <v>45898</v>
      </c>
      <c r="M2645" s="116">
        <v>717.65</v>
      </c>
      <c r="N2645" s="116">
        <v>727.55</v>
      </c>
      <c r="O2645" s="116">
        <v>708.6</v>
      </c>
      <c r="P2645" s="116">
        <v>725</v>
      </c>
      <c r="Q2645" s="116">
        <v>717.65</v>
      </c>
      <c r="R2645">
        <v>180341</v>
      </c>
    </row>
    <row r="2646" spans="1:18" x14ac:dyDescent="0.25">
      <c r="A2646" s="170">
        <v>45902</v>
      </c>
      <c r="B2646" s="116">
        <v>156.19999999999999</v>
      </c>
      <c r="C2646" s="116">
        <v>154.5</v>
      </c>
      <c r="D2646" s="116">
        <v>150.69999999999999</v>
      </c>
      <c r="E2646" s="116">
        <v>151.44999999999999</v>
      </c>
      <c r="F2646" s="116">
        <v>154.5</v>
      </c>
      <c r="G2646">
        <v>348648</v>
      </c>
      <c r="H2646" s="116"/>
      <c r="I2646" s="116"/>
      <c r="L2646" s="170">
        <v>45901</v>
      </c>
      <c r="M2646" s="116">
        <v>719.9</v>
      </c>
      <c r="N2646" s="116">
        <v>725</v>
      </c>
      <c r="O2646" s="116">
        <v>715</v>
      </c>
      <c r="P2646" s="116">
        <v>717.65</v>
      </c>
      <c r="Q2646" s="116">
        <v>719.9</v>
      </c>
      <c r="R2646">
        <v>136681</v>
      </c>
    </row>
    <row r="2647" spans="1:18" x14ac:dyDescent="0.25">
      <c r="A2647" s="170">
        <v>45903</v>
      </c>
      <c r="B2647" s="116">
        <v>162.75</v>
      </c>
      <c r="C2647" s="116">
        <v>162.15</v>
      </c>
      <c r="D2647" s="116">
        <v>155.25</v>
      </c>
      <c r="E2647" s="116">
        <v>156.19999999999999</v>
      </c>
      <c r="F2647" s="116">
        <v>162.15</v>
      </c>
      <c r="G2647">
        <v>433626</v>
      </c>
      <c r="H2647" s="116"/>
      <c r="I2647" s="116"/>
      <c r="L2647" s="170">
        <v>45902</v>
      </c>
      <c r="M2647" s="116">
        <v>755.15</v>
      </c>
      <c r="N2647" s="116">
        <v>759.5</v>
      </c>
      <c r="O2647" s="116">
        <v>720.1</v>
      </c>
      <c r="P2647" s="116">
        <v>725.75</v>
      </c>
      <c r="Q2647" s="116">
        <v>755.15</v>
      </c>
      <c r="R2647">
        <v>220456</v>
      </c>
    </row>
    <row r="2648" spans="1:18" x14ac:dyDescent="0.25">
      <c r="A2648" s="170">
        <v>45904</v>
      </c>
      <c r="B2648" s="116">
        <v>164</v>
      </c>
      <c r="C2648" s="116">
        <v>158.69999999999999</v>
      </c>
      <c r="D2648" s="116">
        <v>157.55000000000001</v>
      </c>
      <c r="E2648" s="116">
        <v>163.9</v>
      </c>
      <c r="F2648" s="116">
        <v>158.69999999999999</v>
      </c>
      <c r="G2648">
        <v>501430</v>
      </c>
      <c r="H2648" s="116"/>
      <c r="I2648" s="116"/>
      <c r="L2648" s="170">
        <v>45903</v>
      </c>
      <c r="M2648" s="116">
        <v>764.65</v>
      </c>
      <c r="N2648" s="116">
        <v>769</v>
      </c>
      <c r="O2648" s="116">
        <v>751.55</v>
      </c>
      <c r="P2648" s="116">
        <v>753.1</v>
      </c>
      <c r="Q2648" s="116">
        <v>764.65</v>
      </c>
      <c r="R2648">
        <v>87410</v>
      </c>
    </row>
    <row r="2649" spans="1:18" x14ac:dyDescent="0.25">
      <c r="A2649" s="170">
        <v>45905</v>
      </c>
      <c r="B2649" s="116">
        <v>180.2</v>
      </c>
      <c r="C2649" s="116">
        <v>176.85</v>
      </c>
      <c r="D2649" s="116">
        <v>158.15</v>
      </c>
      <c r="E2649" s="116">
        <v>159</v>
      </c>
      <c r="F2649" s="116">
        <v>176.85</v>
      </c>
      <c r="G2649">
        <v>3541977</v>
      </c>
      <c r="H2649" s="116"/>
      <c r="I2649" s="116"/>
      <c r="L2649" s="170">
        <v>45904</v>
      </c>
      <c r="M2649" s="116">
        <v>756.35</v>
      </c>
      <c r="N2649" s="116">
        <v>774.95</v>
      </c>
      <c r="O2649" s="116">
        <v>751.55</v>
      </c>
      <c r="P2649" s="116">
        <v>768.45</v>
      </c>
      <c r="Q2649" s="116">
        <v>756.35</v>
      </c>
      <c r="R2649">
        <v>140967</v>
      </c>
    </row>
    <row r="2650" spans="1:18" x14ac:dyDescent="0.25">
      <c r="A2650" s="170">
        <v>45908</v>
      </c>
      <c r="B2650" s="116">
        <v>183</v>
      </c>
      <c r="C2650" s="116">
        <v>170.45</v>
      </c>
      <c r="D2650" s="116">
        <v>167.3</v>
      </c>
      <c r="E2650" s="116">
        <v>179.8</v>
      </c>
      <c r="F2650" s="116">
        <v>170.45</v>
      </c>
      <c r="G2650">
        <v>1031493</v>
      </c>
      <c r="H2650" s="116"/>
      <c r="I2650" s="116"/>
      <c r="L2650" s="170">
        <v>45905</v>
      </c>
      <c r="M2650" s="116">
        <v>754.55</v>
      </c>
      <c r="N2650" s="116">
        <v>764.9</v>
      </c>
      <c r="O2650" s="116">
        <v>742.4</v>
      </c>
      <c r="P2650" s="116">
        <v>757.6</v>
      </c>
      <c r="Q2650" s="116">
        <v>754.55</v>
      </c>
      <c r="R2650">
        <v>122464</v>
      </c>
    </row>
    <row r="2651" spans="1:18" x14ac:dyDescent="0.25">
      <c r="A2651" s="170">
        <v>45909</v>
      </c>
      <c r="B2651" s="116">
        <v>177.5</v>
      </c>
      <c r="C2651" s="116">
        <v>173.15</v>
      </c>
      <c r="D2651" s="116">
        <v>166.25</v>
      </c>
      <c r="E2651" s="116">
        <v>170.25</v>
      </c>
      <c r="F2651" s="116">
        <v>173.15</v>
      </c>
      <c r="G2651">
        <v>590744</v>
      </c>
      <c r="H2651" s="116"/>
      <c r="I2651" s="116"/>
      <c r="L2651" s="170">
        <v>45908</v>
      </c>
      <c r="M2651" s="116">
        <v>745.9</v>
      </c>
      <c r="N2651" s="116">
        <v>755.7</v>
      </c>
      <c r="O2651" s="116">
        <v>743.75</v>
      </c>
      <c r="P2651" s="116">
        <v>751.05</v>
      </c>
      <c r="Q2651" s="116">
        <v>745.9</v>
      </c>
      <c r="R2651">
        <v>51109</v>
      </c>
    </row>
    <row r="2652" spans="1:18" x14ac:dyDescent="0.25">
      <c r="A2652" s="170">
        <v>45910</v>
      </c>
      <c r="B2652" s="116">
        <v>175.8</v>
      </c>
      <c r="C2652" s="116">
        <v>169.75</v>
      </c>
      <c r="D2652" s="116">
        <v>168.4</v>
      </c>
      <c r="E2652" s="116">
        <v>173.9</v>
      </c>
      <c r="F2652" s="116">
        <v>169.75</v>
      </c>
      <c r="G2652">
        <v>339429</v>
      </c>
      <c r="H2652" s="116"/>
      <c r="I2652" s="116"/>
      <c r="L2652" s="170">
        <v>45909</v>
      </c>
      <c r="M2652" s="116">
        <v>742.65</v>
      </c>
      <c r="N2652" s="116">
        <v>750.75</v>
      </c>
      <c r="O2652" s="116">
        <v>738.75</v>
      </c>
      <c r="P2652" s="116">
        <v>747.8</v>
      </c>
      <c r="Q2652" s="116">
        <v>742.65</v>
      </c>
      <c r="R2652">
        <v>43379</v>
      </c>
    </row>
    <row r="2653" spans="1:18" x14ac:dyDescent="0.25">
      <c r="A2653" s="170">
        <v>45911</v>
      </c>
      <c r="B2653" s="116">
        <v>171.5</v>
      </c>
      <c r="C2653" s="116">
        <v>167.5</v>
      </c>
      <c r="D2653" s="116">
        <v>166.4</v>
      </c>
      <c r="E2653" s="116">
        <v>169.9</v>
      </c>
      <c r="F2653" s="116">
        <v>167.5</v>
      </c>
      <c r="G2653">
        <v>513890</v>
      </c>
      <c r="H2653" s="116"/>
      <c r="I2653" s="116"/>
      <c r="L2653" s="170">
        <v>45910</v>
      </c>
      <c r="M2653" s="116">
        <v>740.75</v>
      </c>
      <c r="N2653" s="116">
        <v>748.75</v>
      </c>
      <c r="O2653" s="116">
        <v>737.1</v>
      </c>
      <c r="P2653" s="116">
        <v>743</v>
      </c>
      <c r="Q2653" s="116">
        <v>740.75</v>
      </c>
      <c r="R2653">
        <v>55694</v>
      </c>
    </row>
    <row r="2654" spans="1:18" x14ac:dyDescent="0.25">
      <c r="A2654" s="170">
        <v>45912</v>
      </c>
      <c r="B2654" s="116">
        <v>177.55</v>
      </c>
      <c r="C2654" s="116">
        <v>174</v>
      </c>
      <c r="D2654" s="116">
        <v>166.25</v>
      </c>
      <c r="E2654" s="116">
        <v>166.25</v>
      </c>
      <c r="F2654" s="116">
        <v>174</v>
      </c>
      <c r="G2654">
        <v>530531</v>
      </c>
      <c r="H2654" s="116"/>
      <c r="I2654" s="116"/>
      <c r="L2654" s="170">
        <v>45911</v>
      </c>
      <c r="M2654" s="116">
        <v>740.85</v>
      </c>
      <c r="N2654" s="116">
        <v>741.85</v>
      </c>
      <c r="O2654" s="116">
        <v>735.2</v>
      </c>
      <c r="P2654" s="116">
        <v>740.3</v>
      </c>
      <c r="Q2654" s="116">
        <v>740.85</v>
      </c>
      <c r="R2654">
        <v>142703</v>
      </c>
    </row>
    <row r="2655" spans="1:18" x14ac:dyDescent="0.25">
      <c r="A2655" s="170">
        <v>45915</v>
      </c>
      <c r="B2655" s="116">
        <v>179</v>
      </c>
      <c r="C2655" s="116">
        <v>176.65</v>
      </c>
      <c r="D2655" s="116">
        <v>172.65</v>
      </c>
      <c r="E2655" s="116">
        <v>174.2</v>
      </c>
      <c r="F2655" s="116">
        <v>176.65</v>
      </c>
      <c r="G2655">
        <v>605595</v>
      </c>
      <c r="H2655" s="116"/>
      <c r="I2655" s="116"/>
      <c r="L2655" s="170">
        <v>45912</v>
      </c>
      <c r="M2655" s="116">
        <v>746.35</v>
      </c>
      <c r="N2655" s="116">
        <v>757.05</v>
      </c>
      <c r="O2655" s="116">
        <v>733</v>
      </c>
      <c r="P2655" s="116">
        <v>741</v>
      </c>
      <c r="Q2655" s="116">
        <v>746.35</v>
      </c>
      <c r="R2655">
        <v>132733</v>
      </c>
    </row>
    <row r="2656" spans="1:18" x14ac:dyDescent="0.25">
      <c r="A2656" s="170">
        <v>45916</v>
      </c>
      <c r="B2656" s="116">
        <v>178.2</v>
      </c>
      <c r="C2656" s="116">
        <v>176.9</v>
      </c>
      <c r="D2656" s="116">
        <v>173.65</v>
      </c>
      <c r="E2656" s="116">
        <v>176.95</v>
      </c>
      <c r="F2656" s="116">
        <v>176.9</v>
      </c>
      <c r="G2656">
        <v>423246</v>
      </c>
      <c r="H2656" s="116"/>
      <c r="I2656" s="116"/>
      <c r="L2656" s="170">
        <v>45915</v>
      </c>
      <c r="M2656" s="116">
        <v>752.3</v>
      </c>
      <c r="N2656" s="116">
        <v>757.7</v>
      </c>
      <c r="O2656" s="116">
        <v>743.15</v>
      </c>
      <c r="P2656" s="116">
        <v>746.35</v>
      </c>
      <c r="Q2656" s="116">
        <v>752.3</v>
      </c>
      <c r="R2656">
        <v>100413</v>
      </c>
    </row>
    <row r="2657" spans="1:18" x14ac:dyDescent="0.25">
      <c r="A2657" s="170">
        <v>45917</v>
      </c>
      <c r="B2657" s="116">
        <v>186.5</v>
      </c>
      <c r="C2657" s="116">
        <v>176.85</v>
      </c>
      <c r="D2657" s="116">
        <v>174.2</v>
      </c>
      <c r="E2657" s="116">
        <v>179</v>
      </c>
      <c r="F2657" s="116">
        <v>176.85</v>
      </c>
      <c r="G2657">
        <v>732974</v>
      </c>
      <c r="H2657" s="116"/>
      <c r="I2657" s="116"/>
      <c r="L2657" s="170">
        <v>45916</v>
      </c>
      <c r="M2657" s="116">
        <v>777.1</v>
      </c>
      <c r="N2657" s="116">
        <v>782.5</v>
      </c>
      <c r="O2657" s="116">
        <v>752.3</v>
      </c>
      <c r="P2657" s="116">
        <v>752.3</v>
      </c>
      <c r="Q2657" s="116">
        <v>777.1</v>
      </c>
      <c r="R2657">
        <v>406224</v>
      </c>
    </row>
    <row r="2658" spans="1:18" x14ac:dyDescent="0.25">
      <c r="A2658" s="170">
        <v>45918</v>
      </c>
      <c r="B2658" s="116">
        <v>184.4</v>
      </c>
      <c r="C2658" s="116">
        <v>177.05</v>
      </c>
      <c r="D2658" s="116">
        <v>174.45</v>
      </c>
      <c r="E2658" s="116">
        <v>177.9</v>
      </c>
      <c r="F2658" s="116">
        <v>177.05</v>
      </c>
      <c r="G2658">
        <v>612778</v>
      </c>
      <c r="H2658" s="116"/>
      <c r="I2658" s="116"/>
      <c r="L2658" s="170">
        <v>45917</v>
      </c>
      <c r="M2658" s="116">
        <v>780.25</v>
      </c>
      <c r="N2658" s="116">
        <v>783</v>
      </c>
      <c r="O2658" s="116">
        <v>777</v>
      </c>
      <c r="P2658" s="116">
        <v>780</v>
      </c>
      <c r="Q2658" s="116">
        <v>780.25</v>
      </c>
      <c r="R2658">
        <v>105521</v>
      </c>
    </row>
    <row r="2659" spans="1:18" x14ac:dyDescent="0.25">
      <c r="A2659" s="170">
        <v>45919</v>
      </c>
      <c r="B2659" s="116">
        <v>184.8</v>
      </c>
      <c r="C2659" s="116">
        <v>183.8</v>
      </c>
      <c r="D2659" s="116">
        <v>175.25</v>
      </c>
      <c r="E2659" s="116">
        <v>177.95</v>
      </c>
      <c r="F2659" s="116">
        <v>183.8</v>
      </c>
      <c r="G2659">
        <v>529784</v>
      </c>
      <c r="H2659" s="116"/>
      <c r="I2659" s="116"/>
      <c r="L2659" s="170">
        <v>45918</v>
      </c>
      <c r="M2659" s="116">
        <v>774.95</v>
      </c>
      <c r="N2659" s="116">
        <v>784.3</v>
      </c>
      <c r="O2659" s="116">
        <v>771.15</v>
      </c>
      <c r="P2659" s="116">
        <v>782</v>
      </c>
      <c r="Q2659" s="116">
        <v>774.95</v>
      </c>
      <c r="R2659">
        <v>53361</v>
      </c>
    </row>
    <row r="2660" spans="1:18" x14ac:dyDescent="0.25">
      <c r="A2660" s="170">
        <v>45922</v>
      </c>
      <c r="B2660" s="116">
        <v>194.4</v>
      </c>
      <c r="C2660" s="116">
        <v>189.75</v>
      </c>
      <c r="D2660" s="116">
        <v>184.25</v>
      </c>
      <c r="E2660" s="116">
        <v>185.25</v>
      </c>
      <c r="F2660" s="116">
        <v>189.75</v>
      </c>
      <c r="G2660">
        <v>1424037</v>
      </c>
      <c r="H2660" s="116"/>
      <c r="I2660" s="116"/>
      <c r="L2660" s="170">
        <v>45919</v>
      </c>
      <c r="M2660" s="116">
        <v>773.8</v>
      </c>
      <c r="N2660" s="116">
        <v>782.1</v>
      </c>
      <c r="O2660" s="116">
        <v>771</v>
      </c>
      <c r="P2660" s="116">
        <v>778</v>
      </c>
      <c r="Q2660" s="116">
        <v>773.8</v>
      </c>
      <c r="R2660">
        <v>158742</v>
      </c>
    </row>
    <row r="2661" spans="1:18" x14ac:dyDescent="0.25">
      <c r="A2661" s="170">
        <v>45923</v>
      </c>
      <c r="B2661" s="116">
        <v>196.4</v>
      </c>
      <c r="C2661" s="116">
        <v>193.55</v>
      </c>
      <c r="D2661" s="116">
        <v>188.15</v>
      </c>
      <c r="E2661" s="116">
        <v>192.9</v>
      </c>
      <c r="F2661" s="116">
        <v>193.55</v>
      </c>
      <c r="G2661">
        <v>1234762</v>
      </c>
      <c r="H2661" s="116"/>
      <c r="I2661" s="116"/>
      <c r="L2661" s="170">
        <v>45922</v>
      </c>
      <c r="M2661" s="116">
        <v>771.4</v>
      </c>
      <c r="N2661" s="116">
        <v>781.75</v>
      </c>
      <c r="O2661" s="116">
        <v>768.4</v>
      </c>
      <c r="P2661" s="116">
        <v>770</v>
      </c>
      <c r="Q2661" s="116">
        <v>771.4</v>
      </c>
      <c r="R2661">
        <v>84209</v>
      </c>
    </row>
    <row r="2662" spans="1:18" x14ac:dyDescent="0.25">
      <c r="A2662" s="170">
        <v>45924</v>
      </c>
      <c r="B2662" s="116">
        <v>193</v>
      </c>
      <c r="C2662" s="116">
        <v>186.75</v>
      </c>
      <c r="D2662" s="116">
        <v>185.3</v>
      </c>
      <c r="E2662" s="116">
        <v>192.9</v>
      </c>
      <c r="F2662" s="116">
        <v>186.75</v>
      </c>
      <c r="G2662">
        <v>317623</v>
      </c>
      <c r="H2662" s="116"/>
      <c r="I2662" s="116"/>
      <c r="L2662" s="170">
        <v>45923</v>
      </c>
      <c r="M2662" s="116">
        <v>780.3</v>
      </c>
      <c r="N2662" s="116">
        <v>785</v>
      </c>
      <c r="O2662" s="116">
        <v>759.35</v>
      </c>
      <c r="P2662" s="116">
        <v>770</v>
      </c>
      <c r="Q2662" s="116">
        <v>780.3</v>
      </c>
      <c r="R2662">
        <v>166824</v>
      </c>
    </row>
    <row r="2663" spans="1:18" x14ac:dyDescent="0.25">
      <c r="A2663" s="170">
        <v>45925</v>
      </c>
      <c r="B2663" s="116">
        <v>188.15</v>
      </c>
      <c r="C2663" s="116">
        <v>179.85</v>
      </c>
      <c r="D2663" s="116">
        <v>179.25</v>
      </c>
      <c r="E2663" s="116">
        <v>186.6</v>
      </c>
      <c r="F2663" s="116">
        <v>179.85</v>
      </c>
      <c r="G2663">
        <v>631138</v>
      </c>
      <c r="H2663" s="116"/>
      <c r="I2663" s="116"/>
      <c r="L2663" s="170">
        <v>45924</v>
      </c>
      <c r="M2663" s="116">
        <v>777.75</v>
      </c>
      <c r="N2663" s="116">
        <v>791.95</v>
      </c>
      <c r="O2663" s="116">
        <v>772</v>
      </c>
      <c r="P2663" s="116">
        <v>788</v>
      </c>
      <c r="Q2663" s="116">
        <v>777.75</v>
      </c>
      <c r="R2663">
        <v>265849</v>
      </c>
    </row>
    <row r="2664" spans="1:18" x14ac:dyDescent="0.25">
      <c r="A2664" s="170">
        <v>45926</v>
      </c>
      <c r="B2664" s="116">
        <v>182.6</v>
      </c>
      <c r="C2664" s="116">
        <v>178.9</v>
      </c>
      <c r="D2664" s="116">
        <v>176.55</v>
      </c>
      <c r="E2664" s="116">
        <v>180.05</v>
      </c>
      <c r="F2664" s="116">
        <v>178.9</v>
      </c>
      <c r="G2664">
        <v>360649</v>
      </c>
      <c r="H2664" s="116"/>
      <c r="I2664" s="116"/>
      <c r="L2664" s="170">
        <v>45925</v>
      </c>
      <c r="M2664" s="116">
        <v>762.6</v>
      </c>
      <c r="N2664" s="116">
        <v>776.95</v>
      </c>
      <c r="O2664" s="116">
        <v>760.05</v>
      </c>
      <c r="P2664" s="116">
        <v>775.3</v>
      </c>
      <c r="Q2664" s="116">
        <v>762.6</v>
      </c>
      <c r="R2664">
        <v>78039</v>
      </c>
    </row>
    <row r="2665" spans="1:18" x14ac:dyDescent="0.25">
      <c r="A2665" s="170">
        <v>45929</v>
      </c>
      <c r="B2665" s="116">
        <v>185.5</v>
      </c>
      <c r="C2665" s="116">
        <v>178.5</v>
      </c>
      <c r="D2665" s="116">
        <v>177.1</v>
      </c>
      <c r="E2665" s="116">
        <v>179.35</v>
      </c>
      <c r="F2665" s="116">
        <v>178.5</v>
      </c>
      <c r="G2665">
        <v>299784</v>
      </c>
      <c r="H2665" s="116"/>
      <c r="I2665" s="116"/>
      <c r="L2665" s="170">
        <v>45926</v>
      </c>
      <c r="M2665" s="116">
        <v>743.6</v>
      </c>
      <c r="N2665" s="116">
        <v>764.95</v>
      </c>
      <c r="O2665" s="116">
        <v>738.3</v>
      </c>
      <c r="P2665" s="116">
        <v>764.4</v>
      </c>
      <c r="Q2665" s="116">
        <v>743.6</v>
      </c>
      <c r="R2665">
        <v>199239</v>
      </c>
    </row>
    <row r="2666" spans="1:18" x14ac:dyDescent="0.25">
      <c r="A2666" s="170">
        <v>45930</v>
      </c>
      <c r="B2666" s="116">
        <v>179.75</v>
      </c>
      <c r="C2666" s="116">
        <v>174.3</v>
      </c>
      <c r="D2666" s="116">
        <v>171.35</v>
      </c>
      <c r="E2666" s="116">
        <v>176.55</v>
      </c>
      <c r="F2666" s="116">
        <v>174.3</v>
      </c>
      <c r="G2666">
        <v>380122</v>
      </c>
      <c r="H2666" s="116"/>
      <c r="I2666" s="116"/>
      <c r="L2666" s="170">
        <v>45929</v>
      </c>
      <c r="M2666" s="116">
        <v>750.85</v>
      </c>
      <c r="N2666" s="116">
        <v>756.9</v>
      </c>
      <c r="O2666" s="116">
        <v>740.3</v>
      </c>
      <c r="P2666" s="116">
        <v>744.5</v>
      </c>
      <c r="Q2666" s="116">
        <v>750.85</v>
      </c>
      <c r="R2666">
        <v>180734</v>
      </c>
    </row>
    <row r="2667" spans="1:18" x14ac:dyDescent="0.25">
      <c r="A2667" s="170">
        <v>45931</v>
      </c>
      <c r="B2667" s="116">
        <v>182.3</v>
      </c>
      <c r="C2667" s="116">
        <v>181.15</v>
      </c>
      <c r="D2667" s="116">
        <v>174.15</v>
      </c>
      <c r="E2667" s="116">
        <v>174.35</v>
      </c>
      <c r="F2667" s="116">
        <v>181.15</v>
      </c>
      <c r="G2667">
        <v>273207</v>
      </c>
      <c r="H2667" s="116"/>
      <c r="I2667" s="116"/>
      <c r="L2667" s="170">
        <v>45930</v>
      </c>
      <c r="M2667" s="116">
        <v>763.2</v>
      </c>
      <c r="N2667" s="116">
        <v>766.6</v>
      </c>
      <c r="O2667" s="116">
        <v>748</v>
      </c>
      <c r="P2667" s="116">
        <v>750.85</v>
      </c>
      <c r="Q2667" s="116">
        <v>763.2</v>
      </c>
      <c r="R2667">
        <v>96396</v>
      </c>
    </row>
    <row r="2668" spans="1:18" x14ac:dyDescent="0.25">
      <c r="A2668" s="170">
        <v>45933</v>
      </c>
      <c r="B2668" s="116">
        <v>211.65</v>
      </c>
      <c r="C2668" s="116">
        <v>202.3</v>
      </c>
      <c r="D2668" s="116">
        <v>180.25</v>
      </c>
      <c r="E2668" s="116">
        <v>181.9</v>
      </c>
      <c r="F2668" s="116">
        <v>202.3</v>
      </c>
      <c r="G2668">
        <v>1874921</v>
      </c>
      <c r="H2668" s="116"/>
      <c r="I2668" s="116"/>
      <c r="L2668" s="170">
        <v>45931</v>
      </c>
      <c r="M2668" s="116">
        <v>782.95</v>
      </c>
      <c r="N2668" s="116">
        <v>788</v>
      </c>
      <c r="O2668" s="116">
        <v>754</v>
      </c>
      <c r="P2668" s="116">
        <v>763.65</v>
      </c>
      <c r="Q2668" s="116">
        <v>782.95</v>
      </c>
      <c r="R2668">
        <v>274998</v>
      </c>
    </row>
    <row r="2669" spans="1:18" x14ac:dyDescent="0.25">
      <c r="A2669" s="170">
        <v>45936</v>
      </c>
      <c r="B2669" s="116">
        <v>214.5</v>
      </c>
      <c r="C2669" s="116">
        <v>211.35</v>
      </c>
      <c r="D2669" s="116">
        <v>202.4</v>
      </c>
      <c r="E2669" s="116">
        <v>203.05</v>
      </c>
      <c r="F2669" s="116">
        <v>211.35</v>
      </c>
      <c r="G2669">
        <v>1660322</v>
      </c>
      <c r="H2669" s="116"/>
      <c r="I2669" s="116"/>
      <c r="L2669" s="170">
        <v>45933</v>
      </c>
      <c r="M2669" s="116">
        <v>789.65</v>
      </c>
      <c r="N2669" s="116">
        <v>796</v>
      </c>
      <c r="O2669" s="116">
        <v>781.3</v>
      </c>
      <c r="P2669" s="116">
        <v>784</v>
      </c>
      <c r="Q2669" s="116">
        <v>789.65</v>
      </c>
      <c r="R2669">
        <v>1064428</v>
      </c>
    </row>
    <row r="2670" spans="1:18" x14ac:dyDescent="0.25">
      <c r="A2670" s="170">
        <v>45937</v>
      </c>
      <c r="B2670" s="116">
        <v>214.1</v>
      </c>
      <c r="C2670" s="116">
        <v>207.2</v>
      </c>
      <c r="D2670" s="116">
        <v>205.65</v>
      </c>
      <c r="E2670" s="116">
        <v>212</v>
      </c>
      <c r="F2670" s="116">
        <v>207.2</v>
      </c>
      <c r="G2670">
        <v>340107</v>
      </c>
      <c r="H2670" s="116"/>
      <c r="I2670" s="116"/>
      <c r="L2670" s="170">
        <v>45936</v>
      </c>
      <c r="M2670" s="116">
        <v>803.55</v>
      </c>
      <c r="N2670" s="116">
        <v>810.25</v>
      </c>
      <c r="O2670" s="116">
        <v>781</v>
      </c>
      <c r="P2670" s="116">
        <v>785</v>
      </c>
      <c r="Q2670" s="116">
        <v>803.55</v>
      </c>
      <c r="R2670">
        <v>491738</v>
      </c>
    </row>
    <row r="2671" spans="1:18" x14ac:dyDescent="0.25">
      <c r="A2671" s="170">
        <v>45938</v>
      </c>
      <c r="B2671" s="116">
        <v>212.35</v>
      </c>
      <c r="C2671" s="116">
        <v>202.45</v>
      </c>
      <c r="D2671" s="116">
        <v>197.6</v>
      </c>
      <c r="E2671" s="116">
        <v>208.05</v>
      </c>
      <c r="F2671" s="116">
        <v>202.45</v>
      </c>
      <c r="G2671">
        <v>399590</v>
      </c>
      <c r="H2671" s="116"/>
      <c r="I2671" s="116"/>
      <c r="L2671" s="170">
        <v>45937</v>
      </c>
      <c r="M2671" s="116">
        <v>804.35</v>
      </c>
      <c r="N2671" s="116">
        <v>807</v>
      </c>
      <c r="O2671" s="116">
        <v>792.35</v>
      </c>
      <c r="P2671" s="116">
        <v>804.5</v>
      </c>
      <c r="Q2671" s="116">
        <v>804.35</v>
      </c>
      <c r="R2671">
        <v>174773</v>
      </c>
    </row>
    <row r="2672" spans="1:18" x14ac:dyDescent="0.25">
      <c r="A2672" s="170">
        <v>45939</v>
      </c>
      <c r="B2672" s="116">
        <v>209.2</v>
      </c>
      <c r="C2672" s="116">
        <v>207.3</v>
      </c>
      <c r="D2672" s="116">
        <v>200.55</v>
      </c>
      <c r="E2672" s="116">
        <v>202.8</v>
      </c>
      <c r="F2672" s="116">
        <v>207.3</v>
      </c>
      <c r="G2672">
        <v>348915</v>
      </c>
      <c r="H2672" s="116"/>
      <c r="I2672" s="116"/>
      <c r="L2672" s="170">
        <v>45938</v>
      </c>
      <c r="M2672" s="116">
        <v>793.45</v>
      </c>
      <c r="N2672" s="116">
        <v>801.7</v>
      </c>
      <c r="O2672" s="116">
        <v>787.65</v>
      </c>
      <c r="P2672" s="116">
        <v>800.3</v>
      </c>
      <c r="Q2672" s="116">
        <v>793.45</v>
      </c>
      <c r="R2672">
        <v>167859</v>
      </c>
    </row>
    <row r="2673" spans="1:18" x14ac:dyDescent="0.25">
      <c r="A2673" s="170">
        <v>45940</v>
      </c>
      <c r="B2673" s="116">
        <v>215</v>
      </c>
      <c r="C2673" s="116">
        <v>203.7</v>
      </c>
      <c r="D2673" s="116">
        <v>202.3</v>
      </c>
      <c r="E2673" s="116">
        <v>209</v>
      </c>
      <c r="F2673" s="116">
        <v>203.7</v>
      </c>
      <c r="G2673">
        <v>722829</v>
      </c>
      <c r="H2673" s="116"/>
      <c r="I2673" s="116"/>
      <c r="L2673" s="170">
        <v>45939</v>
      </c>
      <c r="M2673" s="116">
        <v>789.75</v>
      </c>
      <c r="N2673" s="116">
        <v>800</v>
      </c>
      <c r="O2673" s="116">
        <v>787.5</v>
      </c>
      <c r="P2673" s="116">
        <v>795.45</v>
      </c>
      <c r="Q2673" s="116">
        <v>789.75</v>
      </c>
      <c r="R2673">
        <v>81359</v>
      </c>
    </row>
    <row r="2674" spans="1:18" x14ac:dyDescent="0.25">
      <c r="A2674" s="170">
        <v>45943</v>
      </c>
      <c r="B2674" s="116">
        <v>203.7</v>
      </c>
      <c r="C2674" s="116">
        <v>190.55</v>
      </c>
      <c r="D2674" s="116">
        <v>189.25</v>
      </c>
      <c r="E2674" s="116">
        <v>203.45</v>
      </c>
      <c r="F2674" s="116">
        <v>190.55</v>
      </c>
      <c r="G2674">
        <v>453893</v>
      </c>
      <c r="H2674" s="116"/>
      <c r="I2674" s="116"/>
      <c r="L2674" s="170">
        <v>45940</v>
      </c>
      <c r="M2674" s="116">
        <v>793.6</v>
      </c>
      <c r="N2674" s="116">
        <v>796.7</v>
      </c>
      <c r="O2674" s="116">
        <v>784.4</v>
      </c>
      <c r="P2674" s="116">
        <v>790.1</v>
      </c>
      <c r="Q2674" s="116">
        <v>793.6</v>
      </c>
      <c r="R2674">
        <v>185373</v>
      </c>
    </row>
    <row r="2675" spans="1:18" x14ac:dyDescent="0.25">
      <c r="A2675" s="170">
        <v>45944</v>
      </c>
      <c r="B2675" s="116">
        <v>193.4</v>
      </c>
      <c r="C2675" s="116">
        <v>183.05</v>
      </c>
      <c r="D2675" s="116">
        <v>182.1</v>
      </c>
      <c r="E2675" s="116">
        <v>192.55</v>
      </c>
      <c r="F2675" s="116">
        <v>183.05</v>
      </c>
      <c r="G2675">
        <v>710444</v>
      </c>
      <c r="H2675" s="116"/>
      <c r="I2675" s="116"/>
      <c r="L2675" s="170">
        <v>45943</v>
      </c>
      <c r="M2675" s="116">
        <v>801.35</v>
      </c>
      <c r="N2675" s="116">
        <v>806</v>
      </c>
      <c r="O2675" s="116">
        <v>782.55</v>
      </c>
      <c r="P2675" s="116">
        <v>786.85</v>
      </c>
      <c r="Q2675" s="116">
        <v>801.35</v>
      </c>
      <c r="R2675">
        <v>247299</v>
      </c>
    </row>
    <row r="2676" spans="1:18" x14ac:dyDescent="0.25">
      <c r="A2676" s="170">
        <v>45945</v>
      </c>
      <c r="B2676" s="116">
        <v>197.75</v>
      </c>
      <c r="C2676" s="116">
        <v>194.85</v>
      </c>
      <c r="D2676" s="116">
        <v>182.6</v>
      </c>
      <c r="E2676" s="116">
        <v>183.9</v>
      </c>
      <c r="F2676" s="116">
        <v>194.85</v>
      </c>
      <c r="G2676">
        <v>745288</v>
      </c>
      <c r="H2676" s="116"/>
      <c r="I2676" s="116"/>
      <c r="L2676" s="170">
        <v>45944</v>
      </c>
      <c r="M2676" s="116">
        <v>785</v>
      </c>
      <c r="N2676" s="116">
        <v>807.3</v>
      </c>
      <c r="O2676" s="116">
        <v>780.05</v>
      </c>
      <c r="P2676" s="116">
        <v>796</v>
      </c>
      <c r="Q2676" s="116">
        <v>785</v>
      </c>
      <c r="R2676">
        <v>197396</v>
      </c>
    </row>
    <row r="2677" spans="1:18" x14ac:dyDescent="0.25">
      <c r="A2677" s="170">
        <v>45946</v>
      </c>
      <c r="B2677" s="116">
        <v>201.25</v>
      </c>
      <c r="C2677" s="116">
        <v>198.2</v>
      </c>
      <c r="D2677" s="116">
        <v>193.7</v>
      </c>
      <c r="E2677" s="116">
        <v>196.35</v>
      </c>
      <c r="F2677" s="116">
        <v>198.2</v>
      </c>
      <c r="G2677">
        <v>559708</v>
      </c>
      <c r="H2677" s="116"/>
      <c r="I2677" s="116"/>
      <c r="L2677" s="170">
        <v>45945</v>
      </c>
      <c r="M2677" s="116">
        <v>802.55</v>
      </c>
      <c r="N2677" s="116">
        <v>805</v>
      </c>
      <c r="O2677" s="116">
        <v>783.1</v>
      </c>
      <c r="P2677" s="116">
        <v>787</v>
      </c>
      <c r="Q2677" s="116">
        <v>802.55</v>
      </c>
      <c r="R2677">
        <v>150466</v>
      </c>
    </row>
    <row r="2678" spans="1:18" x14ac:dyDescent="0.25">
      <c r="A2678" s="170">
        <v>45947</v>
      </c>
      <c r="B2678" s="116">
        <v>199.25</v>
      </c>
      <c r="C2678" s="116">
        <v>190.5</v>
      </c>
      <c r="D2678" s="116">
        <v>190</v>
      </c>
      <c r="E2678" s="116">
        <v>198.2</v>
      </c>
      <c r="F2678" s="116">
        <v>190.5</v>
      </c>
      <c r="G2678">
        <v>260786</v>
      </c>
      <c r="H2678" s="116"/>
      <c r="I2678" s="116"/>
      <c r="L2678" s="170">
        <v>45946</v>
      </c>
      <c r="M2678" s="116">
        <v>804.55</v>
      </c>
      <c r="N2678" s="116">
        <v>806.15</v>
      </c>
      <c r="O2678" s="116">
        <v>795.15</v>
      </c>
      <c r="P2678" s="116">
        <v>802.5</v>
      </c>
      <c r="Q2678" s="116">
        <v>804.55</v>
      </c>
      <c r="R2678">
        <v>170760</v>
      </c>
    </row>
    <row r="2679" spans="1:18" x14ac:dyDescent="0.25">
      <c r="A2679" s="170">
        <v>45950</v>
      </c>
      <c r="B2679" s="116">
        <v>179.95</v>
      </c>
      <c r="C2679" s="116">
        <v>174.5</v>
      </c>
      <c r="D2679" s="116">
        <v>160.65</v>
      </c>
      <c r="E2679" s="116">
        <v>175.35</v>
      </c>
      <c r="F2679" s="116">
        <v>174.5</v>
      </c>
      <c r="G2679">
        <v>1434931</v>
      </c>
      <c r="H2679" s="116"/>
      <c r="I2679" s="116"/>
      <c r="L2679" s="170">
        <v>45947</v>
      </c>
      <c r="M2679" s="116">
        <v>801.05</v>
      </c>
      <c r="N2679" s="116">
        <v>807.95</v>
      </c>
      <c r="O2679" s="116">
        <v>797.15</v>
      </c>
      <c r="P2679" s="116">
        <v>804.55</v>
      </c>
      <c r="Q2679" s="116">
        <v>801.05</v>
      </c>
      <c r="R2679">
        <v>88912</v>
      </c>
    </row>
    <row r="2680" spans="1:18" x14ac:dyDescent="0.25">
      <c r="A2680" s="170">
        <v>45951</v>
      </c>
      <c r="B2680" s="116">
        <v>182.65</v>
      </c>
      <c r="C2680" s="116">
        <v>181.65</v>
      </c>
      <c r="D2680" s="116">
        <v>175.5</v>
      </c>
      <c r="E2680" s="116">
        <v>175.5</v>
      </c>
      <c r="F2680" s="116">
        <v>181.65</v>
      </c>
      <c r="G2680">
        <v>207513</v>
      </c>
      <c r="H2680" s="116"/>
      <c r="I2680" s="116"/>
      <c r="L2680" s="170">
        <v>45950</v>
      </c>
      <c r="M2680" s="116">
        <v>838.35</v>
      </c>
      <c r="N2680" s="116">
        <v>849</v>
      </c>
      <c r="O2680" s="116">
        <v>810</v>
      </c>
      <c r="P2680" s="116">
        <v>819.05</v>
      </c>
      <c r="Q2680" s="116">
        <v>838.35</v>
      </c>
      <c r="R2680">
        <v>1683183</v>
      </c>
    </row>
    <row r="2681" spans="1:18" x14ac:dyDescent="0.25">
      <c r="A2681" s="170">
        <v>45953</v>
      </c>
      <c r="B2681" s="116">
        <v>188.9</v>
      </c>
      <c r="C2681" s="116">
        <v>180.3</v>
      </c>
      <c r="D2681" s="116">
        <v>177.8</v>
      </c>
      <c r="E2681" s="116">
        <v>183.9</v>
      </c>
      <c r="F2681" s="116">
        <v>180.3</v>
      </c>
      <c r="G2681">
        <v>415327</v>
      </c>
      <c r="H2681" s="116"/>
      <c r="I2681" s="116"/>
      <c r="L2681" s="170">
        <v>45951</v>
      </c>
      <c r="M2681" s="116">
        <v>844.4</v>
      </c>
      <c r="N2681" s="116">
        <v>859.85</v>
      </c>
      <c r="O2681" s="116">
        <v>831</v>
      </c>
      <c r="P2681" s="116">
        <v>845.05</v>
      </c>
      <c r="Q2681" s="116">
        <v>844.4</v>
      </c>
      <c r="R2681">
        <v>185015</v>
      </c>
    </row>
    <row r="2682" spans="1:18" x14ac:dyDescent="0.25">
      <c r="A2682" s="170">
        <v>45954</v>
      </c>
      <c r="B2682" s="116">
        <v>183.4</v>
      </c>
      <c r="C2682" s="116">
        <v>179.4</v>
      </c>
      <c r="D2682" s="116">
        <v>178.7</v>
      </c>
      <c r="E2682" s="116">
        <v>181</v>
      </c>
      <c r="F2682" s="116">
        <v>179.4</v>
      </c>
      <c r="G2682">
        <v>214797</v>
      </c>
      <c r="H2682" s="116"/>
      <c r="I2682" s="116"/>
      <c r="L2682" s="170">
        <v>45953</v>
      </c>
      <c r="M2682" s="116">
        <v>853.35</v>
      </c>
      <c r="N2682" s="116">
        <v>865</v>
      </c>
      <c r="O2682" s="116">
        <v>845</v>
      </c>
      <c r="P2682" s="116">
        <v>850</v>
      </c>
      <c r="Q2682" s="116">
        <v>853.35</v>
      </c>
      <c r="R2682">
        <v>439104</v>
      </c>
    </row>
    <row r="2683" spans="1:18" x14ac:dyDescent="0.25">
      <c r="A2683" s="170">
        <v>45957</v>
      </c>
      <c r="B2683" s="116">
        <v>180.1</v>
      </c>
      <c r="C2683" s="116">
        <v>173.5</v>
      </c>
      <c r="D2683" s="116">
        <v>172.7</v>
      </c>
      <c r="E2683" s="116">
        <v>180.1</v>
      </c>
      <c r="F2683" s="116">
        <v>173.5</v>
      </c>
      <c r="G2683">
        <v>298204</v>
      </c>
      <c r="H2683" s="116"/>
      <c r="I2683" s="116"/>
      <c r="L2683" s="170">
        <v>45954</v>
      </c>
      <c r="M2683" s="116">
        <v>848.25</v>
      </c>
      <c r="N2683" s="116">
        <v>860.7</v>
      </c>
      <c r="O2683" s="116">
        <v>838.15</v>
      </c>
      <c r="P2683" s="116">
        <v>860.65</v>
      </c>
      <c r="Q2683" s="116">
        <v>848.25</v>
      </c>
      <c r="R2683">
        <v>276523</v>
      </c>
    </row>
    <row r="2684" spans="1:18" x14ac:dyDescent="0.25">
      <c r="A2684" s="170">
        <v>45958</v>
      </c>
      <c r="B2684" s="116">
        <v>175.5</v>
      </c>
      <c r="C2684" s="116">
        <v>173.5</v>
      </c>
      <c r="D2684" s="116">
        <v>172.55</v>
      </c>
      <c r="E2684" s="116">
        <v>174.65</v>
      </c>
      <c r="F2684" s="116">
        <v>173.5</v>
      </c>
      <c r="G2684">
        <v>304481</v>
      </c>
      <c r="H2684" s="116"/>
      <c r="I2684" s="116"/>
      <c r="L2684" s="170">
        <v>45957</v>
      </c>
      <c r="M2684" s="116">
        <v>855.7</v>
      </c>
      <c r="N2684" s="116">
        <v>857.95</v>
      </c>
      <c r="O2684" s="116">
        <v>843.85</v>
      </c>
      <c r="P2684" s="116">
        <v>853.7</v>
      </c>
      <c r="Q2684" s="116">
        <v>855.7</v>
      </c>
      <c r="R2684">
        <v>109914</v>
      </c>
    </row>
    <row r="2685" spans="1:18" x14ac:dyDescent="0.25">
      <c r="A2685" s="170">
        <v>45959</v>
      </c>
      <c r="B2685" s="116">
        <v>181.45</v>
      </c>
      <c r="C2685" s="116">
        <v>178.45</v>
      </c>
      <c r="D2685" s="116">
        <v>172.25</v>
      </c>
      <c r="E2685" s="116">
        <v>173.7</v>
      </c>
      <c r="F2685" s="116">
        <v>178.45</v>
      </c>
      <c r="G2685">
        <v>399550</v>
      </c>
      <c r="H2685" s="116"/>
      <c r="I2685" s="116"/>
      <c r="L2685" s="170">
        <v>45958</v>
      </c>
      <c r="M2685" s="116">
        <v>865</v>
      </c>
      <c r="N2685" s="116">
        <v>867.95</v>
      </c>
      <c r="O2685" s="116">
        <v>857.5</v>
      </c>
      <c r="P2685" s="116">
        <v>859.4</v>
      </c>
      <c r="Q2685" s="116">
        <v>865</v>
      </c>
      <c r="R2685">
        <v>234913</v>
      </c>
    </row>
    <row r="2686" spans="1:18" x14ac:dyDescent="0.25">
      <c r="A2686" s="170">
        <v>45960</v>
      </c>
      <c r="B2686" s="116">
        <v>178.6</v>
      </c>
      <c r="C2686" s="116">
        <v>175.25</v>
      </c>
      <c r="D2686" s="116">
        <v>174.5</v>
      </c>
      <c r="E2686" s="116">
        <v>178.6</v>
      </c>
      <c r="F2686" s="116">
        <v>175.25</v>
      </c>
      <c r="G2686">
        <v>234299</v>
      </c>
      <c r="H2686" s="116"/>
      <c r="I2686" s="116"/>
      <c r="L2686" s="170">
        <v>45959</v>
      </c>
      <c r="M2686" s="116">
        <v>862.85</v>
      </c>
      <c r="N2686" s="116">
        <v>869.7</v>
      </c>
      <c r="O2686" s="116">
        <v>852.2</v>
      </c>
      <c r="P2686" s="116">
        <v>869.7</v>
      </c>
      <c r="Q2686" s="116">
        <v>862.85</v>
      </c>
      <c r="R2686">
        <v>322194</v>
      </c>
    </row>
    <row r="2687" spans="1:18" x14ac:dyDescent="0.25">
      <c r="A2687" s="170">
        <v>45961</v>
      </c>
      <c r="B2687" s="116">
        <v>176.45</v>
      </c>
      <c r="C2687" s="116">
        <v>171.55</v>
      </c>
      <c r="D2687" s="116">
        <v>171</v>
      </c>
      <c r="E2687" s="116">
        <v>175.25</v>
      </c>
      <c r="F2687" s="116">
        <v>171.55</v>
      </c>
      <c r="G2687">
        <v>206869</v>
      </c>
      <c r="H2687" s="116"/>
      <c r="I2687" s="116"/>
      <c r="L2687" s="170">
        <v>45960</v>
      </c>
      <c r="M2687" s="116">
        <v>874.65</v>
      </c>
      <c r="N2687" s="116">
        <v>879.4</v>
      </c>
      <c r="O2687" s="116">
        <v>858</v>
      </c>
      <c r="P2687" s="116">
        <v>866.4</v>
      </c>
      <c r="Q2687" s="116">
        <v>874.65</v>
      </c>
      <c r="R2687">
        <v>389000</v>
      </c>
    </row>
    <row r="2688" spans="1:18" x14ac:dyDescent="0.25">
      <c r="A2688" s="170">
        <v>45964</v>
      </c>
      <c r="B2688" s="116">
        <v>172.4</v>
      </c>
      <c r="C2688" s="116">
        <v>169.1</v>
      </c>
      <c r="D2688" s="116">
        <v>168.7</v>
      </c>
      <c r="E2688" s="116">
        <v>171.05</v>
      </c>
      <c r="F2688" s="116">
        <v>169.1</v>
      </c>
      <c r="G2688">
        <v>323246</v>
      </c>
      <c r="H2688" s="116"/>
      <c r="I2688" s="116"/>
      <c r="L2688" s="170">
        <v>45961</v>
      </c>
      <c r="M2688" s="116">
        <v>867.9</v>
      </c>
      <c r="N2688" s="116">
        <v>883.7</v>
      </c>
      <c r="O2688" s="116">
        <v>861.5</v>
      </c>
      <c r="P2688" s="116">
        <v>874</v>
      </c>
      <c r="Q2688" s="116">
        <v>867.9</v>
      </c>
      <c r="R2688">
        <v>284189</v>
      </c>
    </row>
    <row r="2689" spans="1:18" x14ac:dyDescent="0.25">
      <c r="A2689" s="170">
        <v>45965</v>
      </c>
      <c r="B2689" s="116">
        <v>171.1</v>
      </c>
      <c r="C2689" s="116">
        <v>167.7</v>
      </c>
      <c r="D2689" s="116">
        <v>167</v>
      </c>
      <c r="E2689" s="116">
        <v>170</v>
      </c>
      <c r="F2689" s="116">
        <v>167.7</v>
      </c>
      <c r="G2689">
        <v>201888</v>
      </c>
      <c r="H2689" s="116"/>
      <c r="I2689" s="116"/>
      <c r="L2689" s="170">
        <v>45964</v>
      </c>
      <c r="M2689" s="116">
        <v>864.6</v>
      </c>
      <c r="N2689" s="116">
        <v>886.5</v>
      </c>
      <c r="O2689" s="116">
        <v>858.9</v>
      </c>
      <c r="P2689" s="116">
        <v>866.5</v>
      </c>
      <c r="Q2689" s="116">
        <v>864.6</v>
      </c>
      <c r="R2689">
        <v>138110</v>
      </c>
    </row>
    <row r="2690" spans="1:18" x14ac:dyDescent="0.25">
      <c r="A2690" s="170">
        <v>45967</v>
      </c>
      <c r="B2690" s="116">
        <v>168.45</v>
      </c>
      <c r="C2690" s="116">
        <v>162.25</v>
      </c>
      <c r="D2690" s="116">
        <v>161.6</v>
      </c>
      <c r="E2690" s="116">
        <v>167.45</v>
      </c>
      <c r="F2690" s="116">
        <v>162.25</v>
      </c>
      <c r="G2690">
        <v>164181</v>
      </c>
      <c r="H2690" s="116"/>
      <c r="I2690" s="116"/>
      <c r="L2690" s="170">
        <v>45965</v>
      </c>
      <c r="M2690" s="116">
        <v>861.6</v>
      </c>
      <c r="N2690" s="116">
        <v>875.4</v>
      </c>
      <c r="O2690" s="116">
        <v>859</v>
      </c>
      <c r="P2690" s="116">
        <v>862.15</v>
      </c>
      <c r="Q2690" s="116">
        <v>861.6</v>
      </c>
      <c r="R2690">
        <v>136342</v>
      </c>
    </row>
    <row r="2691" spans="1:18" x14ac:dyDescent="0.25">
      <c r="A2691" s="170">
        <v>45968</v>
      </c>
      <c r="B2691" s="116">
        <v>164.1</v>
      </c>
      <c r="C2691" s="116">
        <v>162.55000000000001</v>
      </c>
      <c r="D2691" s="116">
        <v>160.05000000000001</v>
      </c>
      <c r="E2691" s="116">
        <v>163.19999999999999</v>
      </c>
      <c r="F2691" s="116">
        <v>162.55000000000001</v>
      </c>
      <c r="G2691">
        <v>263078</v>
      </c>
      <c r="H2691" s="116"/>
      <c r="I2691" s="116"/>
      <c r="L2691" s="170">
        <v>45967</v>
      </c>
      <c r="M2691" s="116">
        <v>877.6</v>
      </c>
      <c r="N2691" s="116">
        <v>881.8</v>
      </c>
      <c r="O2691" s="116">
        <v>853.85</v>
      </c>
      <c r="P2691" s="116">
        <v>861.6</v>
      </c>
      <c r="Q2691" s="116">
        <v>877.6</v>
      </c>
      <c r="R2691">
        <v>422957</v>
      </c>
    </row>
    <row r="2692" spans="1:18" x14ac:dyDescent="0.25">
      <c r="A2692" s="170">
        <v>45971</v>
      </c>
      <c r="B2692" s="116">
        <v>164.35</v>
      </c>
      <c r="C2692" s="116">
        <v>161.35</v>
      </c>
      <c r="D2692" s="116">
        <v>160.05000000000001</v>
      </c>
      <c r="E2692" s="116">
        <v>162.75</v>
      </c>
      <c r="F2692" s="116">
        <v>161.35</v>
      </c>
      <c r="G2692">
        <v>150699</v>
      </c>
      <c r="H2692" s="116"/>
      <c r="I2692" s="116"/>
      <c r="L2692" s="170">
        <v>45968</v>
      </c>
      <c r="M2692" s="116">
        <v>880.75</v>
      </c>
      <c r="N2692" s="116">
        <v>890.9</v>
      </c>
      <c r="O2692" s="116">
        <v>859.65</v>
      </c>
      <c r="P2692" s="116">
        <v>877</v>
      </c>
      <c r="Q2692" s="116">
        <v>880.75</v>
      </c>
      <c r="R2692">
        <v>286361</v>
      </c>
    </row>
    <row r="2693" spans="1:18" x14ac:dyDescent="0.25">
      <c r="A2693" s="170">
        <v>45972</v>
      </c>
      <c r="B2693" s="116">
        <v>166</v>
      </c>
      <c r="C2693" s="116">
        <v>164.7</v>
      </c>
      <c r="D2693" s="116">
        <v>160.5</v>
      </c>
      <c r="E2693" s="116">
        <v>160.65</v>
      </c>
      <c r="F2693" s="116">
        <v>164.7</v>
      </c>
      <c r="G2693">
        <v>260653</v>
      </c>
      <c r="H2693" s="116"/>
      <c r="I2693" s="116"/>
      <c r="L2693" s="170">
        <v>45971</v>
      </c>
      <c r="M2693" s="116">
        <v>881.8</v>
      </c>
      <c r="N2693" s="116">
        <v>884</v>
      </c>
      <c r="O2693" s="116">
        <v>868.2</v>
      </c>
      <c r="P2693" s="116">
        <v>878</v>
      </c>
      <c r="Q2693" s="116">
        <v>881.8</v>
      </c>
      <c r="R2693">
        <v>138927</v>
      </c>
    </row>
    <row r="2694" spans="1:18" x14ac:dyDescent="0.25">
      <c r="A2694" s="170">
        <v>45973</v>
      </c>
      <c r="B2694" s="116">
        <v>168.25</v>
      </c>
      <c r="C2694" s="116">
        <v>164.75</v>
      </c>
      <c r="D2694" s="116">
        <v>163.9</v>
      </c>
      <c r="E2694" s="116">
        <v>165.15</v>
      </c>
      <c r="F2694" s="116">
        <v>164.75</v>
      </c>
      <c r="G2694">
        <v>191855</v>
      </c>
      <c r="H2694" s="116"/>
      <c r="I2694" s="116"/>
      <c r="L2694" s="170">
        <v>45972</v>
      </c>
      <c r="M2694" s="116">
        <v>895.55</v>
      </c>
      <c r="N2694" s="116">
        <v>900</v>
      </c>
      <c r="O2694" s="116">
        <v>879.55</v>
      </c>
      <c r="P2694" s="116">
        <v>880</v>
      </c>
      <c r="Q2694" s="116">
        <v>895.55</v>
      </c>
      <c r="R2694">
        <v>388693</v>
      </c>
    </row>
    <row r="2695" spans="1:18" x14ac:dyDescent="0.25">
      <c r="A2695" s="170">
        <v>45974</v>
      </c>
      <c r="B2695" s="116">
        <v>166.4</v>
      </c>
      <c r="C2695" s="116">
        <v>162.35</v>
      </c>
      <c r="D2695" s="116">
        <v>162</v>
      </c>
      <c r="E2695" s="116">
        <v>164.7</v>
      </c>
      <c r="F2695" s="116">
        <v>162.35</v>
      </c>
      <c r="G2695">
        <v>181392</v>
      </c>
      <c r="H2695" s="116"/>
      <c r="I2695" s="116"/>
      <c r="L2695" s="170">
        <v>45973</v>
      </c>
      <c r="M2695" s="116">
        <v>884.2</v>
      </c>
      <c r="N2695" s="116">
        <v>908.9</v>
      </c>
      <c r="O2695" s="116">
        <v>880</v>
      </c>
      <c r="P2695" s="116">
        <v>898.5</v>
      </c>
      <c r="Q2695" s="116">
        <v>884.2</v>
      </c>
      <c r="R2695">
        <v>264455</v>
      </c>
    </row>
    <row r="2696" spans="1:18" x14ac:dyDescent="0.25">
      <c r="A2696" s="170">
        <v>45975</v>
      </c>
      <c r="B2696" s="116">
        <v>167</v>
      </c>
      <c r="C2696" s="116">
        <v>164</v>
      </c>
      <c r="D2696" s="116">
        <v>162.05000000000001</v>
      </c>
      <c r="E2696" s="116">
        <v>162.35</v>
      </c>
      <c r="F2696" s="116">
        <v>164</v>
      </c>
      <c r="G2696">
        <v>174316</v>
      </c>
      <c r="H2696" s="116"/>
      <c r="I2696" s="116"/>
      <c r="L2696" s="170">
        <v>45974</v>
      </c>
      <c r="M2696" s="116">
        <v>865.1</v>
      </c>
      <c r="N2696" s="116">
        <v>884.7</v>
      </c>
      <c r="O2696" s="116">
        <v>862.3</v>
      </c>
      <c r="P2696" s="116">
        <v>883.95</v>
      </c>
      <c r="Q2696" s="116">
        <v>865.1</v>
      </c>
      <c r="R2696">
        <v>381345</v>
      </c>
    </row>
    <row r="2697" spans="1:18" x14ac:dyDescent="0.25">
      <c r="A2697" s="170">
        <v>45978</v>
      </c>
      <c r="B2697" s="116">
        <v>166.95</v>
      </c>
      <c r="C2697" s="116">
        <v>161.75</v>
      </c>
      <c r="D2697" s="116">
        <v>161.35</v>
      </c>
      <c r="E2697" s="116">
        <v>166.95</v>
      </c>
      <c r="F2697" s="116">
        <v>161.75</v>
      </c>
      <c r="G2697">
        <v>61146</v>
      </c>
      <c r="H2697" s="116"/>
      <c r="I2697" s="116"/>
      <c r="L2697" s="170">
        <v>45975</v>
      </c>
      <c r="M2697" s="116">
        <v>884.65</v>
      </c>
      <c r="N2697" s="116">
        <v>894.8</v>
      </c>
      <c r="O2697" s="116">
        <v>860.05</v>
      </c>
      <c r="P2697" s="116">
        <v>860.05</v>
      </c>
      <c r="Q2697" s="116">
        <v>884.65</v>
      </c>
      <c r="R2697">
        <v>278844</v>
      </c>
    </row>
    <row r="2698" spans="1:18" x14ac:dyDescent="0.25">
      <c r="A2698" s="170">
        <v>45979</v>
      </c>
      <c r="B2698" s="116">
        <v>163.35</v>
      </c>
      <c r="C2698" s="116">
        <v>160.75</v>
      </c>
      <c r="D2698" s="116">
        <v>159.5</v>
      </c>
      <c r="E2698" s="116">
        <v>163.35</v>
      </c>
      <c r="F2698" s="116">
        <v>160.75</v>
      </c>
      <c r="G2698">
        <v>142348</v>
      </c>
      <c r="H2698" s="116"/>
      <c r="I2698" s="116"/>
      <c r="L2698" s="170">
        <v>45978</v>
      </c>
      <c r="M2698" s="116">
        <v>892.85</v>
      </c>
      <c r="N2698" s="116">
        <v>914</v>
      </c>
      <c r="O2698" s="116">
        <v>877.8</v>
      </c>
      <c r="P2698" s="116">
        <v>885</v>
      </c>
      <c r="Q2698" s="116">
        <v>892.85</v>
      </c>
      <c r="R2698">
        <v>662644</v>
      </c>
    </row>
    <row r="2699" spans="1:18" x14ac:dyDescent="0.25">
      <c r="A2699" s="170">
        <v>45980</v>
      </c>
      <c r="B2699" s="116">
        <v>160.69999999999999</v>
      </c>
      <c r="C2699" s="116">
        <v>157.65</v>
      </c>
      <c r="D2699" s="116">
        <v>157.1</v>
      </c>
      <c r="E2699" s="116">
        <v>160.69999999999999</v>
      </c>
      <c r="F2699" s="116">
        <v>157.65</v>
      </c>
      <c r="G2699">
        <v>202063</v>
      </c>
      <c r="H2699" s="116"/>
      <c r="I2699" s="116"/>
      <c r="L2699" s="170">
        <v>45979</v>
      </c>
      <c r="M2699" s="116">
        <v>906.8</v>
      </c>
      <c r="N2699" s="116">
        <v>925</v>
      </c>
      <c r="O2699" s="116">
        <v>896.65</v>
      </c>
      <c r="P2699" s="116">
        <v>896.7</v>
      </c>
      <c r="Q2699" s="116">
        <v>906.8</v>
      </c>
      <c r="R2699">
        <v>843426</v>
      </c>
    </row>
    <row r="2700" spans="1:18" x14ac:dyDescent="0.25">
      <c r="A2700" s="170">
        <v>45981</v>
      </c>
      <c r="B2700" s="116">
        <v>163.4</v>
      </c>
      <c r="C2700" s="116">
        <v>159.35</v>
      </c>
      <c r="D2700" s="116">
        <v>157.69999999999999</v>
      </c>
      <c r="E2700" s="116">
        <v>158.9</v>
      </c>
      <c r="F2700" s="116">
        <v>159.35</v>
      </c>
      <c r="G2700">
        <v>82368</v>
      </c>
      <c r="H2700" s="116"/>
      <c r="I2700" s="116"/>
      <c r="L2700" s="170">
        <v>45980</v>
      </c>
      <c r="M2700" s="116">
        <v>890.3</v>
      </c>
      <c r="N2700" s="116">
        <v>909.3</v>
      </c>
      <c r="O2700" s="116">
        <v>881</v>
      </c>
      <c r="P2700" s="116">
        <v>903.8</v>
      </c>
      <c r="Q2700" s="116">
        <v>890.3</v>
      </c>
      <c r="R2700">
        <v>359195</v>
      </c>
    </row>
    <row r="2701" spans="1:18" x14ac:dyDescent="0.25">
      <c r="A2701" s="170">
        <v>45982</v>
      </c>
      <c r="B2701" s="116">
        <v>158.65</v>
      </c>
      <c r="C2701" s="116">
        <v>154.94999999999999</v>
      </c>
      <c r="D2701" s="116">
        <v>154.19999999999999</v>
      </c>
      <c r="E2701" s="116">
        <v>157.65</v>
      </c>
      <c r="F2701" s="116">
        <v>154.94999999999999</v>
      </c>
      <c r="G2701">
        <v>171221</v>
      </c>
      <c r="H2701" s="116"/>
      <c r="I2701" s="116"/>
      <c r="L2701" s="170">
        <v>45981</v>
      </c>
      <c r="M2701" s="116">
        <v>881.6</v>
      </c>
      <c r="N2701" s="116">
        <v>898.3</v>
      </c>
      <c r="O2701" s="116">
        <v>879</v>
      </c>
      <c r="P2701" s="116">
        <v>894</v>
      </c>
      <c r="Q2701" s="116">
        <v>881.6</v>
      </c>
      <c r="R2701">
        <v>364169</v>
      </c>
    </row>
    <row r="2702" spans="1:18" x14ac:dyDescent="0.25">
      <c r="A2702" s="170">
        <v>45985</v>
      </c>
      <c r="B2702" s="116">
        <v>155.30000000000001</v>
      </c>
      <c r="C2702" s="116">
        <v>149.80000000000001</v>
      </c>
      <c r="D2702" s="116">
        <v>147.9</v>
      </c>
      <c r="E2702" s="116">
        <v>155.30000000000001</v>
      </c>
      <c r="F2702" s="116">
        <v>149.80000000000001</v>
      </c>
      <c r="G2702">
        <v>275389</v>
      </c>
      <c r="H2702" s="116"/>
      <c r="I2702" s="116"/>
      <c r="L2702" s="170">
        <v>45982</v>
      </c>
      <c r="M2702" s="116">
        <v>884.95</v>
      </c>
      <c r="N2702" s="116">
        <v>891</v>
      </c>
      <c r="O2702" s="116">
        <v>880.9</v>
      </c>
      <c r="P2702" s="116">
        <v>881</v>
      </c>
      <c r="Q2702" s="116">
        <v>884.95</v>
      </c>
      <c r="R2702">
        <v>370229</v>
      </c>
    </row>
    <row r="2703" spans="1:18" x14ac:dyDescent="0.25">
      <c r="A2703" s="170">
        <v>45986</v>
      </c>
      <c r="B2703" s="116">
        <v>154.1</v>
      </c>
      <c r="C2703" s="116">
        <v>151.25</v>
      </c>
      <c r="D2703" s="116">
        <v>148.5</v>
      </c>
      <c r="E2703" s="116">
        <v>149.75</v>
      </c>
      <c r="F2703" s="116">
        <v>151.25</v>
      </c>
      <c r="G2703">
        <v>143377</v>
      </c>
      <c r="H2703" s="116"/>
      <c r="I2703" s="116"/>
      <c r="L2703" s="170">
        <v>45985</v>
      </c>
      <c r="M2703" s="116">
        <v>890.2</v>
      </c>
      <c r="N2703" s="116">
        <v>894</v>
      </c>
      <c r="O2703" s="116">
        <v>882.3</v>
      </c>
      <c r="P2703" s="116">
        <v>890</v>
      </c>
      <c r="Q2703" s="116">
        <v>890.2</v>
      </c>
      <c r="R2703">
        <v>288040</v>
      </c>
    </row>
    <row r="2704" spans="1:18" x14ac:dyDescent="0.25">
      <c r="A2704" s="170">
        <v>45987</v>
      </c>
      <c r="B2704" s="116">
        <v>160</v>
      </c>
      <c r="C2704" s="116">
        <v>154.15</v>
      </c>
      <c r="D2704" s="116">
        <v>152.5</v>
      </c>
      <c r="E2704" s="116">
        <v>155</v>
      </c>
      <c r="F2704" s="116">
        <v>154.15</v>
      </c>
      <c r="G2704">
        <v>267974</v>
      </c>
      <c r="H2704" s="116"/>
      <c r="I2704" s="116"/>
      <c r="L2704" s="170">
        <v>45986</v>
      </c>
      <c r="M2704" s="116">
        <v>883.3</v>
      </c>
      <c r="N2704" s="116">
        <v>890.2</v>
      </c>
      <c r="O2704" s="116">
        <v>879.15</v>
      </c>
      <c r="P2704" s="116">
        <v>890.2</v>
      </c>
      <c r="Q2704" s="116">
        <v>883.3</v>
      </c>
      <c r="R2704">
        <v>80375</v>
      </c>
    </row>
    <row r="2705" spans="1:18" x14ac:dyDescent="0.25">
      <c r="A2705" s="170">
        <v>45988</v>
      </c>
      <c r="B2705" s="116">
        <v>158.35</v>
      </c>
      <c r="C2705" s="116">
        <v>154.55000000000001</v>
      </c>
      <c r="D2705" s="116">
        <v>154</v>
      </c>
      <c r="E2705" s="116">
        <v>155.19999999999999</v>
      </c>
      <c r="F2705" s="116">
        <v>154.55000000000001</v>
      </c>
      <c r="G2705">
        <v>154562</v>
      </c>
      <c r="H2705" s="116"/>
      <c r="I2705" s="116"/>
      <c r="L2705" s="170">
        <v>45987</v>
      </c>
      <c r="M2705" s="116">
        <v>889.85</v>
      </c>
      <c r="N2705" s="116">
        <v>905.9</v>
      </c>
      <c r="O2705" s="116">
        <v>884.1</v>
      </c>
      <c r="P2705" s="116">
        <v>886</v>
      </c>
      <c r="Q2705" s="116">
        <v>889.85</v>
      </c>
      <c r="R2705">
        <v>201907</v>
      </c>
    </row>
    <row r="2706" spans="1:18" x14ac:dyDescent="0.25">
      <c r="A2706" s="170">
        <v>45989</v>
      </c>
      <c r="B2706" s="116">
        <v>157.69999999999999</v>
      </c>
      <c r="C2706" s="116">
        <v>155.19999999999999</v>
      </c>
      <c r="D2706" s="116">
        <v>152</v>
      </c>
      <c r="E2706" s="116">
        <v>154.5</v>
      </c>
      <c r="F2706" s="116">
        <v>155.19999999999999</v>
      </c>
      <c r="G2706">
        <v>54493</v>
      </c>
      <c r="H2706" s="116"/>
      <c r="I2706" s="116"/>
      <c r="L2706" s="170">
        <v>45988</v>
      </c>
      <c r="M2706" s="116">
        <v>885.45</v>
      </c>
      <c r="N2706" s="116">
        <v>904</v>
      </c>
      <c r="O2706" s="116">
        <v>882.15</v>
      </c>
      <c r="P2706" s="116">
        <v>889.75</v>
      </c>
      <c r="Q2706" s="116">
        <v>885.45</v>
      </c>
      <c r="R2706">
        <v>151103</v>
      </c>
    </row>
    <row r="2707" spans="1:18" x14ac:dyDescent="0.25">
      <c r="A2707" s="170">
        <v>45992</v>
      </c>
      <c r="B2707" s="116">
        <v>160.44999999999999</v>
      </c>
      <c r="C2707" s="116">
        <v>156.6</v>
      </c>
      <c r="D2707" s="116">
        <v>156</v>
      </c>
      <c r="E2707" s="116">
        <v>157.19999999999999</v>
      </c>
      <c r="F2707" s="116">
        <v>156.6</v>
      </c>
      <c r="G2707">
        <v>76856</v>
      </c>
      <c r="H2707" s="116"/>
      <c r="I2707" s="116"/>
      <c r="L2707" s="170">
        <v>45989</v>
      </c>
      <c r="M2707" s="116">
        <v>884.55</v>
      </c>
      <c r="N2707" s="116">
        <v>888.5</v>
      </c>
      <c r="O2707" s="116">
        <v>880.25</v>
      </c>
      <c r="P2707" s="116">
        <v>888.5</v>
      </c>
      <c r="Q2707" s="116">
        <v>884.55</v>
      </c>
      <c r="R2707">
        <v>71489</v>
      </c>
    </row>
    <row r="2708" spans="1:18" x14ac:dyDescent="0.25">
      <c r="A2708" s="170">
        <v>45993</v>
      </c>
      <c r="B2708" s="116">
        <v>159.4</v>
      </c>
      <c r="C2708" s="116">
        <v>158.69999999999999</v>
      </c>
      <c r="D2708" s="116">
        <v>155.25</v>
      </c>
      <c r="E2708" s="116">
        <v>156.85</v>
      </c>
      <c r="F2708" s="116">
        <v>158.69999999999999</v>
      </c>
      <c r="G2708">
        <v>119356</v>
      </c>
      <c r="H2708" s="116"/>
      <c r="I2708" s="116"/>
      <c r="L2708" s="170">
        <v>45992</v>
      </c>
      <c r="M2708" s="116">
        <v>909.3</v>
      </c>
      <c r="N2708" s="116">
        <v>912.75</v>
      </c>
      <c r="O2708" s="116">
        <v>881.35</v>
      </c>
      <c r="P2708" s="116">
        <v>890.95</v>
      </c>
      <c r="Q2708" s="116">
        <v>909.3</v>
      </c>
      <c r="R2708">
        <v>239823</v>
      </c>
    </row>
    <row r="2709" spans="1:18" x14ac:dyDescent="0.25">
      <c r="A2709" s="170">
        <v>45994</v>
      </c>
      <c r="B2709">
        <v>159.94999999999999</v>
      </c>
      <c r="C2709">
        <v>152.94999999999999</v>
      </c>
      <c r="D2709">
        <v>152.30000000000001</v>
      </c>
      <c r="E2709">
        <v>159.94999999999999</v>
      </c>
      <c r="F2709">
        <v>152.94999999999999</v>
      </c>
      <c r="G2709">
        <v>52243</v>
      </c>
      <c r="H2709" s="116"/>
      <c r="I2709" s="116"/>
      <c r="L2709" s="170">
        <v>45993</v>
      </c>
      <c r="M2709" s="116">
        <v>903.7</v>
      </c>
      <c r="N2709" s="116">
        <v>918.35</v>
      </c>
      <c r="O2709" s="116">
        <v>894.05</v>
      </c>
      <c r="P2709" s="116">
        <v>909.95</v>
      </c>
      <c r="Q2709" s="116">
        <v>903.7</v>
      </c>
      <c r="R2709">
        <v>225016</v>
      </c>
    </row>
    <row r="2710" spans="1:18" x14ac:dyDescent="0.25">
      <c r="A2710" s="170">
        <v>45995</v>
      </c>
      <c r="B2710">
        <v>154.69999999999999</v>
      </c>
      <c r="C2710">
        <v>151.65</v>
      </c>
      <c r="D2710">
        <v>149.75</v>
      </c>
      <c r="E2710">
        <v>152.5</v>
      </c>
      <c r="F2710">
        <v>151.65</v>
      </c>
      <c r="G2710">
        <v>71725</v>
      </c>
      <c r="H2710" s="116"/>
      <c r="I2710" s="116"/>
      <c r="L2710" s="170">
        <v>45994</v>
      </c>
      <c r="M2710" s="116">
        <v>890.3</v>
      </c>
      <c r="N2710" s="116">
        <v>932</v>
      </c>
      <c r="O2710" s="116">
        <v>882</v>
      </c>
      <c r="P2710" s="116">
        <v>905</v>
      </c>
      <c r="Q2710" s="116">
        <v>890.3</v>
      </c>
      <c r="R2710">
        <v>604342</v>
      </c>
    </row>
    <row r="2711" spans="1:18" x14ac:dyDescent="0.25">
      <c r="A2711" s="170">
        <v>45996</v>
      </c>
      <c r="B2711">
        <v>151.5</v>
      </c>
      <c r="C2711">
        <v>148.05000000000001</v>
      </c>
      <c r="D2711">
        <v>147</v>
      </c>
      <c r="E2711">
        <v>150</v>
      </c>
      <c r="F2711">
        <v>148.05000000000001</v>
      </c>
      <c r="G2711">
        <v>142987</v>
      </c>
      <c r="H2711" s="116"/>
      <c r="I2711" s="116"/>
      <c r="L2711" s="170">
        <v>45995</v>
      </c>
      <c r="M2711" s="116">
        <v>892.75</v>
      </c>
      <c r="N2711" s="116">
        <v>897.35</v>
      </c>
      <c r="O2711" s="116">
        <v>883.1</v>
      </c>
      <c r="P2711" s="116">
        <v>883.1</v>
      </c>
      <c r="Q2711" s="116">
        <v>892.75</v>
      </c>
      <c r="R2711">
        <v>141113</v>
      </c>
    </row>
    <row r="2712" spans="1:18" x14ac:dyDescent="0.25">
      <c r="A2712" s="170">
        <v>45999</v>
      </c>
      <c r="B2712">
        <v>150.25</v>
      </c>
      <c r="C2712">
        <v>142.1</v>
      </c>
      <c r="D2712">
        <v>141</v>
      </c>
      <c r="E2712">
        <v>148.05000000000001</v>
      </c>
      <c r="F2712">
        <v>142.1</v>
      </c>
      <c r="G2712">
        <v>258545</v>
      </c>
      <c r="H2712" s="116"/>
      <c r="I2712" s="116"/>
      <c r="L2712" s="170">
        <v>45996</v>
      </c>
      <c r="M2712" s="116">
        <v>900.8</v>
      </c>
      <c r="N2712" s="116">
        <v>908</v>
      </c>
      <c r="O2712" s="116">
        <v>888.55</v>
      </c>
      <c r="P2712" s="116">
        <v>890.05</v>
      </c>
      <c r="Q2712" s="116">
        <v>900.8</v>
      </c>
      <c r="R2712">
        <v>195016</v>
      </c>
    </row>
    <row r="2713" spans="1:18" x14ac:dyDescent="0.25">
      <c r="A2713" s="170">
        <v>46000</v>
      </c>
      <c r="B2713">
        <v>143.65</v>
      </c>
      <c r="C2713">
        <v>142.69999999999999</v>
      </c>
      <c r="D2713">
        <v>137.15</v>
      </c>
      <c r="E2713">
        <v>139.65</v>
      </c>
      <c r="F2713">
        <v>142.69999999999999</v>
      </c>
      <c r="G2713">
        <v>182065</v>
      </c>
      <c r="H2713" s="116"/>
      <c r="I2713" s="116"/>
      <c r="L2713" s="170">
        <v>45999</v>
      </c>
      <c r="M2713" s="116">
        <v>913</v>
      </c>
      <c r="N2713" s="116">
        <v>932</v>
      </c>
      <c r="O2713" s="116">
        <v>901.7</v>
      </c>
      <c r="P2713" s="116">
        <v>901.7</v>
      </c>
      <c r="Q2713" s="116">
        <v>913</v>
      </c>
      <c r="R2713">
        <v>866927</v>
      </c>
    </row>
    <row r="2714" spans="1:18" x14ac:dyDescent="0.25">
      <c r="A2714" s="170">
        <v>46001</v>
      </c>
      <c r="B2714">
        <v>147.85</v>
      </c>
      <c r="C2714">
        <v>144.5</v>
      </c>
      <c r="D2714">
        <v>142.69999999999999</v>
      </c>
      <c r="E2714">
        <v>143.55000000000001</v>
      </c>
      <c r="F2714">
        <v>144.5</v>
      </c>
      <c r="G2714">
        <v>171808</v>
      </c>
      <c r="H2714" s="116"/>
      <c r="I2714" s="116"/>
      <c r="L2714" s="170">
        <v>46000</v>
      </c>
      <c r="M2714" s="116">
        <v>906.85</v>
      </c>
      <c r="N2714" s="116">
        <v>915.95</v>
      </c>
      <c r="O2714" s="116">
        <v>891.35</v>
      </c>
      <c r="P2714" s="116">
        <v>915.05</v>
      </c>
      <c r="Q2714" s="116">
        <v>906.85</v>
      </c>
      <c r="R2714">
        <v>270182</v>
      </c>
    </row>
    <row r="2715" spans="1:18" x14ac:dyDescent="0.25">
      <c r="A2715" s="170">
        <v>46002</v>
      </c>
      <c r="B2715">
        <v>151.9</v>
      </c>
      <c r="C2715">
        <v>147.35</v>
      </c>
      <c r="D2715">
        <v>142.19999999999999</v>
      </c>
      <c r="E2715">
        <v>144.65</v>
      </c>
      <c r="F2715">
        <v>147.35</v>
      </c>
      <c r="G2715">
        <v>122000</v>
      </c>
      <c r="H2715" s="116"/>
      <c r="I2715" s="116"/>
      <c r="L2715" s="170">
        <v>46001</v>
      </c>
      <c r="M2715" s="116">
        <v>902.2</v>
      </c>
      <c r="N2715" s="116">
        <v>922</v>
      </c>
      <c r="O2715" s="116">
        <v>898</v>
      </c>
      <c r="P2715" s="116">
        <v>907.95</v>
      </c>
      <c r="Q2715" s="116">
        <v>902.2</v>
      </c>
      <c r="R2715">
        <v>139477</v>
      </c>
    </row>
    <row r="2716" spans="1:18" x14ac:dyDescent="0.25">
      <c r="A2716" s="170">
        <v>46003</v>
      </c>
      <c r="B2716">
        <v>153.6</v>
      </c>
      <c r="C2716">
        <v>152.4</v>
      </c>
      <c r="D2716">
        <v>147.94999999999999</v>
      </c>
      <c r="E2716">
        <v>147.94999999999999</v>
      </c>
      <c r="F2716">
        <v>152.4</v>
      </c>
      <c r="G2716">
        <v>115699</v>
      </c>
      <c r="H2716" s="116"/>
      <c r="I2716" s="116"/>
      <c r="L2716" s="170">
        <v>46002</v>
      </c>
      <c r="M2716" s="116">
        <v>905.1</v>
      </c>
      <c r="N2716" s="116">
        <v>915.95</v>
      </c>
      <c r="O2716" s="116">
        <v>893.9</v>
      </c>
      <c r="P2716" s="116">
        <v>904.45</v>
      </c>
      <c r="Q2716" s="116">
        <v>905.1</v>
      </c>
      <c r="R2716">
        <v>167174</v>
      </c>
    </row>
    <row r="2717" spans="1:18" x14ac:dyDescent="0.25">
      <c r="A2717" s="170">
        <v>46006</v>
      </c>
      <c r="B2717">
        <v>153.6</v>
      </c>
      <c r="C2717">
        <v>153</v>
      </c>
      <c r="D2717">
        <v>150.25</v>
      </c>
      <c r="E2717">
        <v>152.94999999999999</v>
      </c>
      <c r="F2717">
        <v>153</v>
      </c>
      <c r="G2717">
        <v>56291</v>
      </c>
      <c r="H2717" s="116"/>
      <c r="I2717" s="116"/>
      <c r="L2717" s="170">
        <v>46003</v>
      </c>
      <c r="M2717" s="116">
        <v>915.4</v>
      </c>
      <c r="N2717" s="116">
        <v>918.35</v>
      </c>
      <c r="O2717" s="116">
        <v>909.7</v>
      </c>
      <c r="P2717" s="116">
        <v>909.7</v>
      </c>
      <c r="Q2717" s="116">
        <v>915.4</v>
      </c>
      <c r="R2717">
        <v>158979</v>
      </c>
    </row>
    <row r="2718" spans="1:18" x14ac:dyDescent="0.25">
      <c r="A2718" s="170">
        <v>46007</v>
      </c>
      <c r="B2718">
        <v>153.9</v>
      </c>
      <c r="C2718">
        <v>149.65</v>
      </c>
      <c r="D2718">
        <v>149.15</v>
      </c>
      <c r="E2718">
        <v>153.9</v>
      </c>
      <c r="F2718">
        <v>149.65</v>
      </c>
      <c r="G2718">
        <v>28845</v>
      </c>
      <c r="H2718" s="116"/>
      <c r="I2718" s="116"/>
      <c r="L2718" s="170">
        <v>46006</v>
      </c>
      <c r="M2718" s="116">
        <v>919.3</v>
      </c>
      <c r="N2718" s="116">
        <v>928.2</v>
      </c>
      <c r="O2718" s="116">
        <v>913.3</v>
      </c>
      <c r="P2718" s="116">
        <v>919</v>
      </c>
      <c r="Q2718" s="116">
        <v>919.3</v>
      </c>
      <c r="R2718">
        <v>164025</v>
      </c>
    </row>
    <row r="2719" spans="1:18" x14ac:dyDescent="0.25">
      <c r="A2719" s="170">
        <v>46008</v>
      </c>
      <c r="B2719">
        <v>150</v>
      </c>
      <c r="C2719">
        <v>146.65</v>
      </c>
      <c r="D2719">
        <v>146</v>
      </c>
      <c r="E2719">
        <v>149.05000000000001</v>
      </c>
      <c r="F2719">
        <v>146.65</v>
      </c>
      <c r="G2719">
        <v>43334</v>
      </c>
      <c r="H2719" s="116"/>
      <c r="I2719" s="116"/>
      <c r="L2719" s="170">
        <v>46007</v>
      </c>
      <c r="M2719" s="116">
        <v>916.55</v>
      </c>
      <c r="N2719" s="116">
        <v>922.95</v>
      </c>
      <c r="O2719" s="116">
        <v>912.25</v>
      </c>
      <c r="P2719" s="116">
        <v>920.5</v>
      </c>
      <c r="Q2719" s="116">
        <v>916.55</v>
      </c>
      <c r="R2719">
        <v>132578</v>
      </c>
    </row>
    <row r="2720" spans="1:18" x14ac:dyDescent="0.25">
      <c r="A2720" s="170">
        <v>46009</v>
      </c>
      <c r="B2720">
        <v>150.44999999999999</v>
      </c>
      <c r="C2720">
        <v>146.35</v>
      </c>
      <c r="D2720">
        <v>145.75</v>
      </c>
      <c r="E2720">
        <v>147</v>
      </c>
      <c r="F2720">
        <v>146.35</v>
      </c>
      <c r="G2720">
        <v>59228</v>
      </c>
      <c r="H2720" s="116"/>
      <c r="I2720" s="116"/>
      <c r="L2720" s="170">
        <v>46008</v>
      </c>
      <c r="M2720" s="116">
        <v>924.1</v>
      </c>
      <c r="N2720" s="116">
        <v>928</v>
      </c>
      <c r="O2720" s="116">
        <v>915</v>
      </c>
      <c r="P2720" s="116">
        <v>920</v>
      </c>
      <c r="Q2720" s="116">
        <v>924.1</v>
      </c>
      <c r="R2720">
        <v>116861</v>
      </c>
    </row>
    <row r="2721" spans="1:18" x14ac:dyDescent="0.25">
      <c r="A2721" s="170">
        <v>46010</v>
      </c>
      <c r="B2721">
        <v>155.80000000000001</v>
      </c>
      <c r="C2721">
        <v>153.5</v>
      </c>
      <c r="D2721">
        <v>146.85</v>
      </c>
      <c r="E2721">
        <v>149.9</v>
      </c>
      <c r="F2721">
        <v>153.5</v>
      </c>
      <c r="G2721">
        <v>92416</v>
      </c>
      <c r="H2721" s="116"/>
      <c r="I2721" s="116"/>
      <c r="L2721" s="170">
        <v>46009</v>
      </c>
      <c r="M2721" s="116">
        <v>923.45</v>
      </c>
      <c r="N2721" s="116">
        <v>933</v>
      </c>
      <c r="O2721" s="116">
        <v>919.1</v>
      </c>
      <c r="P2721" s="116">
        <v>928.8</v>
      </c>
      <c r="Q2721" s="116">
        <v>923.45</v>
      </c>
      <c r="R2721">
        <v>149861</v>
      </c>
    </row>
    <row r="2722" spans="1:18" x14ac:dyDescent="0.25">
      <c r="A2722" s="170">
        <v>46013</v>
      </c>
      <c r="B2722">
        <v>160.35</v>
      </c>
      <c r="C2722">
        <v>159.1</v>
      </c>
      <c r="D2722">
        <v>154.9</v>
      </c>
      <c r="E2722">
        <v>155.30000000000001</v>
      </c>
      <c r="F2722">
        <v>159.1</v>
      </c>
      <c r="G2722">
        <v>135381</v>
      </c>
      <c r="H2722" s="116"/>
      <c r="I2722" s="116"/>
      <c r="L2722" s="170">
        <v>46010</v>
      </c>
      <c r="M2722" s="116">
        <v>936.6</v>
      </c>
      <c r="N2722" s="116">
        <v>938.9</v>
      </c>
      <c r="O2722" s="116">
        <v>905</v>
      </c>
      <c r="P2722" s="116">
        <v>905</v>
      </c>
      <c r="Q2722" s="116">
        <v>936.6</v>
      </c>
      <c r="R2722">
        <v>296202</v>
      </c>
    </row>
    <row r="2723" spans="1:18" x14ac:dyDescent="0.25">
      <c r="A2723" s="170">
        <v>46014</v>
      </c>
      <c r="B2723">
        <v>163.80000000000001</v>
      </c>
      <c r="C2723">
        <v>162.6</v>
      </c>
      <c r="D2723">
        <v>158.4</v>
      </c>
      <c r="E2723">
        <v>160.44999999999999</v>
      </c>
      <c r="F2723">
        <v>162.6</v>
      </c>
      <c r="G2723">
        <v>188977</v>
      </c>
      <c r="H2723" s="116"/>
      <c r="I2723" s="116"/>
    </row>
    <row r="2724" spans="1:18" x14ac:dyDescent="0.25">
      <c r="A2724" s="170">
        <v>46015</v>
      </c>
      <c r="B2724">
        <v>164.6</v>
      </c>
      <c r="C2724">
        <v>161.65</v>
      </c>
      <c r="D2724">
        <v>160.4</v>
      </c>
      <c r="E2724">
        <v>163.75</v>
      </c>
      <c r="F2724">
        <v>161.65</v>
      </c>
      <c r="G2724">
        <v>105624</v>
      </c>
      <c r="H2724" s="116"/>
      <c r="I2724" s="116"/>
    </row>
    <row r="2725" spans="1:18" x14ac:dyDescent="0.25">
      <c r="A2725" s="170">
        <v>46017</v>
      </c>
      <c r="B2725">
        <v>163.65</v>
      </c>
      <c r="C2725">
        <v>159.85</v>
      </c>
      <c r="D2725">
        <v>158.69999999999999</v>
      </c>
      <c r="E2725">
        <v>162.19999999999999</v>
      </c>
      <c r="F2725">
        <v>159.85</v>
      </c>
      <c r="G2725">
        <v>92065</v>
      </c>
      <c r="H2725" s="116"/>
      <c r="I2725" s="116"/>
    </row>
    <row r="2726" spans="1:18" x14ac:dyDescent="0.25">
      <c r="A2726" s="170">
        <v>46020</v>
      </c>
      <c r="B2726">
        <v>162.05000000000001</v>
      </c>
      <c r="C2726">
        <v>155.5</v>
      </c>
      <c r="D2726">
        <v>154.65</v>
      </c>
      <c r="E2726">
        <v>161.65</v>
      </c>
      <c r="F2726">
        <v>155.5</v>
      </c>
      <c r="G2726">
        <v>116006</v>
      </c>
      <c r="H2726" s="116"/>
      <c r="I2726" s="116"/>
    </row>
    <row r="2727" spans="1:18" x14ac:dyDescent="0.25">
      <c r="A2727" s="170">
        <v>46021</v>
      </c>
      <c r="B2727">
        <v>157.69999999999999</v>
      </c>
      <c r="C2727">
        <v>155.55000000000001</v>
      </c>
      <c r="D2727">
        <v>154.19999999999999</v>
      </c>
      <c r="E2727">
        <v>156.05000000000001</v>
      </c>
      <c r="F2727">
        <v>155.55000000000001</v>
      </c>
      <c r="G2727">
        <v>66027</v>
      </c>
      <c r="H2727" s="116"/>
      <c r="I2727" s="116"/>
    </row>
    <row r="2728" spans="1:18" x14ac:dyDescent="0.25">
      <c r="A2728" s="170">
        <v>46022</v>
      </c>
      <c r="B2728">
        <v>159</v>
      </c>
      <c r="C2728">
        <v>157.6</v>
      </c>
      <c r="D2728">
        <v>155.44999999999999</v>
      </c>
      <c r="E2728">
        <v>155.55000000000001</v>
      </c>
      <c r="F2728">
        <v>157.6</v>
      </c>
      <c r="G2728">
        <v>81383</v>
      </c>
      <c r="H2728" s="116"/>
      <c r="I2728" s="116"/>
    </row>
    <row r="2729" spans="1:18" x14ac:dyDescent="0.25">
      <c r="A2729" s="170">
        <v>46023</v>
      </c>
      <c r="B2729">
        <v>159.65</v>
      </c>
      <c r="C2729">
        <v>156.65</v>
      </c>
      <c r="D2729">
        <v>154.05000000000001</v>
      </c>
      <c r="E2729">
        <v>156</v>
      </c>
      <c r="F2729">
        <v>156.65</v>
      </c>
      <c r="G2729">
        <v>56881</v>
      </c>
      <c r="H2729" s="116"/>
      <c r="I2729" s="116"/>
    </row>
    <row r="2730" spans="1:18" x14ac:dyDescent="0.25">
      <c r="A2730" s="170">
        <v>46024</v>
      </c>
      <c r="B2730">
        <v>159.15</v>
      </c>
      <c r="C2730">
        <v>157.69999999999999</v>
      </c>
      <c r="D2730">
        <v>155</v>
      </c>
      <c r="E2730">
        <v>155</v>
      </c>
      <c r="F2730">
        <v>157.69999999999999</v>
      </c>
      <c r="G2730">
        <v>60415</v>
      </c>
      <c r="H2730" s="116"/>
      <c r="I2730" s="116"/>
    </row>
    <row r="2731" spans="1:18" x14ac:dyDescent="0.25">
      <c r="A2731" s="170">
        <v>46027</v>
      </c>
      <c r="B2731">
        <v>161.35</v>
      </c>
      <c r="C2731">
        <v>157.44999999999999</v>
      </c>
      <c r="D2731">
        <v>157.1</v>
      </c>
      <c r="E2731">
        <v>158.5</v>
      </c>
      <c r="F2731">
        <v>157.44999999999999</v>
      </c>
      <c r="G2731">
        <v>99748</v>
      </c>
      <c r="H2731" s="116"/>
      <c r="I2731" s="116"/>
    </row>
    <row r="2732" spans="1:18" x14ac:dyDescent="0.25">
      <c r="A2732" s="170">
        <v>46028</v>
      </c>
      <c r="B2732">
        <v>160.4</v>
      </c>
      <c r="C2732">
        <v>155.85</v>
      </c>
      <c r="D2732">
        <v>154.55000000000001</v>
      </c>
      <c r="E2732">
        <v>160.4</v>
      </c>
      <c r="F2732">
        <v>155.85</v>
      </c>
      <c r="G2732">
        <v>42237</v>
      </c>
      <c r="H2732" s="116"/>
      <c r="I2732" s="116"/>
    </row>
    <row r="2733" spans="1:18" x14ac:dyDescent="0.25">
      <c r="A2733" s="170">
        <v>46029</v>
      </c>
      <c r="B2733">
        <v>164.8</v>
      </c>
      <c r="C2733">
        <v>163.75</v>
      </c>
      <c r="D2733">
        <v>154.55000000000001</v>
      </c>
      <c r="E2733">
        <v>156.94999999999999</v>
      </c>
      <c r="F2733">
        <v>163.75</v>
      </c>
      <c r="G2733">
        <v>210684</v>
      </c>
      <c r="H2733" s="116"/>
      <c r="I2733" s="116"/>
    </row>
    <row r="2734" spans="1:18" x14ac:dyDescent="0.25">
      <c r="A2734" s="170">
        <v>46030</v>
      </c>
      <c r="B2734">
        <v>169.45</v>
      </c>
      <c r="C2734">
        <v>163.85</v>
      </c>
      <c r="D2734">
        <v>161.30000000000001</v>
      </c>
      <c r="E2734">
        <v>163.95</v>
      </c>
      <c r="F2734">
        <v>163.85</v>
      </c>
      <c r="G2734">
        <v>199861</v>
      </c>
      <c r="H2734" s="116"/>
      <c r="I2734" s="116"/>
    </row>
    <row r="2735" spans="1:18" x14ac:dyDescent="0.25">
      <c r="A2735" s="170">
        <v>46031</v>
      </c>
      <c r="B2735">
        <v>164.15</v>
      </c>
      <c r="C2735">
        <v>156.65</v>
      </c>
      <c r="D2735">
        <v>155.69999999999999</v>
      </c>
      <c r="E2735">
        <v>162.30000000000001</v>
      </c>
      <c r="F2735">
        <v>156.65</v>
      </c>
      <c r="G2735">
        <v>118121</v>
      </c>
      <c r="H2735" s="116"/>
      <c r="I2735" s="116"/>
    </row>
    <row r="2736" spans="1:18" x14ac:dyDescent="0.25">
      <c r="A2736" s="170">
        <v>46034</v>
      </c>
      <c r="B2736">
        <v>157.35</v>
      </c>
      <c r="C2736">
        <v>155.69999999999999</v>
      </c>
      <c r="D2736">
        <v>151.4</v>
      </c>
      <c r="E2736">
        <v>153.30000000000001</v>
      </c>
      <c r="F2736">
        <v>155.69999999999999</v>
      </c>
      <c r="G2736">
        <v>103277</v>
      </c>
      <c r="H2736" s="116"/>
      <c r="I2736" s="116"/>
    </row>
    <row r="2737" spans="1:9" x14ac:dyDescent="0.25">
      <c r="A2737" s="170">
        <v>46035</v>
      </c>
      <c r="B2737">
        <v>158.25</v>
      </c>
      <c r="C2737">
        <v>152.65</v>
      </c>
      <c r="D2737">
        <v>151.94999999999999</v>
      </c>
      <c r="E2737">
        <v>155.65</v>
      </c>
      <c r="F2737">
        <v>152.65</v>
      </c>
      <c r="G2737">
        <v>62139</v>
      </c>
      <c r="H2737" s="116"/>
      <c r="I2737" s="116"/>
    </row>
    <row r="2738" spans="1:9" x14ac:dyDescent="0.25">
      <c r="A2738" s="170">
        <v>46036</v>
      </c>
      <c r="B2738">
        <v>154.25</v>
      </c>
      <c r="C2738">
        <v>152.15</v>
      </c>
      <c r="D2738">
        <v>151.35</v>
      </c>
      <c r="E2738">
        <v>152.5</v>
      </c>
      <c r="F2738">
        <v>152.15</v>
      </c>
      <c r="G2738">
        <v>47566</v>
      </c>
      <c r="H2738" s="116"/>
      <c r="I2738" s="116"/>
    </row>
    <row r="2739" spans="1:9" x14ac:dyDescent="0.25">
      <c r="A2739" s="170">
        <v>46038</v>
      </c>
      <c r="B2739">
        <v>153.19999999999999</v>
      </c>
      <c r="C2739">
        <v>150.35</v>
      </c>
      <c r="D2739">
        <v>149.69999999999999</v>
      </c>
      <c r="E2739">
        <v>152.65</v>
      </c>
      <c r="F2739">
        <v>150.35</v>
      </c>
      <c r="G2739">
        <v>91803</v>
      </c>
      <c r="H2739" s="116"/>
      <c r="I2739" s="116"/>
    </row>
    <row r="2740" spans="1:9" x14ac:dyDescent="0.25">
      <c r="A2740" s="170">
        <v>46041</v>
      </c>
      <c r="B2740">
        <v>150.19999999999999</v>
      </c>
      <c r="C2740">
        <v>146.9</v>
      </c>
      <c r="D2740">
        <v>146.19999999999999</v>
      </c>
      <c r="E2740">
        <v>148.55000000000001</v>
      </c>
      <c r="F2740">
        <v>146.9</v>
      </c>
      <c r="G2740">
        <v>83767</v>
      </c>
      <c r="H2740" s="116"/>
      <c r="I2740" s="116"/>
    </row>
    <row r="2741" spans="1:9" x14ac:dyDescent="0.25">
      <c r="A2741" s="170">
        <v>46042</v>
      </c>
      <c r="B2741">
        <v>147.35</v>
      </c>
      <c r="C2741">
        <v>138.19999999999999</v>
      </c>
      <c r="D2741">
        <v>137</v>
      </c>
      <c r="E2741">
        <v>147.35</v>
      </c>
      <c r="F2741">
        <v>138.19999999999999</v>
      </c>
      <c r="G2741">
        <v>139238</v>
      </c>
      <c r="H2741" s="116"/>
      <c r="I2741" s="116"/>
    </row>
    <row r="2742" spans="1:9" x14ac:dyDescent="0.25">
      <c r="A2742" s="170">
        <v>46043</v>
      </c>
      <c r="B2742">
        <v>140.05000000000001</v>
      </c>
      <c r="C2742">
        <v>134.5</v>
      </c>
      <c r="D2742">
        <v>133.30000000000001</v>
      </c>
      <c r="E2742">
        <v>136.69999999999999</v>
      </c>
      <c r="F2742">
        <v>134.5</v>
      </c>
      <c r="G2742">
        <v>232283</v>
      </c>
      <c r="H2742" s="116"/>
      <c r="I2742" s="116"/>
    </row>
    <row r="2743" spans="1:9" x14ac:dyDescent="0.25">
      <c r="A2743" s="170">
        <v>46044</v>
      </c>
      <c r="B2743">
        <v>144.19999999999999</v>
      </c>
      <c r="C2743">
        <v>141.9</v>
      </c>
      <c r="D2743">
        <v>135.30000000000001</v>
      </c>
      <c r="E2743">
        <v>135.30000000000001</v>
      </c>
      <c r="F2743">
        <v>141.9</v>
      </c>
      <c r="G2743">
        <v>152808</v>
      </c>
      <c r="H2743" s="116"/>
      <c r="I2743" s="116"/>
    </row>
    <row r="2744" spans="1:9" x14ac:dyDescent="0.25">
      <c r="A2744" s="170">
        <v>46045</v>
      </c>
      <c r="B2744">
        <v>143.5</v>
      </c>
      <c r="C2744">
        <v>136.35</v>
      </c>
      <c r="D2744">
        <v>135</v>
      </c>
      <c r="E2744">
        <v>142.5</v>
      </c>
      <c r="F2744">
        <v>136.35</v>
      </c>
      <c r="G2744">
        <v>73676</v>
      </c>
      <c r="H2744" s="116"/>
      <c r="I2744" s="116"/>
    </row>
    <row r="2745" spans="1:9" x14ac:dyDescent="0.25">
      <c r="A2745" s="170">
        <v>46049</v>
      </c>
      <c r="B2745">
        <v>131.25</v>
      </c>
      <c r="C2745">
        <v>127.35</v>
      </c>
      <c r="D2745">
        <v>122.05</v>
      </c>
      <c r="E2745">
        <v>122.05</v>
      </c>
      <c r="F2745">
        <v>127.35</v>
      </c>
      <c r="G2745">
        <v>514493</v>
      </c>
      <c r="H2745" s="116"/>
      <c r="I2745" s="116"/>
    </row>
    <row r="2746" spans="1:9" x14ac:dyDescent="0.25">
      <c r="A2746" s="170">
        <v>46050</v>
      </c>
      <c r="B2746">
        <v>146</v>
      </c>
      <c r="C2746">
        <v>143.55000000000001</v>
      </c>
      <c r="D2746">
        <v>127.3</v>
      </c>
      <c r="E2746">
        <v>127.35</v>
      </c>
      <c r="F2746">
        <v>143.55000000000001</v>
      </c>
      <c r="G2746">
        <v>389998</v>
      </c>
      <c r="H2746" s="116"/>
      <c r="I2746" s="116"/>
    </row>
    <row r="2747" spans="1:9" x14ac:dyDescent="0.25">
      <c r="A2747" s="170">
        <v>46051</v>
      </c>
      <c r="B2747">
        <v>149.4</v>
      </c>
      <c r="C2747">
        <v>148.65</v>
      </c>
      <c r="D2747">
        <v>141.44999999999999</v>
      </c>
      <c r="E2747">
        <v>144.6</v>
      </c>
      <c r="F2747">
        <v>148.65</v>
      </c>
      <c r="G2747">
        <v>147179</v>
      </c>
      <c r="H2747" s="116"/>
      <c r="I2747" s="116"/>
    </row>
    <row r="2748" spans="1:9" x14ac:dyDescent="0.25">
      <c r="A2748" s="170">
        <v>46052</v>
      </c>
      <c r="B2748">
        <v>158.1</v>
      </c>
      <c r="C2748">
        <v>155.55000000000001</v>
      </c>
      <c r="D2748">
        <v>145.85</v>
      </c>
      <c r="E2748">
        <v>148.55000000000001</v>
      </c>
      <c r="F2748">
        <v>155.55000000000001</v>
      </c>
      <c r="G2748">
        <v>185812</v>
      </c>
      <c r="H2748" s="116"/>
      <c r="I2748" s="116"/>
    </row>
    <row r="2749" spans="1:9" x14ac:dyDescent="0.25">
      <c r="A2749" s="170">
        <v>46054</v>
      </c>
      <c r="B2749">
        <v>162.05000000000001</v>
      </c>
      <c r="C2749">
        <v>146.05000000000001</v>
      </c>
      <c r="D2749">
        <v>140.44999999999999</v>
      </c>
      <c r="E2749">
        <v>155.6</v>
      </c>
      <c r="F2749">
        <v>146.05000000000001</v>
      </c>
      <c r="G2749">
        <v>317120</v>
      </c>
      <c r="H2749" s="116"/>
      <c r="I2749" s="116"/>
    </row>
    <row r="2750" spans="1:9" x14ac:dyDescent="0.25">
      <c r="A2750" s="170">
        <v>46055</v>
      </c>
      <c r="B2750">
        <v>156</v>
      </c>
      <c r="C2750">
        <v>155.44999999999999</v>
      </c>
      <c r="D2750">
        <v>147.65</v>
      </c>
      <c r="E2750">
        <v>147.65</v>
      </c>
      <c r="F2750">
        <v>155.44999999999999</v>
      </c>
      <c r="G2750">
        <v>168977</v>
      </c>
      <c r="H2750" s="116"/>
      <c r="I2750" s="116"/>
    </row>
    <row r="2751" spans="1:9" x14ac:dyDescent="0.25">
      <c r="A2751" s="170">
        <v>46056</v>
      </c>
      <c r="B2751">
        <v>162.44999999999999</v>
      </c>
      <c r="C2751">
        <v>152.65</v>
      </c>
      <c r="D2751">
        <v>151.5</v>
      </c>
      <c r="E2751">
        <v>162.30000000000001</v>
      </c>
      <c r="F2751">
        <v>152.65</v>
      </c>
      <c r="G2751">
        <v>206863</v>
      </c>
      <c r="H2751" s="116"/>
      <c r="I2751" s="116"/>
    </row>
    <row r="2752" spans="1:9" x14ac:dyDescent="0.25">
      <c r="A2752" s="170">
        <v>46057</v>
      </c>
      <c r="B2752">
        <v>156.19999999999999</v>
      </c>
      <c r="C2752">
        <v>152.30000000000001</v>
      </c>
      <c r="D2752">
        <v>151</v>
      </c>
      <c r="E2752">
        <v>152.44999999999999</v>
      </c>
      <c r="F2752">
        <v>152.30000000000001</v>
      </c>
      <c r="G2752">
        <v>82361</v>
      </c>
      <c r="H2752" s="116"/>
      <c r="I2752" s="116"/>
    </row>
    <row r="2753" spans="1:9" x14ac:dyDescent="0.25">
      <c r="A2753" s="170">
        <v>46058</v>
      </c>
      <c r="B2753">
        <v>153</v>
      </c>
      <c r="C2753">
        <v>150.5</v>
      </c>
      <c r="D2753">
        <v>148.94999999999999</v>
      </c>
      <c r="E2753">
        <v>152</v>
      </c>
      <c r="F2753">
        <v>150.5</v>
      </c>
      <c r="G2753">
        <v>61761</v>
      </c>
      <c r="H2753" s="116"/>
      <c r="I2753" s="116"/>
    </row>
    <row r="2754" spans="1:9" x14ac:dyDescent="0.25">
      <c r="A2754" s="170">
        <v>46059</v>
      </c>
      <c r="B2754">
        <v>149.94999999999999</v>
      </c>
      <c r="C2754">
        <v>148.55000000000001</v>
      </c>
      <c r="D2754">
        <v>144.85</v>
      </c>
      <c r="E2754">
        <v>146.44999999999999</v>
      </c>
      <c r="F2754">
        <v>148.55000000000001</v>
      </c>
      <c r="G2754">
        <v>69839</v>
      </c>
      <c r="H2754" s="116"/>
      <c r="I2754" s="116"/>
    </row>
    <row r="2755" spans="1:9" x14ac:dyDescent="0.25">
      <c r="A2755" s="170">
        <v>46062</v>
      </c>
      <c r="B2755">
        <v>154.19999999999999</v>
      </c>
      <c r="C2755">
        <v>151.94999999999999</v>
      </c>
      <c r="D2755">
        <v>149.94999999999999</v>
      </c>
      <c r="E2755">
        <v>151</v>
      </c>
      <c r="F2755">
        <v>151.94999999999999</v>
      </c>
      <c r="G2755">
        <v>83453</v>
      </c>
      <c r="H2755" s="116"/>
      <c r="I2755" s="116"/>
    </row>
    <row r="2756" spans="1:9" x14ac:dyDescent="0.25">
      <c r="A2756" s="170">
        <v>46063</v>
      </c>
      <c r="B2756">
        <v>154.5</v>
      </c>
      <c r="C2756">
        <v>150.55000000000001</v>
      </c>
      <c r="D2756">
        <v>149.80000000000001</v>
      </c>
      <c r="E2756">
        <v>151.75</v>
      </c>
      <c r="F2756">
        <v>150.55000000000001</v>
      </c>
      <c r="G2756">
        <v>68041</v>
      </c>
      <c r="H2756" s="116"/>
      <c r="I2756" s="116"/>
    </row>
    <row r="2757" spans="1:9" x14ac:dyDescent="0.25">
      <c r="A2757" s="170">
        <v>46064</v>
      </c>
      <c r="B2757">
        <v>161.9</v>
      </c>
      <c r="C2757">
        <v>154.5</v>
      </c>
      <c r="D2757">
        <v>149.19999999999999</v>
      </c>
      <c r="E2757">
        <v>151.75</v>
      </c>
      <c r="F2757">
        <v>154.5</v>
      </c>
      <c r="G2757">
        <v>263181</v>
      </c>
      <c r="H2757" s="116"/>
      <c r="I2757" s="116"/>
    </row>
    <row r="2758" spans="1:9" x14ac:dyDescent="0.25">
      <c r="A2758" s="170">
        <v>46065</v>
      </c>
      <c r="B2758">
        <v>154.55000000000001</v>
      </c>
      <c r="C2758">
        <v>151.19999999999999</v>
      </c>
      <c r="D2758">
        <v>150.5</v>
      </c>
      <c r="E2758">
        <v>154.55000000000001</v>
      </c>
      <c r="F2758">
        <v>151.19999999999999</v>
      </c>
      <c r="G2758">
        <v>57445</v>
      </c>
      <c r="H2758" s="116"/>
      <c r="I2758" s="116"/>
    </row>
    <row r="2759" spans="1:9" x14ac:dyDescent="0.25">
      <c r="A2759" s="170">
        <v>46066</v>
      </c>
      <c r="B2759">
        <v>154.35</v>
      </c>
      <c r="C2759">
        <v>151.85</v>
      </c>
      <c r="D2759">
        <v>147.30000000000001</v>
      </c>
      <c r="E2759">
        <v>149.9</v>
      </c>
      <c r="F2759">
        <v>151.85</v>
      </c>
      <c r="G2759">
        <v>71190</v>
      </c>
      <c r="H2759" s="116"/>
      <c r="I2759" s="116"/>
    </row>
    <row r="2760" spans="1:9" x14ac:dyDescent="0.25">
      <c r="A2760" s="170">
        <v>46069</v>
      </c>
      <c r="B2760">
        <v>152.5</v>
      </c>
      <c r="C2760">
        <v>149.94999999999999</v>
      </c>
      <c r="D2760">
        <v>149.30000000000001</v>
      </c>
      <c r="E2760">
        <v>149.30000000000001</v>
      </c>
      <c r="F2760">
        <v>149.94999999999999</v>
      </c>
      <c r="G2760">
        <v>31051</v>
      </c>
      <c r="H2760" s="116"/>
      <c r="I2760" s="116"/>
    </row>
    <row r="2761" spans="1:9" x14ac:dyDescent="0.25">
      <c r="A2761" s="170">
        <v>46070</v>
      </c>
      <c r="B2761">
        <v>152.1</v>
      </c>
      <c r="C2761">
        <v>149.75</v>
      </c>
      <c r="D2761">
        <v>149.1</v>
      </c>
      <c r="E2761">
        <v>150.65</v>
      </c>
      <c r="F2761">
        <v>149.75</v>
      </c>
      <c r="G2761">
        <v>28930</v>
      </c>
      <c r="H2761" s="116"/>
      <c r="I2761" s="116"/>
    </row>
    <row r="2762" spans="1:9" x14ac:dyDescent="0.25">
      <c r="A2762" s="170">
        <v>46071</v>
      </c>
      <c r="B2762">
        <v>151.1</v>
      </c>
      <c r="C2762">
        <v>149.69999999999999</v>
      </c>
      <c r="D2762">
        <v>149.35</v>
      </c>
      <c r="E2762">
        <v>149.9</v>
      </c>
      <c r="F2762">
        <v>149.69999999999999</v>
      </c>
      <c r="G2762">
        <v>29617</v>
      </c>
      <c r="H2762" s="116"/>
      <c r="I2762" s="116"/>
    </row>
    <row r="2763" spans="1:9" x14ac:dyDescent="0.25">
      <c r="A2763" s="170">
        <v>46072</v>
      </c>
      <c r="B2763">
        <v>151.19999999999999</v>
      </c>
      <c r="C2763">
        <v>147.44999999999999</v>
      </c>
      <c r="D2763">
        <v>145.25</v>
      </c>
      <c r="E2763">
        <v>150.69999999999999</v>
      </c>
      <c r="F2763">
        <v>147.44999999999999</v>
      </c>
      <c r="G2763">
        <v>41654</v>
      </c>
      <c r="H2763" s="116"/>
      <c r="I2763" s="116"/>
    </row>
    <row r="2764" spans="1:9" x14ac:dyDescent="0.25">
      <c r="A2764" s="170">
        <v>46073</v>
      </c>
      <c r="B2764">
        <v>149.85</v>
      </c>
      <c r="C2764">
        <v>145.75</v>
      </c>
      <c r="D2764">
        <v>145</v>
      </c>
      <c r="E2764">
        <v>145.94999999999999</v>
      </c>
      <c r="F2764">
        <v>145.75</v>
      </c>
      <c r="G2764">
        <v>34860</v>
      </c>
      <c r="H2764" s="116"/>
      <c r="I2764" s="116"/>
    </row>
    <row r="2765" spans="1:9" x14ac:dyDescent="0.25">
      <c r="A2765" s="170">
        <v>46076</v>
      </c>
      <c r="B2765">
        <v>147.5</v>
      </c>
      <c r="C2765">
        <v>144.30000000000001</v>
      </c>
      <c r="D2765">
        <v>143.15</v>
      </c>
      <c r="E2765">
        <v>145.6</v>
      </c>
      <c r="F2765">
        <v>144.30000000000001</v>
      </c>
      <c r="G2765">
        <v>31784</v>
      </c>
      <c r="H2765" s="116"/>
      <c r="I2765" s="116"/>
    </row>
    <row r="2766" spans="1:9" x14ac:dyDescent="0.25">
      <c r="A2766" s="170">
        <v>46077</v>
      </c>
      <c r="B2766">
        <v>145.65</v>
      </c>
      <c r="C2766">
        <v>144.5</v>
      </c>
      <c r="D2766">
        <v>141.6</v>
      </c>
      <c r="E2766">
        <v>143.05000000000001</v>
      </c>
      <c r="F2766">
        <v>144.5</v>
      </c>
      <c r="G2766">
        <v>79651</v>
      </c>
      <c r="H2766" s="116"/>
      <c r="I2766" s="116"/>
    </row>
    <row r="2767" spans="1:9" x14ac:dyDescent="0.25">
      <c r="A2767" s="170">
        <v>46078</v>
      </c>
      <c r="B2767">
        <v>145.9</v>
      </c>
      <c r="C2767">
        <v>144.05000000000001</v>
      </c>
      <c r="D2767">
        <v>142.4</v>
      </c>
      <c r="E2767">
        <v>142.4</v>
      </c>
      <c r="F2767">
        <v>144.05000000000001</v>
      </c>
      <c r="G2767">
        <v>62901</v>
      </c>
      <c r="H2767" s="116"/>
      <c r="I2767" s="116"/>
    </row>
    <row r="2768" spans="1:9" x14ac:dyDescent="0.25">
      <c r="A2768" s="170">
        <v>46079</v>
      </c>
      <c r="B2768">
        <v>148.4</v>
      </c>
      <c r="C2768">
        <v>146.25</v>
      </c>
      <c r="D2768">
        <v>144</v>
      </c>
      <c r="E2768">
        <v>144</v>
      </c>
      <c r="F2768">
        <v>146.25</v>
      </c>
      <c r="G2768">
        <v>69204</v>
      </c>
      <c r="H2768" s="116"/>
      <c r="I2768" s="116"/>
    </row>
    <row r="2769" spans="1:9" x14ac:dyDescent="0.25">
      <c r="A2769" s="170">
        <v>46080</v>
      </c>
      <c r="B2769">
        <v>146.9</v>
      </c>
      <c r="C2769">
        <v>143.25</v>
      </c>
      <c r="D2769">
        <v>141.94999999999999</v>
      </c>
      <c r="E2769">
        <v>145.94999999999999</v>
      </c>
      <c r="F2769">
        <v>143.25</v>
      </c>
      <c r="G2769">
        <v>67039</v>
      </c>
      <c r="H2769" s="116"/>
      <c r="I2769" s="116"/>
    </row>
    <row r="2770" spans="1:9" x14ac:dyDescent="0.25">
      <c r="A2770" s="170">
        <v>46083</v>
      </c>
      <c r="B2770">
        <v>146.65</v>
      </c>
      <c r="C2770">
        <v>141.69999999999999</v>
      </c>
      <c r="D2770">
        <v>133.25</v>
      </c>
      <c r="E2770">
        <v>133.25</v>
      </c>
      <c r="F2770">
        <v>141.69999999999999</v>
      </c>
      <c r="G2770">
        <v>148188</v>
      </c>
      <c r="H2770" s="116"/>
      <c r="I2770" s="116"/>
    </row>
    <row r="2771" spans="1:9" x14ac:dyDescent="0.25">
      <c r="A2771" s="170">
        <v>46085</v>
      </c>
      <c r="B2771">
        <v>144.80000000000001</v>
      </c>
      <c r="C2771">
        <v>140.65</v>
      </c>
      <c r="D2771">
        <v>139.6</v>
      </c>
      <c r="E2771">
        <v>139.6</v>
      </c>
      <c r="F2771">
        <v>140.65</v>
      </c>
      <c r="G2771">
        <v>149186</v>
      </c>
      <c r="H2771" s="116"/>
      <c r="I2771" s="116"/>
    </row>
    <row r="2772" spans="1:9" x14ac:dyDescent="0.25">
      <c r="A2772" s="170">
        <v>46086</v>
      </c>
      <c r="B2772">
        <v>143.9</v>
      </c>
      <c r="C2772">
        <v>142.5</v>
      </c>
      <c r="D2772">
        <v>141</v>
      </c>
      <c r="E2772">
        <v>143.55000000000001</v>
      </c>
      <c r="F2772">
        <v>142.5</v>
      </c>
      <c r="G2772">
        <v>85749</v>
      </c>
      <c r="H2772" s="116"/>
      <c r="I2772" s="116"/>
    </row>
    <row r="2773" spans="1:9" x14ac:dyDescent="0.25">
      <c r="A2773" s="170">
        <v>46087</v>
      </c>
      <c r="B2773">
        <v>149.5</v>
      </c>
      <c r="C2773">
        <v>144.69999999999999</v>
      </c>
      <c r="D2773">
        <v>142.5</v>
      </c>
      <c r="E2773">
        <v>142.55000000000001</v>
      </c>
      <c r="F2773">
        <v>144.69999999999999</v>
      </c>
      <c r="G2773">
        <v>92497</v>
      </c>
      <c r="H2773" s="116"/>
      <c r="I2773" s="116"/>
    </row>
    <row r="2774" spans="1:9" x14ac:dyDescent="0.25">
      <c r="A2774" s="170">
        <v>46090</v>
      </c>
      <c r="B2774">
        <v>144.05000000000001</v>
      </c>
      <c r="C2774">
        <v>140</v>
      </c>
      <c r="D2774">
        <v>138.44999999999999</v>
      </c>
      <c r="E2774">
        <v>144.05000000000001</v>
      </c>
      <c r="F2774">
        <v>140</v>
      </c>
      <c r="G2774">
        <v>59293</v>
      </c>
      <c r="H2774" s="116"/>
      <c r="I2774" s="116"/>
    </row>
    <row r="2775" spans="1:9" x14ac:dyDescent="0.25">
      <c r="A2775" s="170">
        <v>46091</v>
      </c>
      <c r="B2775">
        <v>146.65</v>
      </c>
      <c r="C2775">
        <v>145.80000000000001</v>
      </c>
      <c r="D2775">
        <v>140.55000000000001</v>
      </c>
      <c r="E2775">
        <v>143.25</v>
      </c>
      <c r="F2775">
        <v>145.80000000000001</v>
      </c>
      <c r="G2775">
        <v>30136</v>
      </c>
      <c r="H2775" s="116"/>
      <c r="I2775" s="116"/>
    </row>
    <row r="2776" spans="1:9" x14ac:dyDescent="0.25">
      <c r="A2776" s="170">
        <v>46092</v>
      </c>
      <c r="B2776">
        <v>148.69999999999999</v>
      </c>
      <c r="C2776">
        <v>142.65</v>
      </c>
      <c r="D2776">
        <v>142.19999999999999</v>
      </c>
      <c r="E2776">
        <v>145</v>
      </c>
      <c r="F2776">
        <v>142.65</v>
      </c>
      <c r="G2776">
        <v>62069</v>
      </c>
      <c r="H2776" s="116"/>
      <c r="I2776" s="116"/>
    </row>
    <row r="2777" spans="1:9" x14ac:dyDescent="0.25">
      <c r="A2777" s="170">
        <v>46093</v>
      </c>
      <c r="B2777">
        <v>146.44999999999999</v>
      </c>
      <c r="C2777">
        <v>144.15</v>
      </c>
      <c r="D2777">
        <v>139.55000000000001</v>
      </c>
      <c r="E2777">
        <v>141.19999999999999</v>
      </c>
      <c r="F2777">
        <v>144.15</v>
      </c>
      <c r="G2777">
        <v>86265</v>
      </c>
      <c r="H2777" s="116"/>
      <c r="I2777" s="116"/>
    </row>
    <row r="2778" spans="1:9" x14ac:dyDescent="0.25">
      <c r="A2778" s="170">
        <v>46094</v>
      </c>
      <c r="B2778">
        <v>144.75</v>
      </c>
      <c r="C2778">
        <v>134.75</v>
      </c>
      <c r="D2778">
        <v>133.4</v>
      </c>
      <c r="E2778">
        <v>144.25</v>
      </c>
      <c r="F2778">
        <v>134.75</v>
      </c>
      <c r="G2778">
        <v>128532</v>
      </c>
      <c r="H2778" s="116"/>
      <c r="I2778" s="116"/>
    </row>
    <row r="2779" spans="1:9" x14ac:dyDescent="0.25">
      <c r="A2779" s="170">
        <v>46097</v>
      </c>
      <c r="B2779">
        <v>136.19999999999999</v>
      </c>
      <c r="C2779">
        <v>130</v>
      </c>
      <c r="D2779">
        <v>127.1</v>
      </c>
      <c r="E2779">
        <v>136.19999999999999</v>
      </c>
      <c r="F2779">
        <v>130</v>
      </c>
      <c r="G2779">
        <v>197477</v>
      </c>
      <c r="H2779" s="116"/>
      <c r="I2779" s="116"/>
    </row>
    <row r="2780" spans="1:9" x14ac:dyDescent="0.25">
      <c r="A2780" s="170">
        <v>46098</v>
      </c>
      <c r="B2780">
        <v>132.44999999999999</v>
      </c>
      <c r="C2780">
        <v>127.6</v>
      </c>
      <c r="D2780">
        <v>126.85</v>
      </c>
      <c r="E2780">
        <v>130.35</v>
      </c>
      <c r="F2780">
        <v>127.6</v>
      </c>
      <c r="G2780">
        <v>123052</v>
      </c>
      <c r="H2780" s="116"/>
      <c r="I2780" s="116"/>
    </row>
    <row r="2781" spans="1:9" x14ac:dyDescent="0.25">
      <c r="A2781" s="170">
        <v>46099</v>
      </c>
      <c r="B2781">
        <v>134.19999999999999</v>
      </c>
      <c r="C2781">
        <v>132.85</v>
      </c>
      <c r="D2781">
        <v>127.75</v>
      </c>
      <c r="E2781">
        <v>127.75</v>
      </c>
      <c r="F2781">
        <v>132.85</v>
      </c>
      <c r="G2781">
        <v>126708</v>
      </c>
      <c r="H2781" s="116"/>
      <c r="I2781" s="116"/>
    </row>
    <row r="2782" spans="1:9" x14ac:dyDescent="0.25">
      <c r="A2782" s="170">
        <v>46100</v>
      </c>
      <c r="B2782">
        <v>131</v>
      </c>
      <c r="C2782">
        <v>126.95</v>
      </c>
      <c r="D2782">
        <v>126</v>
      </c>
      <c r="E2782">
        <v>131</v>
      </c>
      <c r="F2782">
        <v>126.95</v>
      </c>
      <c r="G2782">
        <v>65930</v>
      </c>
      <c r="H2782" s="116"/>
      <c r="I2782" s="116"/>
    </row>
    <row r="2783" spans="1:9" x14ac:dyDescent="0.25">
      <c r="A2783" s="170">
        <v>46101</v>
      </c>
      <c r="B2783">
        <v>130.44999999999999</v>
      </c>
      <c r="C2783">
        <v>127.4</v>
      </c>
      <c r="D2783">
        <v>127</v>
      </c>
      <c r="E2783">
        <v>128.15</v>
      </c>
      <c r="F2783">
        <v>127.4</v>
      </c>
      <c r="G2783">
        <v>100065</v>
      </c>
      <c r="H2783" s="116"/>
      <c r="I2783" s="116"/>
    </row>
    <row r="2784" spans="1:9" x14ac:dyDescent="0.25">
      <c r="A2784" s="170">
        <v>46104</v>
      </c>
      <c r="B2784">
        <v>126.1</v>
      </c>
      <c r="C2784">
        <v>118.3</v>
      </c>
      <c r="D2784">
        <v>117.7</v>
      </c>
      <c r="E2784">
        <v>126.1</v>
      </c>
      <c r="F2784">
        <v>118.3</v>
      </c>
      <c r="G2784">
        <v>369114</v>
      </c>
      <c r="H2784" s="116"/>
      <c r="I2784" s="116"/>
    </row>
    <row r="2785" spans="1:9" x14ac:dyDescent="0.25">
      <c r="A2785" s="170">
        <v>46105</v>
      </c>
      <c r="B2785">
        <v>124.5</v>
      </c>
      <c r="C2785">
        <v>121</v>
      </c>
      <c r="D2785">
        <v>118.35</v>
      </c>
      <c r="E2785">
        <v>121.9</v>
      </c>
      <c r="F2785">
        <v>121</v>
      </c>
      <c r="G2785">
        <v>236454</v>
      </c>
      <c r="H2785" s="116"/>
      <c r="I2785" s="116"/>
    </row>
    <row r="2786" spans="1:9" x14ac:dyDescent="0.25">
      <c r="A2786" s="170">
        <v>46106</v>
      </c>
      <c r="B2786">
        <v>138.9</v>
      </c>
      <c r="C2786">
        <v>130.19999999999999</v>
      </c>
      <c r="D2786">
        <v>128.5</v>
      </c>
      <c r="E2786">
        <v>132.30000000000001</v>
      </c>
      <c r="F2786">
        <v>130.19999999999999</v>
      </c>
      <c r="G2786">
        <v>659665</v>
      </c>
      <c r="H2786" s="116"/>
      <c r="I2786" s="116"/>
    </row>
    <row r="2787" spans="1:9" x14ac:dyDescent="0.25">
      <c r="A2787" s="170">
        <v>46108</v>
      </c>
      <c r="B2787">
        <v>129.5</v>
      </c>
      <c r="C2787">
        <v>124.2</v>
      </c>
      <c r="D2787">
        <v>123.4</v>
      </c>
      <c r="E2787">
        <v>129.5</v>
      </c>
      <c r="F2787">
        <v>124.2</v>
      </c>
      <c r="G2787">
        <v>281978</v>
      </c>
      <c r="H2787" s="116"/>
      <c r="I2787" s="116"/>
    </row>
    <row r="2788" spans="1:9" x14ac:dyDescent="0.25">
      <c r="A2788" s="170">
        <v>46111</v>
      </c>
      <c r="B2788">
        <v>129</v>
      </c>
      <c r="C2788">
        <v>126.45</v>
      </c>
      <c r="D2788">
        <v>122</v>
      </c>
      <c r="E2788">
        <v>124.35</v>
      </c>
      <c r="F2788">
        <v>126.45</v>
      </c>
      <c r="G2788">
        <v>289966</v>
      </c>
      <c r="H2788" s="116"/>
      <c r="I2788" s="116"/>
    </row>
    <row r="2789" spans="1:9" x14ac:dyDescent="0.25">
      <c r="A2789" s="170">
        <v>46113</v>
      </c>
      <c r="B2789">
        <v>136.5</v>
      </c>
      <c r="C2789">
        <v>134.25</v>
      </c>
      <c r="D2789">
        <v>128.69999999999999</v>
      </c>
      <c r="E2789">
        <v>134.6</v>
      </c>
      <c r="F2789">
        <v>134.25</v>
      </c>
      <c r="G2789">
        <v>197737</v>
      </c>
      <c r="H2789" s="116"/>
      <c r="I2789" s="116"/>
    </row>
    <row r="2790" spans="1:9" x14ac:dyDescent="0.25">
      <c r="A2790" s="170">
        <v>46114</v>
      </c>
      <c r="B2790">
        <v>135.25</v>
      </c>
      <c r="C2790">
        <v>134.19999999999999</v>
      </c>
      <c r="D2790">
        <v>129.5</v>
      </c>
      <c r="E2790">
        <v>132.75</v>
      </c>
      <c r="F2790">
        <v>134.19999999999999</v>
      </c>
      <c r="G2790">
        <v>96003</v>
      </c>
      <c r="H2790" s="116"/>
      <c r="I2790" s="116"/>
    </row>
    <row r="2791" spans="1:9" x14ac:dyDescent="0.25">
      <c r="A2791" s="170">
        <v>46118</v>
      </c>
      <c r="B2791">
        <v>137.05000000000001</v>
      </c>
      <c r="C2791">
        <v>136</v>
      </c>
      <c r="D2791">
        <v>131.65</v>
      </c>
      <c r="E2791">
        <v>134.5</v>
      </c>
      <c r="F2791">
        <v>136</v>
      </c>
      <c r="G2791">
        <v>137458</v>
      </c>
      <c r="H2791" s="116"/>
      <c r="I2791" s="116"/>
    </row>
    <row r="2792" spans="1:9" x14ac:dyDescent="0.25">
      <c r="A2792" s="170">
        <v>46119</v>
      </c>
      <c r="B2792">
        <v>139.35</v>
      </c>
      <c r="C2792">
        <v>136.05000000000001</v>
      </c>
      <c r="D2792">
        <v>134.1</v>
      </c>
      <c r="E2792">
        <v>136.15</v>
      </c>
      <c r="F2792">
        <v>136.05000000000001</v>
      </c>
      <c r="G2792">
        <v>90157</v>
      </c>
      <c r="H2792" s="116"/>
      <c r="I2792" s="116"/>
    </row>
    <row r="2793" spans="1:9" x14ac:dyDescent="0.25">
      <c r="A2793" s="170">
        <v>46120</v>
      </c>
      <c r="B2793">
        <v>143.94999999999999</v>
      </c>
      <c r="C2793">
        <v>143.44999999999999</v>
      </c>
      <c r="D2793">
        <v>138.5</v>
      </c>
      <c r="E2793">
        <v>141.75</v>
      </c>
      <c r="F2793">
        <v>143.44999999999999</v>
      </c>
      <c r="G2793">
        <v>124632</v>
      </c>
      <c r="H2793" s="116"/>
      <c r="I2793" s="116"/>
    </row>
    <row r="2794" spans="1:9" x14ac:dyDescent="0.25">
      <c r="A2794" s="170">
        <v>46121</v>
      </c>
      <c r="B2794">
        <v>149.94999999999999</v>
      </c>
      <c r="C2794">
        <v>147.75</v>
      </c>
      <c r="D2794">
        <v>142</v>
      </c>
      <c r="E2794">
        <v>143.44999999999999</v>
      </c>
      <c r="F2794">
        <v>147.75</v>
      </c>
      <c r="G2794">
        <v>123005</v>
      </c>
      <c r="H2794" s="116"/>
      <c r="I2794" s="116"/>
    </row>
    <row r="2795" spans="1:9" x14ac:dyDescent="0.25">
      <c r="A2795" s="170">
        <v>46122</v>
      </c>
      <c r="B2795">
        <v>154.5</v>
      </c>
      <c r="C2795">
        <v>152.5</v>
      </c>
      <c r="D2795">
        <v>149.15</v>
      </c>
      <c r="E2795">
        <v>149.19999999999999</v>
      </c>
      <c r="F2795">
        <v>152.5</v>
      </c>
      <c r="G2795">
        <v>191624</v>
      </c>
      <c r="H2795" s="116"/>
      <c r="I2795" s="116"/>
    </row>
    <row r="2796" spans="1:9" x14ac:dyDescent="0.25">
      <c r="A2796" s="170">
        <v>46125</v>
      </c>
      <c r="B2796">
        <v>153.65</v>
      </c>
      <c r="C2796">
        <v>150.55000000000001</v>
      </c>
      <c r="D2796">
        <v>144.05000000000001</v>
      </c>
      <c r="E2796">
        <v>148.75</v>
      </c>
      <c r="F2796">
        <v>150.55000000000001</v>
      </c>
      <c r="G2796">
        <v>131548</v>
      </c>
      <c r="H2796" s="116"/>
      <c r="I2796" s="116"/>
    </row>
    <row r="2797" spans="1:9" x14ac:dyDescent="0.25">
      <c r="A2797" s="170">
        <v>46127</v>
      </c>
      <c r="B2797">
        <v>155.75</v>
      </c>
      <c r="C2797">
        <v>154.1</v>
      </c>
      <c r="D2797">
        <v>151.9</v>
      </c>
      <c r="E2797">
        <v>155.75</v>
      </c>
      <c r="F2797">
        <v>154.1</v>
      </c>
      <c r="G2797">
        <v>122105</v>
      </c>
      <c r="H2797" s="116"/>
      <c r="I2797" s="116"/>
    </row>
    <row r="2798" spans="1:9" x14ac:dyDescent="0.25">
      <c r="A2798" s="170">
        <v>46128</v>
      </c>
      <c r="B2798">
        <v>157</v>
      </c>
      <c r="C2798">
        <v>154.94999999999999</v>
      </c>
      <c r="D2798">
        <v>152.5</v>
      </c>
      <c r="E2798">
        <v>154.1</v>
      </c>
      <c r="F2798">
        <v>154.94999999999999</v>
      </c>
      <c r="G2798">
        <v>119333</v>
      </c>
      <c r="H2798" s="116"/>
      <c r="I2798" s="116"/>
    </row>
    <row r="2799" spans="1:9" x14ac:dyDescent="0.25">
      <c r="A2799" s="170">
        <v>46129</v>
      </c>
      <c r="B2799">
        <v>162.30000000000001</v>
      </c>
      <c r="C2799">
        <v>160.15</v>
      </c>
      <c r="D2799">
        <v>155</v>
      </c>
      <c r="E2799">
        <v>155.65</v>
      </c>
      <c r="F2799">
        <v>160.15</v>
      </c>
      <c r="G2799">
        <v>246886</v>
      </c>
      <c r="H2799" s="116"/>
      <c r="I2799" s="116"/>
    </row>
    <row r="2800" spans="1:9" x14ac:dyDescent="0.25">
      <c r="A2800" s="170">
        <v>46132</v>
      </c>
      <c r="B2800">
        <v>160.9</v>
      </c>
      <c r="C2800">
        <v>156.80000000000001</v>
      </c>
      <c r="D2800">
        <v>156.05000000000001</v>
      </c>
      <c r="E2800">
        <v>160.30000000000001</v>
      </c>
      <c r="F2800">
        <v>156.80000000000001</v>
      </c>
      <c r="G2800">
        <v>162173</v>
      </c>
      <c r="H2800" s="116"/>
      <c r="I2800" s="116"/>
    </row>
    <row r="2801" spans="1:9" x14ac:dyDescent="0.25">
      <c r="A2801" s="170">
        <v>46133</v>
      </c>
      <c r="B2801">
        <v>160.1</v>
      </c>
      <c r="C2801">
        <v>157.85</v>
      </c>
      <c r="D2801">
        <v>156.44999999999999</v>
      </c>
      <c r="E2801">
        <v>157.65</v>
      </c>
      <c r="F2801">
        <v>157.85</v>
      </c>
      <c r="G2801">
        <v>89057</v>
      </c>
      <c r="H2801" s="116"/>
      <c r="I2801" s="116"/>
    </row>
    <row r="2802" spans="1:9" x14ac:dyDescent="0.25">
      <c r="A2802" s="170">
        <v>46134</v>
      </c>
      <c r="B2802">
        <v>161.94999999999999</v>
      </c>
      <c r="C2802">
        <v>158.15</v>
      </c>
      <c r="D2802">
        <v>157</v>
      </c>
      <c r="E2802">
        <v>157.44999999999999</v>
      </c>
      <c r="F2802">
        <v>158.15</v>
      </c>
      <c r="G2802">
        <v>85317</v>
      </c>
      <c r="H2802" s="116"/>
      <c r="I2802" s="116"/>
    </row>
    <row r="2803" spans="1:9" x14ac:dyDescent="0.25">
      <c r="A2803" s="170">
        <v>46135</v>
      </c>
      <c r="B2803">
        <v>161.75</v>
      </c>
      <c r="C2803">
        <v>158.9</v>
      </c>
      <c r="D2803">
        <v>156.9</v>
      </c>
      <c r="E2803">
        <v>158.15</v>
      </c>
      <c r="F2803">
        <v>158.9</v>
      </c>
      <c r="G2803">
        <v>299090</v>
      </c>
      <c r="H2803" s="116"/>
      <c r="I2803" s="116"/>
    </row>
    <row r="2804" spans="1:9" x14ac:dyDescent="0.25">
      <c r="A2804" s="170">
        <v>46136</v>
      </c>
      <c r="B2804">
        <v>159.44999999999999</v>
      </c>
      <c r="C2804">
        <v>154.55000000000001</v>
      </c>
      <c r="D2804">
        <v>152.69999999999999</v>
      </c>
      <c r="E2804">
        <v>159.05000000000001</v>
      </c>
      <c r="F2804">
        <v>154.55000000000001</v>
      </c>
      <c r="G2804">
        <v>124088</v>
      </c>
      <c r="H2804" s="116"/>
      <c r="I2804" s="116"/>
    </row>
    <row r="2805" spans="1:9" x14ac:dyDescent="0.25">
      <c r="H2805" s="116"/>
      <c r="I2805" s="116"/>
    </row>
    <row r="2806" spans="1:9" x14ac:dyDescent="0.25">
      <c r="H2806" s="116"/>
      <c r="I2806" s="116"/>
    </row>
    <row r="2807" spans="1:9" x14ac:dyDescent="0.25">
      <c r="H2807" s="116"/>
      <c r="I2807" s="116"/>
    </row>
    <row r="2808" spans="1:9" x14ac:dyDescent="0.25">
      <c r="H2808" s="116"/>
      <c r="I2808" s="116"/>
    </row>
    <row r="2809" spans="1:9" x14ac:dyDescent="0.25">
      <c r="H2809" s="116"/>
      <c r="I2809" s="116"/>
    </row>
    <row r="2810" spans="1:9" x14ac:dyDescent="0.25">
      <c r="H2810" s="116"/>
      <c r="I2810" s="116"/>
    </row>
    <row r="2811" spans="1:9" x14ac:dyDescent="0.25">
      <c r="H2811" s="116"/>
      <c r="I2811" s="116"/>
    </row>
    <row r="2812" spans="1:9" x14ac:dyDescent="0.25">
      <c r="H2812" s="116"/>
      <c r="I2812" s="116"/>
    </row>
    <row r="2813" spans="1:9" x14ac:dyDescent="0.25">
      <c r="H2813" s="116"/>
      <c r="I2813" s="116"/>
    </row>
    <row r="2814" spans="1:9" x14ac:dyDescent="0.25">
      <c r="H2814" s="116"/>
      <c r="I2814" s="116"/>
    </row>
    <row r="2815" spans="1:9" x14ac:dyDescent="0.25">
      <c r="H2815" s="116"/>
      <c r="I2815" s="116"/>
    </row>
    <row r="2816" spans="1:9" x14ac:dyDescent="0.25">
      <c r="H2816" s="116"/>
      <c r="I2816" s="116"/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2026-06-15T15:42:06Z</dcterms:modified>
  <cp:category/>
  <cp:contentStatus/>
</cp:coreProperties>
</file>